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B51CB0D3-3307-471F-923C-48322ACC26EA}" xr6:coauthVersionLast="47" xr6:coauthVersionMax="47" xr10:uidLastSave="{00000000-0000-0000-0000-000000000000}"/>
  <bookViews>
    <workbookView xWindow="-108" yWindow="-108" windowWidth="23256" windowHeight="12456" xr2:uid="{26CED4ED-5781-4158-9309-97F3C42298B0}"/>
  </bookViews>
  <sheets>
    <sheet name="BASE ACORDOS" sheetId="1" r:id="rId1"/>
  </sheets>
  <externalReferences>
    <externalReference r:id="rId2"/>
  </externalReferences>
  <definedNames>
    <definedName name="_xlnm._FilterDatabase" localSheetId="0" hidden="1">'BASE ACORDOS'!$A$1:$W$477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3" i="1" l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R246" i="1"/>
  <c r="Q246" i="1"/>
  <c r="P246" i="1"/>
  <c r="A246" i="1"/>
  <c r="R245" i="1"/>
  <c r="Q245" i="1"/>
  <c r="P245" i="1"/>
  <c r="A245" i="1"/>
  <c r="R244" i="1"/>
  <c r="Q244" i="1"/>
  <c r="P244" i="1"/>
  <c r="A244" i="1"/>
  <c r="R243" i="1"/>
  <c r="Q243" i="1"/>
  <c r="P243" i="1"/>
  <c r="A243" i="1"/>
  <c r="R242" i="1"/>
  <c r="Q242" i="1"/>
  <c r="P242" i="1"/>
  <c r="A242" i="1"/>
  <c r="R241" i="1"/>
  <c r="Q241" i="1"/>
  <c r="P241" i="1"/>
  <c r="A241" i="1"/>
  <c r="R240" i="1"/>
  <c r="Q240" i="1"/>
  <c r="P240" i="1"/>
  <c r="A240" i="1"/>
  <c r="R239" i="1"/>
  <c r="Q239" i="1"/>
  <c r="P239" i="1"/>
  <c r="A239" i="1"/>
  <c r="R238" i="1"/>
  <c r="Q238" i="1"/>
  <c r="P238" i="1"/>
  <c r="A238" i="1"/>
  <c r="R237" i="1"/>
  <c r="Q237" i="1"/>
  <c r="P237" i="1"/>
  <c r="A237" i="1"/>
  <c r="R236" i="1"/>
  <c r="Q236" i="1"/>
  <c r="P236" i="1"/>
  <c r="A236" i="1"/>
  <c r="R235" i="1"/>
  <c r="Q235" i="1"/>
  <c r="P235" i="1"/>
  <c r="A235" i="1"/>
  <c r="R234" i="1"/>
  <c r="Q234" i="1"/>
  <c r="P234" i="1"/>
  <c r="A234" i="1"/>
  <c r="R233" i="1"/>
  <c r="Q233" i="1"/>
  <c r="P233" i="1"/>
  <c r="A233" i="1"/>
  <c r="R232" i="1"/>
  <c r="Q232" i="1"/>
  <c r="P232" i="1"/>
  <c r="A232" i="1"/>
  <c r="R231" i="1"/>
  <c r="Q231" i="1"/>
  <c r="P231" i="1"/>
  <c r="A231" i="1"/>
  <c r="R230" i="1"/>
  <c r="Q230" i="1"/>
  <c r="P230" i="1"/>
  <c r="A230" i="1"/>
  <c r="R229" i="1"/>
  <c r="Q229" i="1"/>
  <c r="P229" i="1"/>
  <c r="A229" i="1"/>
  <c r="R228" i="1"/>
  <c r="Q228" i="1"/>
  <c r="P228" i="1"/>
  <c r="A228" i="1"/>
  <c r="R227" i="1"/>
  <c r="Q227" i="1"/>
  <c r="P227" i="1"/>
  <c r="A227" i="1"/>
  <c r="R226" i="1"/>
  <c r="Q226" i="1"/>
  <c r="P226" i="1"/>
  <c r="A226" i="1"/>
  <c r="R225" i="1"/>
  <c r="Q225" i="1"/>
  <c r="P225" i="1"/>
  <c r="A225" i="1"/>
  <c r="R224" i="1"/>
  <c r="Q224" i="1"/>
  <c r="P224" i="1"/>
  <c r="A224" i="1"/>
  <c r="R223" i="1"/>
  <c r="Q223" i="1"/>
  <c r="P223" i="1"/>
  <c r="A223" i="1"/>
  <c r="R222" i="1"/>
  <c r="Q222" i="1"/>
  <c r="P222" i="1"/>
  <c r="A222" i="1"/>
  <c r="R221" i="1"/>
  <c r="Q221" i="1"/>
  <c r="P221" i="1"/>
  <c r="A221" i="1"/>
  <c r="R220" i="1"/>
  <c r="Q220" i="1"/>
  <c r="P220" i="1"/>
  <c r="A220" i="1"/>
  <c r="R219" i="1"/>
  <c r="Q219" i="1"/>
  <c r="P219" i="1"/>
  <c r="A219" i="1"/>
  <c r="R218" i="1"/>
  <c r="Q218" i="1"/>
  <c r="P218" i="1"/>
  <c r="A218" i="1"/>
  <c r="R217" i="1"/>
  <c r="Q217" i="1"/>
  <c r="P217" i="1"/>
  <c r="A217" i="1"/>
  <c r="R216" i="1"/>
  <c r="Q216" i="1"/>
  <c r="P216" i="1"/>
  <c r="A216" i="1"/>
  <c r="R215" i="1"/>
  <c r="Q215" i="1"/>
  <c r="P215" i="1"/>
  <c r="A215" i="1"/>
  <c r="R214" i="1"/>
  <c r="Q214" i="1"/>
  <c r="P214" i="1"/>
  <c r="A214" i="1"/>
  <c r="R213" i="1"/>
  <c r="Q213" i="1"/>
  <c r="P213" i="1"/>
  <c r="A213" i="1"/>
  <c r="R212" i="1"/>
  <c r="Q212" i="1"/>
  <c r="P212" i="1"/>
  <c r="A212" i="1"/>
  <c r="R211" i="1"/>
  <c r="Q211" i="1"/>
  <c r="P211" i="1"/>
  <c r="A211" i="1"/>
  <c r="R210" i="1"/>
  <c r="Q210" i="1"/>
  <c r="P210" i="1"/>
  <c r="A210" i="1"/>
  <c r="R209" i="1"/>
  <c r="Q209" i="1"/>
  <c r="P209" i="1"/>
  <c r="A209" i="1"/>
  <c r="R208" i="1"/>
  <c r="Q208" i="1"/>
  <c r="P208" i="1"/>
  <c r="A208" i="1"/>
  <c r="R207" i="1"/>
  <c r="Q207" i="1"/>
  <c r="P207" i="1"/>
  <c r="A207" i="1"/>
  <c r="R206" i="1"/>
  <c r="Q206" i="1"/>
  <c r="P206" i="1"/>
  <c r="A206" i="1"/>
  <c r="R205" i="1"/>
  <c r="Q205" i="1"/>
  <c r="P205" i="1"/>
  <c r="A205" i="1"/>
  <c r="R204" i="1"/>
  <c r="Q204" i="1"/>
  <c r="P204" i="1"/>
  <c r="A204" i="1"/>
  <c r="R203" i="1"/>
  <c r="Q203" i="1"/>
  <c r="P203" i="1"/>
  <c r="A203" i="1"/>
  <c r="R202" i="1"/>
  <c r="Q202" i="1"/>
  <c r="P202" i="1"/>
  <c r="A202" i="1"/>
  <c r="R201" i="1"/>
  <c r="Q201" i="1"/>
  <c r="P201" i="1"/>
  <c r="A201" i="1"/>
  <c r="R200" i="1"/>
  <c r="Q200" i="1"/>
  <c r="P200" i="1"/>
  <c r="A200" i="1"/>
  <c r="R199" i="1"/>
  <c r="Q199" i="1"/>
  <c r="P199" i="1"/>
  <c r="A199" i="1"/>
  <c r="R198" i="1"/>
  <c r="Q198" i="1"/>
  <c r="P198" i="1"/>
  <c r="A198" i="1"/>
  <c r="R197" i="1"/>
  <c r="Q197" i="1"/>
  <c r="P197" i="1"/>
  <c r="A197" i="1"/>
  <c r="R196" i="1"/>
  <c r="Q196" i="1"/>
  <c r="P196" i="1"/>
  <c r="A196" i="1"/>
  <c r="R195" i="1"/>
  <c r="Q195" i="1"/>
  <c r="P195" i="1"/>
  <c r="A195" i="1"/>
  <c r="R194" i="1"/>
  <c r="Q194" i="1"/>
  <c r="P194" i="1"/>
  <c r="A194" i="1"/>
  <c r="R193" i="1"/>
  <c r="Q193" i="1"/>
  <c r="P193" i="1"/>
  <c r="A193" i="1"/>
  <c r="R192" i="1"/>
  <c r="Q192" i="1"/>
  <c r="P192" i="1"/>
  <c r="A192" i="1"/>
  <c r="R191" i="1"/>
  <c r="Q191" i="1"/>
  <c r="P191" i="1"/>
  <c r="A191" i="1"/>
  <c r="R190" i="1"/>
  <c r="Q190" i="1"/>
  <c r="P190" i="1"/>
  <c r="A190" i="1"/>
  <c r="R189" i="1"/>
  <c r="Q189" i="1"/>
  <c r="P189" i="1"/>
  <c r="A189" i="1"/>
  <c r="R188" i="1"/>
  <c r="Q188" i="1"/>
  <c r="P188" i="1"/>
  <c r="A188" i="1"/>
  <c r="R187" i="1"/>
  <c r="Q187" i="1"/>
  <c r="P187" i="1"/>
  <c r="A187" i="1"/>
  <c r="R186" i="1"/>
  <c r="Q186" i="1"/>
  <c r="P186" i="1"/>
  <c r="A186" i="1"/>
  <c r="R185" i="1"/>
  <c r="Q185" i="1"/>
  <c r="P185" i="1"/>
  <c r="A185" i="1"/>
  <c r="R184" i="1"/>
  <c r="Q184" i="1"/>
  <c r="P184" i="1"/>
  <c r="A184" i="1"/>
  <c r="R183" i="1"/>
  <c r="Q183" i="1"/>
  <c r="P183" i="1"/>
  <c r="A183" i="1"/>
  <c r="R182" i="1"/>
  <c r="Q182" i="1"/>
  <c r="P182" i="1"/>
  <c r="A182" i="1"/>
  <c r="R181" i="1"/>
  <c r="Q181" i="1"/>
  <c r="P181" i="1"/>
  <c r="A181" i="1"/>
  <c r="R180" i="1"/>
  <c r="Q180" i="1"/>
  <c r="P180" i="1"/>
  <c r="A180" i="1"/>
  <c r="R179" i="1"/>
  <c r="Q179" i="1"/>
  <c r="P179" i="1"/>
  <c r="A179" i="1"/>
  <c r="R178" i="1"/>
  <c r="Q178" i="1"/>
  <c r="P178" i="1"/>
  <c r="A178" i="1"/>
  <c r="R177" i="1"/>
  <c r="Q177" i="1"/>
  <c r="P177" i="1"/>
  <c r="A177" i="1"/>
  <c r="R176" i="1"/>
  <c r="Q176" i="1"/>
  <c r="P176" i="1"/>
  <c r="A176" i="1"/>
  <c r="R175" i="1"/>
  <c r="Q175" i="1"/>
  <c r="P175" i="1"/>
  <c r="A175" i="1"/>
  <c r="R174" i="1"/>
  <c r="Q174" i="1"/>
  <c r="P174" i="1"/>
  <c r="A174" i="1"/>
  <c r="R173" i="1"/>
  <c r="Q173" i="1"/>
  <c r="P173" i="1"/>
  <c r="A173" i="1"/>
  <c r="R172" i="1"/>
  <c r="Q172" i="1"/>
  <c r="P172" i="1"/>
  <c r="A172" i="1"/>
  <c r="R171" i="1"/>
  <c r="Q171" i="1"/>
  <c r="P171" i="1"/>
  <c r="A171" i="1"/>
  <c r="R170" i="1"/>
  <c r="Q170" i="1"/>
  <c r="P170" i="1"/>
  <c r="A170" i="1"/>
  <c r="R169" i="1"/>
  <c r="Q169" i="1"/>
  <c r="P169" i="1"/>
  <c r="A169" i="1"/>
  <c r="R168" i="1"/>
  <c r="Q168" i="1"/>
  <c r="P168" i="1"/>
  <c r="A168" i="1"/>
  <c r="R167" i="1"/>
  <c r="Q167" i="1"/>
  <c r="P167" i="1"/>
  <c r="A167" i="1"/>
  <c r="R166" i="1"/>
  <c r="Q166" i="1"/>
  <c r="P166" i="1"/>
  <c r="A166" i="1"/>
  <c r="R165" i="1"/>
  <c r="Q165" i="1"/>
  <c r="P165" i="1"/>
  <c r="A165" i="1"/>
  <c r="R164" i="1"/>
  <c r="Q164" i="1"/>
  <c r="P164" i="1"/>
  <c r="A164" i="1"/>
  <c r="R163" i="1"/>
  <c r="Q163" i="1"/>
  <c r="P163" i="1"/>
  <c r="A163" i="1"/>
  <c r="R162" i="1"/>
  <c r="Q162" i="1"/>
  <c r="P162" i="1"/>
  <c r="A162" i="1"/>
  <c r="R161" i="1"/>
  <c r="Q161" i="1"/>
  <c r="P161" i="1"/>
  <c r="A161" i="1"/>
  <c r="R160" i="1"/>
  <c r="Q160" i="1"/>
  <c r="P160" i="1"/>
  <c r="A160" i="1"/>
  <c r="R159" i="1"/>
  <c r="Q159" i="1"/>
  <c r="P159" i="1"/>
  <c r="A159" i="1"/>
  <c r="R158" i="1"/>
  <c r="Q158" i="1"/>
  <c r="P158" i="1"/>
  <c r="A158" i="1"/>
  <c r="R157" i="1"/>
  <c r="Q157" i="1"/>
  <c r="P157" i="1"/>
  <c r="A157" i="1"/>
  <c r="R156" i="1"/>
  <c r="Q156" i="1"/>
  <c r="P156" i="1"/>
  <c r="A156" i="1"/>
  <c r="R155" i="1"/>
  <c r="Q155" i="1"/>
  <c r="P155" i="1"/>
  <c r="A155" i="1"/>
  <c r="R154" i="1"/>
  <c r="Q154" i="1"/>
  <c r="P154" i="1"/>
  <c r="A154" i="1"/>
  <c r="R153" i="1"/>
  <c r="Q153" i="1"/>
  <c r="P153" i="1"/>
  <c r="A153" i="1"/>
  <c r="R152" i="1"/>
  <c r="Q152" i="1"/>
  <c r="P152" i="1"/>
  <c r="A152" i="1"/>
  <c r="R151" i="1"/>
  <c r="Q151" i="1"/>
  <c r="P151" i="1"/>
  <c r="A151" i="1"/>
  <c r="R150" i="1"/>
  <c r="Q150" i="1"/>
  <c r="P150" i="1"/>
  <c r="A150" i="1"/>
  <c r="R149" i="1"/>
  <c r="Q149" i="1"/>
  <c r="P149" i="1"/>
  <c r="A149" i="1"/>
  <c r="R148" i="1"/>
  <c r="Q148" i="1"/>
  <c r="P148" i="1"/>
  <c r="A148" i="1"/>
  <c r="R147" i="1"/>
  <c r="Q147" i="1"/>
  <c r="P147" i="1"/>
  <c r="A147" i="1"/>
  <c r="R146" i="1"/>
  <c r="Q146" i="1"/>
  <c r="P146" i="1"/>
  <c r="A146" i="1"/>
  <c r="R145" i="1"/>
  <c r="Q145" i="1"/>
  <c r="P145" i="1"/>
  <c r="A145" i="1"/>
  <c r="R144" i="1"/>
  <c r="Q144" i="1"/>
  <c r="P144" i="1"/>
  <c r="A144" i="1"/>
  <c r="R143" i="1"/>
  <c r="Q143" i="1"/>
  <c r="P143" i="1"/>
  <c r="A143" i="1"/>
  <c r="R142" i="1"/>
  <c r="Q142" i="1"/>
  <c r="P142" i="1"/>
  <c r="A142" i="1"/>
  <c r="R141" i="1"/>
  <c r="Q141" i="1"/>
  <c r="P141" i="1"/>
  <c r="A141" i="1"/>
  <c r="R140" i="1"/>
  <c r="Q140" i="1"/>
  <c r="P140" i="1"/>
  <c r="A140" i="1"/>
  <c r="R139" i="1"/>
  <c r="Q139" i="1"/>
  <c r="P139" i="1"/>
  <c r="A139" i="1"/>
  <c r="R138" i="1"/>
  <c r="Q138" i="1"/>
  <c r="P138" i="1"/>
  <c r="A138" i="1"/>
  <c r="R137" i="1"/>
  <c r="Q137" i="1"/>
  <c r="P137" i="1"/>
  <c r="A137" i="1"/>
  <c r="R136" i="1"/>
  <c r="Q136" i="1"/>
  <c r="P136" i="1"/>
  <c r="A136" i="1"/>
  <c r="R135" i="1"/>
  <c r="Q135" i="1"/>
  <c r="P135" i="1"/>
  <c r="A135" i="1"/>
  <c r="R134" i="1"/>
  <c r="Q134" i="1"/>
  <c r="P134" i="1"/>
  <c r="A134" i="1"/>
  <c r="R133" i="1"/>
  <c r="Q133" i="1"/>
  <c r="P133" i="1"/>
  <c r="A133" i="1"/>
  <c r="R132" i="1"/>
  <c r="Q132" i="1"/>
  <c r="P132" i="1"/>
  <c r="A132" i="1"/>
  <c r="R131" i="1"/>
  <c r="Q131" i="1"/>
  <c r="P131" i="1"/>
  <c r="A131" i="1"/>
  <c r="R130" i="1"/>
  <c r="Q130" i="1"/>
  <c r="P130" i="1"/>
  <c r="A130" i="1"/>
  <c r="R129" i="1"/>
  <c r="Q129" i="1"/>
  <c r="P129" i="1"/>
  <c r="A129" i="1"/>
  <c r="R128" i="1"/>
  <c r="Q128" i="1"/>
  <c r="P128" i="1"/>
  <c r="A128" i="1"/>
  <c r="R127" i="1"/>
  <c r="Q127" i="1"/>
  <c r="P127" i="1"/>
  <c r="A127" i="1"/>
  <c r="R126" i="1"/>
  <c r="Q126" i="1"/>
  <c r="P126" i="1"/>
  <c r="A126" i="1"/>
  <c r="R125" i="1"/>
  <c r="Q125" i="1"/>
  <c r="P125" i="1"/>
  <c r="A125" i="1"/>
  <c r="R124" i="1"/>
  <c r="Q124" i="1"/>
  <c r="P124" i="1"/>
  <c r="A124" i="1"/>
  <c r="R123" i="1"/>
  <c r="Q123" i="1"/>
  <c r="P123" i="1"/>
  <c r="A123" i="1"/>
  <c r="R122" i="1"/>
  <c r="Q122" i="1"/>
  <c r="P122" i="1"/>
  <c r="A122" i="1"/>
  <c r="R121" i="1"/>
  <c r="Q121" i="1"/>
  <c r="P121" i="1"/>
  <c r="A121" i="1"/>
  <c r="R120" i="1"/>
  <c r="Q120" i="1"/>
  <c r="P120" i="1"/>
  <c r="A120" i="1"/>
  <c r="R119" i="1"/>
  <c r="Q119" i="1"/>
  <c r="P119" i="1"/>
  <c r="A119" i="1"/>
  <c r="R118" i="1"/>
  <c r="Q118" i="1"/>
  <c r="P118" i="1"/>
  <c r="A118" i="1"/>
  <c r="R117" i="1"/>
  <c r="Q117" i="1"/>
  <c r="P117" i="1"/>
  <c r="A117" i="1"/>
  <c r="R116" i="1"/>
  <c r="Q116" i="1"/>
  <c r="P116" i="1"/>
  <c r="A116" i="1"/>
  <c r="R115" i="1"/>
  <c r="Q115" i="1"/>
  <c r="P115" i="1"/>
  <c r="A115" i="1"/>
  <c r="R114" i="1"/>
  <c r="Q114" i="1"/>
  <c r="P114" i="1"/>
  <c r="A114" i="1"/>
  <c r="R113" i="1"/>
  <c r="Q113" i="1"/>
  <c r="P113" i="1"/>
  <c r="A113" i="1"/>
  <c r="R112" i="1"/>
  <c r="Q112" i="1"/>
  <c r="P112" i="1"/>
  <c r="A112" i="1"/>
  <c r="R111" i="1"/>
  <c r="Q111" i="1"/>
  <c r="P111" i="1"/>
  <c r="A111" i="1"/>
  <c r="R110" i="1"/>
  <c r="Q110" i="1"/>
  <c r="P110" i="1"/>
  <c r="A110" i="1"/>
  <c r="R109" i="1"/>
  <c r="Q109" i="1"/>
  <c r="P109" i="1"/>
  <c r="A109" i="1"/>
  <c r="R108" i="1"/>
  <c r="Q108" i="1"/>
  <c r="P108" i="1"/>
  <c r="A108" i="1"/>
  <c r="R107" i="1"/>
  <c r="Q107" i="1"/>
  <c r="P107" i="1"/>
  <c r="A107" i="1"/>
  <c r="R106" i="1"/>
  <c r="Q106" i="1"/>
  <c r="P106" i="1"/>
  <c r="A106" i="1"/>
  <c r="R105" i="1"/>
  <c r="Q105" i="1"/>
  <c r="P105" i="1"/>
  <c r="A105" i="1"/>
  <c r="R104" i="1"/>
  <c r="Q104" i="1"/>
  <c r="P104" i="1"/>
  <c r="A104" i="1"/>
  <c r="R103" i="1"/>
  <c r="Q103" i="1"/>
  <c r="P103" i="1"/>
  <c r="A103" i="1"/>
  <c r="R102" i="1"/>
  <c r="Q102" i="1"/>
  <c r="P102" i="1"/>
  <c r="A102" i="1"/>
  <c r="R101" i="1"/>
  <c r="Q101" i="1"/>
  <c r="P101" i="1"/>
  <c r="A101" i="1"/>
  <c r="R100" i="1"/>
  <c r="Q100" i="1"/>
  <c r="P100" i="1"/>
  <c r="A100" i="1"/>
  <c r="R99" i="1"/>
  <c r="Q99" i="1"/>
  <c r="P99" i="1"/>
  <c r="A99" i="1"/>
  <c r="R98" i="1"/>
  <c r="Q98" i="1"/>
  <c r="P98" i="1"/>
  <c r="A98" i="1"/>
  <c r="R97" i="1"/>
  <c r="Q97" i="1"/>
  <c r="P97" i="1"/>
  <c r="A97" i="1"/>
  <c r="R96" i="1"/>
  <c r="Q96" i="1"/>
  <c r="P96" i="1"/>
  <c r="A96" i="1"/>
  <c r="R95" i="1"/>
  <c r="Q95" i="1"/>
  <c r="P95" i="1"/>
  <c r="A95" i="1"/>
  <c r="R94" i="1"/>
  <c r="Q94" i="1"/>
  <c r="P94" i="1"/>
  <c r="A94" i="1"/>
  <c r="R93" i="1"/>
  <c r="Q93" i="1"/>
  <c r="P93" i="1"/>
  <c r="A93" i="1"/>
  <c r="R92" i="1"/>
  <c r="Q92" i="1"/>
  <c r="P92" i="1"/>
  <c r="A92" i="1"/>
  <c r="R91" i="1"/>
  <c r="Q91" i="1"/>
  <c r="P91" i="1"/>
  <c r="A91" i="1"/>
  <c r="R90" i="1"/>
  <c r="Q90" i="1"/>
  <c r="P90" i="1"/>
  <c r="A90" i="1"/>
  <c r="R89" i="1"/>
  <c r="Q89" i="1"/>
  <c r="P89" i="1"/>
  <c r="A89" i="1"/>
  <c r="R88" i="1"/>
  <c r="Q88" i="1"/>
  <c r="P88" i="1"/>
  <c r="A88" i="1"/>
  <c r="R87" i="1"/>
  <c r="Q87" i="1"/>
  <c r="P87" i="1"/>
  <c r="A87" i="1"/>
  <c r="R86" i="1"/>
  <c r="Q86" i="1"/>
  <c r="P86" i="1"/>
  <c r="A86" i="1"/>
  <c r="R85" i="1"/>
  <c r="Q85" i="1"/>
  <c r="P85" i="1"/>
  <c r="A85" i="1"/>
  <c r="R84" i="1"/>
  <c r="Q84" i="1"/>
  <c r="P84" i="1"/>
  <c r="A84" i="1"/>
  <c r="R83" i="1"/>
  <c r="Q83" i="1"/>
  <c r="P83" i="1"/>
  <c r="A83" i="1"/>
  <c r="R82" i="1"/>
  <c r="Q82" i="1"/>
  <c r="P82" i="1"/>
  <c r="A82" i="1"/>
  <c r="R81" i="1"/>
  <c r="Q81" i="1"/>
  <c r="P81" i="1"/>
  <c r="A81" i="1"/>
  <c r="R80" i="1"/>
  <c r="Q80" i="1"/>
  <c r="P80" i="1"/>
  <c r="A80" i="1"/>
  <c r="R79" i="1"/>
  <c r="Q79" i="1"/>
  <c r="P79" i="1"/>
  <c r="A79" i="1"/>
  <c r="R78" i="1"/>
  <c r="Q78" i="1"/>
  <c r="P78" i="1"/>
  <c r="A78" i="1"/>
  <c r="R77" i="1"/>
  <c r="Q77" i="1"/>
  <c r="P77" i="1"/>
  <c r="A77" i="1"/>
  <c r="R76" i="1"/>
  <c r="Q76" i="1"/>
  <c r="P76" i="1"/>
  <c r="A76" i="1"/>
  <c r="R75" i="1"/>
  <c r="Q75" i="1"/>
  <c r="P75" i="1"/>
  <c r="A75" i="1"/>
  <c r="R74" i="1"/>
  <c r="Q74" i="1"/>
  <c r="P74" i="1"/>
  <c r="A74" i="1"/>
  <c r="R73" i="1"/>
  <c r="Q73" i="1"/>
  <c r="P73" i="1"/>
  <c r="A73" i="1"/>
  <c r="R72" i="1"/>
  <c r="Q72" i="1"/>
  <c r="P72" i="1"/>
  <c r="A72" i="1"/>
  <c r="R71" i="1"/>
  <c r="Q71" i="1"/>
  <c r="P71" i="1"/>
  <c r="A71" i="1"/>
  <c r="R70" i="1"/>
  <c r="Q70" i="1"/>
  <c r="P70" i="1"/>
  <c r="A70" i="1"/>
  <c r="R69" i="1"/>
  <c r="Q69" i="1"/>
  <c r="P69" i="1"/>
  <c r="A69" i="1"/>
  <c r="R68" i="1"/>
  <c r="Q68" i="1"/>
  <c r="P68" i="1"/>
  <c r="A68" i="1"/>
  <c r="R67" i="1"/>
  <c r="Q67" i="1"/>
  <c r="P67" i="1"/>
  <c r="A67" i="1"/>
  <c r="R66" i="1"/>
  <c r="Q66" i="1"/>
  <c r="P66" i="1"/>
  <c r="A66" i="1"/>
  <c r="R65" i="1"/>
  <c r="Q65" i="1"/>
  <c r="P65" i="1"/>
  <c r="A65" i="1"/>
  <c r="R64" i="1"/>
  <c r="Q64" i="1"/>
  <c r="P64" i="1"/>
  <c r="A64" i="1"/>
  <c r="R63" i="1"/>
  <c r="Q63" i="1"/>
  <c r="P63" i="1"/>
  <c r="A63" i="1"/>
  <c r="R62" i="1"/>
  <c r="Q62" i="1"/>
  <c r="P62" i="1"/>
  <c r="A62" i="1"/>
  <c r="R61" i="1"/>
  <c r="Q61" i="1"/>
  <c r="P61" i="1"/>
  <c r="A61" i="1"/>
  <c r="R60" i="1"/>
  <c r="Q60" i="1"/>
  <c r="P60" i="1"/>
  <c r="A60" i="1"/>
  <c r="R59" i="1"/>
  <c r="Q59" i="1"/>
  <c r="P59" i="1"/>
  <c r="A59" i="1"/>
  <c r="R58" i="1"/>
  <c r="Q58" i="1"/>
  <c r="P58" i="1"/>
  <c r="A58" i="1"/>
  <c r="R57" i="1"/>
  <c r="Q57" i="1"/>
  <c r="P57" i="1"/>
  <c r="A57" i="1"/>
  <c r="R56" i="1"/>
  <c r="Q56" i="1"/>
  <c r="P56" i="1"/>
  <c r="A56" i="1"/>
  <c r="R55" i="1"/>
  <c r="Q55" i="1"/>
  <c r="P55" i="1"/>
  <c r="A55" i="1"/>
  <c r="R54" i="1"/>
  <c r="Q54" i="1"/>
  <c r="P54" i="1"/>
  <c r="A54" i="1"/>
  <c r="R53" i="1"/>
  <c r="Q53" i="1"/>
  <c r="P53" i="1"/>
  <c r="A53" i="1"/>
  <c r="R52" i="1"/>
  <c r="Q52" i="1"/>
  <c r="P52" i="1"/>
  <c r="A52" i="1"/>
  <c r="R51" i="1"/>
  <c r="Q51" i="1"/>
  <c r="P51" i="1"/>
  <c r="A51" i="1"/>
  <c r="R50" i="1"/>
  <c r="Q50" i="1"/>
  <c r="P50" i="1"/>
  <c r="A50" i="1"/>
  <c r="R49" i="1"/>
  <c r="Q49" i="1"/>
  <c r="P49" i="1"/>
  <c r="A49" i="1"/>
  <c r="R48" i="1"/>
  <c r="Q48" i="1"/>
  <c r="P48" i="1"/>
  <c r="A48" i="1"/>
  <c r="R47" i="1"/>
  <c r="Q47" i="1"/>
  <c r="P47" i="1"/>
  <c r="A47" i="1"/>
  <c r="R46" i="1"/>
  <c r="Q46" i="1"/>
  <c r="P46" i="1"/>
  <c r="A46" i="1"/>
  <c r="R45" i="1"/>
  <c r="Q45" i="1"/>
  <c r="P45" i="1"/>
  <c r="A45" i="1"/>
  <c r="R44" i="1"/>
  <c r="Q44" i="1"/>
  <c r="P44" i="1"/>
  <c r="A44" i="1"/>
  <c r="R43" i="1"/>
  <c r="Q43" i="1"/>
  <c r="P43" i="1"/>
  <c r="A43" i="1"/>
  <c r="R42" i="1"/>
  <c r="Q42" i="1"/>
  <c r="P42" i="1"/>
  <c r="A42" i="1"/>
  <c r="R41" i="1"/>
  <c r="Q41" i="1"/>
  <c r="P41" i="1"/>
  <c r="A41" i="1"/>
  <c r="R40" i="1"/>
  <c r="Q40" i="1"/>
  <c r="P40" i="1"/>
  <c r="A40" i="1"/>
  <c r="R39" i="1"/>
  <c r="Q39" i="1"/>
  <c r="P39" i="1"/>
  <c r="A39" i="1"/>
  <c r="R38" i="1"/>
  <c r="Q38" i="1"/>
  <c r="P38" i="1"/>
  <c r="A38" i="1"/>
  <c r="R37" i="1"/>
  <c r="Q37" i="1"/>
  <c r="P37" i="1"/>
  <c r="A37" i="1"/>
  <c r="R36" i="1"/>
  <c r="Q36" i="1"/>
  <c r="P36" i="1"/>
  <c r="A36" i="1"/>
  <c r="R35" i="1"/>
  <c r="Q35" i="1"/>
  <c r="P35" i="1"/>
  <c r="A35" i="1"/>
  <c r="R34" i="1"/>
  <c r="Q34" i="1"/>
  <c r="P34" i="1"/>
  <c r="A34" i="1"/>
  <c r="R33" i="1"/>
  <c r="Q33" i="1"/>
  <c r="P33" i="1"/>
  <c r="A33" i="1"/>
  <c r="R32" i="1"/>
  <c r="Q32" i="1"/>
  <c r="P32" i="1"/>
  <c r="A32" i="1"/>
  <c r="R31" i="1"/>
  <c r="Q31" i="1"/>
  <c r="P31" i="1"/>
  <c r="A31" i="1"/>
  <c r="R30" i="1"/>
  <c r="Q30" i="1"/>
  <c r="P30" i="1"/>
  <c r="A30" i="1"/>
  <c r="R29" i="1"/>
  <c r="Q29" i="1"/>
  <c r="P29" i="1"/>
  <c r="A29" i="1"/>
  <c r="R28" i="1"/>
  <c r="Q28" i="1"/>
  <c r="P28" i="1"/>
  <c r="A28" i="1"/>
  <c r="R27" i="1"/>
  <c r="Q27" i="1"/>
  <c r="P27" i="1"/>
  <c r="A27" i="1"/>
  <c r="R26" i="1"/>
  <c r="Q26" i="1"/>
  <c r="P26" i="1"/>
  <c r="A26" i="1"/>
  <c r="R25" i="1"/>
  <c r="Q25" i="1"/>
  <c r="P25" i="1"/>
  <c r="A25" i="1"/>
  <c r="R24" i="1"/>
  <c r="Q24" i="1"/>
  <c r="P24" i="1"/>
  <c r="A24" i="1"/>
  <c r="R23" i="1"/>
  <c r="Q23" i="1"/>
  <c r="P23" i="1"/>
  <c r="A23" i="1"/>
  <c r="R22" i="1"/>
  <c r="Q22" i="1"/>
  <c r="P22" i="1"/>
  <c r="A22" i="1"/>
  <c r="R21" i="1"/>
  <c r="Q21" i="1"/>
  <c r="P21" i="1"/>
  <c r="A21" i="1"/>
  <c r="R20" i="1"/>
  <c r="Q20" i="1"/>
  <c r="P20" i="1"/>
  <c r="A20" i="1"/>
  <c r="R19" i="1"/>
  <c r="Q19" i="1"/>
  <c r="P19" i="1"/>
  <c r="A19" i="1"/>
  <c r="R18" i="1"/>
  <c r="Q18" i="1"/>
  <c r="P18" i="1"/>
  <c r="A18" i="1"/>
  <c r="R17" i="1"/>
  <c r="Q17" i="1"/>
  <c r="P17" i="1"/>
  <c r="A17" i="1"/>
  <c r="R16" i="1"/>
  <c r="Q16" i="1"/>
  <c r="P16" i="1"/>
  <c r="A16" i="1"/>
  <c r="R15" i="1"/>
  <c r="Q15" i="1"/>
  <c r="P15" i="1"/>
  <c r="A15" i="1"/>
  <c r="R14" i="1"/>
  <c r="Q14" i="1"/>
  <c r="P14" i="1"/>
  <c r="A14" i="1"/>
  <c r="R13" i="1"/>
  <c r="Q13" i="1"/>
  <c r="P13" i="1"/>
  <c r="A13" i="1"/>
  <c r="R12" i="1"/>
  <c r="Q12" i="1"/>
  <c r="P12" i="1"/>
  <c r="A12" i="1"/>
  <c r="R11" i="1"/>
  <c r="Q11" i="1"/>
  <c r="P11" i="1"/>
  <c r="A11" i="1"/>
  <c r="R10" i="1"/>
  <c r="Q10" i="1"/>
  <c r="P10" i="1"/>
  <c r="A10" i="1"/>
  <c r="R9" i="1"/>
  <c r="Q9" i="1"/>
  <c r="P9" i="1"/>
  <c r="A9" i="1"/>
  <c r="R8" i="1"/>
  <c r="Q8" i="1"/>
  <c r="P8" i="1"/>
  <c r="A8" i="1"/>
  <c r="R7" i="1"/>
  <c r="Q7" i="1"/>
  <c r="P7" i="1"/>
  <c r="A7" i="1"/>
  <c r="R6" i="1"/>
  <c r="Q6" i="1"/>
  <c r="P6" i="1"/>
  <c r="A6" i="1"/>
  <c r="R5" i="1"/>
  <c r="Q5" i="1"/>
  <c r="P5" i="1"/>
  <c r="A5" i="1"/>
  <c r="R4" i="1"/>
  <c r="Q4" i="1"/>
  <c r="P4" i="1"/>
  <c r="A4" i="1"/>
  <c r="R3" i="1"/>
  <c r="Q3" i="1"/>
  <c r="P3" i="1"/>
  <c r="A3" i="1"/>
  <c r="R2" i="1"/>
  <c r="Q2" i="1"/>
  <c r="P2" i="1"/>
  <c r="A2" i="1"/>
</calcChain>
</file>

<file path=xl/sharedStrings.xml><?xml version="1.0" encoding="utf-8"?>
<sst xmlns="http://schemas.openxmlformats.org/spreadsheetml/2006/main" count="5841" uniqueCount="731">
  <si>
    <t>Gerente</t>
  </si>
  <si>
    <t>Mês</t>
  </si>
  <si>
    <t>Data</t>
  </si>
  <si>
    <t>Tipo</t>
  </si>
  <si>
    <t>N° Acordo</t>
  </si>
  <si>
    <t>Cliente</t>
  </si>
  <si>
    <t>Cód. Fornecedor</t>
  </si>
  <si>
    <t>UF</t>
  </si>
  <si>
    <t>EV</t>
  </si>
  <si>
    <t>EQV</t>
  </si>
  <si>
    <t xml:space="preserve">GRUPO </t>
  </si>
  <si>
    <t>JUSTIFICATIVA</t>
  </si>
  <si>
    <t>Status</t>
  </si>
  <si>
    <t>Data de Pagamento</t>
  </si>
  <si>
    <t>Responsável</t>
  </si>
  <si>
    <t>Valor</t>
  </si>
  <si>
    <t>Local</t>
  </si>
  <si>
    <t>Empresa</t>
  </si>
  <si>
    <t>Plano</t>
  </si>
  <si>
    <t>Onde?</t>
  </si>
  <si>
    <t>Janeiro</t>
  </si>
  <si>
    <t>VERBA</t>
  </si>
  <si>
    <t>DORIVALI COM DIST DE PROD ALIM LTDA</t>
  </si>
  <si>
    <t>SP</t>
  </si>
  <si>
    <t>Investimento de R$ 5.000 em ações de Sell Out no Leite condensado bag 5kg e R$ 1.000 para negociação de Sell In do pedido de dezembro de 2025</t>
  </si>
  <si>
    <t>Pago</t>
  </si>
  <si>
    <t>RAQUEL BARBOSA</t>
  </si>
  <si>
    <t>Docusing</t>
  </si>
  <si>
    <t>Itambé</t>
  </si>
  <si>
    <t>Não</t>
  </si>
  <si>
    <t>Sell Out e Sell In</t>
  </si>
  <si>
    <t>COMERCIAL DISKPAN LTDA</t>
  </si>
  <si>
    <t>ES</t>
  </si>
  <si>
    <t>Investimento de R$ 90.000 para pagamento da Campanha pacote diamante - Parcela 5/6</t>
  </si>
  <si>
    <t>Base antiga</t>
  </si>
  <si>
    <t>Campanha</t>
  </si>
  <si>
    <t>J ARAUJO DISTRIBUIDORA IMP E EXP SA</t>
  </si>
  <si>
    <t>RJ</t>
  </si>
  <si>
    <t>Investimento na Campanha de vendas ArcoFood - Parcela 6/7</t>
  </si>
  <si>
    <t>DISPAN DISTRIBUIDORA DE ALIMENTOS</t>
  </si>
  <si>
    <t>PE</t>
  </si>
  <si>
    <t>0127</t>
  </si>
  <si>
    <t>Investimento na Feira HFN - Parcela 4/5</t>
  </si>
  <si>
    <t>VAGO NORDESTE</t>
  </si>
  <si>
    <t>Docsing</t>
  </si>
  <si>
    <t>Feira</t>
  </si>
  <si>
    <t>LAT LUSO BRASILEIRO LTDA</t>
  </si>
  <si>
    <t>0722</t>
  </si>
  <si>
    <t xml:space="preserve">Investimento em Sell Out na Categoria de Queijos Especiais - Parmesão </t>
  </si>
  <si>
    <t>ALEXANDRO</t>
  </si>
  <si>
    <t>Lactalis</t>
  </si>
  <si>
    <t>-</t>
  </si>
  <si>
    <t>Sell Out</t>
  </si>
  <si>
    <t>AMORIX ALIMENTOS EIRELI</t>
  </si>
  <si>
    <t>GO</t>
  </si>
  <si>
    <t>0123</t>
  </si>
  <si>
    <t>Investimento em ações de  Sell Out - Parcela 6/6</t>
  </si>
  <si>
    <t>MARCO AURELIO</t>
  </si>
  <si>
    <t>DISTRIBUIDORA E IMP IRMAOS AVELINO</t>
  </si>
  <si>
    <t>Investimento comercial -  Fechamento de pedido Sell in: Dezembro 2025</t>
  </si>
  <si>
    <t>Sell In</t>
  </si>
  <si>
    <t>Investimento Comercial - Sell in Nº.PED.: 140504 - Decorrente de uma verba atrasada rederente a Março de 2025 2/4</t>
  </si>
  <si>
    <t>MACPAN COM E DIST DE PROD ALIM LT M</t>
  </si>
  <si>
    <t>Investimento Comercial em: Ação de sellout leite condensado bag 5kg - 3000; ação de positivação composto culinario 1kg - 1050; ação de sellout leite condensado lata 5kg - 3000; leite condensado lata 395 - 3315; ação de sellout doce de leite lata 5kg 3096; doce de leite bag 2,5kg - 2000</t>
  </si>
  <si>
    <t>Sell Out e Positivação</t>
  </si>
  <si>
    <t>Investimento Comercial em: Sell out no creme de leite 25% SKU 600665313</t>
  </si>
  <si>
    <t>WEA COM DE PROD DE PANIF LTDA</t>
  </si>
  <si>
    <t>Investimento de Sell out no: Creme De Leite 25% - 601,60; Leite Condensado Lata 5Kg - 500</t>
  </si>
  <si>
    <t>STA DISTRIBUIDORA DE ALIMENTOS LTDA</t>
  </si>
  <si>
    <t xml:space="preserve">Investimento em Sell Out no: Leite Condensado Itambe Bag 5Kg 1,5% - 4000; Ação Sell Out  Creme De Leite 17% - 3000; Ação Sell Out Creme De Leite 25% - 3000 </t>
  </si>
  <si>
    <t>COM E REPRESENTACOES CECOTI LTDA</t>
  </si>
  <si>
    <t>MG</t>
  </si>
  <si>
    <t>0122</t>
  </si>
  <si>
    <t>Investimento em sell out no:  Leite condensado bag 2,5Kg</t>
  </si>
  <si>
    <t xml:space="preserve">Investimento De Sell Out No:  Creme De Leite 25% Cartonado 1,01Kg - 3000
</t>
  </si>
  <si>
    <t>GP EMBALAGENS EIRELI EPP</t>
  </si>
  <si>
    <t>MS</t>
  </si>
  <si>
    <t xml:space="preserve">Investimento em Sell Out no: Creme De Leite 10,1% Itb Cx12Un1,01Kg Pdm - 500; Ação Sell Out Creme De Leite 25% Cartonado 1,01Kg - 500
</t>
  </si>
  <si>
    <t>ADRIPAN PRODUTOS PARA PANIFICACAO L</t>
  </si>
  <si>
    <t xml:space="preserve">Investimento de Sell Out no Doce de Leite Lata Tradicional 05Kg 1100; Ação Sell Out no Leite Condensado Bag 05Kg Integral 628
 </t>
  </si>
  <si>
    <t>ORGANIZACOES BRAZALMEIDA COMERCIO D</t>
  </si>
  <si>
    <t xml:space="preserve">Investimento De Sellout Em Creme De Leite Cartonado 200G Itambe - 250; Creme Lei Levis 10% Itmb Cx27Cx200G Pdm - 280; Leite Condensado Lata 395G - 170
</t>
  </si>
  <si>
    <t>Pagamento de itens avariados referentes ao ano 2025:
COMPOSTO LACTE PROFISSIONAL SC 10 PC 1KG - R$ 600; CREME DE LEITE CARTONADO 200G ITAMBE - R$ 800; LEITE EM PO INTEGRAL PC 1KG - R$ 443,38 
PARCELA 1/4</t>
  </si>
  <si>
    <t>Inaproveitaveis</t>
  </si>
  <si>
    <t>GAPEIXOTO DIST DE PROD ALIM LTD</t>
  </si>
  <si>
    <t>Investimento de Sell Out em 109 bag´s do Leite condensado 5kg, R$4,00 cada unidade.</t>
  </si>
  <si>
    <t>OESA COMERCIO E REPRESENTACOES SA</t>
  </si>
  <si>
    <t xml:space="preserve">Investiemento De  Sell Out No:  Doce De Leite Tradicional Lata 5Kg - 350; Sellout Leite Condensado Bag 5,0 Kg 550.
</t>
  </si>
  <si>
    <t>FERPEREZ COMERCIO DE ALIMENTOS</t>
  </si>
  <si>
    <t>Investimento de Sell in no leite condensado Bag 5Kg 4417; Lata 5Kg 3.916.</t>
  </si>
  <si>
    <t>DOZE DISTRIBUIDORA LTDA</t>
  </si>
  <si>
    <t xml:space="preserve">Investimento de Sell Out na: Manteiga Sem Sal Itambe 192X10G
</t>
  </si>
  <si>
    <t>DESCARTEL DISTRIBUIDORA LTDA ME</t>
  </si>
  <si>
    <t>CCN COMERCIO CENTRO NORTE ALIM LTDA</t>
  </si>
  <si>
    <t>Investimento de Sell In (Rebate) no: Composto  661,50;Doce de Leite 2.044,98;Leite Condensado 13.465,22;Creme UHT 4.712,83;Manteiga 5kg 246,61</t>
  </si>
  <si>
    <t>JBP</t>
  </si>
  <si>
    <t>Investimento de Sell in no: Leite Condensado Semi 5Kg - 1456; Sel lout Creme 1Kg-3544; Sellout Cond Integral 5Kg -5000</t>
  </si>
  <si>
    <t>Sell in</t>
  </si>
  <si>
    <t>0739</t>
  </si>
  <si>
    <t>Investimento de Sell in (Rebate) no: Parmesão 1667,87</t>
  </si>
  <si>
    <t>Investimento de Sell out Cond Semi 5Kg-3000; Sell out Creme 17% Kg-3000; Sell out Creme 10% -3500; Sell out Cond Integral 5Kg-2500;Rebaixa Manteiga 5Kg-3000</t>
  </si>
  <si>
    <t>Investimento de Sell In (Rebate) no: Blister 4.263,14;Doce de Leite 2.916,60;Leite Condensado 11.548,91;Composto 4.774,70Creme UHT 8.975,55;Manteiga 5kg 3.871,75</t>
  </si>
  <si>
    <t xml:space="preserve">Investimento de Sell in (Rebate) no: Parmesão 1.087,82
</t>
  </si>
  <si>
    <t>Investimento de Sell out no: Leite Condensado Integral 5Kg-2000; Sell out Composto Profissional-4000; Sell out Creme Kg-3000; Sell out Composto Culinario-1000</t>
  </si>
  <si>
    <t>SUPER VINHOS DISTRIBUIDORA S A</t>
  </si>
  <si>
    <t>0169</t>
  </si>
  <si>
    <t>Campanha de Aniversário (Pacote de  40 mil reais) 10/10.</t>
  </si>
  <si>
    <t>Investimento de Sell out no: Leite Condensado Int 5Kg -2000; Sell out Creme Kg -2000; Sell out Doce Lata 5Kg-1000</t>
  </si>
  <si>
    <t>JME RAUTA COMERCIAL DISTRIBUIDORA</t>
  </si>
  <si>
    <t>Investimento de Sell out no: Composto Profissional</t>
  </si>
  <si>
    <t>NOBREDO COMERCIO E LOGISTICA LTDA</t>
  </si>
  <si>
    <t>Investimento de Sell out no: Leite Condensado 2,5-1300; Sell out Manteiga 5Kg-700</t>
  </si>
  <si>
    <t>SOST IND E COM DE ALIMENTOS EIRELI</t>
  </si>
  <si>
    <t>BA</t>
  </si>
  <si>
    <t>Investimento de Sell out no: Composto 1Kg  2500; Sell out Doce Lata 5 2500; Sell out Creme Leite 17% 2500; Sell out Creme Leite 25% 2500; Sell out Leite Con Semi Bag 5 2500; Sell out Doce Leite Bag 1,5 2500;  Sell out Leite Cond Lata 5Kg 1500</t>
  </si>
  <si>
    <t xml:space="preserve">Investimento Sell in (Rebate) no: Leite Condensado -16.218,19; Creme UHT - 2.857,57; Doce de Leite - 3.762,31; Manteiga 5KG - 2.891,65; Blister - 190,86; Composto - 237,18 </t>
  </si>
  <si>
    <t>DINIZ COM ATAC DE PROD ALIM LTDA</t>
  </si>
  <si>
    <t>Investimento de Sell In (Rebate 3%) no:Doce de Leite R$5.861,42;Leite Condensado R$ 9.565,44;Creme de Leite 3.281,03;Manteiga R$ 886,98;LPI R$ 1.421,52</t>
  </si>
  <si>
    <t>BONIFICAÇÃO</t>
  </si>
  <si>
    <t>RIO QUALITY COMERCIO DE ALIMENTOS</t>
  </si>
  <si>
    <t>Itens a Bonificar: Leite Condensado Bag Integral 5kg -1.516 UNIDADES</t>
  </si>
  <si>
    <t>Itens a Bonificar: Leite Condensado lata 5kg- 335 unidades; Creme de leite 17% -1.020 unidades</t>
  </si>
  <si>
    <t>Itens a Bonificar: Doce De Leite Chocolate De 800G - 486 Unidades</t>
  </si>
  <si>
    <t>Itens a Bonificar: Parmesão peça - 140kg</t>
  </si>
  <si>
    <t>SPAN VALE COM DE PROD ALIM LTDA</t>
  </si>
  <si>
    <t>Investimento de Sell out no: Leite Condensado Bag 5Kg - R$ 600; Sellout Composto Profissional - R$ 1.000; Sellout Leite Condensado Lata 5Kg R$ 600</t>
  </si>
  <si>
    <t>Sell out</t>
  </si>
  <si>
    <t xml:space="preserve">Investimento De Sell In (Rebate 2%) - Leite Condensado R$ 40.342,79; Doce De Leite R$ 5.080,69; Composto R$ 468,93; Creme Uht R$ 16.322,91; Manteiga 5Kg R$ 5.068,91 
</t>
  </si>
  <si>
    <t>Investimento de Sell out no: Creme uht</t>
  </si>
  <si>
    <t>SVP COMERCIO DE ALIMENTOS LTDA</t>
  </si>
  <si>
    <t>Investimento de Sell Out no: Leite Condensado Bag 5,0Kg - R$ 2.000;Composto Profissional - R$ 1.000; Creme De Leite 17% - R$ 400;Doce De Leite - R$ 500</t>
  </si>
  <si>
    <t>FRANCISCO C LIMA DISTRIB DE ALI</t>
  </si>
  <si>
    <t>CE</t>
  </si>
  <si>
    <t xml:space="preserve">Investimento Sell In (Rebate) - Doce De Leite R$ 889,06; Composto R$ 640,02; Creme Uht R$ 2.875,41; Leite Condensado R$ 31.541,22; Manteiga 5Kg R$ 2.481,42; Blister R$ 33,71 
</t>
  </si>
  <si>
    <t>PADEIRAO COMERCIO PROD PARA PANI LT</t>
  </si>
  <si>
    <t>0536</t>
  </si>
  <si>
    <t xml:space="preserve">Investimento de Sell In (Rebate 0,34%) no: Parmesão R$ 852,33
</t>
  </si>
  <si>
    <t xml:space="preserve">Investimento de Sell In no: Doce De Leite R$ 3.644,43; Leite Condensado R$ 27.108,20; Manteiga 5Kg R$ 3.297,79; Creme Uht R$ 4.543,87; Blister R$ 367,13; Composto R$ 597,80
</t>
  </si>
  <si>
    <t xml:space="preserve">Investimento Sell in (Rebate) - Composto R$ 856,39;Doce leite R$ 3.545,11;Leite Condensado R$ 4.194,87;Creme uht R$ 2.617,87;Blister R$ 1.420,70
 </t>
  </si>
  <si>
    <t>FORTALI DIST DE ALIMENTOS LTDA</t>
  </si>
  <si>
    <t xml:space="preserve">Investimento de Sell In no: Queijos R$77,39; Manteiga 5Kg R$ 1.087,80; Doce De Leite R$ 674,80; Creme Uht  R$ 3.032,48; Leite Condensado R$ 7.607,07; Blister R$ 159,83; Composto R$ 229,60 
</t>
  </si>
  <si>
    <t>Investimento de Sell out no: Leite Condensado bag 5kg - R$ 13.000; Creme uht -R$10.000</t>
  </si>
  <si>
    <t>Fevereiro</t>
  </si>
  <si>
    <t>Investimento de R$ 90.000 para pagamento da Campanha pacote diamante - Parcela 6/6</t>
  </si>
  <si>
    <t>Invenstimento na Campanha de vendas ArcoFood - Parcela 7/7</t>
  </si>
  <si>
    <t>Investimento na Feira HFN - Parcela 5/5</t>
  </si>
  <si>
    <t xml:space="preserve">Investimento de Sell in (Rebate) no: Composto 1.445,60;Manteiga 5kg 5.452,64;7.572,70;Doce de Leite 10.444,87;Creme UHT 14.023,03;Leite Condensado 41.738,41
</t>
  </si>
  <si>
    <t>CHOCOLIDER COM EMBALAGENS LTDA EPP</t>
  </si>
  <si>
    <t>Investimento de Rebaixa de preço em: 16 unidades de Doce de Leite Bag 2,5kg (Shelf curto - 07/02/2026)</t>
  </si>
  <si>
    <t>Rebaixa</t>
  </si>
  <si>
    <t>CHOKDOCE COM PROD ALIMENTICIOS</t>
  </si>
  <si>
    <t>Investimento em Rebaixa de preço em: 1.268 unidades de Creme de Leite 25% 1L - (Shelf curto - 19/02/2026)</t>
  </si>
  <si>
    <t>Investimento de sell-in no - Queijo Parmesão- SKU 540500527</t>
  </si>
  <si>
    <t>Investimento de Sell-out no : Leite condensado bag 5kg -  Shelf  curto</t>
  </si>
  <si>
    <t>Investimento de Sell-in em  3% das vendas de Jan/2026. 
LEITE CONDENSADO - R$12. 925, 00 (27%); CREME UHT - R$       3.758, 00(8%); LEITE EM PÓ - R$ 4.183,00 (9%); DOCE DE LEITE - R$ 5.160,00 (11%) - (ITAMBÉ)</t>
  </si>
  <si>
    <t>Investimento de Sell-in em  3% das vendas de Jan/2026. 
MANTEIGABLISTER- R$ 16.232,00 (34%); QUEIJOS - R$ 3.450,00(7%); IOGURTES - R$ 852,00 (2%); MANTEIGA 5KG - R$ 500,00 (1%); PARMESÃO - R$ 772,00 (2%); SPREADS - R$ 168,00 (0,4%) - LACTALIS</t>
  </si>
  <si>
    <t>Investimento em ação de Sell in no: Creme de leite 25% 1,01kg R$ -  370,87 e no Leite condensado lata 5kg - R$ 711</t>
  </si>
  <si>
    <t>HENDUPAN COM DE PROD CON LTDA</t>
  </si>
  <si>
    <t>Investimento de Sell Out Leite Condensado Bag 5Kg - R$ 2.000; Leite Condensado Lata 5Kg - R$ 390; Doce De Leite Lata 5Kg - R$ 400; Composto Culinario 1Kg - R$ 400</t>
  </si>
  <si>
    <t>PAMA COM DE GENEROS ALIMENTICIOS LT</t>
  </si>
  <si>
    <t>Investimento de Sell Out no: Leite Condensado Lata 395G - R$ 1.200; Ação de Introdução de Composto Profissional 1Kg - R$ 535,40</t>
  </si>
  <si>
    <t>Investimento de: Campanha de Vendas Bateu Levou no Doce de Leite 5kg 600608249</t>
  </si>
  <si>
    <t>Investimento de sell out no: Leite Condensado Lata 5Kg - R$ 2.000;Doce De Leite Chocolate Lata 800G - R$ 2.000; Leite Condensado Lata 395G - R$ 1.000; Sell Out Composto Culinario 1Kg - R$ 1.430</t>
  </si>
  <si>
    <t>Investimento em: Campanha de vendas no Leite Condensado bag 5kg R$ 3.000 ;Leite Condensado lata 5kg R$ 2.000</t>
  </si>
  <si>
    <t>GRANO NICOLETTI COM ALIM LTDA</t>
  </si>
  <si>
    <t>Investimento em:  Sell Out no Bag de 2,5 kg -Obs: Estoque do cliente travado</t>
  </si>
  <si>
    <t>CASA DO PADEIRO COM DE PROD ALIM LT</t>
  </si>
  <si>
    <t>Investimento em: Sell Out no Leite Condensando Bag 5kg R$ 1.388,50; leite Condensado lata 5kg R$ 1.388,50</t>
  </si>
  <si>
    <t>Investimento em: Sell out no Leite Condensado (80%); Creme de leite (20%)- Ferperez completa 29 anos</t>
  </si>
  <si>
    <t>Investimento (Shelf): Leite Condensado Bag 5kg valor: R$1.029; Creme de leite 25% 1,01kg R$ 2.040.</t>
  </si>
  <si>
    <t>Investimento de Sell out no: Leite Condensado bag 2,5kg</t>
  </si>
  <si>
    <t>Investimento de Sell out no: Creme 17%</t>
  </si>
  <si>
    <t>Investimento de Sell out no: Leite condensado bag 5kg</t>
  </si>
  <si>
    <t>Investimento de Sell Out -  Introdução Operador Final Leite Condensado Bag 5Kg R$ 300</t>
  </si>
  <si>
    <t>DIA DISTRIBUICAO E IMPORTACAO AFOGA</t>
  </si>
  <si>
    <t>Investimento de Sell out no Leite condensado bag 2,5kg</t>
  </si>
  <si>
    <t>Investimento da campanha de final de ano - Parcela 3/4 Leite Condensado bag 5kg.</t>
  </si>
  <si>
    <t>Investimento na Convenção do Parceiro 1/6</t>
  </si>
  <si>
    <t xml:space="preserve">Investimento em: Sell Out Creme De Leite 17% Cartonado 1,01Kg - R$ 3.500; Doce De Leite Tradicional Bag 2,5 Kg - R$ 3.500; Leite Condensado Itambe Bag 5Kg 1,5% - R$ 3.000
</t>
  </si>
  <si>
    <t>ARTPAN COMERCIO DE ALIMENTOS LTDA</t>
  </si>
  <si>
    <t xml:space="preserve">Investimento em: Sell Out Composto Culinario Bp Sach10X1Kg Itb Go - 350
</t>
  </si>
  <si>
    <t>Pagamento De Itens Avariados Referentes Ao Ano De 2025: Composto Lacte Profissional Sc 10 Pc 1Kg - R$ 600; Creme De Leite Cartonado 200G Itambé - R$ 800; Leite Em Po Integral Pc 1Kg - R$ 443,38 
Parcela 2/4</t>
  </si>
  <si>
    <t>PIERRE DISTRIBUICAO LTDA</t>
  </si>
  <si>
    <t>Investimento de Sell out em: Parmesão (desenvolvimento no cliente)</t>
  </si>
  <si>
    <t>DISPROPAN LTDA</t>
  </si>
  <si>
    <t>Investimento de sellout no: Leite Condensado Bag 2,5Kg -R$ 640; leite Condensado Bag 5kg - R$360</t>
  </si>
  <si>
    <t xml:space="preserve">Investimento de Sell out em: Manteiga Com Sal Itambe 192X10G - R$ 1.100; Manteiga Extra S/Sal Caixa 5Kg - R$1.500
</t>
  </si>
  <si>
    <t>COMERCIAL ELOI CHAVES LTDA</t>
  </si>
  <si>
    <t>RN</t>
  </si>
  <si>
    <t>Pagamento de Débitos referente as notas:000162995 - (R$351,41); 000162996 - (R$1.736,64); 000186782 (R$15.852,24); 000321548 - (R$192) 'Referência - Anos de 2022 e 2024</t>
  </si>
  <si>
    <t>Erro Faturamento</t>
  </si>
  <si>
    <t>Investimento de Sell out em: Manteiga de 5kg presidente</t>
  </si>
  <si>
    <t>Investimento de Sell out em: Leite condensado Bag 2,5 - R$ 800; Leite Condensado bag 5kg - R$ 800</t>
  </si>
  <si>
    <t>Investimento de Sell Out em: Creme de leite 25%</t>
  </si>
  <si>
    <t xml:space="preserve">Investimento na Campanha Anual Oesa - Cota Prata)Parcela  01/10 </t>
  </si>
  <si>
    <t>MAFRIOS DIST E IMPORTADORA LTDA</t>
  </si>
  <si>
    <t>AL</t>
  </si>
  <si>
    <t>0565</t>
  </si>
  <si>
    <t xml:space="preserve">Investimento de Sell Out em: Queijo Parmesao President Forma Imp
</t>
  </si>
  <si>
    <t>Investimento de Sell Out em: Leite Condensado Bag 5Kg -R$ 2.500; Creme De Leite 17% Kg - R$ 2.500; Composto Culinario -R$ 2.000;</t>
  </si>
  <si>
    <t>Investimento de Sell Out em: Creme 10% 1Kg- R$1.500; Leite Condensado Semi 5Kg - R$ 3.000;Doce Lata 5Kg R$500;</t>
  </si>
  <si>
    <t>Investimento de Sell Out em: Leite Condensado Bag 2,5Kg -R$ 1.000;Creme 17% Kg - R$500;</t>
  </si>
  <si>
    <t>Investimento de Sell Out em: Leite Condensado Semi 5Kg- R$ 6.000; Doce 2,5Kg -R$ 1.000; Creme 17% -R$ 2.000; Composto Culinario -R$ 1.000</t>
  </si>
  <si>
    <t>Itens a Bonificar: Doce De Leite Chocolate 5Kg -100 Unidades; Composto Profissional 320 Unidades</t>
  </si>
  <si>
    <t>Bonificação</t>
  </si>
  <si>
    <t>Item a bonificar: Manteiga Com Sal Itambe 10G -90 Caixas</t>
  </si>
  <si>
    <t>Item a bonificar: Manteiga Com Sal Itambe 10G- 311 Caixas</t>
  </si>
  <si>
    <t>Investimento de Sell Out no Creme 17% - SKU 600666313</t>
  </si>
  <si>
    <t>Investimento de Rebate: Doce de Leite lt 5 kg R$ 8.960;Leite Condensado R$ 14.720; Creme de Leite R$ 5.120;Manteiga R$1.280;LPI R$ 1.920,00</t>
  </si>
  <si>
    <t>NOVA MEGA G ATACADISTA DE ALIM SA</t>
  </si>
  <si>
    <t xml:space="preserve">Investimento de Sell In - 6 tons de Parmesão R$ 5,00 por KG </t>
  </si>
  <si>
    <t xml:space="preserve">Investimento de Sell In- 3 tons de Parmesão R$ 5,00 por KG </t>
  </si>
  <si>
    <t>SORVEPANI COMERCIAL E DISTRIBUI</t>
  </si>
  <si>
    <t>AM</t>
  </si>
  <si>
    <t>0128</t>
  </si>
  <si>
    <t xml:space="preserve">Investimento de Sell Out em: Leite Condensado Bag 2,5Kg </t>
  </si>
  <si>
    <t>CIA BEAL DE ALIMENTOS</t>
  </si>
  <si>
    <t>PR</t>
  </si>
  <si>
    <t>0126</t>
  </si>
  <si>
    <t>Investimento em : Inauguração de Lojas Leite Condensado Bag 5Kg</t>
  </si>
  <si>
    <t>Março</t>
  </si>
  <si>
    <t xml:space="preserve">Investimento na Campanha Anual Oesa - Cota Prata)Parcela  02/10 </t>
  </si>
  <si>
    <t>Investimento em: FIFO Manteiga bloco Itambé 5kg - Parcela (1/3)</t>
  </si>
  <si>
    <t xml:space="preserve">Investimento de Sell In Em: 3% Das Vendas + Campanha Fev/2026 - Leite Condensado R$ 3.456,80;Creme Uht R$ 1.595,79;Leite Em Pó R$ 1.563,28;Doce De Leite R$ 2.016,28
</t>
  </si>
  <si>
    <t xml:space="preserve">Investimento De Sell In Em: 3% Das Vendas De Fev/2026 - Merc + Arom R$ 187,83;Manteiga 5Kg R$ 19.541,15;Blister R$ 12.396,48;Iogurtes R$ 1.956,95; Spreads R$860,36
</t>
  </si>
  <si>
    <t>Investimento de Sell Out no: Leite Condensado semi 5kg R$ 2.500; Leite Condensado bag 5kg R$ 2.500;Blister sem sal - R$ 3.000;Composto Lacteo 1kg R$ 2.000;Doce bag 1,5kg R$ 2.500;Doce lata 5kg R$ 2.500</t>
  </si>
  <si>
    <t xml:space="preserve"> Investimento na Campanha Anual Oesa - Cota Bronze (Parcela  01/09 ) - Valor total do Acordo R$ 20.000,00</t>
  </si>
  <si>
    <t>FUNCHAL IND COM DE PAPEIS LT</t>
  </si>
  <si>
    <t xml:space="preserve">Investimento de Sell Out no: Doce de Leite Bag 2,5kg </t>
  </si>
  <si>
    <t>Investimento da campanha de final de ano - Parcela 4/4 Leite Condensado bag 5kg.</t>
  </si>
  <si>
    <t>PLANETA DOCES E ALIMENTICIOS EIRELI</t>
  </si>
  <si>
    <t xml:space="preserve">Investimento De Sell In Em: Composto Lacte Profissional Sc 10 Pc 1Kg 
</t>
  </si>
  <si>
    <t xml:space="preserve">Investimento De Sell Out em: Doce De Leite Tradicional Lata 5Kg (Campanha De Vendedores) 
</t>
  </si>
  <si>
    <t>AROUMAR DISTRIB DE PRODUTOS ALIM LT</t>
  </si>
  <si>
    <t>Investimento de Sell Out em: Leite Condensado Bag 5Kg - R$ 3.000; Doce De Leite Lata 5Kg - R$ 2.000</t>
  </si>
  <si>
    <t>Investimento de Sell Out em: Doce De Leite Lata 5Kg - R$ 2.000; Rebaixa de preço em: Doce De Leite Bag 2,5Kg R$ 2.000; Sell Out Pascoa em: Leite Condensado Lata 395G - R$3.000; Sell Out Pascoa Leite Condensado Bag 5Kg - R$ 2.900</t>
  </si>
  <si>
    <t>Sell Out e Rebaixa</t>
  </si>
  <si>
    <t>CONFESPAN COMERCIO E DISTRIBUICAO L</t>
  </si>
  <si>
    <t>Investimento em rebaixa de preço no: Leite Condensado Bag 5Kg - R$ 3.628; Sell Out Doce De Leite Tradicional 5Kg - R$ 2.500; Sell Out Leite Condensado Lata 5Kg - R$1.000; Sell Out Manteiga Bloco 5Kg - R$500</t>
  </si>
  <si>
    <t>Investimento de Rebate (4%): Doce de Leite R$ 6.503,56; Leite Condensado R$ 10.684,42; Creme de Leite R$ 3.716,32;Manteiga R$ 929,08;LPI R$1.393,62</t>
  </si>
  <si>
    <t>Pagamento de Itens Avariados Referentes ao ano de 2025: Composto Lacte Profissional Sc 10 Pc 1Kg - R$ 600; Creme De Leite Cartonado 200G Itambé - R$ 800; Leite Em Po Integral Pc 1Kg - R$ 443,38 - Parcela 3/4</t>
  </si>
  <si>
    <t xml:space="preserve">Investimento de Sell Out em: Creme De Leite 25% Cartonado 1,01Kg - R$ 500; Doce De Leite Tradicional Lata 800G R$ 500; Leite Condensado Lata 1,01Kg 8% Itambé - R$ 500
</t>
  </si>
  <si>
    <t>Investimento de Sell Out em: Doce De Leite Tradicional Bag 2,5 Kg - R$ 500; Leite Condensado Bag 2,5Kg - R$ 500; Leite Condensado Bag 5,0 Kg - R$ 500</t>
  </si>
  <si>
    <t xml:space="preserve">Investimento de  Sell In em:  Manteiga Com Sal Itambe 192X10G
</t>
  </si>
  <si>
    <t>Investimento de  Sell out em: Manteiga Com Sal Itambe 192X10G - R$ 800; Manteiga Extra S/Sal Caixa 5Kg - R$ 1.200;Composto Culinario Bp Sach10X1Kg Itb Go - R$ 500</t>
  </si>
  <si>
    <t>Investimento de Sell Out em: Manteiga Com Sal Itambe 192X10G - R$ 300; Manteiga Extra S/Sal Caixa 5Kg - R$ 300; Leite Condensado Bag 2,5Kg - R$900</t>
  </si>
  <si>
    <t>Investimento de Sell Out em:  Leite Condensado Bag 2,5Kg - R$ 1.000; Doce De Leite Tradicional Lata 800G - R$ 1.000</t>
  </si>
  <si>
    <t>IDEAL CESTAS DE ALIMENTOS LTDA</t>
  </si>
  <si>
    <t>Investimento de Sell In em: Creme Lei Levis 10% Itmb Cx27Cx200G Pdm - R$ 200; Leite Condensado Lata 395G - R$ 300</t>
  </si>
  <si>
    <t xml:space="preserve">Investimento na participação da Feira Confeitar - Parcela  01/05
</t>
  </si>
  <si>
    <t>Investimento de  Sell out em: Creme De Leite 25% 1,01Kg - R$ 1.000; Doce Leite Lata 5Kg - R$ 1.000</t>
  </si>
  <si>
    <t>Investimento de Sell Out em: Leite Condensado Lata 5Kg - R$ 850;Creme De Leite 17% - R$850</t>
  </si>
  <si>
    <t>ATRIA PRODUTOS ALIMENTICIOS LTD</t>
  </si>
  <si>
    <t>Investimento de Sell Out em: Creme De Leite 25% 1,01 - R$ 520; Sell Out Doce De Leite Lata 5Kg - R$ 500</t>
  </si>
  <si>
    <t>Investimento de Sell Out em: Leite Condensado Bag 2,5Kg</t>
  </si>
  <si>
    <t>Investimento de Sell Out em: Leite Condensado Bag 5Kg</t>
  </si>
  <si>
    <t>Investimento em : Plano de Mkt</t>
  </si>
  <si>
    <t>Investimento de Sell Out em: Creme De Leite 17%;Leite Condensado Bag 5K</t>
  </si>
  <si>
    <t>LOGUI DISTRIBUICAO LTDA</t>
  </si>
  <si>
    <t>PA</t>
  </si>
  <si>
    <t>Investimento de Sell Out em: Leite Condensado Bag 2,5K</t>
  </si>
  <si>
    <t>ARMAZEM TOP ALTO LTDA</t>
  </si>
  <si>
    <t xml:space="preserve">Investimento de Sell Out em: Leite Condensado Itambé Bag 5Kg 1,5%
Sellout Doce De Leite Tradicional Lata 5Kg 4000
</t>
  </si>
  <si>
    <t>Investimento na Convenção do Parceiro 2/6</t>
  </si>
  <si>
    <t xml:space="preserve">Investimento de Sell Out em: Creme De Leite 17% Cartonado 1,01Kg
</t>
  </si>
  <si>
    <t>OESA COMERCIO E REPRESENTACOES</t>
  </si>
  <si>
    <t>DF</t>
  </si>
  <si>
    <t xml:space="preserve">Investimento de Sell Out em: Leite Condensado Bag 5,0 Kg
</t>
  </si>
  <si>
    <t>SORVEPANI COMERCIAL E DISTRIBUIDORA</t>
  </si>
  <si>
    <t xml:space="preserve">Investimento de Sell Out em: Leite Condensado Bag 2,5Kg
</t>
  </si>
  <si>
    <t xml:space="preserve">Investimento Sell in em:  Composto Todo Dia Sache 400G Itb Go
</t>
  </si>
  <si>
    <t>Investimento de Sell out em: Composto Profissional-R$ 1.100; Composto Culinario - R$ 2.802; Leite Condensado Bag 5 Kg - R$ 3.000; Doce De Leite Lata 5Kg - R$ 2.000; Creme Kg 17%- R$ 2.098</t>
  </si>
  <si>
    <t>Investimento de Sell out em: Leite Condensado Bag 5Kg - R$ 4.000; Leite Condensado Semi 5Kg- R$ 3.000; Doce De Leite Lata 5Kg -R$ 1.000; Creme Kg 17% - R$ 2000</t>
  </si>
  <si>
    <t>Investimento de Sell out em: LeiteCondensado Semi 5Kg - R$ 6.000; Leite Condensado Integral 5Kg- R$ 2.000;Creme 10% - R$ 4.000; Doce De Leite Lata 5Kg - R$ 3.000; Sellout Composto Culinario -R$ 1.000</t>
  </si>
  <si>
    <t>Investimento de Sell out em: Leite Condensado Semi 5Kg - R$ 6.000; Doce De Leite 2,5Kg - R$ 3.000; Creme Kg 10% - R$ 3.000;Composto Proffissional - R$ 2.000; Leite Condensado Bag 5Kg - R$ 1.000</t>
  </si>
  <si>
    <t>Clifor</t>
  </si>
  <si>
    <t> 4000160792 </t>
  </si>
  <si>
    <t>Itens A Bonificar: Manteiga Blister Com Sal 10G- 370 Cxs; Manteiga Bloco Sem Sal - 62Cxs. Motivo Da Ação: Pagamento Campanha Astro - R$ 24.142; Pagamento Gerador Demanda Compartilhado - R$ 6.000; Sell out Condensado Semi 5Kg - R$ 5.000; Sell out Leite Condensado Integral -R$ 3.000; Sell out Creme 17% -R$ 1.858</t>
  </si>
  <si>
    <t>Investimento de Sell Out no: Creme de Leite 17%  Cartonado 1,01kg</t>
  </si>
  <si>
    <t>Abril</t>
  </si>
  <si>
    <t>Investimento de Sell out em: Composto Culinário Bp Sach10X1Kg Itb Go R$ 3.000;  Creme De Leite 25% Cartonado 1,01Kg R$ 3.000; Leite Condensado Itambe Bag 5Kg 1,5% R$ 3.000;Doce De Leite Tradicional Lata 5Kg R$ 3.000; Doce De Leite Itambe 1,5Kg R$ 1.000</t>
  </si>
  <si>
    <t>Investimento na Convenção do Cliente</t>
  </si>
  <si>
    <t>Investimento em: Retirada De Produto No Cliente: Composto Culinário Bp Sach10X1Kg Itb Go, Valor Total: 318,00</t>
  </si>
  <si>
    <t>docsing</t>
  </si>
  <si>
    <t>Investimento de Sell out em: Composto culinario 1.379kg - 1 real por kg = R$ 1.379;Investimento de Sell Out em Doce de leite 193 unidades 1,93 por unidade = R$ 372</t>
  </si>
  <si>
    <t>Investimento Comercia: O produto entregue foi invertido para o cliente. Verba aplicada no Leite condensado bag 5kg integral.</t>
  </si>
  <si>
    <t>Investimento na Campanha Anual Oesa - Cota Bronze (Parcela  02/09 ) - Valor total do Acordo R$ 20.000,00</t>
  </si>
  <si>
    <t>Investimento de Sell Out:  Produtos no estoque do cliente com validade para Maio/2026. 910 unidades de Leite Condensado Bag 5Kg e 2.550 unidades de Creme De Leite 17%</t>
  </si>
  <si>
    <t>Sell Out / Validade</t>
  </si>
  <si>
    <t>Investimento em: FIFO Manteiga bloco Itambé 5kg - Parcela (2/3)</t>
  </si>
  <si>
    <t>Investimento Comercial - Sell in Nº.PED.: 140504 - Decorrente de uma verba atrasada rederente a Março de 2025 3/4</t>
  </si>
  <si>
    <t>Investimento de Sell out em Leite Condensado Semi Bag 5Kg - R$ 20.000,00</t>
  </si>
  <si>
    <t>Investimento de Sell out em Leite Condensado Bag 5Kg - R$ 6.000,00; Composto Profissional- R$ 3.000,00</t>
  </si>
  <si>
    <t>Investimento de Sell out em Leite Condensado Semi 5Kg- R$ 5.000,00 ; Leite Condensado Integral 5Kg- R$ 4.000,00; Creme Kg- R$ 4.000,00 ; Doce Lata 5Kg-R$ 2.000,00</t>
  </si>
  <si>
    <t xml:space="preserve">Investimento Na Campanha Anual Oesa - Cota Prata Parcela  03/10 
</t>
  </si>
  <si>
    <t>Investimento De Sell In Em Doce Leite Bag 2,5 - R$ 492,00; Leite Condensado Bag 5Kg -R$ 1.000,00; Creme De Leite 17% -R$ 508,00.</t>
  </si>
  <si>
    <t xml:space="preserve">Investimento Na Participação Da Feira Confeitar - Parcela  02/05
</t>
  </si>
  <si>
    <t xml:space="preserve">Pagamento De Itens Avariados Referentes Ao Ano De 2025: Composto Lacte Profissional Sc 10 Pc 1Kg - R$ 600; Creme De Leite Cartonado 200G Itambé - R$ 800; Leite Em Po Integral Pc 1Kg - R$ 443,38 - Parcela 4/4
</t>
  </si>
  <si>
    <t>Inaproveitáveis</t>
  </si>
  <si>
    <t xml:space="preserve">Investimento de Sell Out em Manteiga Blister </t>
  </si>
  <si>
    <t>Investimento de Sell In Em Composto Culinario - R$183,00; Manteiga Bloco 5Kg  R$80,00</t>
  </si>
  <si>
    <t>Investimento de Sell Out Em Leite Condensado Bag 2,5G - R$ 500,00; Leite Condensado Bag 5Kg - R$500,00; Doce De Leite bag 2,5kg  - R$500,00</t>
  </si>
  <si>
    <t xml:space="preserve">Investimento De Sell In Em Manteiga Bloco 5Kg - R$800,00; Leite Po 1Kg-  R$ 643,20; Composto Culinario R$300,00; </t>
  </si>
  <si>
    <t xml:space="preserve">Investimento de Sell out em Composto Culinário Bp Sach10X1Kg Itb Go R$ 2.000,00; Manteiga Sem Sal Itambe 192X10G R$2.000,00;Doce De Leite Itambe 1,5Kg  R$2.000,00; Doce De Leite  Lata 800G R$2.000,00 ; Doce De;Leite Tradicional Lata 5Kg R$2.000,00; Leite Condensado Itambe Bag 5Kg 1,5% R$ 2.000,00
</t>
  </si>
  <si>
    <t>Investimento de Sell Out em Leite Condensado Bag 5Kg - R$ 2.000,00;  Doce De Leite Lata 5Kg - R$ 2.500,00</t>
  </si>
  <si>
    <t>Investimento de Sell out em Leite Condensado Lata 5Kg - R$ 584,00; Creme De Leite 25% 1,01Kg  R$ 332,00</t>
  </si>
  <si>
    <t>GARRA COMERCIO ATACADISTA DE ALIM L</t>
  </si>
  <si>
    <t xml:space="preserve">Investimento de Sell Out em: Doce De Leite Tradicional Bag 2,5 Kg - R$ 1.500				
</t>
  </si>
  <si>
    <t>Investimento na Convenção Do Parceiro - Parcela 3/6</t>
  </si>
  <si>
    <t xml:space="preserve">Investimento de  Sell Out em: Creme De Leite 17% Cartonado 1,01Kg - R$ 1.500; Creme De Leite 10% Itb Cx12Un1,01 Kg Pdm - R$1.500; Doce De Leite Tradicional Bag 2,5 Kg - R$ 1.500;  Doce De Leite Tradicional Lata 5Kg - R$ 1.300		
</t>
  </si>
  <si>
    <t xml:space="preserve">Investimento de Sell Out em: Creme De Leite 17% Cartonado 1,01Kg - R$ 2.200			
</t>
  </si>
  <si>
    <t xml:space="preserve">Investimento de Sell Out Creme De Leite 17% Cartonado 1,01Kg 				</t>
  </si>
  <si>
    <t>FRUTT CENTER DDE P DE FRUTAS E F LT</t>
  </si>
  <si>
    <t xml:space="preserve">Investimento de  Sell in em:  Manteiga Com Sal Itambe 192X10G			</t>
  </si>
  <si>
    <t xml:space="preserve">Investimento de Rebate 4% (Pedido Abril/2026) em: Doce De Leite R$ 9.793,97; Leite Condensado R$ 16.090,09; Creme De Leite R$ 5.596,55; Manteiga R$ 1.399,14;LPI R$ 2.098,71
</t>
  </si>
  <si>
    <t>Investimento de Sell out em: Leite Condensado bag 5kg</t>
  </si>
  <si>
    <t xml:space="preserve">Investimento de Sell In -  Introdução Doce De Leite Itambe 12X350G
</t>
  </si>
  <si>
    <t xml:space="preserve">Investimento de Sell Out em: Manteiga Blister R$ 300; Beb Lac Polp Mor/Coc Itambe Cx12 540G - R$ 100; Beb Lac Polp Mor/Coc Itambe Cx12 540G - R$100
</t>
  </si>
  <si>
    <t>Investimento de sell in Leite Condensado Semidesnat Itambé Cartonado 395G - R$ 1.000,00</t>
  </si>
  <si>
    <t>Investimento de Sell Out em Creme de Leite 25% - R$1.215,88; Doce de Leite Lata 5Kg - R$500,00; Leite condensado Lata 5KG - R$300,00; Leite Condensado Lata 1,01KG - R$ 300,00</t>
  </si>
  <si>
    <t>Investimento de Sell Out em Leite Condensado Bag 5,0KG - R$2.000,00; Doce de Leite Lata 5kg - R$800,00; Creme de Leite 17% - R$800,00; Composto profissional 1KG - R$400,00</t>
  </si>
  <si>
    <t>Investimento de Sell Out em: Leite Condensado Bag 5Kg - R$ 800; Leite Condesado Lata 5Kg - R$ 400; Creme De Leite 17% - R$ 400; Composto Profissional 1Kg - R$ 400</t>
  </si>
  <si>
    <t>0619</t>
  </si>
  <si>
    <t xml:space="preserve">Investimento de Sell Out Leite Condensado Itambé Bag 5KG 1,5% 5KG- R$ 10.000,00;  Leite Condensado Bag 5KG - R$ 3.000,00;  Doce de Leite Tradicional Lata 5KG - R$ 2.000,00; </t>
  </si>
  <si>
    <t>Investimento em Parmesão - R$ 5 reais por Kg - Sell In Março</t>
  </si>
  <si>
    <t>Investimento de Sell In 3% (Pedido Ref - Março de 2026) - Blister R$ 17.515,12; Iogurtes R$ 3.079,16; Manteiga 5Kg R$ 15.414,90; ParmesãoR$ 8.693,23; Queijos R$ 1.086,75; Spreads R$1052,14</t>
  </si>
  <si>
    <t>Investimento de Sell In 3% (Pedido Ref - Março de 2026) - Blister R$ 328,40; Creme Uht R$ 3.606,44; Doce de Leite R$ 4.089,81; Leite Condensado R$ 14.977,91; Leite em pó R$ 1.857,42; Manteiga 5Kg R$ 1.335,69;  Spreads R$ 24,97</t>
  </si>
  <si>
    <t>Item a Bonificar: Manteiga Blister 10 G C Sal 584Cxs - Pagamento De Campanha Astro Do Food R$25.300; Gerador Demanda - R$ 5.000; Pacote Marketing-R$ 8.000;Ação Sellout Condensado Integral 5Kg - R$ 12.700</t>
  </si>
  <si>
    <t>Maio</t>
  </si>
  <si>
    <t>Investimento de Sell in em Leite Condensado Bag 5kg R$ 2.500,00; Leite Condensado Lata 5kg R$1.163,00.</t>
  </si>
  <si>
    <t>Investimento na campanha anual Oesa - Cota Bronze (parcela 03/09) valor total do acordo R$ 20.000,00</t>
  </si>
  <si>
    <t>Investimento de Sell in em Leite Condensado Bag 5kg R$ 2.000,00, Leite Condensado Lata 5kg R$ 1.000,00.</t>
  </si>
  <si>
    <t>Investimento de Sell out condensado bag 5Kg R$ 1.500,00</t>
  </si>
  <si>
    <t xml:space="preserve">Investimento de Sell In 3% (Pedido Ref - Abril de 2026) - Blister  R$ 5.333,62; Spreads  R$ 1.022,16; Iogurtes  R$ 1.885,68;  Manteiga 5Kg  R$ 9.911,75;  Mercearia  R$ 75,13 </t>
  </si>
  <si>
    <t>'Investimento de Sell In em Parmesão - R$ 3 reais por Kg - Sell In Abril.26</t>
  </si>
  <si>
    <t>Investimento de Sell In em Creme UHT R$ 3.469,94; Leite Condensado  R$ 5.615,36; Leite em pó  R$ 4.757,60; Doce de Leite R$ 206,81.</t>
  </si>
  <si>
    <t>Investimento de Sell In em FIFO Manteiga Bloco Itambé 5kg - Parcela (3/3)</t>
  </si>
  <si>
    <t>Investimento de Rebate 4%, Doce de Leite R$ 3.609,65; Leite Condensado R$ 5.930,14; Creme de Leite R$ 2.062,66; Manteiga R$515,66; LPI R$ 773,50</t>
  </si>
  <si>
    <t>Rebate</t>
  </si>
  <si>
    <t>CENTRAL OSASCO DIST ALIM E BEBIDAS</t>
  </si>
  <si>
    <t>Pendências financeiras acordadas 03/2026: Avarias, rebaixa de preço de produtos em estoque e trocas de leite condensado.</t>
  </si>
  <si>
    <t>SOLMAR DIST DE ALIMENTOS LTDA</t>
  </si>
  <si>
    <t>Investimento de Sell Out em Leite Condensado Bag 5kg R$ 2.000,00</t>
  </si>
  <si>
    <t>RODRIGO FITZGERALD LUPIANHES LTDA</t>
  </si>
  <si>
    <t>Investimento em Sell Out / ação de rebaixa de preço promocional SKU 600651058; 600608030.</t>
  </si>
  <si>
    <t>Investimento em Sell Out em campo, disponibilizando o valor de R$ 2.500,00 ao Supervisor Food Augusto, do Atacado Diniz.</t>
  </si>
  <si>
    <t>Investimento de Sell In em  Doce de Leite R$ 4.906,78; Leite Condensado R$ 8.061,14; Creme de Leite R$ 2.803,87; Manteiga R$ 700,97; LPI R$ 1.051,45.</t>
  </si>
  <si>
    <t>Investimento de Sell Out em Leite Condensado Bag 5KG - R$ 4.778,00; Doce de leite lata 5KG - R$ 2.014,00; Creme de leite 1,01KG - R$900,00</t>
  </si>
  <si>
    <t>Investimento de Sell Out em Leite Condensado Bag 5KG - R$3.000,00; Doce de Leite Lata 5KG - R$1.000,00</t>
  </si>
  <si>
    <t>Investimento em ação de aniversário Dorivali, R$2,50 a cada kg do Doce de Leite Itambé 5kg/ 236 und - R$ 2.950,00</t>
  </si>
  <si>
    <t>Investimento de Sell In em Manteiga Extra Sem Sal Caixa 5Kg - R$ 300,00; Doce de Leite Tradicional Bag 2,5kg - R$ 678,88 ; Leite Condensado Bag 2,5kg - R$ 900,00 ; Creme de Leite 25% Cartonado 1,01Kg - R$ 1.000,00.</t>
  </si>
  <si>
    <t>ORGANIZAC BRAZAL C DE PROD AL LTDA</t>
  </si>
  <si>
    <t xml:space="preserve">Investimento de Sell In em CREME DE LEITE 25% CARTONADO 1,01KG - R$ 500,00; LEITE EM PO INTEGRAL PC 1KG - R$500,00; LEITE COND SEMIDESNAT ITAMBE CART 395G - R$500,00.
</t>
  </si>
  <si>
    <t>Investimento de Sell out em LEITE CONDENSADO BAG 2,5KG - R$ 740,00; MANTEIGA COM SAL ITAMBE 192X10G - R$ 460,00</t>
  </si>
  <si>
    <t>Investimento de Sell In em Manteiga com sal Itambé 192X10G - R$ 500,00</t>
  </si>
  <si>
    <t xml:space="preserve">Investimento de Sell In em MANTEIGA EXTRA S/SAL CAIXA 5KG - R$ 900,00; LEITE EM PO INTEGRAL PC 1KG - R$ 800,00; COMPOSTO CULINARIO BP SACH10X1KG ITB GO - R$700,00; CREME DE LEITE 25% CARTONADO 1,01KG
- R$ 1.100,00
</t>
  </si>
  <si>
    <t>Investimento de Sell In  em Leite pó integral 200g SC c/50pc - R$ 100,00; Doce de Leite Tradicional Lata 395g - R$ 100,00; Composto Todo Dia Sachê 400g ITB GO - R$ 100,00;</t>
  </si>
  <si>
    <t>Investimento em campanha anual Oesa - cota Prata - contrato 04/10</t>
  </si>
  <si>
    <t>Investimento da participação na Feira confeitar - contrato  03/05</t>
  </si>
  <si>
    <t>Investimento de Sell Out em Doce de Leite Lata 5kg - R$500,00.</t>
  </si>
  <si>
    <t>Investimento de Sell Out  em Composto Culinário R$ 600,00, equivalente a R$1/Kgn e Composto Profissional R$ 400,00.</t>
  </si>
  <si>
    <t>INTERFRIOS COM FRIOS LATCINIOS LTDA</t>
  </si>
  <si>
    <t>Investimento de Sell Out em Leite Condensado Bag 2,5kg - R$ 523,80</t>
  </si>
  <si>
    <t>Investimento de Sell Out  Introdução do SKU 600651302 no operador final - R$ 400,00.</t>
  </si>
  <si>
    <t>Investimento na Convenção do Parceiro - Parcela 4/6</t>
  </si>
  <si>
    <t xml:space="preserve">Investimento de Sell Out em Creme de Leite 17% Cartonado 1,01Kg - R$ 3.000,00
</t>
  </si>
  <si>
    <t xml:space="preserve">Investimento de Sell Out em Leite Condensado Bag 5,0 Kg - R$ 1.800,00
</t>
  </si>
  <si>
    <t xml:space="preserve">Investimento de Sell Out em Leite Condensado Bag 2,5Kg -R$ 2.193,85
</t>
  </si>
  <si>
    <t>FORCA TOTAL DIST DE GENE ALIM LTDA</t>
  </si>
  <si>
    <t>Investimento de Sell Out em Leite Condensado Bag 5kg- R$ 1.500,00</t>
  </si>
  <si>
    <t>Investimento de Sell Out em Leite Condensado Semi Bag- R$ 20.000,00</t>
  </si>
  <si>
    <t>Investimento de Sell Out em Leite Condensado Bag 5kg- R$ 5.000,00; Composto Profissional -R$ 3.000,00; Creme de Leite 17%- R$ 2.000,00</t>
  </si>
  <si>
    <t>Investimento de Sell Out em Leite Condensado Bag 5kg- R$ 6.000,00; Leite Condensado Semi 5Kg- R$ 4.000,00</t>
  </si>
  <si>
    <t>Investimento de Sell Out em Leite Condensado Semi 5Kg- R$ 6.000,00; Leite Condensado Bag -R$ 2.000,00; Doce de Leite Bag 2,5Kg - R$ 2.000,00</t>
  </si>
  <si>
    <t>UNIPAN COMERCIO DE PROD ALIM LTDA</t>
  </si>
  <si>
    <t>Investimento de Sell Out em Leite Condensado Bag 5,0 KG - R$ 5.000,00</t>
  </si>
  <si>
    <t>Investimento de Sell Out em Leite Condensado Bag 5Kg - R$ 20.000,00</t>
  </si>
  <si>
    <t>Investimento de Sell Out em Leite Condensado Bag 5Kg - R$ 30.000,00</t>
  </si>
  <si>
    <t>Investimento de Sell Out em Leite Condensado Bag 5Kg - R$ 15.000,00</t>
  </si>
  <si>
    <t>Investimento de Sell Out em COMPOSTO CULINÁRIO BP SACH10X1KG ITB GO R$ 2.500,00; CREME DE LEITE 17% CARTONADO 1,01KG R$ 2.500,00; DOCE DE LEITE TRADICIONAL LATA 5KG R$  2.500,00; LEITE CONDENSADO BAG 5,0 KG R$ 2.500,00; DOCE DE LEITE ITAMBE 1,5KG  R$ 2.000,00</t>
  </si>
  <si>
    <t>Investimento de Sell Out em Leite Condensado Bag 5Kg - R$ 5.000,00</t>
  </si>
  <si>
    <t>Investimento de Sell Out em Creme de Leite 25% Cartonado 1,01Kg R$ 4.000,00; Doce de Leite Tradicional Lata 5Kg R$ 4.000,00</t>
  </si>
  <si>
    <t>Itens a Bonificar: Manteiga Bloco com sal 5KG - 196 blocos; Manteiga Blister com sal 10g - 182 caixas. O investimento cobre as seguintes ações: Pacote de Marketing R$ 8.000; Gerador de Demanda - R$ 5.000; Campanha Astro - R$ 26.000; Sell Out Leite Condensado - R$ 11.000</t>
  </si>
  <si>
    <t xml:space="preserve">Investimento de Sell Out em: Leite Condensado Bag 5Kg </t>
  </si>
  <si>
    <t xml:space="preserve">VUPI ALIMENTOS LTDA
</t>
  </si>
  <si>
    <t>Investimento de Sell Out em: Doce Leite LaTa 5Kg.</t>
  </si>
  <si>
    <t xml:space="preserve">ROCHA PAN INDUSTRIA E COMERCIO LTDA
</t>
  </si>
  <si>
    <t>Investimento de Sell Out em: Creme De Leite 17%</t>
  </si>
  <si>
    <t>Investimento de Sell In em: Leite Condensado bag 5kg. (Maio)</t>
  </si>
  <si>
    <t>Investimento de Rebate 4% em: Doce de Leite R$ 1.120,00; Leite Condensado R$ 1.840,00; Creme de Leite R$ 640,00; Manteiga R$ 160,00; LPI R$ 240,00</t>
  </si>
  <si>
    <t>CBX CG COMERCIO DE ALIMENTOS LTDA</t>
  </si>
  <si>
    <t>6123</t>
  </si>
  <si>
    <t>675</t>
  </si>
  <si>
    <t>Acerto de preço digitado incorretamente, SKU: 600400303; 600405303</t>
  </si>
  <si>
    <t>Erro faturamento</t>
  </si>
  <si>
    <t>CAFE PACIFICO LTDA</t>
  </si>
  <si>
    <t>Pagamento de acordo devido a erro comercial na digitação do pedido. sku 630011007-LEITE UHT PARMALAT DESNATADO EDGE CQC - R$25.070,88 ; sku 630019007-LEITE UHT PARMALAT INTEGRAL EDGE CQC - R$13.663,20 ; sku 610048007-LEITE UHT PARM ZYMIL DESNAT EDGE 1L TEU - R$5.079,60 ; sku 610405337-MANTEIGA C/SAL BLISTER 10G PRESIDENT TEU - R$729,22 ; sku 610505412-QUEIJO MUSSA FATIA PRESIDENT 16X300G RAV - R$1.747,20</t>
  </si>
  <si>
    <t>Coordenador</t>
  </si>
  <si>
    <t>RODRIGO</t>
  </si>
  <si>
    <t>LUCAS ANDRADE</t>
  </si>
  <si>
    <t>GUILHERME NASCIMENTO</t>
  </si>
  <si>
    <t>CLAUDIO JORGE/MARIA LAURA</t>
  </si>
  <si>
    <t>ALEXANDRO RODRIGUES</t>
  </si>
  <si>
    <t>Junho</t>
  </si>
  <si>
    <t>Investimento de 4% de Rebate em : Doce de Leite R$ 3.199,63; Leite Condensado R$ 5.256,54; Creme de Leite R$ 1.828,36; Manteiga R$ 457,09; LPI R$ 685,64</t>
  </si>
  <si>
    <t xml:space="preserve">Investimento de Sell Out em:  Creme De Leite 17% Cartonado 1,01Kg - R$ 400 - Sell Out Doce De Leite Tradicional Bag 2,5 Kg - R$ 400 - Sell Out Leite Condensado Bag 5,0 Kg - R$400
</t>
  </si>
  <si>
    <t>Investimento de Sell Out em: Leite Condensado Bag 5 Kg</t>
  </si>
  <si>
    <t xml:space="preserve">Investimento de Sell In - 3% sob faturamento de Maio: Leite Em Pó  R$ 1.491,63 / Creme Uht  R$ 3.551,89;Leite Condensado R$ 9.796,17; Doce De Leite R$ 914,25 
</t>
  </si>
  <si>
    <t xml:space="preserve">Investimento de Sell In - 3% sob faturamento de Maio: Merc + Arom  R$ 38,81;Iogurtes  R$ 1.851,11 /Manteiga 5Kg  R$ 16.577,88; Spreads  R$ 1.803,55; Blister  R$ 5.951,07;Parmesão R$ 7.120,09 
</t>
  </si>
  <si>
    <t>Investimento Comercial de Parmesão - Pedido referenteao mês de Maio/2026 R$ 3,00Kg</t>
  </si>
  <si>
    <t xml:space="preserve">HIPER PAN DISTDE PROD DE PAN LT
</t>
  </si>
  <si>
    <t>Investimento de Sell out em: Composto lacteo 25 KG</t>
  </si>
  <si>
    <t>Investimento de Rebate 4% em: Doce de Leite R$ 5.603,37; Leite Condensado R$ 9.205,53; Creme de Leite R$ 3.201,92; Manteiga R$ 800,48; LPI R$ 1.200,72</t>
  </si>
  <si>
    <t>Feira Super Bahia Parcela 1/3  Valor  6666</t>
  </si>
  <si>
    <t>Investimento de Rebate de 4% - Doce de LeiteR $ 4.184,94; Leite Condensado R$ 6.875,26; Creme de Leite R$ 2.391,40; Manteiga R$ 597,85; LPI R$ 896,77</t>
  </si>
  <si>
    <t>Investimento na Campanha Anual Oesa - Cota Bronze (Parcela 04/09) Valor Total Do Acordo R$20.000.</t>
  </si>
  <si>
    <t>Investimento de  Sell out em:  Doce De Leite Lata 5Kg - R$ 1.800; Leite Condensado Lata 5Kg - R$ 540; Leite Condensado Bag 5Kg - R$ 2.435</t>
  </si>
  <si>
    <t>Investimento de Sell out em: Doce De Leite Lata 5Kg - R$ 145; Sellout Leite Condensado Bag 2,5Kg - R$ 200</t>
  </si>
  <si>
    <t>RIBERFOODS IMP E DIST DE PROD A</t>
  </si>
  <si>
    <t>Investimento de Sell out para retomada do Composto 600812104 - Composto Lacteo Cl 8080S 25 Kg</t>
  </si>
  <si>
    <t>VAGO SP - INTERIOR</t>
  </si>
  <si>
    <t>Ação De Sellout Leite Condensado Lata 395G - 3456; Sellout Doce De Leite Lata 5Kg - 1440; Sellout Doce De Leite Bag 2,5Kg - 1000; Sellout Doce De Leite Lata 800G - 704</t>
  </si>
  <si>
    <t>Investimento de Sell out em: Doce De Leite Tradicional Bag 2,5 Kg R$ 2.500;Creme De Leite 25% Cartonado 1,01Kg R$ 2.500;Manteiga Sem Sal Itambe 192X10G R$ 2.500;Composto Culinário Bp Sach10X1Kg Itb Go R$ 2.500;Leite Condensado Itambe Bag 5Kg 1,5% R$ 2.000</t>
  </si>
  <si>
    <t>JESSICA</t>
  </si>
  <si>
    <t>MARCELO DUARTE</t>
  </si>
  <si>
    <t>JESSICA CARLA</t>
  </si>
  <si>
    <t>CLAUDIO JORGE/AMANDA SANDS</t>
  </si>
  <si>
    <t>CLAUDIO JORGE</t>
  </si>
  <si>
    <t>CELIO MARTINS</t>
  </si>
  <si>
    <t>SP ITB FS FLAC REP.E COMERCIO</t>
  </si>
  <si>
    <t>MARCELO SILVA</t>
  </si>
  <si>
    <t>CELIO/MARANATHA</t>
  </si>
  <si>
    <t>LUCIANA MARTINS</t>
  </si>
  <si>
    <t>WH FOOD SERVICE CE</t>
  </si>
  <si>
    <t>PEDRO</t>
  </si>
  <si>
    <t>VAGO QSR</t>
  </si>
  <si>
    <t>4000168212 </t>
  </si>
  <si>
    <t>Investimento em campanha anual Oesa - cota Prata - contrato 05/10</t>
  </si>
  <si>
    <t>Investimento na Feira Confeitar - Contrato 04/05</t>
  </si>
  <si>
    <t>Investimento na campanha - Bora Vender Lacteos (Junho 2026).</t>
  </si>
  <si>
    <t>Investimento de Sell out encarte  em: Creme 25% - R$ 500; Creme 17% - R$ 500; Leite Condensado 1kg - R$ 500; Doce de Leite Bag 2,5Kg - R$ 500;</t>
  </si>
  <si>
    <t xml:space="preserve">Investimento De Sell In - (Pedido Maio/2026) em: Creme De Leite 25% Cartonado 1,01Kg - R$ 500,00; Leite Em Po Integral Pc 1Kg - R$ 500,00; Leite Cond Semidesnat Itambe Cart 395G - R$500,00; Doce De Leite 800G - R$ 624,75.
</t>
  </si>
  <si>
    <t>Investimento na Convenção do Parceiro - Parcela 5/6</t>
  </si>
  <si>
    <t>Investimento de Sell Out em: Leite Condensaso Bag 5Kg</t>
  </si>
  <si>
    <t xml:space="preserve">Investimenton de Sell Out em: Leite Condensado Bag 5K - R$ 2.000;  Creme De Leite 17% Cartonado 1,01Kg - R$ 1.000
</t>
  </si>
  <si>
    <t xml:space="preserve">Investimento de  Sell Out em: Leite Condensado Bag 5,0 Kg
</t>
  </si>
  <si>
    <t>Investimento de Sell Out em: Leite Condensado Bag 5K</t>
  </si>
  <si>
    <t xml:space="preserve">Investimento de Sell Out em: Manteiga Com Sal Itambe 192X10G
</t>
  </si>
  <si>
    <t>Investimento de Sell out em: Leite Condensado Int 5Kg - R$ 8.000; Creme de leite 1Kg - R$ 2.000</t>
  </si>
  <si>
    <t>Investimento de Sell out em: Leite Condensado Semi 5Kg- R$ 24.000; Leite Condensado Integral - R$ 4.000; Creme 1Kg 17% - R$ 5.000; Creme 10% - R$ 2.000;Doce De Leite 5Kg- R$ 5.000; Manteiga Bloco - R$ 3.000; Doce de Leite 2,5 - R$ 2.000</t>
  </si>
  <si>
    <t>Investimento de Sell out em: Leite Condensado Semi 5Kg - R$ 8.000; Creme 17% Kg - R$ 2.000</t>
  </si>
  <si>
    <t>Investimento na Campanha Anual - Cota Ouro R$ 60.000 (Parcela 1/6)</t>
  </si>
  <si>
    <t>Investimento de Sell out em: Leite Condensado Integral - R$ 5.000; Doce 2,5 - R$ 2.000; Creme 17% - R$ 2.000</t>
  </si>
  <si>
    <t>Investimento de  Sell out em: Creme 17% - R$ 500; Blister Itambé - R$ 1.000</t>
  </si>
  <si>
    <t>Investimento de  Sell out em: Leite Condensado Bag 5Kg - R$ 5.000; Creme De Leite 25% - R$ 4.000; Composto Profissional - R$ 1.036; Doce De Leite 5Kg - R$ 2.000; Leite Condensado Lata 5Kg - R$ 3.000</t>
  </si>
  <si>
    <t>Investimento na participação da Fipan 2026 - Parcela 1/3</t>
  </si>
  <si>
    <t>Investimento de Sell out em: Leite Condensado Bag 5Kg - R$ 2.000; Leite Condensado Lata 5Kg - R$ 2.000; Creme De Leite 17% - R$ 1.000; Composto Profissional 1Kg - R$ 500; Creme De Leite 25% -R$ 500</t>
  </si>
  <si>
    <t>Investimento de Sell Out em: Leite Condensado Bag 2,5Kg - R$ 600; Manteiga Com Sal Itambe 192X10G -R$ 500;Creme De Leite 17% Cartonado 1,01Kg - R$400</t>
  </si>
  <si>
    <t>Investimento de  Sell Out em: Manteiga Com Sal Itambe 192X10G</t>
  </si>
  <si>
    <t xml:space="preserve">Investimento de  Sell Out em: Creme Lei Levis 10% Itmb Cx27Cx200G Pdm
</t>
  </si>
  <si>
    <t>Investimento de Sell Out em: Creme De Leite 25% Cartonado 1,01Kg - R$ 600; Creme De Leite Cartonado 200G - R$ 600; Creme Lei Levis 10% Itmb Cx27Cx200G Pdm - R$ 600</t>
  </si>
  <si>
    <t>R S TOLEDO MIX</t>
  </si>
  <si>
    <t xml:space="preserve">Investimento de Selll Out em Composto Lácteo Cl 8080S 25 Kg - R$ 600; Composto Culinário Bp 25Kg Itb Go - R$ 400
</t>
  </si>
  <si>
    <t>Investimento de Sell Out em: Manteiga Com Sal Itambe 192X10G - R$ 600; Manteiga Extra S/Sal Caixa 5Kg - R$ 800; Leite Em Po Integral Pc 1Kg - R$ 1.000; Composto Culinário Bp Sach10X1Kg Itb Go - R$ 600</t>
  </si>
  <si>
    <t>Investimento de 7% de Rebate -Doce de Leite R$ 7.520,83; Leite Condensado R$ 12.355,66; Creme de Leite R$ 4.297,62; Manteiga R$ 1.074,40; LPI R$ 1.611,61</t>
  </si>
  <si>
    <t>A pagar</t>
  </si>
  <si>
    <t>Itens a bonificar: Manteiga Bloco 5Kg S Sal -196 Blocos ; Manteiga Blister C Sal 10G-182 Cxs O investimento cobre as seguintes ações: Pacote de Markting R$ 8.000; Gerador demanada - R$ 5.000; Sell out Leite Condendado Semi 5Kg - R$ 26.000; Sell out Leite Condensado Integral R$ 11.000</t>
  </si>
  <si>
    <t>Investimento de Sell Out em:  Leite Condensado Bag 2,5K</t>
  </si>
  <si>
    <t>Investimento de Sell Out nem: Leite Condensado Bag 5K</t>
  </si>
  <si>
    <t xml:space="preserve">Investimento de Sell out em: Leite Condensado Bag 5Kg </t>
  </si>
  <si>
    <t>Julho</t>
  </si>
  <si>
    <t>MARIA LOURDES</t>
  </si>
  <si>
    <t>Investimento de Sell In em : Parmesão R$ 4,00 por Kg</t>
  </si>
  <si>
    <t xml:space="preserve">Investimento de Sell In Junho de 2026 em: Creme Uht R$ 3.832,50; Doce De Leite R$ 4.118,01; Leite Condensado R$ 9.869,07; Leite Em Pó R$ 1.695,48
</t>
  </si>
  <si>
    <t xml:space="preserve">Investimento de Sell In Junho de 2026 em: Blister R$ 10.942,95; Manteiga 5Kg R$ 16.576,59; Merc + Arom R$ 77,61; Spreads R$ 731,37; Iogurtes R$ 3.595,35
</t>
  </si>
  <si>
    <t>Investimento de Sell out (Negociação com o Supervisor Denis) em: Doce De Leite R$ 2.000</t>
  </si>
  <si>
    <t>Investimento Na Campanha Anual Oesa - Cota Bronze (Parcela 05/09) Valor Total Do Acordo R$ 20.000.</t>
  </si>
  <si>
    <t>Investimento de Rebate 4% em:  Doce De Leite R$ 1.731,38; Leite Condensado R$ 2.844,41; Creme De Leite R$ 989,36; Manteiga R$ 247,34; Lpi R$ 371,01</t>
  </si>
  <si>
    <t xml:space="preserve">Feira Super Bahia Parcela 2/3 </t>
  </si>
  <si>
    <t>CAMARADA ADM DE RESTAURANTES</t>
  </si>
  <si>
    <t>Investimento Cardapio Manteiga Sem Sal 5Kg President - R$ 7.500; Investimento Cardapio Queijo Parmesao President Forma Imp - R$ 7.500</t>
  </si>
  <si>
    <t>Investimento de  Sell Out em: Manteiga 5kg Itambé</t>
  </si>
  <si>
    <t xml:space="preserve">CUNHAPAN DIST DE PROD P PANIF LTDA 
 </t>
  </si>
  <si>
    <t>SC</t>
  </si>
  <si>
    <t>Investimento de Sell Out em: Leite Condensado Bag 5Kg (Garantir escoamento do volume negociado com o cliente)</t>
  </si>
  <si>
    <t>ANGELICA BATISTELA</t>
  </si>
  <si>
    <t xml:space="preserve"> Amostra -  Manteiga Bloco 5 Kg $ 467,10</t>
  </si>
  <si>
    <t>Amostra</t>
  </si>
  <si>
    <t>Pagamento referente a diferença de Preço Liberada entre Junho e Julho de 2026</t>
  </si>
  <si>
    <t xml:space="preserve">CONFESPAN COMERCIO E DISTRIBUICAO L
</t>
  </si>
  <si>
    <t>Investimento de Sell Out em: Leite Condensado Bag 5Kg R$1.630; Doce De Leite 5Kg R$2.700.</t>
  </si>
  <si>
    <t>Investimento de Sell out em: Leite Condensado Itambe Bag 5Kg 1,5% R$ 2.668; Doce de Leite Tradicional Bag 2,5 Kg R$ 2.000; Doce De Leite Tradicional Lata 5Kg R$ 2.000; Composto Culinário Bp Sach10X1Kg Itb Go R$ 4.000; Manteiga Sem Sal Itambe 192X10G R$ 4.000; Manteiga Com Sal Itambe 192X10G R$ 4.000; Creme De Leite 25% Cartonado 1,01Kg R$ 2.000</t>
  </si>
  <si>
    <t>Investimento de Sell Out em: Leite Condensado Semi 5Kg</t>
  </si>
  <si>
    <t>COMERCIAL DISKPAN</t>
  </si>
  <si>
    <t>Investimento na Campanha Anual - Cota Ouro R$ 60.000 (Parcela 2/6)</t>
  </si>
  <si>
    <t>Investimento de Sell out em: Leite Condensado Bag 5Kg- R$ 5.000; Creme 17% - R$ 2.000; Manteiga Blister - R$ 3.000</t>
  </si>
  <si>
    <t>Investimento de Sell out em: Leite Condensado Semi 5Kg - R$ 20.000; Leite Condensado Integral 5Kg - R$ 10.000</t>
  </si>
  <si>
    <t>FORÇA TOTAL DIST</t>
  </si>
  <si>
    <t>Investimento de Sell out em: Manteiga Blister - R$ 2.000</t>
  </si>
  <si>
    <t>NECHIO COMERCIO DISTRIB DE ALIMENT</t>
  </si>
  <si>
    <t xml:space="preserve">Investimento de Sell out em: Composto Profissional </t>
  </si>
  <si>
    <t>ATOS PAN COM DE PROD ALIM LTDA</t>
  </si>
  <si>
    <t>Investimento de  Sell Out em: Leite Condensado Bag 5Kg</t>
  </si>
  <si>
    <t xml:space="preserve">FERPEREZ COMERCIO DE ALIMENTOS
</t>
  </si>
  <si>
    <t>Investimento Acordo Trimestral: R$ 4.000 +  ação de Sell-In em: Leite Condensado Bag 5Kg R$ 4.000</t>
  </si>
  <si>
    <t xml:space="preserve">OESA COMERCIO E REPRESENTACOES SA
</t>
  </si>
  <si>
    <t>Investimento de Sell Out em: Blister R$ 400; Manteiga 5Kg R$ 2.000; Leite Em Po 1Kg R$ 600</t>
  </si>
  <si>
    <t>Investimento na Campanha Anual Oesa - Cota Prata - Parcela 06/10</t>
  </si>
  <si>
    <t>Investimento na Feira Confeitar - Parcela 05/05</t>
  </si>
  <si>
    <t xml:space="preserve">Investimento de  Sell Out em: Creme De Leite 17% Cartonado 1,01Kg - R$ 1.000; Leite Condensado Bag 5,0 Kg - R$ 1.000
</t>
  </si>
  <si>
    <t>Investimento de Sell Out em:  Leite Condensado Bag 2,5Kg - R$ 500; Manteiga Com Sal Itambe 192X10G - R$ 500</t>
  </si>
  <si>
    <t xml:space="preserve">Investimento de Sell Outem:  Creme Lei Levis 10% Itmb Cx27Cx200G Pdm - R$ 1.400;Leite Cond Semidesnat Cartonado 395G - R$ 2.000
</t>
  </si>
  <si>
    <t>Participação Feira Fipan 2026 - Parcela 2/3</t>
  </si>
  <si>
    <t>Investimento de Sell out em: Leite Condensado Bag - R$ 3.000;Leite Condensado Lata 395 - R$ 4.500;Composto Culinario - 1400; Doce De Leite Lata 5Kg - R$ 1.100; Doce De Leite Bag 2,5Kg - R$ 1.400</t>
  </si>
  <si>
    <t>Investimento de Sell out em: Composto Profissional 1Kg - R$ 2.000; Doce De Leite Lata 5Kg - R$ 2.080;Leite Condensado Bag 5Kg - R$ 5.000; Leite Condensado Lata 5Kg -R$ 3.000; Creme De Leite 25% - R$ 2.438; Creme De Leite 17% - R$ 2.000</t>
  </si>
  <si>
    <t>Itens A Bonificar: Manteiga Bloco C Sal 196 Cxs; Manteiga Bloco Sem Sal 147 Cxs. O investimento cobre as seguintes ações: Pacote De Markting R$ 8.000; Gerador Demanda - R$ 5.000; Pagamento Campanha Astro R$ 28.288; Sell in Manteiga Bloco R$15.000; Sell out Leite Condensado Semi R$ 8.712</t>
  </si>
  <si>
    <t xml:space="preserve">STA DISTRIBUIDORA DE ALIMENTOS LTDA
</t>
  </si>
  <si>
    <t xml:space="preserve">Investimento na Convenção do Parceiro - Parcela 6/6
</t>
  </si>
  <si>
    <t>Investimento na Campanha  - Equipe Tecnica Parceiro S.A Alimentos - 1/1</t>
  </si>
  <si>
    <t xml:space="preserve">Investimento de Sell Out em: Creme De Leite 17% Cartonado 1,01Kg - R$ 15.000
</t>
  </si>
  <si>
    <t xml:space="preserve">Investimento de Sell out em: Composto Profissional 1Kg - R$ 1.418; Leite Condensado Lata 5Kg - R$ 2.000; Leite Condensado Bag 5Kg - R$ 2.000; Creme De Leite 17% - R$ 1.000
</t>
  </si>
  <si>
    <t xml:space="preserve">Investimento de Sell Out Leite Condensado Bag 5,0 Kg </t>
  </si>
  <si>
    <t xml:space="preserve">Investimento de Sell Out em: Creme De Leite 25% Cartonado 1,01Kg 
</t>
  </si>
  <si>
    <t xml:space="preserve">Investimento de Sell Out em: Leite Condensado Bag 5,0 Kg </t>
  </si>
  <si>
    <t>Investimento de Sell Out em:  Manteiga Com Sal Itambe 192X10G</t>
  </si>
  <si>
    <t xml:space="preserve">CASA DO SACHET LTDA
</t>
  </si>
  <si>
    <t>MARTINS E SILVA COMERCIO LTDA</t>
  </si>
  <si>
    <t>RR</t>
  </si>
  <si>
    <t>Investimento de Sell out em: Doce de Leite Itambé  5kg</t>
  </si>
  <si>
    <t>ATRIA PRODUTOS ALIMENTICIOS LTDA</t>
  </si>
  <si>
    <t>Investimento de  Sell out em: Doce De Leite Lata 5Kg - R$ 938; Doce De Leite Lata Chocolate 800G - R$ 130; Doce De Leita Chocolate Lata 5Kg - R$ 130; Manteiga Blister Itambé - R$ 260</t>
  </si>
  <si>
    <t>MERCADINHO LESSA LTDA</t>
  </si>
  <si>
    <t>Investimento de Sell out em: Manteiga Blister Itambe - R$ 3.000; Composto Profisional 1Kg - R$ 500; Composto Culinario 1Kg -R$ 500</t>
  </si>
  <si>
    <t>Investimento de Sell In em: Manteiga Com Sal Itambe 192X10G</t>
  </si>
  <si>
    <t>Investimento de Sell Out em: Leite Condensado Bag 5kg</t>
  </si>
  <si>
    <t>ALEXANDRE BONANI</t>
  </si>
  <si>
    <t>0531</t>
  </si>
  <si>
    <t>Agosto</t>
  </si>
  <si>
    <t>Investimento de Rebate 4% em: Doce de Leite R$ 4.041,32; Leite Condensado R$ 6.639,31; Creme de Leite R$ 2.309,33; Manteiga R$ 577,33; LPI R$ 866,00</t>
  </si>
  <si>
    <t xml:space="preserve">Investimento de Sell Out em: Creme De Leite 17% Cartonado 1,01Kg R$ 5.000; Leite Condensado Bag 5,0 Kg R$ 5.000
</t>
  </si>
  <si>
    <t>Investimento de Sell Out e Rebaixa de Preço em: Leite Condensado</t>
  </si>
  <si>
    <t xml:space="preserve">JCA FOODS COM DE PROD ALIM LTDA
</t>
  </si>
  <si>
    <t>Investimento Sell In Doce De Leite De 2,5Kg -  R$ 571; Investimento de Sell Out em: Doce De Leite Lata 800G  R$ 571.</t>
  </si>
  <si>
    <t>Item a bonificar: Parmesão peça 52kg. Compesação de preço.</t>
  </si>
  <si>
    <t>GOLD INDUSTRIA E COMERCIO LTDA</t>
  </si>
  <si>
    <t>Investimento de Sell out em: Leite condensado lata 1,01 kg</t>
  </si>
  <si>
    <t xml:space="preserve">Participação na Convenção de Vendas do cliente em: 20 e 22 de Agosto na cidade Águas de Lindóia – SP (com a participação de aproximadamente  200 vendedores)
A Lactalis participará do evento por meio da confecção de tábuas de queijos personalizadas com nossa marca, proporcionando maior visibilidade e fortalecendo orelacionamento comercial com o cliente e sua equipe de vendas. 
</t>
  </si>
  <si>
    <t>STAMPA PET E FOOD LTDA</t>
  </si>
  <si>
    <t xml:space="preserve">Investimento para cobertura da diferença de preço: A solicitação se deve a uma divergência identificada entre o preço apresentado no simulador da Tabela VIP e o preço parametrizado no sistema para o blister Cream Cheese 18g President
</t>
  </si>
  <si>
    <t>Erro de faturamento</t>
  </si>
  <si>
    <t>Investimento de Rebate 4% em: Doce de Leite R$ 2.769,63; Leite Condensado R$ 4.550,10; Creme de Leite R$ 1.582,64; Manteiga R$ 395,66; LPI R$ 593,49</t>
  </si>
  <si>
    <t xml:space="preserve">Investimento de Sell Out em: Manteiga Sem Sal Itambe 192X10G R$ 5.000; Manteiga Com Sal Itambe 192X10G Sellout R$ 4.672
</t>
  </si>
  <si>
    <t>Investimento de  Sell In (Julho/2026) Para serem aplicados proporcionalmente nas Manteigas Bloco e Blisters President</t>
  </si>
  <si>
    <t xml:space="preserve">Investimento de Sell in em: Creme Uht  R$ 3.341,00; Doce De Leite R$ 1.091,25; Leite Condensado R$ 6.574,83; Leite Em Pó R$ 2.789,4
</t>
  </si>
  <si>
    <t xml:space="preserve">Investimento de Sell In 3% (Julho 2026) em:  Iogurtes R$ 1.845,24; Manteiga 5Kg  R$ 10.648,59; Merc + Arom  R$ 38,82; Parmesão  R$ 11.353,95;  Spreads  R$ 2.466,03; Blister R$ 7.484,88 
</t>
  </si>
  <si>
    <t>Investimento de Sell In - Acordo Comercial Julho 2026</t>
  </si>
  <si>
    <t xml:space="preserve">Feira Super Bahia Parcela 3/3 </t>
  </si>
  <si>
    <t xml:space="preserve">Investimento de Sel lout em: Leite Condensado bag 5 kg no Sup. São Roque
</t>
  </si>
  <si>
    <t>Investimento de Sell out em produtos em estoque Itambé</t>
  </si>
  <si>
    <t>CESTA BASICA BRASIL COMERCIO AL</t>
  </si>
  <si>
    <t>0749</t>
  </si>
  <si>
    <t>Investimento para quitar pendência Comercial no Doce de leite elegê</t>
  </si>
  <si>
    <t>FLAC 7</t>
  </si>
  <si>
    <t>Pendencia comercial</t>
  </si>
  <si>
    <t>T T F ALIMENTOS SOROCABA LTDA</t>
  </si>
  <si>
    <t>Investimento Sell in em: Leite condensado e Creme de leite</t>
  </si>
  <si>
    <t xml:space="preserve">Investimento de Rebate de 4%  - Doce de Leite R$ 5.387,03; Leite Condensado R$ 8.850,12, Creme de Leite R$ 3.078,30, Manteiga R$ 769,58, LPI R$ 1.154,36
</t>
  </si>
  <si>
    <t>Investimento em Sell In (Pedido Agosto) em : Composto R$ 334,50; Creme de Leite R$ 187,27; Leite Condensado R$ 840,78; Leite em Pó R$ 337,50; Manteiga R$ 100</t>
  </si>
  <si>
    <t xml:space="preserve">Investimento de Sell out em: Composto Culinário Bp Sach10X1Kg Itb GoR$ 5.000; Creme De Leite 25% Cartonado 1,01Kg Sellout R$ 5.000; Doce De Leite Chocolate Lata 5Kg R$ 5.000
</t>
  </si>
  <si>
    <t xml:space="preserve">Investimento de Sell out em:  Composto Culinário Bp 25Kg Itb Go
</t>
  </si>
  <si>
    <t xml:space="preserve">Investimento de Sell Out em: Leite Pó 1Kg - R$ 600; Manteiga Blister R$ 500; Manteiga Bloco 5Kg R$ 1.400
</t>
  </si>
  <si>
    <t xml:space="preserve">Investimento de Sell Out em: Creme 25% - R$ 700;Creme 17% - R$ 500 ;Leite Condensado Bag 5 Kg - R$ 800;Doce De Leite Bag 2,5Kg - R$500
</t>
  </si>
  <si>
    <t>Investimento na Campanha Anual Oesa - Cota Prata - Parcela 07/10</t>
  </si>
  <si>
    <t xml:space="preserve">Investimento de Sell Out em: Manteiga Bloco 5Kg - R$ 560,00; Manteiga Blister - R$ 510,00; Leite Condensado Bag 2,5 - R$ 430; Creme De Leite 17% - R$ 300
</t>
  </si>
  <si>
    <t>Participação Feira Fipan 2026 - Parcela 3/3</t>
  </si>
  <si>
    <t>Investimento de Sell out em: Composto Profissional 1Kg - R$ 1.400; Doce De Leite Lata 5Kg - R$ 1.340; Leite Condensado Lata 5Kg - R$ 1.000</t>
  </si>
  <si>
    <t>Investimento de Sell out em: Doce De Leite Lata 5 Kg - R$ 1.000; Creme De Leite 25% 1Kg - R$ 841</t>
  </si>
  <si>
    <t>Investimento de Sell out em: Composto Profissional 1Kg - R$ 969,68;Composto Culinario R$ 200; Manteiga Blister Itambé Com E Sem Sal - R$ 2.800</t>
  </si>
  <si>
    <t>Investimento de Sell out em: Leite Condensado Lata 1,01Kg - R$ 1.322,50;Leite Condensado Lata 395G - R$ 2.000</t>
  </si>
  <si>
    <t>Investimento Na Campanha Anual - Cota Ouro R$ 60.000 (Parcela 3/6)</t>
  </si>
  <si>
    <t>Investimento de Sell Out em:  Leite Condensado Bag 5Kg- R$ 4.000; Creme 17% - R$ 4.000; Blister- R$ 2.000</t>
  </si>
  <si>
    <t>Investimento de Sell Out em: Manteiga Blister R$ 2.000</t>
  </si>
  <si>
    <t>Investimento de Sell out em: Leite Condensado Bag Int 5Kg- R$ 7.000; Leite Condensado Semi 5Kg- R$ 5.000;Creme 17%-R$ 3.000</t>
  </si>
  <si>
    <t>Investimento de Sell out em: Leite  Condensado Integral 5Kg -R$ 10.000; Sell in em: Leite Condensado Semi -R$ 20.000; + 1° Parcela Jota Já -R$ 7.500</t>
  </si>
  <si>
    <t>Investimento de Sell Out em:  Manteiga Bloco 5Kg</t>
  </si>
  <si>
    <t xml:space="preserve">Invetsimento de Sell Out em: Composto Culinario Bp Sach10X1Kg Itb Go - 800;
</t>
  </si>
  <si>
    <t xml:space="preserve">Investimento de  Sell Out em: Leite Condensado Bag - 5500;
</t>
  </si>
  <si>
    <t xml:space="preserve">Investimento de Sell Out em:  Com Sal Itambe 192X10G
</t>
  </si>
  <si>
    <t>Investimento de Sell out em:  Composto culinário 1kg - R$ 700; Creme de leite 200g - R$ 500</t>
  </si>
  <si>
    <t>NT IND E COM DE PANIFICACAO LTDA</t>
  </si>
  <si>
    <t>Investimento de Sell Out em: Doce De Leite Tradicional Lata 5Kg</t>
  </si>
  <si>
    <t>Investimento de Sell Out em:  Creme De Leite 17% - R$ 2.400; Creme De Leite 25% - R$ 2.400</t>
  </si>
  <si>
    <t xml:space="preserve">Investimento de Sell out em: Manteiga Extra C/Sal Caixa 5Kg - R$ 4.000; Leite Condensado Bag 5,0 Kg - R$16.000
</t>
  </si>
  <si>
    <t>Investimento de Sell Out em: Leite Condensado Bag 5Kg - R$ 10.000</t>
  </si>
  <si>
    <t>Itens a Bonificar: Composto Profissional -53 Fardos; Leite Em Po 400G-140 Fardos. Cobertura da ação: Pacote De Markting R$ 8.000; Gerador Demanda - R$ 5.000;  Sell Out Leite Condensado Semi 5Kg R$ 24.000; Sel lout Condensado Semi Tp R$ 15.000; Sell out Blister -R$ 3.000</t>
  </si>
  <si>
    <t>4000174483 </t>
  </si>
  <si>
    <t>0755</t>
  </si>
  <si>
    <t xml:space="preserve">Investimento De Sell Out Em: Manteiga Com Sal Itambe 192X10G
</t>
  </si>
  <si>
    <t xml:space="preserve">Investimento de Sell Out em: Leite Condensado Semidesnat Cartonado 395G
</t>
  </si>
  <si>
    <t>Investimento de Sell out em: Leite Condensado Lata 5Kg</t>
  </si>
  <si>
    <t>Investimento de Sell out em: Leite Condensado Semi 5Kg</t>
  </si>
  <si>
    <t xml:space="preserve">Investimento de  Sell In Agost.26 em: Creme R$ 598,96 / Doce  R$ 600,00 /Condensado  R$ 4.530,23 
</t>
  </si>
  <si>
    <t>Setembro</t>
  </si>
  <si>
    <t>Investimento de  Sell In (Julho/2026) Para serem aplicados proporcionalmente nas Manteigas Bloco e Blisters President (Valor restante invetsimento de Julho)</t>
  </si>
  <si>
    <t>Investimento de Sell in (Agosto) em: Blister Lactalis</t>
  </si>
  <si>
    <t>Investimento de Sell out em: SKU 600405303 Manteiga Extra S/Sal Caixa 5K - Mix De Produtos Lojas De Festas.</t>
  </si>
  <si>
    <t>Investimento de Sell out em: Leite condensado bag 5kg - 2% sobre faturamento (6 paletes) de Setembro</t>
  </si>
  <si>
    <t>VAGO SP</t>
  </si>
  <si>
    <t xml:space="preserve">Investimento de Sell out em: Leite condensado bag 5kg </t>
  </si>
  <si>
    <t>Investimento em ação de trade marketing - aula show / degustação em loja - Leite condensado R$ 350/ Creme de leite R$ 350 / Doce de leite R$ 350 / Leite em pó R$ 350</t>
  </si>
  <si>
    <t>Ação Marketing</t>
  </si>
  <si>
    <t>Investimento de Rebate de 4% em:  Doce de Leite R$ 6.627,80; Leite Condensado R$ 10.888,54; Creme de Leite R$ 3.787,32; Manteiga R$ 946,83; LPI R$ 1.420,24</t>
  </si>
  <si>
    <t>Investimento na Campanha Anual Oesa - Cota Bronze (Parcela 05/09) Valor Total Do Acordo R$20.000.</t>
  </si>
  <si>
    <t>CLAUDIO JORGE/LUIZ</t>
  </si>
  <si>
    <t xml:space="preserve">DINIZ COM ATAC DE PROD ALIM LTDA				
</t>
  </si>
  <si>
    <t xml:space="preserve">Investimento de Sell para ações da marca nos seguinte SKUs: 600608249, 600651302, 600666313
</t>
  </si>
  <si>
    <t>FUNCHAL IND E COM DE PAPEIS LTDA</t>
  </si>
  <si>
    <t>AROUMAR DISTRIB DE PRODUTOS ALIM LTDA</t>
  </si>
  <si>
    <t>0125</t>
  </si>
  <si>
    <t xml:space="preserve">Investimento de Rebaixa de preço em: Doce de leite 2,5kg + pagamento de erro logisitco - Entrega de 10 caixas do produto em fifo </t>
  </si>
  <si>
    <t>Sell out e Rebaixa</t>
  </si>
  <si>
    <t xml:space="preserve">DORIVALI COM DIST DE PROD ALIM LTDA 
</t>
  </si>
  <si>
    <t>OESA COMERCIO E REPRESENTACOES AS</t>
  </si>
  <si>
    <t>CUNHAPAN DIST DE PROD P PANIF LTDA</t>
  </si>
  <si>
    <t xml:space="preserve">T T F ALIMENTOS SOROCABA LTDA 
</t>
  </si>
  <si>
    <t xml:space="preserve">ORGANIZAC BRAZAL C DE PROD AL LTDA
</t>
  </si>
  <si>
    <t xml:space="preserve">DISPROPAN LTDA
</t>
  </si>
  <si>
    <t xml:space="preserve">COMERCIAL AZEVEDO LTDA
</t>
  </si>
  <si>
    <t xml:space="preserve">NUTRIFAZ CESTA LTDA EPP
</t>
  </si>
  <si>
    <t>MACPAN COM E DIST DE PROD ALIM LTDA</t>
  </si>
  <si>
    <t xml:space="preserve">CONCORDE LOGISTICA E DISTRIBUICAO				
</t>
  </si>
  <si>
    <t xml:space="preserve">GARRA COMERCIO ATACADISTA DE ALIM LTDA
</t>
  </si>
  <si>
    <t xml:space="preserve">AMORIX ALIMENTOS LTDA
</t>
  </si>
  <si>
    <t xml:space="preserve">GP EMBALAGENS
</t>
  </si>
  <si>
    <t xml:space="preserve">UNIPAN COMERCIO DE PROD ALIM LTDA
</t>
  </si>
  <si>
    <t>Investimento de Sell out e Rebaixa de preço em: Leite Condensado Bag 5Kg - R$ 728; Doce De Leite Lata 5Kg - R$ 520; Leite Condensado Lata 5Kg - R$ 208</t>
  </si>
  <si>
    <t xml:space="preserve">Investimento de Sell in (Setembro 2026) em: Creme Uht R$ 1.588,40; Doce de leite R$ 590,49; Leite condensado  R$ 1.721,11 
</t>
  </si>
  <si>
    <t>Investimento na Campanha Anual Oesa - Cota Prata - Parcela 08/10</t>
  </si>
  <si>
    <t xml:space="preserve"> Investimento de Sell Out em: Leite Condensado Bag 5Kg </t>
  </si>
  <si>
    <t>Investimento de Sell In (Setembro/2026) em:  Leite Condensado R$ 1.500; Doce de Leite R$ 100</t>
  </si>
  <si>
    <t>Investimento de  Sell Out em: Manteiga Blister - R$ 800; Manteiga 5Kg - R$ 700; Leite Em Po 1Kg - R$ 500</t>
  </si>
  <si>
    <t>Investimento de Sell Out em: Creme 17% - R$ 600; Leite Condensado Bag 2,5 - R$ 700; Leite Condensado Bag 5Kg - R$ 700</t>
  </si>
  <si>
    <t>Investimento de Sell In (Pedido referente ao dia 22/09/2026) em:  Composto 1Kg - R$ 900 ; Creme De Leite 200Gr - R$ 700 , Doce De Leite 800Gr - R$ 400; Leite Em Po 1Kg-R$ 580</t>
  </si>
  <si>
    <t>Investimento de Sell Out em: Manteiga Blister - R$ 300; Manteiga Bloco 5Kg -R$ 300; Leite Condensado 5Kg Bag -R$ 300; Leite Condensado Bag 2,5Kg -R$ 300; Leite Em Po 1Kg -R$ 265,44</t>
  </si>
  <si>
    <t>Investimento de  Sell out em:  Leite em Pó 400Gr</t>
  </si>
  <si>
    <t>Investimento de Sell out em: Leite Condensado Bag 5Kg - R$ 3.368; Leite Condensado Lata 5Kg - R$ 900; Leite Condensado Lata 395G - R$ 4.357; Doce De Leite Bag 2,5Kg - R$ 2.080; Doce De Leite Lata 800G - R$ 1.000</t>
  </si>
  <si>
    <t xml:space="preserve">Investimento De Rebate 4% (Setembro/2026) em: Doce De Leite R$ 4.683,74, Leite Condensado R$ 7.694,72, Creme De Leite R$ 2.676,43, Manteiga R$ 669,11, Lpi R$ 1.003,66.
</t>
  </si>
  <si>
    <t>Investimento de Sell In em: Blister de Manteiga com e sem sal - Itambé</t>
  </si>
  <si>
    <t xml:space="preserve">Investimento de Sell Out em: Manteiga Extra S/Sal Caixa 5Kg
</t>
  </si>
  <si>
    <t xml:space="preserve">Investimento de Sell Out em:  Creme De Leite 17% Cartonado 1,01Kg - R$ 2.000; Sell Out Doce De Leite Tradicional Bag 2,5 Kg - R$ 2.000; Sell Out Leite Condensado Bag 5,0 Kg -R$ 3.000
</t>
  </si>
  <si>
    <t xml:space="preserve">Investimento de Sell Out em: Leite Condensado Bag 5,0 Kg - R% 5.000; Sell Out Creme De Leite 25% Cartonado 1,01Kg - R$ 5.000; 
</t>
  </si>
  <si>
    <t>Investimento de  Sell Out em: Leite Condensado Bag 5K</t>
  </si>
  <si>
    <t>SAPORE SA</t>
  </si>
  <si>
    <t>Abatimento de Negociação de Preço com o cliente</t>
  </si>
  <si>
    <t>NUTRI</t>
  </si>
  <si>
    <t>Abatimento</t>
  </si>
  <si>
    <t xml:space="preserve">CONFESPAN COMERCIO E DISTRIBUICAO L				
</t>
  </si>
  <si>
    <t xml:space="preserve">DIST NORD DE CONFEIT E PANIF LT
</t>
  </si>
  <si>
    <t xml:space="preserve">RIBERFOODS PRODUTOS ALIMENTICIOS LT 
</t>
  </si>
  <si>
    <t xml:space="preserve">DISPAN DISTRIBUIDORA DE ALIMENTOS L
</t>
  </si>
  <si>
    <t xml:space="preserve">FORTALI DIST DE ALIMENTOS LTDA
</t>
  </si>
  <si>
    <t xml:space="preserve">FRANCISCO C LIMA DISTRIB DE ALI
</t>
  </si>
  <si>
    <t xml:space="preserve">PADEIRAO COMERCIO PROD PARA PANI LT
</t>
  </si>
  <si>
    <t xml:space="preserve">ARMAZEM TOP ALTO LTDA
</t>
  </si>
  <si>
    <t xml:space="preserve">SOST IND E COM DE ALIMENTOS EIRELI
</t>
  </si>
  <si>
    <t xml:space="preserve">PAMA COM DE GENEROS ALIMENTICIOS </t>
  </si>
  <si>
    <t xml:space="preserve">SOS ALIMENTOS E TRANSPORTES LTDA
</t>
  </si>
  <si>
    <t>CCN COMERCIO</t>
  </si>
  <si>
    <t>J ARAUJO DIST IMP E EXP SA</t>
  </si>
  <si>
    <t xml:space="preserve">Investimento de Sell Out em: Leite Manteiga 5K - R$ 948; Sell Out Condensando Bag 2,5K- R$ 3.785 
</t>
  </si>
  <si>
    <t xml:space="preserve">Investimento de R$ 15.000,00 destinado á recuperação de volume e ganho de Share na Riberfoods. A Verba Está Sendo Utilizada Na Positivação Do Sku 600651301 – Leite Condensado Bag 2,5 Kg, com Início De Volume de 14 Toneladas, tendo como principal objetivo conquistar espaço da Nestlé e Fortalecer a presença da Itambé no Cliente.
</t>
  </si>
  <si>
    <t>Investimento de Sell Out Creme 17 - R$ 2.049; Sell Out Creme 25 - R$ 1.855; Sell Out Condensando Lata 5K - R$ 811; Sell Out Condensado Semi Bag 5K - R$ 626; Sell Out Doce De Leite Bag 2,5K - R$ 565; Sell Out Condensado Bag 2,5K - R$ 1.065; Sell Out Condensado Bag 5K - R$ 533; Sell Out Manteiga Bloco 5K - R$ 1.496</t>
  </si>
  <si>
    <t xml:space="preserve">Investimento de Sell Out Manteiga Sem Sal Itambe 192X10G - R$ 500; Sell Out Manteiga Com Sal Itambe 192X10G - R$ 3.500 
</t>
  </si>
  <si>
    <t>Investimento no Evento Exposorvetes, item: Composto - R$ 1.000; Leite Condensando Bag - R$ 3.000</t>
  </si>
  <si>
    <t>Investimento de Sell Out em: Leite Condensado Bag 5K (Ação Beach Park)</t>
  </si>
  <si>
    <t>Investimento de Sell Out em: MANTEIGA EXTRA S/SAL CAIXA 5KG</t>
  </si>
  <si>
    <t xml:space="preserve">Investimento de Sell Out em: Manteiga Com Sal Itambe 192X10G 
</t>
  </si>
  <si>
    <t>Investimento de Sell Out em: Composto Lácteo Culinário Sc 10 Pc 1Kg - R$ 487,28; Sell Out Composto Lacte Profissional Sc 10 Pc 1Kg - R$ 653,06; Sell Out Creme De Leite 17% Cartonado 1,01Kg - R$ 2.610,49; Sell Out Creme Lei Levis 10% Itmb Cx27Cx200G Pdm - R$ 313,64; Sell Out Doce De Leite Tradicional Bag 2,5 Kg - R$ 838,90; Sell Out Doce De Leite Tradicional Lata 5Kg - R$ 1.149,31; Sell Out Leite Condensado Bag 2,5Kg - R$ 1.186,53; Sell Out Leite Condensado Bag 5,0 Kg - R$ 3.954,54; Sell Out Leite Condensado Lata 5Kg - R$401,48; Sell Out Leite Condensado Itambe Bag 5Kg 1,5% - R$ 309,72; Sell Out Composto Culinário Bp 25Kg Itb Go - R$ 445,05</t>
  </si>
  <si>
    <t>Investimento de  Sell out em: Leite Condensado Lata 395G - R$ 2.974; Sell out Leite Condensado Lata 1,01Kg - R$ 2.000</t>
  </si>
  <si>
    <t>0756</t>
  </si>
  <si>
    <t xml:space="preserve">Investimento de Sell In em: Blister Manteiga President Com E Sem Sal para Aumento Volume </t>
  </si>
  <si>
    <t>Investimento de Sell Out em: Leite Condensado Semi 5Kg - R$ 8.000; Leite Condensado Int Bag 5Kg-R$ 7.000</t>
  </si>
  <si>
    <t xml:space="preserve">Investimento de Sell out em: Leite Condensado Bag 5Kg - R$ 1.020; Sell out Leite Condensado Lata 5Kg - R$ 1.000; Sell out Creme De Leite 25% -R$ 350 </t>
  </si>
  <si>
    <t>Investimento de Sell out em: Leite Condensado Semi 5Kg-R$ 18.000; Sell out Condensado Int 5Kg-R$ 7.000 +  2° Parcela Jotaja-R$ 7.500</t>
  </si>
  <si>
    <t>Investimento na Campanha de Aniversario - 1° Parcela-2000</t>
  </si>
  <si>
    <t>Investimento Na Campanha Anual - Cota Ouro R$ 60.000 (Parcela 4/6)+ Investimento de Sell Out Em: Leite Condensado Bag 5Kg- R$ 6.000; Doce De Leite-R$ 1. 000; Creme 17%- R$ 3.000; Blister Itambé R$ 1.091</t>
  </si>
  <si>
    <t>Campanha + Sell out</t>
  </si>
  <si>
    <t>Investimento de Sell out em: Leite Condensado Lata 5Kg - R$ 2.000; Sell out Creme De Leite 17% - R$ 500; Sell out Creme De Leite 25% - R$ 500; Sell out Doce De Leite Lata 5Kg - R$ 1.000</t>
  </si>
  <si>
    <t>Investimento de Sell out em: Leite Condensado Bag 5Kg - R$ 4.000; Sell out Doce De Leite Lata 5Kg R$ 1.200; Sell out Creme De Leite 25% - R$ 3.500; Sell out Creme 17% - R$ 2.500; Sell out Composto Profissional - R$ 2.500; Sell out Leite Condensado Lata 5Kg - R$ 3.500</t>
  </si>
  <si>
    <t>Investimento de Sell in em: Manteiga Itambe Com Sal10G-R$ 2.822; Manteiga Itambe Sem Sal10G - R$ 564</t>
  </si>
  <si>
    <t>Investimento de Sell out em: Doce De Leite Lata 5Kg - R$ 546; Sell out Leite Condensado 1,01Kg - R$ 226; Sell out Creme 25% - R$ 737</t>
  </si>
  <si>
    <t>Itens a Bonificar: Leite condensado 5kg lata - 45 caixas; Leite em po 400g-70 sacos; Manteiga itambe 10g sem sal - 311 caixas. O pagamento cobre as seguintes ações: Pacote De Markting - R$ 8.000; Gerador Demanda- R$ 5.000; Sell Out Leite Condensado Semi 5Kg-R$ 16.000; Sell out Condensado Integral5Kg- R$ 10.000; Sell out Condensado Semi Tp- R$ 6.000; Sell out Manteiga Bloco R$ 8.000; Sell out Doce 2,5-R$ 3.000;  Sell in Blister - R$ 6.773</t>
  </si>
  <si>
    <t xml:space="preserve">KARIS FOOD / LUIZ </t>
  </si>
  <si>
    <t xml:space="preserve">UP DIST DE PRODS DESCARTAVEIS L
</t>
  </si>
  <si>
    <t>Outubro</t>
  </si>
  <si>
    <t>HMF REPRESENTACAO DE ALIMENTOS LTDA</t>
  </si>
  <si>
    <t>JADE COM ATAC DE PROD EM SACHES LTD</t>
  </si>
  <si>
    <t xml:space="preserve">Investimento de Sell Out em:  Creme De Leite 17% Cartonado 1,01Kg- R$ 500; Sell Out Leite Condensado Bag 2,5Kg - R$ 500; Sell Out Doce De Leite Bag 2,5Kg - R$ 500; Sell Out Leite Condensado Lata 1,01Kg 8% Itambe - R$500
</t>
  </si>
  <si>
    <t>Investimento de Sell in em: Manteiga bloco 5kg</t>
  </si>
  <si>
    <t>Investimento de Sell in em: Manteiga blister com e sem sal -  Itambé</t>
  </si>
  <si>
    <t>Investimento de NF de Devolução referente ao ano de 2023</t>
  </si>
  <si>
    <t>Erro Operacional</t>
  </si>
  <si>
    <t>Rodrigo</t>
  </si>
  <si>
    <t>Verba</t>
  </si>
  <si>
    <t>Investimento na Campanha Anual Oesa - Cota Bronze (Parcela 06/09) Valor Total Do Acordo R$20.000.</t>
  </si>
  <si>
    <t>Investimento de Sell In, SKU: 610405337 - MANTEIGA C/SAL BLISTER 10G PRESIDENT TEU; 610402337 - MANTEIGA S/SAL BLISTER 10G PRESIDENT TEU</t>
  </si>
  <si>
    <t xml:space="preserve">Investimento em sell in referente às vendas de outubro 26 itambé, Categoria: Composto R$ 114,65, Creme R$ 36,72, Doce R$ 137,64, Leite Condensado R$ 507,90, ManteigaR$ 29,63 
</t>
  </si>
  <si>
    <t xml:space="preserve">Investimento de Sell In referente às vendas de setembro 26, Creme de Leite  R$ 1.110,47, Leite Condensado R$ 8.889,53 </t>
  </si>
  <si>
    <t xml:space="preserve">Investimennto em sell in referente às vendas de setembro 2026, Categorias: Creme de Leite  R$ 856,81, Doce de Leite R$ 393,30, Leite Condensado R$ 931,00 </t>
  </si>
  <si>
    <t>DIST DE ALIMENTOS DEQUECH LTDA</t>
  </si>
  <si>
    <t>Parcela 1 de investimento na Campanha de Verão Dequech 2026 - essa campanha tem por objetivo incentivar a marca no distribuidor para garantir o crescimento das seguintes categorias: Leite Condensado e Composto culinário, além de cadastro de novos Skus.</t>
  </si>
  <si>
    <t xml:space="preserve">5016719	</t>
  </si>
  <si>
    <t>PENNACCHI E CIA LTDA</t>
  </si>
  <si>
    <t>1/3 Pagamento referente a pendencias de ações realizadas para sell out e FIFO no ano passado -pagamento para reativação de cliente e retomada de mercado , mediante a pedido mínimo de R$25.000,00</t>
  </si>
  <si>
    <t xml:space="preserve">Investimento em sell in venda outubro 2026, categoria: Creme  R$ 758,72 , Doce de Leite R$ 57,35, Leite Condensado R $296.34 </t>
  </si>
  <si>
    <t xml:space="preserve">Investimento em sell in venda outubro 2026, Categoria: Leite Condensado  R$ 1.785,82, Doce de Leite R$ 219,67 </t>
  </si>
  <si>
    <t>Investimento de Rebate 4% totalizando R$ 14.135,49; Doce de Leite R$ 3.957,94, Leite Condensado R$ 6.502,33, Creme de Leite R$ 2.261,68, Manteiga R$ 565,42, LPI R$ 848,13</t>
  </si>
  <si>
    <t>Pedro</t>
  </si>
  <si>
    <t>20625,26</t>
  </si>
  <si>
    <t xml:space="preserve">Investimento de Rebate 4% em: Doce de Leite R$ 3.428,12, Leite Condensado R$ 5.631,91, Creme de Leite R$ 1.958,92, Manteiga R$ 489,73, LPI R$ 734,60
</t>
  </si>
  <si>
    <t xml:space="preserve">Investimento em sell in referente às vendas de setembro 2026 itambé Categorias: DOCE DE LEITE  R$ 6.799,48 , LEITE CONDENSADO  R$ 30.407,63 , LEITE EM PÓ  R$ 6.765,38, CREME UHT R$ 9.977,67 
</t>
  </si>
  <si>
    <t xml:space="preserve">5366274	</t>
  </si>
  <si>
    <t>INVESTIMENTO DE SELL IN EM LEITE COND SEMIDESNAT CARTONADO 395G - R$500; CREME DE LEITE 25% CARTONADO 1,01KG - R$200 ; DOCE DE LEITE TRADICIONAL LATA 800G - R$150; DOCE DE LEITE ITAMBE 12X350G -R$150 ; LEITE EM PO INTEGRAL PC 1KG - R$150 ; COMPOSTO CULINÁRIO BP SACH10X1KG ITB GO - R$350 ;</t>
  </si>
  <si>
    <t>Investimento em Sell out em Composto Culinário 1kg - R$657,82</t>
  </si>
  <si>
    <t>Investimento em Sell out em  Manteiga bloco 5kg - R$180; Leite Condensado bag 5kg -  R$560; creme de leite - R$720;</t>
  </si>
  <si>
    <t>FUNCHAL IND COM DE PAPEIS LTDA</t>
  </si>
  <si>
    <t>Investimento por rebaixa de preço  no SKU 600651249, Leite Condensado Lata 5kg , 65 latas em estoque próximo do vencimento R$420,00</t>
  </si>
  <si>
    <t>CASA DA PANI COM DE PROD PARA PANI</t>
  </si>
  <si>
    <t>Investimento para Aula Show para confeiteiras/clientes da loja com objetivo de divulgar produtos Itambé na região e garantir a retomada do mercado nas seguintes categorias - Leite Condensado, Doce de Leite e manteiga, além do cadastro de novos produtos</t>
  </si>
  <si>
    <t>KOB COMERCIAL LTDA</t>
  </si>
  <si>
    <t xml:space="preserve">Investimento em Sell In em blisters de manteiga President, SKU's 610405337; 610402337, R$1,00/ kg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</si>
</sst>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_ ;[Red]\-#,##0.00\ "/>
    <numFmt numFmtId="165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4" fontId="2" fillId="0" borderId="1" xfId="0" quotePrefix="1" applyNumberFormat="1" applyFont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44" fontId="2" fillId="0" borderId="1" xfId="2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8" fontId="2" fillId="0" borderId="1" xfId="0" quotePrefix="1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8" fontId="3" fillId="3" borderId="1" xfId="0" quotePrefix="1" applyNumberFormat="1" applyFont="1" applyFill="1" applyBorder="1" applyAlignment="1">
      <alignment horizontal="center" vertical="center" wrapText="1"/>
    </xf>
    <xf numFmtId="14" fontId="3" fillId="3" borderId="1" xfId="0" quotePrefix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44" fontId="3" fillId="3" borderId="1" xfId="2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4" fontId="2" fillId="0" borderId="1" xfId="0" applyNumberFormat="1" applyFont="1" applyBorder="1"/>
    <xf numFmtId="0" fontId="2" fillId="0" borderId="1" xfId="0" applyFont="1" applyBorder="1" applyAlignment="1">
      <alignment vertical="center"/>
    </xf>
    <xf numFmtId="165" fontId="2" fillId="0" borderId="1" xfId="1" applyNumberFormat="1" applyFont="1" applyBorder="1" applyAlignment="1">
      <alignment vertical="center" wrapText="1"/>
    </xf>
    <xf numFmtId="8" fontId="2" fillId="0" borderId="1" xfId="0" quotePrefix="1" applyNumberFormat="1" applyFont="1" applyBorder="1" applyAlignment="1">
      <alignment vertical="center" wrapText="1"/>
    </xf>
    <xf numFmtId="14" fontId="2" fillId="0" borderId="1" xfId="0" quotePrefix="1" applyNumberFormat="1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164" fontId="2" fillId="0" borderId="1" xfId="1" applyNumberFormat="1" applyFont="1" applyFill="1" applyBorder="1" applyAlignment="1">
      <alignment vertical="center"/>
    </xf>
    <xf numFmtId="44" fontId="2" fillId="0" borderId="1" xfId="2" applyFont="1" applyBorder="1" applyAlignment="1"/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14" fontId="2" fillId="0" borderId="1" xfId="1" applyNumberFormat="1" applyFont="1" applyFill="1" applyBorder="1" applyAlignment="1">
      <alignment vertical="center"/>
    </xf>
    <xf numFmtId="0" fontId="2" fillId="0" borderId="1" xfId="0" quotePrefix="1" applyFont="1" applyBorder="1" applyAlignment="1">
      <alignment vertical="center"/>
    </xf>
    <xf numFmtId="165" fontId="2" fillId="0" borderId="1" xfId="1" applyNumberFormat="1" applyFont="1" applyBorder="1" applyAlignment="1">
      <alignment vertical="center"/>
    </xf>
    <xf numFmtId="165" fontId="2" fillId="0" borderId="1" xfId="1" quotePrefix="1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/>
    </xf>
    <xf numFmtId="0" fontId="2" fillId="0" borderId="1" xfId="0" quotePrefix="1" applyFont="1" applyBorder="1" applyAlignment="1">
      <alignment vertical="center" wrapText="1"/>
    </xf>
    <xf numFmtId="0" fontId="2" fillId="0" borderId="1" xfId="0" applyFont="1" applyBorder="1" applyAlignment="1">
      <alignment horizontal="right" vertic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13.%20Acordos%20Comerciais/Acordos%20Indiretos/Controle%20de%20Acordos.xlsx" TargetMode="External"/><Relationship Id="rId2" Type="http://schemas.openxmlformats.org/officeDocument/2006/relationships/externalLinkPath" Target="file:///\\urano\Setor_Area\Exporta&#231;&#227;o\Institucional%20e%20Food%20Service\INTELIG&#202;NCIA%20COMERCIAL\13.%20Acordos%20Comerciais\Acordos%20Indiretos\Controle%20de%20Acordos.xlsx" TargetMode="External"/><Relationship Id="rId1" Type="http://schemas.openxmlformats.org/officeDocument/2006/relationships/externalLinkPath" Target="/Exporta&#231;&#227;o/Institucional%20e%20Food%20Service/INTELIG&#202;NCIA%20COMERCIAL/13.%20Acordos%20Comerciais/Acordos%20Indiretos/Controle%20de%20Acor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UMO"/>
      <sheetName val="BASE ACORDOS"/>
      <sheetName val="CLIENTES"/>
      <sheetName val="JANEIRO"/>
      <sheetName val="FEVEREIRO"/>
      <sheetName val="MARÇO"/>
      <sheetName val="ABRIL"/>
      <sheetName val="MAIO"/>
      <sheetName val="JUNHO"/>
      <sheetName val="JULHO"/>
      <sheetName val="AGOSTO"/>
      <sheetName val="SETEMBRO"/>
      <sheetName val="OUTUBRO"/>
      <sheetName val="DEZEMBRO"/>
    </sheetNames>
    <sheetDataSet>
      <sheetData sheetId="0"/>
      <sheetData sheetId="1"/>
      <sheetData sheetId="2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  <cell r="H1" t="str">
            <v>Segmento antigo</v>
          </cell>
          <cell r="I1" t="str">
            <v>Segmento</v>
          </cell>
          <cell r="J1" t="str">
            <v>Vendedor</v>
          </cell>
          <cell r="K1" t="str">
            <v>Empresa</v>
          </cell>
          <cell r="L1" t="str">
            <v>GERENTE</v>
          </cell>
          <cell r="M1" t="str">
            <v>COORDENAÇÃO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  <cell r="H2" t="str">
            <v>INGREDIENTS</v>
          </cell>
          <cell r="I2" t="str">
            <v>INGREDIENTS</v>
          </cell>
          <cell r="J2" t="str">
            <v>MARCELO RODRIGUES</v>
          </cell>
          <cell r="K2" t="str">
            <v>LACTALIS</v>
          </cell>
          <cell r="L2" t="str">
            <v>MAURICIO</v>
          </cell>
          <cell r="M2" t="str">
            <v>MARCELO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  <cell r="H3" t="str">
            <v>DISTRIBUIÇÃO</v>
          </cell>
          <cell r="I3" t="str">
            <v>FOOD SERVICE</v>
          </cell>
          <cell r="J3" t="str">
            <v>FLAC 4</v>
          </cell>
          <cell r="K3" t="str">
            <v>LACTALIS</v>
          </cell>
          <cell r="L3" t="str">
            <v>RODRIGO</v>
          </cell>
          <cell r="M3" t="str">
            <v>RAQUEL BARBOSA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  <cell r="H4" t="str">
            <v>DISTRIBUIÇÃO</v>
          </cell>
          <cell r="I4" t="str">
            <v>FOOD SERVICE</v>
          </cell>
          <cell r="J4" t="str">
            <v>FLAC 4</v>
          </cell>
          <cell r="K4" t="str">
            <v>LACTALIS</v>
          </cell>
          <cell r="L4" t="str">
            <v>RODRIGO</v>
          </cell>
          <cell r="M4" t="str">
            <v>RAQUEL BARBOSA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  <cell r="H5" t="str">
            <v>DISTRIBUIÇÃO</v>
          </cell>
          <cell r="I5" t="str">
            <v>FOOD SERVICE</v>
          </cell>
          <cell r="J5" t="str">
            <v>FLAC 5</v>
          </cell>
          <cell r="K5" t="str">
            <v>LACTALIS</v>
          </cell>
          <cell r="L5" t="str">
            <v>RODRIGO</v>
          </cell>
          <cell r="M5" t="str">
            <v>RAQUEL BARBOSA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  <cell r="H6" t="str">
            <v>DISTRIBUIÇÃO</v>
          </cell>
          <cell r="I6" t="str">
            <v>FOOD SERVICE</v>
          </cell>
          <cell r="J6" t="str">
            <v>FLAC 4</v>
          </cell>
          <cell r="K6" t="str">
            <v>LACTALIS</v>
          </cell>
          <cell r="L6" t="str">
            <v>RODRIGO</v>
          </cell>
          <cell r="M6" t="str">
            <v>RAQUEL BARBOSA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  <cell r="H7" t="str">
            <v>DISTRIBUIÇÃO</v>
          </cell>
          <cell r="I7" t="str">
            <v>FOOD SERVICE</v>
          </cell>
          <cell r="J7" t="str">
            <v>FLAC 4</v>
          </cell>
          <cell r="K7" t="str">
            <v>LACTALIS</v>
          </cell>
          <cell r="L7" t="str">
            <v>RODRIGO</v>
          </cell>
          <cell r="M7" t="str">
            <v>RAQUEL BARBOSA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  <cell r="H8" t="str">
            <v>DISTRIBUIÇÃO</v>
          </cell>
          <cell r="I8" t="str">
            <v>FOOD SERVICE</v>
          </cell>
          <cell r="J8" t="str">
            <v>FLAC 6</v>
          </cell>
          <cell r="K8" t="str">
            <v>LACTALIS</v>
          </cell>
          <cell r="L8" t="str">
            <v>RODRIGO</v>
          </cell>
          <cell r="M8" t="str">
            <v>RAQUEL BARBOSA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  <cell r="H9" t="str">
            <v>DISTRIBUIÇÃO</v>
          </cell>
          <cell r="I9" t="str">
            <v>FOOD SERVICE</v>
          </cell>
          <cell r="J9" t="str">
            <v>FLAC 8</v>
          </cell>
          <cell r="K9" t="str">
            <v>LACTALIS</v>
          </cell>
          <cell r="L9" t="str">
            <v>RODRIGO</v>
          </cell>
          <cell r="M9" t="str">
            <v>RAQUEL BARBOSA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  <cell r="H10" t="str">
            <v>DISTRIBUIÇÃO</v>
          </cell>
          <cell r="I10" t="str">
            <v>FOOD SERVICE</v>
          </cell>
          <cell r="J10" t="str">
            <v>VAGO SP</v>
          </cell>
          <cell r="K10" t="str">
            <v>LACTALIS</v>
          </cell>
          <cell r="L10" t="str">
            <v>RODRIGO</v>
          </cell>
          <cell r="M10" t="str">
            <v>RAQUEL BARBOSA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  <cell r="H11" t="str">
            <v>DISTRIBUIÇÃO</v>
          </cell>
          <cell r="I11" t="str">
            <v>FOOD SERVICE</v>
          </cell>
          <cell r="J11" t="str">
            <v>FLAC 6</v>
          </cell>
          <cell r="K11" t="str">
            <v>LACTALIS</v>
          </cell>
          <cell r="L11" t="str">
            <v>RODRIGO</v>
          </cell>
          <cell r="M11" t="str">
            <v>RAQUEL BARBOSA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  <cell r="H12" t="str">
            <v>DISTRIBUIÇÃO</v>
          </cell>
          <cell r="I12" t="str">
            <v>FOOD SERVICE</v>
          </cell>
          <cell r="J12" t="str">
            <v>FLAC 5</v>
          </cell>
          <cell r="K12" t="str">
            <v>LACTALIS</v>
          </cell>
          <cell r="L12" t="str">
            <v>RODRIGO</v>
          </cell>
          <cell r="M12" t="str">
            <v>RAQUEL BARBOSA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  <cell r="H13" t="str">
            <v>DISTRIBUIÇÃO</v>
          </cell>
          <cell r="I13" t="str">
            <v>FOOD SERVICE</v>
          </cell>
          <cell r="J13" t="str">
            <v>FLAC 2</v>
          </cell>
          <cell r="K13" t="str">
            <v>LACTALIS</v>
          </cell>
          <cell r="L13" t="str">
            <v>RODRIGO</v>
          </cell>
          <cell r="M13" t="str">
            <v>RAQUEL BARBOSA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  <cell r="H14" t="str">
            <v>DISTRIBUIÇÃO</v>
          </cell>
          <cell r="I14" t="str">
            <v>FOOD SERVICE</v>
          </cell>
          <cell r="J14" t="str">
            <v>FLAC 2</v>
          </cell>
          <cell r="K14" t="str">
            <v>LACTALIS</v>
          </cell>
          <cell r="L14" t="str">
            <v>RODRIGO</v>
          </cell>
          <cell r="M14" t="str">
            <v>RAQUEL BARBOSA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  <cell r="H15" t="str">
            <v>DISTRIBUIÇÃO</v>
          </cell>
          <cell r="I15" t="str">
            <v>FOOD SERVICE</v>
          </cell>
          <cell r="J15" t="str">
            <v>FLAC 6</v>
          </cell>
          <cell r="K15" t="str">
            <v>LACTALIS</v>
          </cell>
          <cell r="L15" t="str">
            <v>RODRIGO</v>
          </cell>
          <cell r="M15" t="str">
            <v>RAQUEL BARBOSA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  <cell r="H16" t="str">
            <v>INGREDIENTS</v>
          </cell>
          <cell r="I16" t="str">
            <v>INGREDIENTS</v>
          </cell>
          <cell r="J16" t="str">
            <v>MARCELO RODRIGUES</v>
          </cell>
          <cell r="K16" t="str">
            <v>LACTALIS</v>
          </cell>
          <cell r="L16" t="str">
            <v>MAURICIO</v>
          </cell>
          <cell r="M16" t="str">
            <v>MARCELO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  <cell r="H17" t="str">
            <v>DISTRIBUIÇÃO</v>
          </cell>
          <cell r="I17" t="str">
            <v>FOOD SERVICE</v>
          </cell>
          <cell r="J17" t="str">
            <v>FLAC 2</v>
          </cell>
          <cell r="K17" t="str">
            <v>LACTALIS</v>
          </cell>
          <cell r="L17" t="str">
            <v>RODRIGO</v>
          </cell>
          <cell r="M17" t="str">
            <v>RAQUEL BARBOSA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  <cell r="H18" t="str">
            <v>DISTRIBUIÇÃO</v>
          </cell>
          <cell r="I18" t="str">
            <v>FOOD SERVICE</v>
          </cell>
          <cell r="J18" t="str">
            <v>FLAC 6</v>
          </cell>
          <cell r="K18" t="str">
            <v>LACTALIS</v>
          </cell>
          <cell r="L18" t="str">
            <v>RODRIGO</v>
          </cell>
          <cell r="M18" t="str">
            <v>RAQUEL BARBOSA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  <cell r="H19" t="str">
            <v>DISTRIBUIÇÃO</v>
          </cell>
          <cell r="I19" t="str">
            <v>FOOD SERVICE</v>
          </cell>
          <cell r="J19" t="str">
            <v>FLAC 2</v>
          </cell>
          <cell r="K19" t="str">
            <v>LACTALIS</v>
          </cell>
          <cell r="L19" t="str">
            <v>RODRIGO</v>
          </cell>
          <cell r="M19" t="str">
            <v>RAQUEL BARBOSA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  <cell r="H20" t="str">
            <v>DISTRIBUIÇÃO</v>
          </cell>
          <cell r="I20" t="str">
            <v>FOOD SERVICE</v>
          </cell>
          <cell r="J20" t="str">
            <v>FLAC 6</v>
          </cell>
          <cell r="K20" t="str">
            <v>LACTALIS</v>
          </cell>
          <cell r="L20" t="str">
            <v>RODRIGO</v>
          </cell>
          <cell r="M20" t="str">
            <v>RAQUEL BARBOSA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  <cell r="H21" t="str">
            <v>DISTRIBUIÇÃO</v>
          </cell>
          <cell r="I21" t="str">
            <v>FOOD SERVICE</v>
          </cell>
          <cell r="J21" t="str">
            <v>FLAC 6</v>
          </cell>
          <cell r="K21" t="str">
            <v>LACTALIS</v>
          </cell>
          <cell r="L21" t="str">
            <v>RODRIGO</v>
          </cell>
          <cell r="M21" t="str">
            <v>RAQUEL BARBOSA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  <cell r="H22" t="str">
            <v>DISTRIBUIÇÃO</v>
          </cell>
          <cell r="I22" t="str">
            <v>FOOD SERVICE</v>
          </cell>
          <cell r="J22" t="str">
            <v>FLAC 2</v>
          </cell>
          <cell r="K22" t="str">
            <v>LACTALIS</v>
          </cell>
          <cell r="L22" t="str">
            <v>RODRIGO</v>
          </cell>
          <cell r="M22" t="str">
            <v>RAQUEL BARBOSA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  <cell r="H23" t="str">
            <v>DISTRIBUIÇÃO</v>
          </cell>
          <cell r="I23" t="str">
            <v>FOOD SERVICE</v>
          </cell>
          <cell r="J23" t="str">
            <v>FLAC 1</v>
          </cell>
          <cell r="K23" t="str">
            <v>LACTALIS</v>
          </cell>
          <cell r="L23" t="str">
            <v>RODRIGO</v>
          </cell>
          <cell r="M23" t="str">
            <v>RAQUEL BARBOSA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  <cell r="H24" t="str">
            <v>DISTRIBUIÇÃO</v>
          </cell>
          <cell r="I24" t="str">
            <v>FOOD SERVICE</v>
          </cell>
          <cell r="J24" t="str">
            <v>FLAC 2</v>
          </cell>
          <cell r="K24" t="str">
            <v>LACTALIS</v>
          </cell>
          <cell r="L24" t="str">
            <v>RODRIGO</v>
          </cell>
          <cell r="M24" t="str">
            <v>RAQUEL BARBOSA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  <cell r="H25" t="str">
            <v>DISTRIBUIÇÃO</v>
          </cell>
          <cell r="I25" t="str">
            <v>FOOD SERVICE</v>
          </cell>
          <cell r="J25" t="str">
            <v>FLAC 6</v>
          </cell>
          <cell r="K25" t="str">
            <v>LACTALIS</v>
          </cell>
          <cell r="L25" t="str">
            <v>RODRIGO</v>
          </cell>
          <cell r="M25" t="str">
            <v>RAQUEL BARBOSA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  <cell r="H26" t="str">
            <v>DISTRIBUIÇÃO</v>
          </cell>
          <cell r="I26" t="str">
            <v>FOOD SERVICE</v>
          </cell>
          <cell r="J26" t="str">
            <v>FLAC 2</v>
          </cell>
          <cell r="K26" t="str">
            <v>LACTALIS</v>
          </cell>
          <cell r="L26" t="str">
            <v>RODRIGO</v>
          </cell>
          <cell r="M26" t="str">
            <v>RAQUEL BARBOSA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  <cell r="H27" t="str">
            <v>DISTRIBUIÇÃO</v>
          </cell>
          <cell r="I27" t="str">
            <v>FOOD SERVICE</v>
          </cell>
          <cell r="J27" t="str">
            <v>FLAC 2</v>
          </cell>
          <cell r="K27" t="str">
            <v>LACTALIS</v>
          </cell>
          <cell r="L27" t="str">
            <v>RODRIGO</v>
          </cell>
          <cell r="M27" t="str">
            <v>RAQUEL BARBOSA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  <cell r="H28" t="str">
            <v>DISTRIBUIÇÃO</v>
          </cell>
          <cell r="I28" t="str">
            <v>FOOD SERVICE</v>
          </cell>
          <cell r="J28" t="str">
            <v>FLAC 2</v>
          </cell>
          <cell r="K28" t="str">
            <v>LACTALIS</v>
          </cell>
          <cell r="L28" t="str">
            <v>RODRIGO</v>
          </cell>
          <cell r="M28" t="str">
            <v>RAQUEL BARBOSA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  <cell r="H29" t="str">
            <v>DISTRIBUIÇÃO</v>
          </cell>
          <cell r="I29" t="str">
            <v>FOOD SERVICE</v>
          </cell>
          <cell r="J29" t="str">
            <v>FLAC 3</v>
          </cell>
          <cell r="K29" t="str">
            <v>LACTALIS</v>
          </cell>
          <cell r="L29" t="str">
            <v>RODRIGO</v>
          </cell>
          <cell r="M29" t="str">
            <v>RAQUEL BARBOSA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  <cell r="H30" t="str">
            <v>DISTRIBUIÇÃO</v>
          </cell>
          <cell r="I30" t="str">
            <v>FOOD SERVICE</v>
          </cell>
          <cell r="J30" t="str">
            <v>CLAUDIO JORGE</v>
          </cell>
          <cell r="K30" t="str">
            <v>ITAMBÉ</v>
          </cell>
          <cell r="L30" t="str">
            <v>RODRIGO</v>
          </cell>
          <cell r="M30" t="str">
            <v>MARIA LOURDES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  <cell r="H31" t="str">
            <v>DISTRIBUIÇÃO</v>
          </cell>
          <cell r="I31" t="str">
            <v>FOOD SERVICE</v>
          </cell>
          <cell r="J31" t="str">
            <v>CLAUDIO JORGE/LUIZ</v>
          </cell>
          <cell r="K31" t="str">
            <v>ITAMBÉ</v>
          </cell>
          <cell r="L31" t="str">
            <v>RODRIGO</v>
          </cell>
          <cell r="M31" t="str">
            <v>MARIA LOURDES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  <cell r="H32" t="str">
            <v>DISTRIBUIÇÃO</v>
          </cell>
          <cell r="I32" t="str">
            <v>FOOD SERVICE</v>
          </cell>
          <cell r="J32" t="str">
            <v>FLAC 5</v>
          </cell>
          <cell r="K32" t="str">
            <v>LACTALIS</v>
          </cell>
          <cell r="L32" t="str">
            <v>RODRIGO</v>
          </cell>
          <cell r="M32" t="str">
            <v>RAQUEL BARBOSA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  <cell r="H33" t="str">
            <v>DISTRIBUIÇÃO</v>
          </cell>
          <cell r="I33" t="str">
            <v>FOOD SERVICE</v>
          </cell>
          <cell r="J33" t="str">
            <v>FLAC 6</v>
          </cell>
          <cell r="K33" t="str">
            <v>LACTALIS</v>
          </cell>
          <cell r="L33" t="str">
            <v>RODRIGO</v>
          </cell>
          <cell r="M33" t="str">
            <v>RAQUEL BARBOSA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  <cell r="H34" t="str">
            <v>DISTRIBUIÇÃO</v>
          </cell>
          <cell r="I34" t="str">
            <v>FOOD SERVICE</v>
          </cell>
          <cell r="J34" t="str">
            <v>FLAC 6</v>
          </cell>
          <cell r="K34" t="str">
            <v>LACTALIS</v>
          </cell>
          <cell r="L34" t="str">
            <v>RODRIGO</v>
          </cell>
          <cell r="M34" t="str">
            <v>RAQUEL BARBOSA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  <cell r="H35" t="str">
            <v>DISTRIBUIÇÃO</v>
          </cell>
          <cell r="I35" t="str">
            <v>FOOD SERVICE</v>
          </cell>
          <cell r="J35" t="str">
            <v>FLAC 2</v>
          </cell>
          <cell r="K35" t="str">
            <v>LACTALIS</v>
          </cell>
          <cell r="L35" t="str">
            <v>RODRIGO</v>
          </cell>
          <cell r="M35" t="str">
            <v>RAQUEL BARBOSA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  <cell r="H36" t="str">
            <v>DISTRIBUIÇÃO</v>
          </cell>
          <cell r="I36" t="str">
            <v>FOOD SERVICE</v>
          </cell>
          <cell r="J36" t="str">
            <v>FLAC 6</v>
          </cell>
          <cell r="K36" t="str">
            <v>LACTALIS</v>
          </cell>
          <cell r="L36" t="str">
            <v>RODRIGO</v>
          </cell>
          <cell r="M36" t="str">
            <v>RAQUEL BARBOSA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  <cell r="H37" t="str">
            <v>DISTRIBUIÇÃO</v>
          </cell>
          <cell r="I37" t="str">
            <v>FOOD SERVICE</v>
          </cell>
          <cell r="J37" t="str">
            <v>CLAUDIO JORGE/LUIZ</v>
          </cell>
          <cell r="K37" t="str">
            <v>ITAMBÉ</v>
          </cell>
          <cell r="L37" t="str">
            <v>RODRIGO</v>
          </cell>
          <cell r="M37" t="str">
            <v>MARIA LOURDES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  <cell r="H38" t="str">
            <v>DISTRIBUIÇÃO</v>
          </cell>
          <cell r="I38" t="str">
            <v>FOOD SERVICE</v>
          </cell>
          <cell r="J38" t="str">
            <v>FLAC 3</v>
          </cell>
          <cell r="K38" t="str">
            <v>LACTALIS</v>
          </cell>
          <cell r="L38" t="str">
            <v>RODRIGO</v>
          </cell>
          <cell r="M38" t="str">
            <v>RAQUEL BARBOSA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  <cell r="H39" t="str">
            <v>DISTRIBUIÇÃO</v>
          </cell>
          <cell r="I39" t="str">
            <v>FOOD SERVICE</v>
          </cell>
          <cell r="J39" t="str">
            <v>FLAC 6</v>
          </cell>
          <cell r="K39" t="str">
            <v>LACTALIS</v>
          </cell>
          <cell r="L39" t="str">
            <v>RODRIGO</v>
          </cell>
          <cell r="M39" t="str">
            <v>RAQUEL BARBOSA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  <cell r="H40" t="str">
            <v>OUTROS</v>
          </cell>
          <cell r="I40" t="str">
            <v>OUTROS</v>
          </cell>
          <cell r="J40" t="str">
            <v>ITAMBE - EXPORTACAO</v>
          </cell>
          <cell r="K40" t="str">
            <v>OUTROS</v>
          </cell>
          <cell r="L40" t="str">
            <v>OUTROS</v>
          </cell>
          <cell r="M40" t="str">
            <v>EXPORTAÇÃO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  <cell r="H41" t="str">
            <v>DISTRIBUIÇÃO</v>
          </cell>
          <cell r="I41" t="str">
            <v>FOOD SERVICE</v>
          </cell>
          <cell r="J41" t="str">
            <v>FLAC 2</v>
          </cell>
          <cell r="K41" t="str">
            <v>LACTALIS</v>
          </cell>
          <cell r="L41" t="str">
            <v>RODRIGO</v>
          </cell>
          <cell r="M41" t="str">
            <v>RAQUEL BARBOSA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  <cell r="H42" t="str">
            <v>INGREDIENTS</v>
          </cell>
          <cell r="I42" t="str">
            <v>INGREDIENTS</v>
          </cell>
          <cell r="J42" t="str">
            <v>RJ ITB FS CDR REPRESENTAÇÕES</v>
          </cell>
          <cell r="K42" t="str">
            <v>ITAMBÉ</v>
          </cell>
          <cell r="L42" t="str">
            <v>MAURICIO</v>
          </cell>
          <cell r="M42" t="str">
            <v>TATIANA NITTA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  <cell r="H43" t="str">
            <v>DISTRIBUIÇÃO</v>
          </cell>
          <cell r="I43" t="str">
            <v>FOOD SERVICE</v>
          </cell>
          <cell r="J43" t="str">
            <v>CLAUDIO JORGE/LUIZ</v>
          </cell>
          <cell r="K43" t="str">
            <v>ITAMBÉ</v>
          </cell>
          <cell r="L43" t="str">
            <v>RODRIGO</v>
          </cell>
          <cell r="M43" t="str">
            <v>MARIA LOURDES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  <cell r="H44" t="str">
            <v>INGREDIENTS</v>
          </cell>
          <cell r="I44" t="str">
            <v>INGREDIENTS</v>
          </cell>
          <cell r="J44" t="str">
            <v>HENRIQUE FERREIRA</v>
          </cell>
          <cell r="K44" t="str">
            <v>ITAMBÉ</v>
          </cell>
          <cell r="L44" t="str">
            <v>MAURICIO</v>
          </cell>
          <cell r="M44" t="str">
            <v>JOEL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  <cell r="H45" t="str">
            <v>DISTRIBUIÇÃO</v>
          </cell>
          <cell r="I45" t="str">
            <v>FOOD SERVICE</v>
          </cell>
          <cell r="J45" t="str">
            <v>FLAC 5</v>
          </cell>
          <cell r="K45" t="str">
            <v>LACTALIS</v>
          </cell>
          <cell r="L45" t="str">
            <v>RODRIGO</v>
          </cell>
          <cell r="M45" t="str">
            <v>RAQUEL BARBOSA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  <cell r="H46" t="str">
            <v>DISTRIBUIÇÃO</v>
          </cell>
          <cell r="I46" t="str">
            <v>FOOD SERVICE</v>
          </cell>
          <cell r="J46" t="str">
            <v>FLAC 4</v>
          </cell>
          <cell r="K46" t="str">
            <v>LACTALIS</v>
          </cell>
          <cell r="L46" t="str">
            <v>RODRIGO</v>
          </cell>
          <cell r="M46" t="str">
            <v>RAQUEL BARBOSA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  <cell r="H47" t="str">
            <v>DISTRIBUIÇÃO</v>
          </cell>
          <cell r="I47" t="str">
            <v>FOOD SERVICE</v>
          </cell>
          <cell r="J47" t="str">
            <v>ALEXANDRE BONANI</v>
          </cell>
          <cell r="K47" t="str">
            <v>ITAMBÉ</v>
          </cell>
          <cell r="L47" t="str">
            <v>RODRIGO</v>
          </cell>
          <cell r="M47" t="str">
            <v>ALEXANDRE BONANI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  <cell r="H48" t="str">
            <v>DISTRIBUIÇÃO</v>
          </cell>
          <cell r="I48" t="str">
            <v>FOOD SERVICE</v>
          </cell>
          <cell r="J48" t="str">
            <v>FLAC 3</v>
          </cell>
          <cell r="K48" t="str">
            <v>LACTALIS</v>
          </cell>
          <cell r="L48" t="str">
            <v>RODRIGO</v>
          </cell>
          <cell r="M48" t="str">
            <v>RAQUEL BARBOSA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  <cell r="H49" t="str">
            <v>DISTRIBUIÇÃO</v>
          </cell>
          <cell r="I49" t="str">
            <v>FOOD SERVICE</v>
          </cell>
          <cell r="J49" t="str">
            <v>FLAC 3</v>
          </cell>
          <cell r="K49" t="str">
            <v>LACTALIS</v>
          </cell>
          <cell r="L49" t="str">
            <v>RODRIGO</v>
          </cell>
          <cell r="M49" t="str">
            <v>RAQUEL BARBOSA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  <cell r="H50" t="str">
            <v>DISTRIBUIÇÃO</v>
          </cell>
          <cell r="I50" t="str">
            <v>FOOD SERVICE</v>
          </cell>
          <cell r="J50" t="str">
            <v>FLAC 3</v>
          </cell>
          <cell r="K50" t="str">
            <v>LACTALIS</v>
          </cell>
          <cell r="L50" t="str">
            <v>RODRIGO</v>
          </cell>
          <cell r="M50" t="str">
            <v>RAQUEL BARBOSA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  <cell r="H51" t="str">
            <v>DISTRIBUIÇÃO</v>
          </cell>
          <cell r="I51" t="str">
            <v>FOOD SERVICE</v>
          </cell>
          <cell r="J51" t="str">
            <v>FLAC 3</v>
          </cell>
          <cell r="K51" t="str">
            <v>LACTALIS</v>
          </cell>
          <cell r="L51" t="str">
            <v>RODRIGO</v>
          </cell>
          <cell r="M51" t="str">
            <v>RAQUEL BARBOSA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  <cell r="H52" t="str">
            <v>DISTRIBUIÇÃO</v>
          </cell>
          <cell r="I52" t="str">
            <v>FOOD SERVICE</v>
          </cell>
          <cell r="J52" t="str">
            <v>MARCELO SILVA</v>
          </cell>
          <cell r="K52" t="str">
            <v>ITAMBÉ</v>
          </cell>
          <cell r="L52" t="str">
            <v>RODRIGO</v>
          </cell>
          <cell r="M52" t="str">
            <v>CELIO MARTINS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  <cell r="H53" t="str">
            <v>DISTRIBUIÇÃO</v>
          </cell>
          <cell r="I53" t="str">
            <v>FOOD SERVICE</v>
          </cell>
          <cell r="J53" t="str">
            <v>SP ITB FS FLAC REP.E COMERCIO</v>
          </cell>
          <cell r="K53" t="str">
            <v>LACTALIS</v>
          </cell>
          <cell r="L53" t="str">
            <v>RODRIGO</v>
          </cell>
          <cell r="M53" t="str">
            <v>RAQUEL BARBOSA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  <cell r="H54" t="str">
            <v>INGREDIENTS</v>
          </cell>
          <cell r="I54" t="str">
            <v>INGREDIENTS</v>
          </cell>
          <cell r="J54" t="str">
            <v>HENRIQUE FERREIRA</v>
          </cell>
          <cell r="K54" t="str">
            <v>ITAMBÉ</v>
          </cell>
          <cell r="L54" t="str">
            <v>MAURICIO</v>
          </cell>
          <cell r="M54" t="str">
            <v>JOEL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  <cell r="H55" t="str">
            <v>DISTRIBUIÇÃO</v>
          </cell>
          <cell r="I55" t="str">
            <v>FOOD SERVICE</v>
          </cell>
          <cell r="J55" t="str">
            <v>FLAC 3</v>
          </cell>
          <cell r="K55" t="str">
            <v>LACTALIS</v>
          </cell>
          <cell r="L55" t="str">
            <v>RODRIGO</v>
          </cell>
          <cell r="M55" t="str">
            <v>RAQUEL BARBOSA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  <cell r="H56" t="str">
            <v>DISTRIBUIÇÃO</v>
          </cell>
          <cell r="I56" t="str">
            <v>FOOD SERVICE</v>
          </cell>
          <cell r="J56" t="str">
            <v>FLAC 6</v>
          </cell>
          <cell r="K56" t="str">
            <v>LACTALIS</v>
          </cell>
          <cell r="L56" t="str">
            <v>RODRIGO</v>
          </cell>
          <cell r="M56" t="str">
            <v>RAQUEL BARBOSA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  <cell r="H57" t="str">
            <v>DISTRIBUIÇÃO</v>
          </cell>
          <cell r="I57" t="str">
            <v>FOOD SERVICE</v>
          </cell>
          <cell r="J57" t="str">
            <v>CLAUDIO JORGE</v>
          </cell>
          <cell r="K57" t="str">
            <v>ITAMBÉ</v>
          </cell>
          <cell r="L57" t="str">
            <v>RODRIGO</v>
          </cell>
          <cell r="M57" t="str">
            <v>MARIA LOURDES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  <cell r="H58" t="str">
            <v>DISTRIBUIÇÃO</v>
          </cell>
          <cell r="I58" t="str">
            <v>FOOD SERVICE</v>
          </cell>
          <cell r="J58" t="str">
            <v>FLAC 2</v>
          </cell>
          <cell r="K58" t="str">
            <v>LACTALIS</v>
          </cell>
          <cell r="L58" t="str">
            <v>RODRIGO</v>
          </cell>
          <cell r="M58" t="str">
            <v>RAQUEL BARBOSA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  <cell r="H59" t="str">
            <v>DISTRIBUIÇÃO</v>
          </cell>
          <cell r="I59" t="str">
            <v>FOOD SERVICE</v>
          </cell>
          <cell r="J59" t="str">
            <v>CLAUDIO JORGE/LUIZ</v>
          </cell>
          <cell r="K59" t="str">
            <v>ITAMBÉ</v>
          </cell>
          <cell r="L59" t="str">
            <v>RODRIGO</v>
          </cell>
          <cell r="M59" t="str">
            <v>MARIA LOURDES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  <cell r="H60" t="str">
            <v>DISTRIBUIÇÃO</v>
          </cell>
          <cell r="I60" t="str">
            <v>FOOD SERVICE</v>
          </cell>
          <cell r="J60" t="str">
            <v>FLAC 6</v>
          </cell>
          <cell r="K60" t="str">
            <v>LACTALIS</v>
          </cell>
          <cell r="L60" t="str">
            <v>RODRIGO</v>
          </cell>
          <cell r="M60" t="str">
            <v>RAQUEL BARBOSA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  <cell r="H61" t="str">
            <v>DISTRIBUIÇÃO</v>
          </cell>
          <cell r="I61" t="str">
            <v>FOOD SERVICE</v>
          </cell>
          <cell r="J61" t="str">
            <v>FLAC 6</v>
          </cell>
          <cell r="K61" t="str">
            <v>LACTALIS</v>
          </cell>
          <cell r="L61" t="str">
            <v>RODRIGO</v>
          </cell>
          <cell r="M61" t="str">
            <v>RAQUEL BARBOSA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  <cell r="H62" t="str">
            <v>DISTRIBUIÇÃO</v>
          </cell>
          <cell r="I62" t="str">
            <v>FOOD SERVICE</v>
          </cell>
          <cell r="J62" t="str">
            <v>FLAC 3</v>
          </cell>
          <cell r="K62" t="str">
            <v>LACTALIS</v>
          </cell>
          <cell r="L62" t="str">
            <v>RODRIGO</v>
          </cell>
          <cell r="M62" t="str">
            <v>RAQUEL BARBOSA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  <cell r="H63" t="str">
            <v>INGREDIENTS</v>
          </cell>
          <cell r="I63" t="str">
            <v>INGREDIENTS</v>
          </cell>
          <cell r="J63" t="str">
            <v>TATIANA NITTA</v>
          </cell>
          <cell r="K63" t="str">
            <v>LACTALIS</v>
          </cell>
          <cell r="L63" t="str">
            <v>MAURICIO</v>
          </cell>
          <cell r="M63" t="str">
            <v>TATIANA NITTA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  <cell r="H64" t="str">
            <v>INGREDIENTS</v>
          </cell>
          <cell r="I64" t="str">
            <v>INGREDIENTS</v>
          </cell>
          <cell r="J64" t="str">
            <v>TATIANA NITTA</v>
          </cell>
          <cell r="K64" t="str">
            <v>LACTALIS</v>
          </cell>
          <cell r="L64" t="str">
            <v>MAURICIO</v>
          </cell>
          <cell r="M64" t="str">
            <v>TATIANA NITTA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  <cell r="H65" t="str">
            <v>INGREDIENTS</v>
          </cell>
          <cell r="I65" t="str">
            <v>INGREDIENTS</v>
          </cell>
          <cell r="J65" t="str">
            <v>MARCELO RODRIGUES</v>
          </cell>
          <cell r="K65" t="str">
            <v>LACTALIS</v>
          </cell>
          <cell r="L65" t="str">
            <v>MAURICIO</v>
          </cell>
          <cell r="M65" t="str">
            <v>MARCELO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  <cell r="H66" t="str">
            <v>INGREDIENTS</v>
          </cell>
          <cell r="I66" t="str">
            <v>INGREDIENTS</v>
          </cell>
          <cell r="J66" t="str">
            <v>DUAS RODAS</v>
          </cell>
          <cell r="K66" t="str">
            <v>ITAMBÉ</v>
          </cell>
          <cell r="L66" t="str">
            <v>MAURICIO</v>
          </cell>
          <cell r="M66" t="str">
            <v>MARCELO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  <cell r="H67" t="str">
            <v>DISTRIBUIÇÃO</v>
          </cell>
          <cell r="I67" t="str">
            <v>FOOD SERVICE</v>
          </cell>
          <cell r="J67" t="str">
            <v>ALEXANDRE BONANI</v>
          </cell>
          <cell r="K67" t="str">
            <v>ITAMBÉ</v>
          </cell>
          <cell r="L67" t="str">
            <v>RODRIGO</v>
          </cell>
          <cell r="M67" t="str">
            <v>ALEXANDRE BONANI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  <cell r="H68" t="str">
            <v>DISTRIBUIÇÃO</v>
          </cell>
          <cell r="I68" t="str">
            <v>FOOD SERVICE</v>
          </cell>
          <cell r="J68" t="str">
            <v>FLAC 6</v>
          </cell>
          <cell r="K68" t="str">
            <v>LACTALIS</v>
          </cell>
          <cell r="L68" t="str">
            <v>RODRIGO</v>
          </cell>
          <cell r="M68" t="str">
            <v>RAQUEL BARBOSA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  <cell r="H69" t="str">
            <v>DISTRIBUIÇÃO</v>
          </cell>
          <cell r="I69" t="str">
            <v>FOOD SERVICE</v>
          </cell>
          <cell r="J69" t="str">
            <v>FLAC 6</v>
          </cell>
          <cell r="K69" t="str">
            <v>LACTALIS</v>
          </cell>
          <cell r="L69" t="str">
            <v>RODRIGO</v>
          </cell>
          <cell r="M69" t="str">
            <v>RAQUEL BARBOSA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  <cell r="H70" t="str">
            <v>DISTRIBUIÇÃO</v>
          </cell>
          <cell r="I70" t="str">
            <v>FOOD SERVICE</v>
          </cell>
          <cell r="J70" t="str">
            <v>FLAC 5</v>
          </cell>
          <cell r="K70" t="str">
            <v>LACTALIS</v>
          </cell>
          <cell r="L70" t="str">
            <v>RODRIGO</v>
          </cell>
          <cell r="M70" t="str">
            <v>RAQUEL BARBOSA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  <cell r="H71" t="str">
            <v>DISTRIBUIÇÃO</v>
          </cell>
          <cell r="I71" t="str">
            <v>FOOD SERVICE</v>
          </cell>
          <cell r="J71" t="str">
            <v>VAGO SP</v>
          </cell>
          <cell r="K71" t="str">
            <v>ITAMBÉ</v>
          </cell>
          <cell r="L71" t="str">
            <v>RODRIGO</v>
          </cell>
          <cell r="M71" t="str">
            <v>RAQUEL BARBOSA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  <cell r="H72" t="str">
            <v>DISTRIBUIÇÃO</v>
          </cell>
          <cell r="I72" t="str">
            <v>FOOD SERVICE</v>
          </cell>
          <cell r="J72" t="str">
            <v>WH FOOD SERVICE CE</v>
          </cell>
          <cell r="K72" t="str">
            <v>ITAMBÉ</v>
          </cell>
          <cell r="L72" t="str">
            <v>RODRIGO</v>
          </cell>
          <cell r="M72" t="str">
            <v>MARIA LOURDES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  <cell r="H73" t="str">
            <v>DISTRIBUIÇÃO</v>
          </cell>
          <cell r="I73" t="str">
            <v>FOOD SERVICE</v>
          </cell>
          <cell r="J73" t="str">
            <v>ALEXANDRO RODRIGUES</v>
          </cell>
          <cell r="K73" t="str">
            <v>ITAMBÉ</v>
          </cell>
          <cell r="L73" t="str">
            <v>RODRIGO</v>
          </cell>
          <cell r="M73" t="str">
            <v>ALEXANDRO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  <cell r="H74" t="str">
            <v>DISTRIBUIÇÃO</v>
          </cell>
          <cell r="I74" t="str">
            <v>FOOD SERVICE</v>
          </cell>
          <cell r="J74" t="str">
            <v>CLAUDIO JORGE</v>
          </cell>
          <cell r="K74" t="str">
            <v>ITAMBÉ</v>
          </cell>
          <cell r="L74" t="str">
            <v>RODRIGO</v>
          </cell>
          <cell r="M74" t="str">
            <v>MARCO AURELIO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  <cell r="H75" t="str">
            <v>DISTRIBUIÇÃO</v>
          </cell>
          <cell r="I75" t="str">
            <v>FOOD SERVICE</v>
          </cell>
          <cell r="J75" t="str">
            <v>FLAC 2</v>
          </cell>
          <cell r="K75" t="str">
            <v>LACTALIS</v>
          </cell>
          <cell r="L75" t="str">
            <v>RODRIGO</v>
          </cell>
          <cell r="M75" t="str">
            <v>RAQUEL BARBOSA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  <cell r="H76" t="str">
            <v>DISTRIBUIÇÃO</v>
          </cell>
          <cell r="I76" t="str">
            <v>FOOD SERVICE</v>
          </cell>
          <cell r="J76" t="str">
            <v>FLAC 2</v>
          </cell>
          <cell r="K76" t="str">
            <v>LACTALIS</v>
          </cell>
          <cell r="L76" t="str">
            <v>RODRIGO</v>
          </cell>
          <cell r="M76" t="str">
            <v>RAQUEL BARBOSA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  <cell r="H77" t="str">
            <v>DISTRIBUIÇÃO</v>
          </cell>
          <cell r="I77" t="str">
            <v>FOOD SERVICE</v>
          </cell>
          <cell r="J77" t="str">
            <v>ANGELICA BATISTELA</v>
          </cell>
          <cell r="K77" t="str">
            <v>ITAMBÉ</v>
          </cell>
          <cell r="L77" t="str">
            <v>RODRIGO</v>
          </cell>
          <cell r="M77" t="str">
            <v>ANGELICA BATISTELA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  <cell r="H78" t="str">
            <v>DISTRIBUIÇÃO</v>
          </cell>
          <cell r="I78" t="str">
            <v>FOOD SERVICE</v>
          </cell>
          <cell r="J78" t="str">
            <v>FLAC 4</v>
          </cell>
          <cell r="K78" t="str">
            <v>LACTALIS</v>
          </cell>
          <cell r="L78" t="str">
            <v>RODRIGO</v>
          </cell>
          <cell r="M78" t="str">
            <v>RAQUEL BARBOSA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  <cell r="H79" t="str">
            <v>DISTRIBUIÇÃO</v>
          </cell>
          <cell r="I79" t="str">
            <v>FOOD SERVICE</v>
          </cell>
          <cell r="J79" t="str">
            <v>FLAC 2</v>
          </cell>
          <cell r="K79" t="str">
            <v>LACTALIS</v>
          </cell>
          <cell r="L79" t="str">
            <v>RODRIGO</v>
          </cell>
          <cell r="M79" t="str">
            <v>RAQUEL BARBOSA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  <cell r="H80" t="str">
            <v>DISTRIBUIÇÃO</v>
          </cell>
          <cell r="I80" t="str">
            <v>FOOD SERVICE</v>
          </cell>
          <cell r="J80" t="str">
            <v>FLAC 2</v>
          </cell>
          <cell r="K80" t="str">
            <v>LACTALIS</v>
          </cell>
          <cell r="L80" t="str">
            <v>RODRIGO</v>
          </cell>
          <cell r="M80" t="str">
            <v>RAQUEL BARBOSA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  <cell r="H81" t="str">
            <v>DISTRIBUIÇÃO</v>
          </cell>
          <cell r="I81" t="str">
            <v>FOOD SERVICE</v>
          </cell>
          <cell r="J81" t="str">
            <v>MARCELO SILVA</v>
          </cell>
          <cell r="K81" t="str">
            <v>ITAMBÉ</v>
          </cell>
          <cell r="L81" t="str">
            <v>RODRIGO</v>
          </cell>
          <cell r="M81" t="str">
            <v>CELIO MARTINS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  <cell r="H82" t="str">
            <v>DISTRIBUIÇÃO</v>
          </cell>
          <cell r="I82" t="str">
            <v>FOOD SERVICE</v>
          </cell>
          <cell r="J82" t="str">
            <v>FLAC 2</v>
          </cell>
          <cell r="K82" t="str">
            <v>LACTALIS</v>
          </cell>
          <cell r="L82" t="str">
            <v>RODRIGO</v>
          </cell>
          <cell r="M82" t="str">
            <v>RAQUEL BARBOSA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  <cell r="H83" t="str">
            <v>DISTRIBUIÇÃO</v>
          </cell>
          <cell r="I83" t="str">
            <v>FOOD SERVICE</v>
          </cell>
          <cell r="J83" t="str">
            <v>FLAC 2</v>
          </cell>
          <cell r="K83" t="str">
            <v>LACTALIS</v>
          </cell>
          <cell r="L83" t="str">
            <v>RODRIGO</v>
          </cell>
          <cell r="M83" t="str">
            <v>RAQUEL BARBOSA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  <cell r="H84" t="str">
            <v>DISTRIBUIÇÃO</v>
          </cell>
          <cell r="I84" t="str">
            <v>FOOD SERVICE</v>
          </cell>
          <cell r="J84" t="str">
            <v>FLAC 2</v>
          </cell>
          <cell r="K84" t="str">
            <v>LACTALIS</v>
          </cell>
          <cell r="L84" t="str">
            <v>RODRIGO</v>
          </cell>
          <cell r="M84" t="str">
            <v>RAQUEL BARBOSA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  <cell r="H85" t="str">
            <v>INGREDIENTS</v>
          </cell>
          <cell r="I85" t="str">
            <v>INGREDIENTS</v>
          </cell>
          <cell r="J85" t="str">
            <v>MARCELO RODRIGUES</v>
          </cell>
          <cell r="K85" t="str">
            <v>LACTALIS</v>
          </cell>
          <cell r="L85" t="str">
            <v>MAURICIO</v>
          </cell>
          <cell r="M85" t="str">
            <v>MARCELO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  <cell r="H86" t="str">
            <v>QSR</v>
          </cell>
          <cell r="I86" t="str">
            <v>FOOD SERVICE</v>
          </cell>
          <cell r="J86" t="str">
            <v>NUTRI</v>
          </cell>
          <cell r="K86" t="str">
            <v>ITAMBÉ</v>
          </cell>
          <cell r="L86" t="str">
            <v>PEDRO</v>
          </cell>
          <cell r="M86" t="str">
            <v>VAGO QSR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  <cell r="H87" t="str">
            <v>INGREDIENTS</v>
          </cell>
          <cell r="I87" t="str">
            <v>INGREDIENTS</v>
          </cell>
          <cell r="J87" t="str">
            <v>HENRIQUE FERREIRA</v>
          </cell>
          <cell r="K87" t="str">
            <v>ITAMBÉ</v>
          </cell>
          <cell r="L87" t="str">
            <v>MAURICIO</v>
          </cell>
          <cell r="M87" t="str">
            <v>JOEL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  <cell r="H88" t="str">
            <v>INGREDIENTS</v>
          </cell>
          <cell r="I88" t="str">
            <v>INGREDIENTS</v>
          </cell>
          <cell r="J88" t="str">
            <v>TATIANA NITTA</v>
          </cell>
          <cell r="K88" t="str">
            <v>ITAMBÉ</v>
          </cell>
          <cell r="L88" t="str">
            <v>MAURICIO</v>
          </cell>
          <cell r="M88" t="str">
            <v>TATIANA NITTA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  <cell r="H89" t="str">
            <v>INGREDIENTS</v>
          </cell>
          <cell r="I89" t="str">
            <v>INGREDIENTS</v>
          </cell>
          <cell r="J89" t="str">
            <v>TATIANA NITTA</v>
          </cell>
          <cell r="K89" t="str">
            <v>ITAMBÉ</v>
          </cell>
          <cell r="L89" t="str">
            <v>MAURICIO</v>
          </cell>
          <cell r="M89" t="str">
            <v>TATIANA NITTA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  <cell r="H90" t="str">
            <v>INGREDIENTS</v>
          </cell>
          <cell r="I90" t="str">
            <v>INGREDIENTS</v>
          </cell>
          <cell r="J90" t="str">
            <v>HENRIQUE FERREIRA</v>
          </cell>
          <cell r="K90" t="str">
            <v>ITAMBÉ</v>
          </cell>
          <cell r="L90" t="str">
            <v>MAURICIO</v>
          </cell>
          <cell r="M90" t="str">
            <v>JOEL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  <cell r="H91" t="str">
            <v>DISTRIBUIÇÃO</v>
          </cell>
          <cell r="I91" t="str">
            <v>FOOD SERVICE</v>
          </cell>
          <cell r="J91" t="str">
            <v>CLAUDIO JORGE/LUIZ</v>
          </cell>
          <cell r="K91" t="str">
            <v>ITAMBÉ</v>
          </cell>
          <cell r="L91" t="str">
            <v>RODRIGO</v>
          </cell>
          <cell r="M91" t="str">
            <v>MARIA LOURDES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  <cell r="H92" t="str">
            <v>INGREDIENTS</v>
          </cell>
          <cell r="I92" t="str">
            <v>INGREDIENTS</v>
          </cell>
          <cell r="J92" t="str">
            <v>MARCELO RODRIGUES</v>
          </cell>
          <cell r="K92" t="str">
            <v>ITAMBÉ</v>
          </cell>
          <cell r="L92" t="str">
            <v>MAURICIO</v>
          </cell>
          <cell r="M92" t="str">
            <v>MARCELO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  <cell r="H93" t="str">
            <v>DISTRIBUIÇÃO</v>
          </cell>
          <cell r="I93" t="str">
            <v>FOOD SERVICE</v>
          </cell>
          <cell r="J93" t="str">
            <v>GUILHERME NASCIMENTO</v>
          </cell>
          <cell r="K93" t="str">
            <v>ITAMBÉ</v>
          </cell>
          <cell r="L93" t="str">
            <v>RODRIGO</v>
          </cell>
          <cell r="M93" t="str">
            <v>ALEXANDRO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  <cell r="H94" t="str">
            <v>DISTRIBUIÇÃO</v>
          </cell>
          <cell r="I94" t="str">
            <v>FOOD SERVICE</v>
          </cell>
          <cell r="J94" t="str">
            <v>FLAC 3</v>
          </cell>
          <cell r="K94" t="str">
            <v>LACTALIS</v>
          </cell>
          <cell r="L94" t="str">
            <v>RODRIGO</v>
          </cell>
          <cell r="M94" t="str">
            <v>RAQUEL BARBOSA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  <cell r="H95" t="str">
            <v>DISTRIBUIÇÃO</v>
          </cell>
          <cell r="I95" t="str">
            <v>FOOD SERVICE</v>
          </cell>
          <cell r="J95" t="str">
            <v>FLAC 6</v>
          </cell>
          <cell r="K95" t="str">
            <v>LACTALIS</v>
          </cell>
          <cell r="L95" t="str">
            <v>RODRIGO</v>
          </cell>
          <cell r="M95" t="str">
            <v>RAQUEL BARBOSA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  <cell r="H96" t="str">
            <v>DISTRIBUIÇÃO</v>
          </cell>
          <cell r="I96" t="str">
            <v>FOOD SERVICE</v>
          </cell>
          <cell r="J96" t="str">
            <v>FLAC 6</v>
          </cell>
          <cell r="K96" t="str">
            <v>LACTALIS</v>
          </cell>
          <cell r="L96" t="str">
            <v>RODRIGO</v>
          </cell>
          <cell r="M96" t="str">
            <v>RAQUEL BARBOSA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  <cell r="H97" t="str">
            <v>DISTRIBUIÇÃO</v>
          </cell>
          <cell r="I97" t="str">
            <v>FOOD SERVICE</v>
          </cell>
          <cell r="J97" t="str">
            <v>CLAUDIO JORGE</v>
          </cell>
          <cell r="K97" t="str">
            <v>ITAMBÉ</v>
          </cell>
          <cell r="L97" t="str">
            <v>RODRIGO</v>
          </cell>
          <cell r="M97" t="str">
            <v>MARCO AURELIO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  <cell r="H98" t="str">
            <v>DISTRIBUIÇÃO</v>
          </cell>
          <cell r="I98" t="str">
            <v>FOOD SERVICE</v>
          </cell>
          <cell r="J98" t="str">
            <v>FLAC 6</v>
          </cell>
          <cell r="K98" t="str">
            <v>LACTALIS</v>
          </cell>
          <cell r="L98" t="str">
            <v>RODRIGO</v>
          </cell>
          <cell r="M98" t="str">
            <v>RAQUEL BARBOSA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  <cell r="H99" t="str">
            <v>DISTRIBUIÇÃO</v>
          </cell>
          <cell r="I99" t="str">
            <v>FOOD SERVICE</v>
          </cell>
          <cell r="J99" t="str">
            <v>CLAUDIO JORGE</v>
          </cell>
          <cell r="K99" t="str">
            <v>ITAMBÉ</v>
          </cell>
          <cell r="L99" t="str">
            <v>RODRIGO</v>
          </cell>
          <cell r="M99" t="str">
            <v>MARCO AURELIO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  <cell r="H100" t="str">
            <v>DISTRIBUIÇÃO</v>
          </cell>
          <cell r="I100" t="str">
            <v>FOOD SERVICE</v>
          </cell>
          <cell r="J100" t="str">
            <v>CLAUDIO JORGE</v>
          </cell>
          <cell r="K100" t="str">
            <v>ITAMBÉ</v>
          </cell>
          <cell r="L100" t="str">
            <v>RODRIGO</v>
          </cell>
          <cell r="M100" t="str">
            <v>MARCO AURELIO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  <cell r="H101" t="str">
            <v>DISTRIBUIÇÃO</v>
          </cell>
          <cell r="I101" t="str">
            <v>FOOD SERVICE</v>
          </cell>
          <cell r="J101" t="str">
            <v>FLAC 6</v>
          </cell>
          <cell r="K101" t="str">
            <v>LACTALIS</v>
          </cell>
          <cell r="L101" t="str">
            <v>RODRIGO</v>
          </cell>
          <cell r="M101" t="str">
            <v>RAQUEL BARBOSA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  <cell r="H102" t="str">
            <v>DISTRIBUIÇÃO</v>
          </cell>
          <cell r="I102" t="str">
            <v>FOOD SERVICE</v>
          </cell>
          <cell r="J102" t="str">
            <v>FLAC 4</v>
          </cell>
          <cell r="K102" t="str">
            <v>LACTALIS</v>
          </cell>
          <cell r="L102" t="str">
            <v>RODRIGO</v>
          </cell>
          <cell r="M102" t="str">
            <v>RAQUEL BARBOSA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  <cell r="H103" t="str">
            <v>DISTRIBUIÇÃO</v>
          </cell>
          <cell r="I103" t="str">
            <v>FOOD SERVICE</v>
          </cell>
          <cell r="J103" t="str">
            <v>FLAC 6</v>
          </cell>
          <cell r="K103" t="str">
            <v>LACTALIS</v>
          </cell>
          <cell r="L103" t="str">
            <v>RODRIGO</v>
          </cell>
          <cell r="M103" t="str">
            <v>RAQUEL BARBOSA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  <cell r="H104" t="str">
            <v>DISTRIBUIÇÃO</v>
          </cell>
          <cell r="I104" t="str">
            <v>FOOD SERVICE</v>
          </cell>
          <cell r="J104" t="str">
            <v>FLAC 6</v>
          </cell>
          <cell r="K104" t="str">
            <v>LACTALIS</v>
          </cell>
          <cell r="L104" t="str">
            <v>RODRIGO</v>
          </cell>
          <cell r="M104" t="str">
            <v>RAQUEL BARBOSA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  <cell r="H105" t="str">
            <v>DISTRIBUIÇÃO</v>
          </cell>
          <cell r="I105" t="str">
            <v>FOOD SERVICE</v>
          </cell>
          <cell r="J105" t="str">
            <v>FLAC 6</v>
          </cell>
          <cell r="K105" t="str">
            <v>LACTALIS</v>
          </cell>
          <cell r="L105" t="str">
            <v>RODRIGO</v>
          </cell>
          <cell r="M105" t="str">
            <v>RAQUEL BARBOSA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  <cell r="H106" t="str">
            <v>DISTRIBUIÇÃO</v>
          </cell>
          <cell r="I106" t="str">
            <v>FOOD SERVICE</v>
          </cell>
          <cell r="J106" t="str">
            <v>FLAC 6</v>
          </cell>
          <cell r="K106" t="str">
            <v>LACTALIS</v>
          </cell>
          <cell r="L106" t="str">
            <v>RODRIGO</v>
          </cell>
          <cell r="M106" t="str">
            <v>RAQUEL BARBOSA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  <cell r="H107" t="str">
            <v>DISTRIBUIÇÃO</v>
          </cell>
          <cell r="I107" t="str">
            <v>FOOD SERVICE</v>
          </cell>
          <cell r="J107" t="str">
            <v>FLAC 1</v>
          </cell>
          <cell r="K107" t="str">
            <v>LACTALIS</v>
          </cell>
          <cell r="L107" t="str">
            <v>RODRIGO</v>
          </cell>
          <cell r="M107" t="str">
            <v>RAQUEL BARBOSA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  <cell r="H108" t="str">
            <v>DISTRIBUIÇÃO</v>
          </cell>
          <cell r="I108" t="str">
            <v>FOOD SERVICE</v>
          </cell>
          <cell r="J108" t="str">
            <v>FLAC 1</v>
          </cell>
          <cell r="K108" t="str">
            <v>LACTALIS</v>
          </cell>
          <cell r="L108" t="str">
            <v>RODRIGO</v>
          </cell>
          <cell r="M108" t="str">
            <v>RAQUEL BARBOSA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  <cell r="H109" t="str">
            <v>DISTRIBUIÇÃO</v>
          </cell>
          <cell r="I109" t="str">
            <v>FOOD SERVICE</v>
          </cell>
          <cell r="J109" t="str">
            <v>CLAUDIO JORGE</v>
          </cell>
          <cell r="K109" t="str">
            <v>ITAMBÉ</v>
          </cell>
          <cell r="L109" t="str">
            <v>RODRIGO</v>
          </cell>
          <cell r="M109" t="str">
            <v>MARIA LOURDES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  <cell r="H110" t="str">
            <v>DISTRIBUIÇÃO</v>
          </cell>
          <cell r="I110" t="str">
            <v>FOOD SERVICE</v>
          </cell>
          <cell r="J110" t="str">
            <v>FLAC 6</v>
          </cell>
          <cell r="K110" t="str">
            <v>LACTALIS</v>
          </cell>
          <cell r="L110" t="str">
            <v>RODRIGO</v>
          </cell>
          <cell r="M110" t="str">
            <v>RAQUEL BARBOSA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  <cell r="H111" t="str">
            <v>DISTRIBUIÇÃO</v>
          </cell>
          <cell r="I111" t="str">
            <v>FOOD SERVICE</v>
          </cell>
          <cell r="J111" t="str">
            <v>FLAC 4</v>
          </cell>
          <cell r="K111" t="str">
            <v>LACTALIS</v>
          </cell>
          <cell r="L111" t="str">
            <v>RODRIGO</v>
          </cell>
          <cell r="M111" t="str">
            <v>RAQUEL BARBOSA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  <cell r="H112" t="str">
            <v>DISTRIBUIÇÃO</v>
          </cell>
          <cell r="I112" t="str">
            <v>FOOD SERVICE</v>
          </cell>
          <cell r="J112" t="str">
            <v>FLAC 2</v>
          </cell>
          <cell r="K112" t="str">
            <v>LACTALIS</v>
          </cell>
          <cell r="L112" t="str">
            <v>RODRIGO</v>
          </cell>
          <cell r="M112" t="str">
            <v>RAQUEL BARBOSA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  <cell r="H113" t="str">
            <v>DISTRIBUIÇÃO</v>
          </cell>
          <cell r="I113" t="str">
            <v>FOOD SERVICE</v>
          </cell>
          <cell r="J113" t="str">
            <v>MARCELO SILVA</v>
          </cell>
          <cell r="K113" t="str">
            <v>ITAMBÉ</v>
          </cell>
          <cell r="L113" t="str">
            <v>RODRIGO</v>
          </cell>
          <cell r="M113" t="str">
            <v>CELIO MARTINS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  <cell r="H114" t="str">
            <v>DISTRIBUIÇÃO</v>
          </cell>
          <cell r="I114" t="str">
            <v>FOOD SERVICE</v>
          </cell>
          <cell r="J114" t="str">
            <v>FLAC 3</v>
          </cell>
          <cell r="K114" t="str">
            <v>LACTALIS</v>
          </cell>
          <cell r="L114" t="str">
            <v>RODRIGO</v>
          </cell>
          <cell r="M114" t="str">
            <v>RAQUEL BARBOSA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  <cell r="H115" t="str">
            <v>DISTRIBUIÇÃO</v>
          </cell>
          <cell r="I115" t="str">
            <v>FOOD SERVICE</v>
          </cell>
          <cell r="J115" t="str">
            <v>FLAC 2</v>
          </cell>
          <cell r="K115" t="str">
            <v>LACTALIS</v>
          </cell>
          <cell r="L115" t="str">
            <v>RODRIGO</v>
          </cell>
          <cell r="M115" t="str">
            <v>RAQUEL BARBOSA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  <cell r="H116" t="str">
            <v>DISTRIBUIÇÃO</v>
          </cell>
          <cell r="I116" t="str">
            <v>FOOD SERVICE</v>
          </cell>
          <cell r="J116" t="str">
            <v>SP ITB FS FLAC REP.E COMERCIO</v>
          </cell>
          <cell r="K116" t="str">
            <v>ITAMBÉ</v>
          </cell>
          <cell r="L116" t="str">
            <v>RODRIGO</v>
          </cell>
          <cell r="M116" t="str">
            <v>RAQUEL BARBOSA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  <cell r="H117" t="str">
            <v>DISTRIBUIÇÃO</v>
          </cell>
          <cell r="I117" t="str">
            <v>FOOD SERVICE</v>
          </cell>
          <cell r="J117" t="str">
            <v>GUILHERME NASCIMENTO</v>
          </cell>
          <cell r="K117" t="str">
            <v>ITAMBÉ</v>
          </cell>
          <cell r="L117" t="str">
            <v>RODRIGO</v>
          </cell>
          <cell r="M117" t="str">
            <v>ALEXANDRO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  <cell r="H118" t="str">
            <v>DISTRIBUIÇÃO</v>
          </cell>
          <cell r="I118" t="str">
            <v>FOOD SERVICE</v>
          </cell>
          <cell r="J118" t="str">
            <v>FLAC 2</v>
          </cell>
          <cell r="K118" t="str">
            <v>LACTALIS</v>
          </cell>
          <cell r="L118" t="str">
            <v>RODRIGO</v>
          </cell>
          <cell r="M118" t="str">
            <v>RAQUEL BARBOSA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  <cell r="H119" t="str">
            <v>DISTRIBUIÇÃO</v>
          </cell>
          <cell r="I119" t="str">
            <v>FOOD SERVICE</v>
          </cell>
          <cell r="J119" t="str">
            <v>FLAC 2</v>
          </cell>
          <cell r="K119" t="str">
            <v>LACTALIS</v>
          </cell>
          <cell r="L119" t="str">
            <v>RODRIGO</v>
          </cell>
          <cell r="M119" t="str">
            <v>RAQUEL BARBOSA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  <cell r="H120" t="str">
            <v>DISTRIBUIÇÃO</v>
          </cell>
          <cell r="I120" t="str">
            <v>FOOD SERVICE</v>
          </cell>
          <cell r="J120" t="str">
            <v>FLAC 6</v>
          </cell>
          <cell r="K120" t="str">
            <v>LACTALIS</v>
          </cell>
          <cell r="L120" t="str">
            <v>RODRIGO</v>
          </cell>
          <cell r="M120" t="str">
            <v>RAQUEL BARBOSA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  <cell r="H121" t="str">
            <v>DISTRIBUIÇÃO</v>
          </cell>
          <cell r="I121" t="str">
            <v>FOOD SERVICE</v>
          </cell>
          <cell r="J121" t="str">
            <v>FLAC 2</v>
          </cell>
          <cell r="K121" t="str">
            <v>LACTALIS</v>
          </cell>
          <cell r="L121" t="str">
            <v>RODRIGO</v>
          </cell>
          <cell r="M121" t="str">
            <v>RAQUEL BARBOSA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  <cell r="H122" t="str">
            <v>INGREDIENTS</v>
          </cell>
          <cell r="I122" t="str">
            <v>INGREDIENTS</v>
          </cell>
          <cell r="J122" t="str">
            <v>TATIANA NITTA</v>
          </cell>
          <cell r="K122" t="str">
            <v>ITAMBÉ</v>
          </cell>
          <cell r="L122" t="str">
            <v>MAURICIO</v>
          </cell>
          <cell r="M122" t="str">
            <v>TATIANA NITTA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  <cell r="H123" t="str">
            <v>INGREDIENTS</v>
          </cell>
          <cell r="I123" t="str">
            <v>INGREDIENTS</v>
          </cell>
          <cell r="J123" t="str">
            <v>TATIANA NITTA</v>
          </cell>
          <cell r="K123" t="str">
            <v>LACTALIS</v>
          </cell>
          <cell r="L123" t="str">
            <v>MAURICIO</v>
          </cell>
          <cell r="M123" t="str">
            <v>TATIANA NITTA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  <cell r="H124" t="str">
            <v>DISTRIBUIÇÃO</v>
          </cell>
          <cell r="I124" t="str">
            <v>FOOD SERVICE</v>
          </cell>
          <cell r="J124" t="str">
            <v>FLAC 4</v>
          </cell>
          <cell r="K124" t="str">
            <v>LACTALIS</v>
          </cell>
          <cell r="L124" t="str">
            <v>RODRIGO</v>
          </cell>
          <cell r="M124" t="str">
            <v>RAQUEL BARBOSA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  <cell r="H125" t="str">
            <v>DISTRIBUIÇÃO</v>
          </cell>
          <cell r="I125" t="str">
            <v>FOOD SERVICE</v>
          </cell>
          <cell r="J125" t="str">
            <v>FLAC 3</v>
          </cell>
          <cell r="K125" t="str">
            <v>LACTALIS</v>
          </cell>
          <cell r="L125" t="str">
            <v>RODRIGO</v>
          </cell>
          <cell r="M125" t="str">
            <v>RAQUEL BARBOSA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  <cell r="H126" t="str">
            <v>DISTRIBUIÇÃO</v>
          </cell>
          <cell r="I126" t="str">
            <v>FOOD SERVICE</v>
          </cell>
          <cell r="J126" t="str">
            <v>FLAC 2</v>
          </cell>
          <cell r="K126" t="str">
            <v>LACTALIS</v>
          </cell>
          <cell r="L126" t="str">
            <v>RODRIGO</v>
          </cell>
          <cell r="M126" t="str">
            <v>RAQUEL BARBOSA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  <cell r="H127" t="str">
            <v>DISTRIBUIÇÃO</v>
          </cell>
          <cell r="I127" t="str">
            <v>FOOD SERVICE</v>
          </cell>
          <cell r="J127" t="str">
            <v>FLAC 2</v>
          </cell>
          <cell r="K127" t="str">
            <v>LACTALIS</v>
          </cell>
          <cell r="L127" t="str">
            <v>RODRIGO</v>
          </cell>
          <cell r="M127" t="str">
            <v>RAQUEL BARBOSA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  <cell r="H128" t="str">
            <v>DISTRIBUIÇÃO</v>
          </cell>
          <cell r="I128" t="str">
            <v>FOOD SERVICE</v>
          </cell>
          <cell r="J128" t="str">
            <v>FLAC 5</v>
          </cell>
          <cell r="K128" t="str">
            <v>LACTALIS</v>
          </cell>
          <cell r="L128" t="str">
            <v>RODRIGO</v>
          </cell>
          <cell r="M128" t="str">
            <v>RAQUEL BARBOSA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  <cell r="H129" t="str">
            <v>DISTRIBUIÇÃO</v>
          </cell>
          <cell r="I129" t="str">
            <v>FOOD SERVICE</v>
          </cell>
          <cell r="J129" t="str">
            <v>FLAC 6</v>
          </cell>
          <cell r="K129" t="str">
            <v>LACTALIS</v>
          </cell>
          <cell r="L129" t="str">
            <v>RODRIGO</v>
          </cell>
          <cell r="M129" t="str">
            <v>RAQUEL BARBOSA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  <cell r="H130" t="str">
            <v>DISTRIBUIÇÃO</v>
          </cell>
          <cell r="I130" t="str">
            <v>FOOD SERVICE</v>
          </cell>
          <cell r="J130" t="str">
            <v>FLAC 4</v>
          </cell>
          <cell r="K130" t="str">
            <v>LACTALIS</v>
          </cell>
          <cell r="L130" t="str">
            <v>RODRIGO</v>
          </cell>
          <cell r="M130" t="str">
            <v>RAQUEL BARBOSA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  <cell r="H131" t="str">
            <v>DISTRIBUIÇÃO</v>
          </cell>
          <cell r="I131" t="str">
            <v>FOOD SERVICE</v>
          </cell>
          <cell r="J131" t="str">
            <v>FLAC 4</v>
          </cell>
          <cell r="K131" t="str">
            <v>LACTALIS</v>
          </cell>
          <cell r="L131" t="str">
            <v>RODRIGO</v>
          </cell>
          <cell r="M131" t="str">
            <v>RAQUEL BARBOSA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  <cell r="H132" t="str">
            <v>DISTRIBUIÇÃO</v>
          </cell>
          <cell r="I132" t="str">
            <v>FOOD SERVICE</v>
          </cell>
          <cell r="J132" t="str">
            <v>FLAC 6</v>
          </cell>
          <cell r="K132" t="str">
            <v>LACTALIS</v>
          </cell>
          <cell r="L132" t="str">
            <v>RODRIGO</v>
          </cell>
          <cell r="M132" t="str">
            <v>RAQUEL BARBOSA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  <cell r="H133" t="str">
            <v>INGREDIENTS</v>
          </cell>
          <cell r="I133" t="str">
            <v>INGREDIENTS</v>
          </cell>
          <cell r="J133" t="str">
            <v>HENRIQUE FERREIRA</v>
          </cell>
          <cell r="K133" t="str">
            <v>ITAMBÉ</v>
          </cell>
          <cell r="L133" t="str">
            <v>MAURICIO</v>
          </cell>
          <cell r="M133" t="str">
            <v>JOEL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  <cell r="H134" t="str">
            <v>INGREDIENTS</v>
          </cell>
          <cell r="I134" t="str">
            <v>INGREDIENTS</v>
          </cell>
          <cell r="J134" t="str">
            <v>HENRIQUE FERREIRA</v>
          </cell>
          <cell r="K134" t="str">
            <v>ITAMBÉ</v>
          </cell>
          <cell r="L134" t="str">
            <v>MAURICIO</v>
          </cell>
          <cell r="M134" t="str">
            <v>JOEL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  <cell r="H135" t="str">
            <v>INGREDIENTS</v>
          </cell>
          <cell r="I135" t="str">
            <v>INGREDIENTS</v>
          </cell>
          <cell r="J135" t="str">
            <v>DUAS RODAS</v>
          </cell>
          <cell r="K135" t="str">
            <v>ITAMBÉ</v>
          </cell>
          <cell r="L135" t="str">
            <v>MAURICIO</v>
          </cell>
          <cell r="M135" t="str">
            <v>MARCELO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  <cell r="H136" t="str">
            <v>DISTRIBUIÇÃO</v>
          </cell>
          <cell r="I136" t="str">
            <v>FOOD SERVICE</v>
          </cell>
          <cell r="J136" t="str">
            <v>FLAC 6</v>
          </cell>
          <cell r="K136" t="str">
            <v>LACTALIS</v>
          </cell>
          <cell r="L136" t="str">
            <v>RODRIGO</v>
          </cell>
          <cell r="M136" t="str">
            <v>RAQUEL BARBOSA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  <cell r="H137" t="str">
            <v>DISTRIBUIÇÃO</v>
          </cell>
          <cell r="I137" t="str">
            <v>FOOD SERVICE</v>
          </cell>
          <cell r="J137" t="str">
            <v>FLAC 2</v>
          </cell>
          <cell r="K137" t="str">
            <v>LACTALIS</v>
          </cell>
          <cell r="L137" t="str">
            <v>RODRIGO</v>
          </cell>
          <cell r="M137" t="str">
            <v>RAQUEL BARBOSA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  <cell r="H138" t="str">
            <v>DISTRIBUIÇÃO</v>
          </cell>
          <cell r="I138" t="str">
            <v>FOOD SERVICE</v>
          </cell>
          <cell r="J138" t="str">
            <v>FLAC 2</v>
          </cell>
          <cell r="K138" t="str">
            <v>LACTALIS</v>
          </cell>
          <cell r="L138" t="str">
            <v>RODRIGO</v>
          </cell>
          <cell r="M138" t="str">
            <v>RAQUEL BARBOSA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  <cell r="H139" t="str">
            <v>DISTRIBUIÇÃO</v>
          </cell>
          <cell r="I139" t="str">
            <v>FOOD SERVICE</v>
          </cell>
          <cell r="J139" t="str">
            <v>FLAC 2</v>
          </cell>
          <cell r="K139" t="str">
            <v>LACTALIS</v>
          </cell>
          <cell r="L139" t="str">
            <v>RODRIGO</v>
          </cell>
          <cell r="M139" t="str">
            <v>RAQUEL BARBOSA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  <cell r="H140" t="str">
            <v>INGREDIENTS</v>
          </cell>
          <cell r="I140" t="str">
            <v>INGREDIENTS</v>
          </cell>
          <cell r="J140" t="str">
            <v>HENRIQUE FERREIRA</v>
          </cell>
          <cell r="K140" t="str">
            <v>ITAMBÉ</v>
          </cell>
          <cell r="L140" t="str">
            <v>MAURICIO</v>
          </cell>
          <cell r="M140" t="str">
            <v>JOEL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  <cell r="H141" t="str">
            <v>INGREDIENTS</v>
          </cell>
          <cell r="I141" t="str">
            <v>INGREDIENTS</v>
          </cell>
          <cell r="J141" t="str">
            <v>DUAS RODAS</v>
          </cell>
          <cell r="K141" t="str">
            <v>ITAMBÉ</v>
          </cell>
          <cell r="L141" t="str">
            <v>MAURICIO</v>
          </cell>
          <cell r="M141" t="str">
            <v>MARCELO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  <cell r="H142" t="str">
            <v>DISTRIBUIÇÃO</v>
          </cell>
          <cell r="I142" t="str">
            <v>FOOD SERVICE</v>
          </cell>
          <cell r="J142" t="str">
            <v>FLAC 2</v>
          </cell>
          <cell r="K142" t="str">
            <v>LACTALIS</v>
          </cell>
          <cell r="L142" t="str">
            <v>RODRIGO</v>
          </cell>
          <cell r="M142" t="str">
            <v>RAQUEL BARBOSA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  <cell r="H143" t="str">
            <v>DISTRIBUIÇÃO</v>
          </cell>
          <cell r="I143" t="str">
            <v>FOOD SERVICE</v>
          </cell>
          <cell r="J143" t="str">
            <v>FLAC 3</v>
          </cell>
          <cell r="K143" t="str">
            <v>LACTALIS</v>
          </cell>
          <cell r="L143" t="str">
            <v>RODRIGO</v>
          </cell>
          <cell r="M143" t="str">
            <v>RAQUEL BARBOSA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  <cell r="H144" t="str">
            <v>INGREDIENTS</v>
          </cell>
          <cell r="I144" t="str">
            <v>INGREDIENTS</v>
          </cell>
          <cell r="J144" t="str">
            <v>HENRIQUE FERREIRA</v>
          </cell>
          <cell r="K144" t="str">
            <v>ITAMBÉ</v>
          </cell>
          <cell r="L144" t="str">
            <v>MAURICIO</v>
          </cell>
          <cell r="M144" t="str">
            <v>JOEL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  <cell r="H145" t="str">
            <v>DISTRIBUIÇÃO</v>
          </cell>
          <cell r="I145" t="str">
            <v>FOOD SERVICE</v>
          </cell>
          <cell r="J145" t="str">
            <v>CLAUDIO JORGE</v>
          </cell>
          <cell r="K145" t="str">
            <v>ITAMBÉ</v>
          </cell>
          <cell r="L145" t="str">
            <v>RODRIGO</v>
          </cell>
          <cell r="M145" t="str">
            <v>MARIA LOURDES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  <cell r="H146" t="str">
            <v>DISTRIBUIÇÃO</v>
          </cell>
          <cell r="I146" t="str">
            <v>FOOD SERVICE</v>
          </cell>
          <cell r="J146" t="str">
            <v>CLAUDIO JORGE/LUIZ</v>
          </cell>
          <cell r="K146" t="str">
            <v>ITAMBÉ</v>
          </cell>
          <cell r="L146" t="str">
            <v>RODRIGO</v>
          </cell>
          <cell r="M146" t="str">
            <v>MARIA LOURDES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  <cell r="H147" t="str">
            <v>DISTRIBUIÇÃO</v>
          </cell>
          <cell r="I147" t="str">
            <v>FOOD SERVICE</v>
          </cell>
          <cell r="J147" t="str">
            <v>ALEXANDRO RODRIGUES</v>
          </cell>
          <cell r="K147" t="str">
            <v>ITAMBÉ</v>
          </cell>
          <cell r="L147" t="str">
            <v>RODRIGO</v>
          </cell>
          <cell r="M147" t="str">
            <v>ALEXANDRO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  <cell r="H148" t="str">
            <v>INGREDIENTS</v>
          </cell>
          <cell r="I148" t="str">
            <v>INGREDIENTS</v>
          </cell>
          <cell r="J148" t="str">
            <v>HENRIQUE FERREIRA</v>
          </cell>
          <cell r="K148" t="str">
            <v>ITAMBÉ</v>
          </cell>
          <cell r="L148" t="str">
            <v>MAURICIO</v>
          </cell>
          <cell r="M148" t="str">
            <v>JOEL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  <cell r="H149" t="str">
            <v>INGREDIENTS</v>
          </cell>
          <cell r="I149" t="str">
            <v>INGREDIENTS</v>
          </cell>
          <cell r="J149" t="str">
            <v>HENRIQUE FERREIRA</v>
          </cell>
          <cell r="K149" t="str">
            <v>ITAMBÉ</v>
          </cell>
          <cell r="L149" t="str">
            <v>MAURICIO</v>
          </cell>
          <cell r="M149" t="str">
            <v>JOEL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  <cell r="H150" t="str">
            <v>DISTRIBUIÇÃO</v>
          </cell>
          <cell r="I150" t="str">
            <v>FOOD SERVICE</v>
          </cell>
          <cell r="J150" t="str">
            <v>ANGELICA BATISTELA</v>
          </cell>
          <cell r="K150" t="str">
            <v>ITAMBÉ</v>
          </cell>
          <cell r="L150" t="str">
            <v>RODRIGO</v>
          </cell>
          <cell r="M150" t="str">
            <v>ANGELICA BATISTELA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  <cell r="H151" t="str">
            <v>INGREDIENTS</v>
          </cell>
          <cell r="I151" t="str">
            <v>INGREDIENTS</v>
          </cell>
          <cell r="J151" t="str">
            <v>MARCELO RODRIGUES</v>
          </cell>
          <cell r="K151" t="str">
            <v>LACTALIS</v>
          </cell>
          <cell r="L151" t="str">
            <v>MAURICIO</v>
          </cell>
          <cell r="M151" t="str">
            <v>MARCELO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  <cell r="H152" t="str">
            <v>INGREDIENTS</v>
          </cell>
          <cell r="I152" t="str">
            <v>INGREDIENTS</v>
          </cell>
          <cell r="J152" t="str">
            <v>TATIANA NITTA</v>
          </cell>
          <cell r="K152" t="str">
            <v>LACTALIS</v>
          </cell>
          <cell r="L152" t="str">
            <v>MAURICIO</v>
          </cell>
          <cell r="M152" t="str">
            <v>TATIANA NITTA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  <cell r="H153" t="str">
            <v>DISTRIBUIÇÃO</v>
          </cell>
          <cell r="I153" t="str">
            <v>FOOD SERVICE</v>
          </cell>
          <cell r="J153" t="str">
            <v>FLAC 2</v>
          </cell>
          <cell r="K153" t="str">
            <v>LACTALIS</v>
          </cell>
          <cell r="L153" t="str">
            <v>RODRIGO</v>
          </cell>
          <cell r="M153" t="str">
            <v>RAQUEL BARBOSA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  <cell r="H154" t="str">
            <v>QSR</v>
          </cell>
          <cell r="I154" t="str">
            <v>FOOD SERVICE</v>
          </cell>
          <cell r="J154" t="str">
            <v>ANA MENIQUETE</v>
          </cell>
          <cell r="K154" t="str">
            <v>LACTALIS</v>
          </cell>
          <cell r="L154" t="str">
            <v>PEDRO</v>
          </cell>
          <cell r="M154" t="str">
            <v>ANA MENIQUETE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  <cell r="H155" t="str">
            <v>QSR</v>
          </cell>
          <cell r="I155" t="str">
            <v>FOOD SERVICE</v>
          </cell>
          <cell r="J155" t="str">
            <v>ANA MENIQUETE</v>
          </cell>
          <cell r="K155" t="str">
            <v>LACTALIS</v>
          </cell>
          <cell r="L155" t="str">
            <v>PEDRO</v>
          </cell>
          <cell r="M155" t="str">
            <v>ANA MENIQUETE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  <cell r="H156" t="str">
            <v>DISTRIBUIÇÃO</v>
          </cell>
          <cell r="I156" t="str">
            <v>FOOD SERVICE</v>
          </cell>
          <cell r="J156" t="str">
            <v>CLAUDIO JORGE</v>
          </cell>
          <cell r="K156" t="str">
            <v>ITAMBÉ</v>
          </cell>
          <cell r="L156" t="str">
            <v>RODRIGO</v>
          </cell>
          <cell r="M156" t="str">
            <v>MARIA LOURDES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  <cell r="H157" t="str">
            <v>DISTRIBUIÇÃO</v>
          </cell>
          <cell r="I157" t="str">
            <v>FOOD SERVICE</v>
          </cell>
          <cell r="J157" t="str">
            <v>FLAC 3</v>
          </cell>
          <cell r="K157" t="str">
            <v>LACTALIS</v>
          </cell>
          <cell r="L157" t="str">
            <v>RODRIGO</v>
          </cell>
          <cell r="M157" t="str">
            <v>RAQUEL BARBOSA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  <cell r="H158" t="str">
            <v>DISTRIBUIÇÃO</v>
          </cell>
          <cell r="I158" t="str">
            <v>FOOD SERVICE</v>
          </cell>
          <cell r="J158" t="str">
            <v>FLAC 3</v>
          </cell>
          <cell r="K158" t="str">
            <v>LACTALIS</v>
          </cell>
          <cell r="L158" t="str">
            <v>RODRIGO</v>
          </cell>
          <cell r="M158" t="str">
            <v>RAQUEL BARBOSA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  <cell r="H159" t="str">
            <v>DISTRIBUIÇÃO</v>
          </cell>
          <cell r="I159" t="str">
            <v>FOOD SERVICE</v>
          </cell>
          <cell r="J159" t="str">
            <v>FLAC 2</v>
          </cell>
          <cell r="K159" t="str">
            <v>LACTALIS</v>
          </cell>
          <cell r="L159" t="str">
            <v>RODRIGO</v>
          </cell>
          <cell r="M159" t="str">
            <v>RAQUEL BARBOSA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  <cell r="H160" t="str">
            <v>DISTRIBUIÇÃO</v>
          </cell>
          <cell r="I160" t="str">
            <v>FOOD SERVICE</v>
          </cell>
          <cell r="J160" t="str">
            <v>FLAC 3</v>
          </cell>
          <cell r="K160" t="str">
            <v>LACTALIS</v>
          </cell>
          <cell r="L160" t="str">
            <v>RODRIGO</v>
          </cell>
          <cell r="M160" t="str">
            <v>RAQUEL BARBOSA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  <cell r="H161" t="str">
            <v>DISTRIBUIÇÃO</v>
          </cell>
          <cell r="I161" t="str">
            <v>FOOD SERVICE</v>
          </cell>
          <cell r="J161" t="str">
            <v>FLAC 2</v>
          </cell>
          <cell r="K161" t="str">
            <v>LACTALIS</v>
          </cell>
          <cell r="L161" t="str">
            <v>RODRIGO</v>
          </cell>
          <cell r="M161" t="str">
            <v>RAQUEL BARBOSA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  <cell r="H162" t="str">
            <v>DISTRIBUIÇÃO</v>
          </cell>
          <cell r="I162" t="str">
            <v>FOOD SERVICE</v>
          </cell>
          <cell r="J162" t="str">
            <v>FLAC 6</v>
          </cell>
          <cell r="K162" t="str">
            <v>LACTALIS</v>
          </cell>
          <cell r="L162" t="str">
            <v>RODRIGO</v>
          </cell>
          <cell r="M162" t="str">
            <v>RAQUEL BARBOSA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  <cell r="H163" t="str">
            <v>DISTRIBUIÇÃO</v>
          </cell>
          <cell r="I163" t="str">
            <v>FOOD SERVICE</v>
          </cell>
          <cell r="J163" t="str">
            <v>SP ITB FS FLAC REP.E COMERCIO</v>
          </cell>
          <cell r="K163" t="str">
            <v>ITAMBÉ</v>
          </cell>
          <cell r="L163" t="str">
            <v>RODRIGO</v>
          </cell>
          <cell r="M163" t="str">
            <v>RAQUEL BARBOSA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  <cell r="H164" t="str">
            <v>DISTRIBUIÇÃO</v>
          </cell>
          <cell r="I164" t="str">
            <v>FOOD SERVICE</v>
          </cell>
          <cell r="J164" t="str">
            <v>SP ITB FS FLAC REP.E COMERCIO</v>
          </cell>
          <cell r="K164" t="str">
            <v>ITAMBÉ</v>
          </cell>
          <cell r="L164" t="str">
            <v>RODRIGO</v>
          </cell>
          <cell r="M164" t="str">
            <v>RAQUEL BARBOSA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  <cell r="H165" t="str">
            <v>DISTRIBUIÇÃO</v>
          </cell>
          <cell r="I165" t="str">
            <v>FOOD SERVICE</v>
          </cell>
          <cell r="J165" t="str">
            <v>FLAC 6</v>
          </cell>
          <cell r="K165" t="str">
            <v>LACTALIS</v>
          </cell>
          <cell r="L165" t="str">
            <v>RODRIGO</v>
          </cell>
          <cell r="M165" t="str">
            <v>RAQUEL BARBOSA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  <cell r="H166" t="str">
            <v>DISTRIBUIÇÃO</v>
          </cell>
          <cell r="I166" t="str">
            <v>FOOD SERVICE</v>
          </cell>
          <cell r="J166" t="str">
            <v>FLAC 2</v>
          </cell>
          <cell r="K166" t="str">
            <v>LACTALIS</v>
          </cell>
          <cell r="L166" t="str">
            <v>RODRIGO</v>
          </cell>
          <cell r="M166" t="str">
            <v>RAQUEL BARBOSA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  <cell r="H167" t="str">
            <v>INGREDIENTS</v>
          </cell>
          <cell r="I167" t="str">
            <v>INGREDIENTS</v>
          </cell>
          <cell r="J167" t="str">
            <v>HENRIQUE FERREIRA</v>
          </cell>
          <cell r="K167" t="str">
            <v>ITAMBÉ</v>
          </cell>
          <cell r="L167" t="str">
            <v>MAURICIO</v>
          </cell>
          <cell r="M167" t="str">
            <v>JOEL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  <cell r="H168" t="str">
            <v>DISTRIBUIÇÃO</v>
          </cell>
          <cell r="I168" t="str">
            <v>FOOD SERVICE</v>
          </cell>
          <cell r="J168" t="str">
            <v>ANGELICA BATISTELA</v>
          </cell>
          <cell r="K168" t="str">
            <v>ITAMBÉ</v>
          </cell>
          <cell r="L168" t="str">
            <v>RODRIGO</v>
          </cell>
          <cell r="M168" t="str">
            <v>ANGELICA BATISTELA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  <cell r="H169" t="str">
            <v>DISTRIBUIÇÃO</v>
          </cell>
          <cell r="I169" t="str">
            <v>FOOD SERVICE</v>
          </cell>
          <cell r="J169" t="str">
            <v>FLAC 6</v>
          </cell>
          <cell r="K169" t="str">
            <v>LACTALIS</v>
          </cell>
          <cell r="L169" t="str">
            <v>RODRIGO</v>
          </cell>
          <cell r="M169" t="str">
            <v>RAQUEL BARBOSA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  <cell r="H170" t="str">
            <v>DISTRIBUIÇÃO</v>
          </cell>
          <cell r="I170" t="str">
            <v>FOOD SERVICE</v>
          </cell>
          <cell r="J170" t="str">
            <v>FLAC 6</v>
          </cell>
          <cell r="K170" t="str">
            <v>LACTALIS</v>
          </cell>
          <cell r="L170" t="str">
            <v>RODRIGO</v>
          </cell>
          <cell r="M170" t="str">
            <v>RAQUEL BARBOSA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  <cell r="H171" t="str">
            <v>DISTRIBUIÇÃO</v>
          </cell>
          <cell r="I171" t="str">
            <v>FOOD SERVICE</v>
          </cell>
          <cell r="J171" t="str">
            <v>FLAC 2</v>
          </cell>
          <cell r="K171" t="str">
            <v>LACTALIS</v>
          </cell>
          <cell r="L171" t="str">
            <v>RODRIGO</v>
          </cell>
          <cell r="M171" t="str">
            <v>RAQUEL BARBOSA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  <cell r="H172" t="str">
            <v>DISTRIBUIÇÃO</v>
          </cell>
          <cell r="I172" t="str">
            <v>FOOD SERVICE</v>
          </cell>
          <cell r="J172" t="str">
            <v>ANGELICA BATISTELA</v>
          </cell>
          <cell r="K172" t="str">
            <v>ITAMBÉ</v>
          </cell>
          <cell r="L172" t="str">
            <v>RODRIGO</v>
          </cell>
          <cell r="M172" t="str">
            <v>ANGELICA BATISTELA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  <cell r="H173" t="str">
            <v>DISTRIBUIÇÃO</v>
          </cell>
          <cell r="I173" t="str">
            <v>FOOD SERVICE</v>
          </cell>
          <cell r="J173" t="str">
            <v>FLAC 6</v>
          </cell>
          <cell r="K173" t="str">
            <v>LACTALIS</v>
          </cell>
          <cell r="L173" t="str">
            <v>RODRIGO</v>
          </cell>
          <cell r="M173" t="str">
            <v>RAQUEL BARBOSA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  <cell r="H174" t="str">
            <v>DISTRIBUIÇÃO</v>
          </cell>
          <cell r="I174" t="str">
            <v>FOOD SERVICE</v>
          </cell>
          <cell r="J174" t="str">
            <v>FLAC 2</v>
          </cell>
          <cell r="K174" t="str">
            <v>LACTALIS</v>
          </cell>
          <cell r="L174" t="str">
            <v>RODRIGO</v>
          </cell>
          <cell r="M174" t="str">
            <v>RAQUEL BARBOSA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  <cell r="H175" t="str">
            <v>DISTRIBUIÇÃO</v>
          </cell>
          <cell r="I175" t="str">
            <v>FOOD SERVICE</v>
          </cell>
          <cell r="J175" t="str">
            <v>FLAC 4</v>
          </cell>
          <cell r="K175" t="str">
            <v>LACTALIS</v>
          </cell>
          <cell r="L175" t="str">
            <v>RODRIGO</v>
          </cell>
          <cell r="M175" t="str">
            <v>RAQUEL BARBOSA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  <cell r="H176" t="str">
            <v>DISTRIBUIÇÃO</v>
          </cell>
          <cell r="I176" t="str">
            <v>FOOD SERVICE</v>
          </cell>
          <cell r="J176" t="str">
            <v>FLAC 6</v>
          </cell>
          <cell r="K176" t="str">
            <v>LACTALIS</v>
          </cell>
          <cell r="L176" t="str">
            <v>RODRIGO</v>
          </cell>
          <cell r="M176" t="str">
            <v>RAQUEL BARBOSA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  <cell r="H177" t="str">
            <v>DISTRIBUIÇÃO</v>
          </cell>
          <cell r="I177" t="str">
            <v>FOOD SERVICE</v>
          </cell>
          <cell r="J177" t="str">
            <v>JULIANA CORDEIRO</v>
          </cell>
          <cell r="K177" t="str">
            <v>ITAMBÉ</v>
          </cell>
          <cell r="L177" t="str">
            <v>RODRIGO</v>
          </cell>
          <cell r="M177" t="str">
            <v>JESSICA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  <cell r="H178" t="str">
            <v>DISTRIBUIÇÃO</v>
          </cell>
          <cell r="I178" t="str">
            <v>FOOD SERVICE</v>
          </cell>
          <cell r="J178" t="str">
            <v>JULIANA CORDEIRO</v>
          </cell>
          <cell r="K178" t="str">
            <v>ITAMBÉ</v>
          </cell>
          <cell r="L178" t="str">
            <v>RODRIGO</v>
          </cell>
          <cell r="M178" t="str">
            <v>JESSICA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  <cell r="H179" t="str">
            <v>DISTRIBUIÇÃO</v>
          </cell>
          <cell r="I179" t="str">
            <v>FOOD SERVICE</v>
          </cell>
          <cell r="J179" t="str">
            <v>MARCELO SILVA</v>
          </cell>
          <cell r="K179" t="str">
            <v>ITAMBÉ</v>
          </cell>
          <cell r="L179" t="str">
            <v>RODRIGO</v>
          </cell>
          <cell r="M179" t="str">
            <v>CELIO MARTINS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  <cell r="H180" t="str">
            <v>INGREDIENTS</v>
          </cell>
          <cell r="I180" t="str">
            <v>INGREDIENTS</v>
          </cell>
          <cell r="J180" t="str">
            <v>MARCELO RODRIGUES</v>
          </cell>
          <cell r="K180" t="str">
            <v>LACTALIS</v>
          </cell>
          <cell r="L180" t="str">
            <v>MAURICIO</v>
          </cell>
          <cell r="M180" t="str">
            <v>MARCELO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  <cell r="H181" t="str">
            <v>DISTRIBUIÇÃO</v>
          </cell>
          <cell r="I181" t="str">
            <v>FOOD SERVICE</v>
          </cell>
          <cell r="J181" t="str">
            <v>FLAC 4</v>
          </cell>
          <cell r="K181" t="str">
            <v>LACTALIS</v>
          </cell>
          <cell r="L181" t="str">
            <v>RODRIGO</v>
          </cell>
          <cell r="M181" t="str">
            <v>RAQUEL BARBOSA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  <cell r="H182" t="str">
            <v>INGREDIENTS</v>
          </cell>
          <cell r="I182" t="str">
            <v>INGREDIENTS</v>
          </cell>
          <cell r="J182" t="str">
            <v>MARCELO RODRIGUES</v>
          </cell>
          <cell r="K182" t="str">
            <v>ITAMBÉ</v>
          </cell>
          <cell r="L182" t="str">
            <v>MAURICIO</v>
          </cell>
          <cell r="M182" t="str">
            <v>MARCELO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  <cell r="H183" t="str">
            <v>INGREDIENTS</v>
          </cell>
          <cell r="I183" t="str">
            <v>INGREDIENTS</v>
          </cell>
          <cell r="J183" t="str">
            <v>MARCELO RODRIGUES</v>
          </cell>
          <cell r="K183" t="str">
            <v>ITAMBÉ</v>
          </cell>
          <cell r="L183" t="str">
            <v>MAURICIO</v>
          </cell>
          <cell r="M183" t="str">
            <v>MARCELO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  <cell r="H184" t="str">
            <v>INGREDIENTS</v>
          </cell>
          <cell r="I184" t="str">
            <v>INGREDIENTS</v>
          </cell>
          <cell r="J184" t="str">
            <v>MARCELO RODRIGUES</v>
          </cell>
          <cell r="K184" t="str">
            <v>ITAMBÉ</v>
          </cell>
          <cell r="L184" t="str">
            <v>MAURICIO</v>
          </cell>
          <cell r="M184" t="str">
            <v>MARCELO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  <cell r="H185" t="str">
            <v>OUTROS</v>
          </cell>
          <cell r="I185" t="str">
            <v>OUTROS</v>
          </cell>
          <cell r="J185" t="str">
            <v>BRF</v>
          </cell>
          <cell r="K185" t="str">
            <v>OUTROS</v>
          </cell>
          <cell r="L185" t="str">
            <v>OUTROS</v>
          </cell>
          <cell r="M185" t="str">
            <v>BRF SA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  <cell r="H186" t="str">
            <v>OUTROS</v>
          </cell>
          <cell r="I186" t="str">
            <v>OUTROS</v>
          </cell>
          <cell r="J186" t="str">
            <v>BRF</v>
          </cell>
          <cell r="K186" t="str">
            <v>OUTROS</v>
          </cell>
          <cell r="L186" t="str">
            <v>OUTROS</v>
          </cell>
          <cell r="M186" t="str">
            <v>BRF SA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  <cell r="H187" t="str">
            <v>INGREDIENTS</v>
          </cell>
          <cell r="I187" t="str">
            <v>INGREDIENTS</v>
          </cell>
          <cell r="J187" t="str">
            <v>MARCELO RODRIGUES</v>
          </cell>
          <cell r="K187" t="str">
            <v>ITAMBÉ</v>
          </cell>
          <cell r="L187" t="str">
            <v>MAURICIO</v>
          </cell>
          <cell r="M187" t="str">
            <v>MARCELO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  <cell r="H188" t="str">
            <v>INGREDIENTS</v>
          </cell>
          <cell r="I188" t="str">
            <v>INGREDIENTS</v>
          </cell>
          <cell r="J188" t="str">
            <v>MARCELO RODRIGUES</v>
          </cell>
          <cell r="K188" t="str">
            <v>ITAMBÉ</v>
          </cell>
          <cell r="L188" t="str">
            <v>MAURICIO</v>
          </cell>
          <cell r="M188" t="str">
            <v>MARCELO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  <cell r="H189" t="str">
            <v>OUTROS</v>
          </cell>
          <cell r="I189" t="str">
            <v>OUTROS</v>
          </cell>
          <cell r="J189" t="str">
            <v>BRF</v>
          </cell>
          <cell r="K189" t="str">
            <v>OUTROS</v>
          </cell>
          <cell r="L189" t="str">
            <v>OUTROS</v>
          </cell>
          <cell r="M189" t="str">
            <v>BRF SA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  <cell r="H190" t="str">
            <v>INGREDIENTS</v>
          </cell>
          <cell r="I190" t="str">
            <v>INGREDIENTS</v>
          </cell>
          <cell r="J190" t="str">
            <v>MARCELO RODRIGUES</v>
          </cell>
          <cell r="K190" t="str">
            <v>LACTALIS</v>
          </cell>
          <cell r="L190" t="str">
            <v>MAURICIO</v>
          </cell>
          <cell r="M190" t="str">
            <v>MARCELO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  <cell r="H191" t="str">
            <v>INGREDIENTS</v>
          </cell>
          <cell r="I191" t="str">
            <v>INGREDIENTS</v>
          </cell>
          <cell r="J191" t="str">
            <v>MARCELO RODRIGUES</v>
          </cell>
          <cell r="K191" t="str">
            <v>LACTALIS</v>
          </cell>
          <cell r="L191" t="str">
            <v>MAURICIO</v>
          </cell>
          <cell r="M191" t="str">
            <v>MARCELO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  <cell r="H192" t="str">
            <v>INGREDIENTS</v>
          </cell>
          <cell r="I192" t="str">
            <v>INGREDIENTS</v>
          </cell>
          <cell r="J192" t="str">
            <v>MARCELO RODRIGUES</v>
          </cell>
          <cell r="K192" t="str">
            <v>LACTALIS</v>
          </cell>
          <cell r="L192" t="str">
            <v>MAURICIO</v>
          </cell>
          <cell r="M192" t="str">
            <v>MARCELO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  <cell r="H193" t="str">
            <v>INGREDIENTS</v>
          </cell>
          <cell r="I193" t="str">
            <v>INGREDIENTS</v>
          </cell>
          <cell r="J193" t="str">
            <v>MARCELO RODRIGUES</v>
          </cell>
          <cell r="K193" t="str">
            <v>ITAMBÉ</v>
          </cell>
          <cell r="L193" t="str">
            <v>MAURICIO</v>
          </cell>
          <cell r="M193" t="str">
            <v>MARCELO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  <cell r="H194" t="str">
            <v>INGREDIENTS</v>
          </cell>
          <cell r="I194" t="str">
            <v>INGREDIENTS</v>
          </cell>
          <cell r="J194" t="str">
            <v>MARCELO RODRIGUES</v>
          </cell>
          <cell r="K194" t="str">
            <v>ITAMBÉ</v>
          </cell>
          <cell r="L194" t="str">
            <v>MAURICIO</v>
          </cell>
          <cell r="M194" t="str">
            <v>MARCELO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  <cell r="H195" t="str">
            <v>INGREDIENTS</v>
          </cell>
          <cell r="I195" t="str">
            <v>INGREDIENTS</v>
          </cell>
          <cell r="J195" t="str">
            <v>MARCELO RODRIGUES</v>
          </cell>
          <cell r="K195" t="str">
            <v>ITAMBÉ</v>
          </cell>
          <cell r="L195" t="str">
            <v>MAURICIO</v>
          </cell>
          <cell r="M195" t="str">
            <v>MARCELO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  <cell r="H196" t="str">
            <v>INGREDIENTS</v>
          </cell>
          <cell r="I196" t="str">
            <v>INGREDIENTS</v>
          </cell>
          <cell r="J196" t="str">
            <v>MARCELO RODRIGUES</v>
          </cell>
          <cell r="K196" t="str">
            <v>LACTALIS</v>
          </cell>
          <cell r="L196" t="str">
            <v>MAURICIO</v>
          </cell>
          <cell r="M196" t="str">
            <v>MARCELO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  <cell r="H197" t="str">
            <v>INGREDIENTS</v>
          </cell>
          <cell r="I197" t="str">
            <v>INGREDIENTS</v>
          </cell>
          <cell r="J197" t="str">
            <v>MARCELO RODRIGUES</v>
          </cell>
          <cell r="K197" t="str">
            <v>LACTALIS</v>
          </cell>
          <cell r="L197" t="str">
            <v>MAURICIO</v>
          </cell>
          <cell r="M197" t="str">
            <v>MARCELO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  <cell r="H198" t="str">
            <v>OUTROS</v>
          </cell>
          <cell r="I198" t="str">
            <v>OUTROS</v>
          </cell>
          <cell r="J198" t="str">
            <v>BRF</v>
          </cell>
          <cell r="K198" t="str">
            <v>OUTROS</v>
          </cell>
          <cell r="L198" t="str">
            <v>OUTROS</v>
          </cell>
          <cell r="M198" t="str">
            <v>BRF SA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  <cell r="H199" t="str">
            <v>INGREDIENTS</v>
          </cell>
          <cell r="I199" t="str">
            <v>INGREDIENTS</v>
          </cell>
          <cell r="J199" t="str">
            <v>MARCELO RODRIGUES</v>
          </cell>
          <cell r="K199" t="str">
            <v>LACTALIS</v>
          </cell>
          <cell r="L199" t="str">
            <v>MAURICIO</v>
          </cell>
          <cell r="M199" t="str">
            <v>MARCELO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  <cell r="H200" t="str">
            <v>QSR</v>
          </cell>
          <cell r="I200" t="str">
            <v>FOOD SERVICE</v>
          </cell>
          <cell r="J200" t="str">
            <v>NUTRI</v>
          </cell>
          <cell r="K200" t="str">
            <v>LACTALIS</v>
          </cell>
          <cell r="L200" t="str">
            <v>PEDRO</v>
          </cell>
          <cell r="M200" t="str">
            <v>VAGO QSR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  <cell r="H201" t="str">
            <v>QSR</v>
          </cell>
          <cell r="I201" t="str">
            <v>FOOD SERVICE</v>
          </cell>
          <cell r="J201" t="str">
            <v>NUTRI</v>
          </cell>
          <cell r="K201" t="str">
            <v>LACTALIS</v>
          </cell>
          <cell r="L201" t="str">
            <v>PEDRO</v>
          </cell>
          <cell r="M201" t="str">
            <v>VAGO QSR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  <cell r="H202" t="str">
            <v>INGREDIENTS</v>
          </cell>
          <cell r="I202" t="str">
            <v>INGREDIENTS</v>
          </cell>
          <cell r="J202" t="str">
            <v>HENRIQUE FERREIRA</v>
          </cell>
          <cell r="K202" t="str">
            <v>LACTALIS</v>
          </cell>
          <cell r="L202" t="str">
            <v>MAURICIO</v>
          </cell>
          <cell r="M202" t="str">
            <v>JOEL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  <cell r="H203" t="str">
            <v>INGREDIENTS</v>
          </cell>
          <cell r="I203" t="str">
            <v>INGREDIENTS</v>
          </cell>
          <cell r="J203" t="str">
            <v>HENRIQUE FERREIRA</v>
          </cell>
          <cell r="K203" t="str">
            <v>ITAMBÉ</v>
          </cell>
          <cell r="L203" t="str">
            <v>MAURICIO</v>
          </cell>
          <cell r="M203" t="str">
            <v>JOEL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  <cell r="H204" t="str">
            <v>DISTRIBUIÇÃO</v>
          </cell>
          <cell r="I204" t="str">
            <v>FOOD SERVICE</v>
          </cell>
          <cell r="J204" t="str">
            <v>FLAC 2</v>
          </cell>
          <cell r="K204" t="str">
            <v>LACTALIS</v>
          </cell>
          <cell r="L204" t="str">
            <v>RODRIGO</v>
          </cell>
          <cell r="M204" t="str">
            <v>RAQUEL BARBOSA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  <cell r="H205" t="str">
            <v>DISTRIBUIÇÃO</v>
          </cell>
          <cell r="I205" t="str">
            <v>FOOD SERVICE</v>
          </cell>
          <cell r="J205" t="str">
            <v>FLAC 2</v>
          </cell>
          <cell r="K205" t="str">
            <v>LACTALIS</v>
          </cell>
          <cell r="L205" t="str">
            <v>RODRIGO</v>
          </cell>
          <cell r="M205" t="str">
            <v>RAQUEL BARBOSA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  <cell r="H206" t="str">
            <v>DISTRIBUIÇÃO</v>
          </cell>
          <cell r="I206" t="str">
            <v>FOOD SERVICE</v>
          </cell>
          <cell r="J206" t="str">
            <v>FLAC 2</v>
          </cell>
          <cell r="K206" t="str">
            <v>LACTALIS</v>
          </cell>
          <cell r="L206" t="str">
            <v>RODRIGO</v>
          </cell>
          <cell r="M206" t="str">
            <v>RAQUEL BARBOSA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  <cell r="H207" t="str">
            <v>DISTRIBUIÇÃO</v>
          </cell>
          <cell r="I207" t="str">
            <v>FOOD SERVICE</v>
          </cell>
          <cell r="J207" t="str">
            <v>FLAC 2</v>
          </cell>
          <cell r="K207" t="str">
            <v>LACTALIS</v>
          </cell>
          <cell r="L207" t="str">
            <v>RODRIGO</v>
          </cell>
          <cell r="M207" t="str">
            <v>RAQUEL BARBOSA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  <cell r="H208" t="str">
            <v>DISTRIBUIÇÃO</v>
          </cell>
          <cell r="I208" t="str">
            <v>FOOD SERVICE</v>
          </cell>
          <cell r="J208" t="str">
            <v>FLAC 2</v>
          </cell>
          <cell r="K208" t="str">
            <v>LACTALIS</v>
          </cell>
          <cell r="L208" t="str">
            <v>RODRIGO</v>
          </cell>
          <cell r="M208" t="str">
            <v>RAQUEL BARBOSA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  <cell r="H209" t="str">
            <v>DISTRIBUIÇÃO</v>
          </cell>
          <cell r="I209" t="str">
            <v>FOOD SERVICE</v>
          </cell>
          <cell r="J209" t="str">
            <v>GUILHERME NASCIMENTO</v>
          </cell>
          <cell r="K209" t="str">
            <v>ITAMBÉ</v>
          </cell>
          <cell r="L209" t="str">
            <v>RODRIGO</v>
          </cell>
          <cell r="M209" t="str">
            <v>ALEXANDRO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  <cell r="H210" t="str">
            <v>QSR</v>
          </cell>
          <cell r="I210" t="str">
            <v>FOOD SERVICE</v>
          </cell>
          <cell r="J210" t="str">
            <v>NUTRI</v>
          </cell>
          <cell r="K210" t="str">
            <v>LACTALIS</v>
          </cell>
          <cell r="L210" t="str">
            <v>PEDRO</v>
          </cell>
          <cell r="M210" t="str">
            <v>VAGO QSR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  <cell r="H211" t="str">
            <v>QSR</v>
          </cell>
          <cell r="I211" t="str">
            <v>FOOD SERVICE</v>
          </cell>
          <cell r="J211" t="str">
            <v>NUTRI</v>
          </cell>
          <cell r="K211" t="str">
            <v>LACTALIS</v>
          </cell>
          <cell r="L211" t="str">
            <v>PEDRO</v>
          </cell>
          <cell r="M211" t="str">
            <v>VAGO QSR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  <cell r="H212" t="str">
            <v>INGREDIENTS</v>
          </cell>
          <cell r="I212" t="str">
            <v>INGREDIENTS</v>
          </cell>
          <cell r="J212" t="str">
            <v>MARCELO RODRIGUES</v>
          </cell>
          <cell r="K212" t="str">
            <v>LACTALIS</v>
          </cell>
          <cell r="L212" t="str">
            <v>MAURICIO</v>
          </cell>
          <cell r="M212" t="str">
            <v>MARCELO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  <cell r="H213" t="str">
            <v>DISTRIBUIÇÃO</v>
          </cell>
          <cell r="I213" t="str">
            <v>FOOD SERVICE</v>
          </cell>
          <cell r="J213" t="str">
            <v>FLAC 6</v>
          </cell>
          <cell r="K213" t="str">
            <v>LACTALIS</v>
          </cell>
          <cell r="L213" t="str">
            <v>RODRIGO</v>
          </cell>
          <cell r="M213" t="str">
            <v>RAQUEL BARBOSA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  <cell r="H214" t="str">
            <v>DISTRIBUIÇÃO</v>
          </cell>
          <cell r="I214" t="str">
            <v>FOOD SERVICE</v>
          </cell>
          <cell r="J214" t="str">
            <v>FLAC 6</v>
          </cell>
          <cell r="K214" t="str">
            <v>LACTALIS</v>
          </cell>
          <cell r="L214" t="str">
            <v>RODRIGO</v>
          </cell>
          <cell r="M214" t="str">
            <v>RAQUEL BARBOSA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  <cell r="H215" t="str">
            <v>DISTRIBUIÇÃO</v>
          </cell>
          <cell r="I215" t="str">
            <v>FOOD SERVICE</v>
          </cell>
          <cell r="J215" t="str">
            <v>FLAC 5</v>
          </cell>
          <cell r="K215" t="str">
            <v>LACTALIS</v>
          </cell>
          <cell r="L215" t="str">
            <v>RODRIGO</v>
          </cell>
          <cell r="M215" t="str">
            <v>RAQUEL BARBOSA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  <cell r="H216" t="str">
            <v>INGREDIENTS</v>
          </cell>
          <cell r="I216" t="str">
            <v>INGREDIENTS</v>
          </cell>
          <cell r="J216" t="str">
            <v>JOEL ELEOTÉRIO</v>
          </cell>
          <cell r="K216" t="str">
            <v>ITAMBÉ</v>
          </cell>
          <cell r="L216" t="str">
            <v>MAURICIO</v>
          </cell>
          <cell r="M216" t="str">
            <v>JOEL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  <cell r="H217" t="str">
            <v>INGREDIENTS</v>
          </cell>
          <cell r="I217" t="str">
            <v>INGREDIENTS</v>
          </cell>
          <cell r="J217" t="str">
            <v>JOEL ELEOTÉRIO</v>
          </cell>
          <cell r="K217" t="str">
            <v>ITAMBÉ</v>
          </cell>
          <cell r="L217" t="str">
            <v>MAURICIO</v>
          </cell>
          <cell r="M217" t="str">
            <v>JOEL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  <cell r="H218" t="str">
            <v>DISTRIBUIÇÃO</v>
          </cell>
          <cell r="I218" t="str">
            <v>FOOD SERVICE</v>
          </cell>
          <cell r="J218" t="str">
            <v>FLAC 2</v>
          </cell>
          <cell r="K218" t="str">
            <v>LACTALIS</v>
          </cell>
          <cell r="L218" t="str">
            <v>RODRIGO</v>
          </cell>
          <cell r="M218" t="str">
            <v>RAQUEL BARBOSA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  <cell r="H219" t="str">
            <v>DISTRIBUIÇÃO</v>
          </cell>
          <cell r="I219" t="str">
            <v>FOOD SERVICE</v>
          </cell>
          <cell r="J219" t="str">
            <v>FLAC 5</v>
          </cell>
          <cell r="K219" t="str">
            <v>LACTALIS</v>
          </cell>
          <cell r="L219" t="str">
            <v>RODRIGO</v>
          </cell>
          <cell r="M219" t="str">
            <v>RAQUEL BARBOSA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  <cell r="H220" t="str">
            <v>DISTRIBUIÇÃO</v>
          </cell>
          <cell r="I220" t="str">
            <v>FOOD SERVICE</v>
          </cell>
          <cell r="J220" t="str">
            <v>FLAC 2</v>
          </cell>
          <cell r="K220" t="str">
            <v>LACTALIS</v>
          </cell>
          <cell r="L220" t="str">
            <v>RODRIGO</v>
          </cell>
          <cell r="M220" t="str">
            <v>RAQUEL BARBOSA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  <cell r="H221" t="str">
            <v>QSR</v>
          </cell>
          <cell r="I221" t="str">
            <v>FOOD SERVICE</v>
          </cell>
          <cell r="J221" t="str">
            <v>VAGO QSR</v>
          </cell>
          <cell r="K221" t="str">
            <v>LACTALIS</v>
          </cell>
          <cell r="L221" t="str">
            <v>PEDRO</v>
          </cell>
          <cell r="M221" t="str">
            <v>VAGO QSR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  <cell r="H222" t="str">
            <v>DISTRIBUIÇÃO</v>
          </cell>
          <cell r="I222" t="str">
            <v>FOOD SERVICE</v>
          </cell>
          <cell r="J222" t="str">
            <v>FLAC 2</v>
          </cell>
          <cell r="K222" t="str">
            <v>LACTALIS</v>
          </cell>
          <cell r="L222" t="str">
            <v>RODRIGO</v>
          </cell>
          <cell r="M222" t="str">
            <v>RAQUEL BARBOSA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  <cell r="H223" t="str">
            <v>DISTRIBUIÇÃO</v>
          </cell>
          <cell r="I223" t="str">
            <v>FOOD SERVICE</v>
          </cell>
          <cell r="J223" t="str">
            <v>MARCELO DUARTE</v>
          </cell>
          <cell r="K223" t="str">
            <v>ITAMBÉ</v>
          </cell>
          <cell r="L223" t="str">
            <v>RODRIGO</v>
          </cell>
          <cell r="M223" t="str">
            <v>JESSICA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  <cell r="H224" t="str">
            <v>INGREDIENTS</v>
          </cell>
          <cell r="I224" t="str">
            <v>INGREDIENTS</v>
          </cell>
          <cell r="J224" t="str">
            <v>JOEL ELEOTÉRIO</v>
          </cell>
          <cell r="K224" t="str">
            <v>LACTALIS</v>
          </cell>
          <cell r="L224" t="str">
            <v>MAURICIO</v>
          </cell>
          <cell r="M224" t="str">
            <v>JOEL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  <cell r="H225" t="str">
            <v>DISTRIBUIÇÃO</v>
          </cell>
          <cell r="I225" t="str">
            <v>FOOD SERVICE</v>
          </cell>
          <cell r="J225" t="str">
            <v>FLAC 3</v>
          </cell>
          <cell r="K225" t="str">
            <v>LACTALIS</v>
          </cell>
          <cell r="L225" t="str">
            <v>RODRIGO</v>
          </cell>
          <cell r="M225" t="str">
            <v>RAQUEL BARBOSA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  <cell r="H226" t="str">
            <v>DISTRIBUIÇÃO</v>
          </cell>
          <cell r="I226" t="str">
            <v>FOOD SERVICE</v>
          </cell>
          <cell r="J226" t="str">
            <v>MARCELO DUARTE</v>
          </cell>
          <cell r="K226" t="str">
            <v>ITAMBÉ</v>
          </cell>
          <cell r="L226" t="str">
            <v>RODRIGO</v>
          </cell>
          <cell r="M226" t="str">
            <v>JESSICA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  <cell r="H227" t="str">
            <v>DISTRIBUIÇÃO</v>
          </cell>
          <cell r="I227" t="str">
            <v>FOOD SERVICE</v>
          </cell>
          <cell r="J227" t="str">
            <v>FLAC 6</v>
          </cell>
          <cell r="K227" t="str">
            <v>LACTALIS</v>
          </cell>
          <cell r="L227" t="str">
            <v>RODRIGO</v>
          </cell>
          <cell r="M227" t="str">
            <v>RAQUEL BARBOSA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  <cell r="H228" t="str">
            <v>DISTRIBUIÇÃO</v>
          </cell>
          <cell r="I228" t="str">
            <v>FOOD SERVICE</v>
          </cell>
          <cell r="J228" t="str">
            <v>CLAUDIO JORGE/LUIZ</v>
          </cell>
          <cell r="K228" t="str">
            <v>ITAMBÉ</v>
          </cell>
          <cell r="L228" t="str">
            <v>RODRIGO</v>
          </cell>
          <cell r="M228" t="str">
            <v>MARIA LOURDES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  <cell r="H229" t="str">
            <v>DISTRIBUIÇÃO</v>
          </cell>
          <cell r="I229" t="str">
            <v>FOOD SERVICE</v>
          </cell>
          <cell r="J229" t="str">
            <v>FLAC 2</v>
          </cell>
          <cell r="K229" t="str">
            <v>LACTALIS</v>
          </cell>
          <cell r="L229" t="str">
            <v>RODRIGO</v>
          </cell>
          <cell r="M229" t="str">
            <v>RAQUEL BARBOSA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  <cell r="H230" t="str">
            <v>DISTRIBUIÇÃO</v>
          </cell>
          <cell r="I230" t="str">
            <v>FOOD SERVICE</v>
          </cell>
          <cell r="J230" t="str">
            <v>FLAC 3</v>
          </cell>
          <cell r="K230" t="str">
            <v>LACTALIS</v>
          </cell>
          <cell r="L230" t="str">
            <v>RODRIGO</v>
          </cell>
          <cell r="M230" t="str">
            <v>RAQUEL BARBOSA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  <cell r="H231" t="str">
            <v>INGREDIENTS</v>
          </cell>
          <cell r="I231" t="str">
            <v>INGREDIENTS</v>
          </cell>
          <cell r="J231" t="str">
            <v>TATIANA NITTA</v>
          </cell>
          <cell r="K231" t="str">
            <v>ITAMBÉ</v>
          </cell>
          <cell r="L231" t="str">
            <v>MAURICIO</v>
          </cell>
          <cell r="M231" t="str">
            <v>TATIANA NITTA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  <cell r="H232" t="str">
            <v>INGREDIENTS</v>
          </cell>
          <cell r="I232" t="str">
            <v>INGREDIENTS</v>
          </cell>
          <cell r="J232" t="str">
            <v>JOEL ELEOTÉRIO</v>
          </cell>
          <cell r="K232" t="str">
            <v>LACTALIS</v>
          </cell>
          <cell r="L232" t="str">
            <v>MAURICIO</v>
          </cell>
          <cell r="M232" t="str">
            <v>JOEL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  <cell r="H233" t="str">
            <v>DISTRIBUIÇÃO</v>
          </cell>
          <cell r="I233" t="str">
            <v>FOOD SERVICE</v>
          </cell>
          <cell r="J233" t="str">
            <v>FLAC 6</v>
          </cell>
          <cell r="K233" t="str">
            <v>LACTALIS</v>
          </cell>
          <cell r="L233" t="str">
            <v>RODRIGO</v>
          </cell>
          <cell r="M233" t="str">
            <v>RAQUEL BARBOSA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  <cell r="H234" t="str">
            <v>INGREDIENTS</v>
          </cell>
          <cell r="I234" t="str">
            <v>INGREDIENTS</v>
          </cell>
          <cell r="J234" t="str">
            <v>AM ITB FS I DA SILVA SANTOS</v>
          </cell>
          <cell r="K234" t="str">
            <v>ITAMBÉ</v>
          </cell>
          <cell r="L234" t="str">
            <v>MAURICIO</v>
          </cell>
          <cell r="M234" t="str">
            <v>JOEL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  <cell r="H235" t="str">
            <v>INGREDIENTS</v>
          </cell>
          <cell r="I235" t="str">
            <v>INGREDIENTS</v>
          </cell>
          <cell r="J235" t="str">
            <v>MARCELO RODRIGUES</v>
          </cell>
          <cell r="K235" t="str">
            <v>ITAMBÉ</v>
          </cell>
          <cell r="L235" t="str">
            <v>MAURICIO</v>
          </cell>
          <cell r="M235" t="str">
            <v>MARCELO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  <cell r="H236" t="str">
            <v>INGREDIENTS</v>
          </cell>
          <cell r="I236" t="str">
            <v>INGREDIENTS</v>
          </cell>
          <cell r="J236" t="str">
            <v>MARCELO RODRIGUES</v>
          </cell>
          <cell r="K236" t="str">
            <v>ITAMBÉ</v>
          </cell>
          <cell r="L236" t="str">
            <v>MAURICIO</v>
          </cell>
          <cell r="M236" t="str">
            <v>MARCELO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  <cell r="H237" t="str">
            <v>INGREDIENTS</v>
          </cell>
          <cell r="I237" t="str">
            <v>INGREDIENTS</v>
          </cell>
          <cell r="J237" t="str">
            <v>MARCELO RODRIGUES</v>
          </cell>
          <cell r="K237" t="str">
            <v>LACTALIS</v>
          </cell>
          <cell r="L237" t="str">
            <v>MAURICIO</v>
          </cell>
          <cell r="M237" t="str">
            <v>MARCELO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  <cell r="H238" t="str">
            <v>DISTRIBUIÇÃO</v>
          </cell>
          <cell r="I238" t="str">
            <v>FOOD SERVICE</v>
          </cell>
          <cell r="J238" t="str">
            <v>FLAC 6</v>
          </cell>
          <cell r="K238" t="str">
            <v>LACTALIS</v>
          </cell>
          <cell r="L238" t="str">
            <v>RODRIGO</v>
          </cell>
          <cell r="M238" t="str">
            <v>RAQUEL BARBOSA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  <cell r="H239" t="str">
            <v>INGREDIENTS</v>
          </cell>
          <cell r="I239" t="str">
            <v>INGREDIENTS</v>
          </cell>
          <cell r="J239" t="str">
            <v>DUAS RODAS</v>
          </cell>
          <cell r="K239" t="str">
            <v>ITAMBÉ</v>
          </cell>
          <cell r="L239" t="str">
            <v>MAURICIO</v>
          </cell>
          <cell r="M239" t="str">
            <v>MARCELO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  <cell r="H240" t="str">
            <v>DISTRIBUIÇÃO</v>
          </cell>
          <cell r="I240" t="str">
            <v>FOOD SERVICE</v>
          </cell>
          <cell r="J240" t="str">
            <v>FLAC 6</v>
          </cell>
          <cell r="K240" t="str">
            <v>LACTALIS</v>
          </cell>
          <cell r="L240" t="str">
            <v>RODRIGO</v>
          </cell>
          <cell r="M240" t="str">
            <v>RAQUEL BARBOSA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  <cell r="H241" t="str">
            <v>INGREDIENTS</v>
          </cell>
          <cell r="I241" t="str">
            <v>INGREDIENTS</v>
          </cell>
          <cell r="J241" t="str">
            <v>MARCELO RODRIGUES</v>
          </cell>
          <cell r="K241" t="str">
            <v>ITAMBÉ</v>
          </cell>
          <cell r="L241" t="str">
            <v>MAURICIO</v>
          </cell>
          <cell r="M241" t="str">
            <v>MARCELO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  <cell r="H242" t="str">
            <v>DISTRIBUIÇÃO</v>
          </cell>
          <cell r="I242" t="str">
            <v>FOOD SERVICE</v>
          </cell>
          <cell r="J242" t="str">
            <v>FLAC 4</v>
          </cell>
          <cell r="K242" t="str">
            <v>LACTALIS</v>
          </cell>
          <cell r="L242" t="str">
            <v>RODRIGO</v>
          </cell>
          <cell r="M242" t="str">
            <v>RAQUEL BARBOSA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  <cell r="H243" t="str">
            <v>DISTRIBUIÇÃO</v>
          </cell>
          <cell r="I243" t="str">
            <v>FOOD SERVICE</v>
          </cell>
          <cell r="J243" t="str">
            <v>FLAC 2</v>
          </cell>
          <cell r="K243" t="str">
            <v>LACTALIS</v>
          </cell>
          <cell r="L243" t="str">
            <v>RODRIGO</v>
          </cell>
          <cell r="M243" t="str">
            <v>RAQUEL BARBOSA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  <cell r="H244" t="str">
            <v>DISTRIBUIÇÃO</v>
          </cell>
          <cell r="I244" t="str">
            <v>FOOD SERVICE</v>
          </cell>
          <cell r="J244" t="str">
            <v>MARCELO DUARTE</v>
          </cell>
          <cell r="K244" t="str">
            <v>ITAMBÉ</v>
          </cell>
          <cell r="L244" t="str">
            <v>RODRIGO</v>
          </cell>
          <cell r="M244" t="str">
            <v>JESSICA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  <cell r="H245" t="str">
            <v>DISTRIBUIÇÃO</v>
          </cell>
          <cell r="I245" t="str">
            <v>FOOD SERVICE</v>
          </cell>
          <cell r="J245" t="str">
            <v>ANGELICA BATISTELA</v>
          </cell>
          <cell r="K245" t="str">
            <v>ITAMBÉ</v>
          </cell>
          <cell r="L245" t="str">
            <v>RODRIGO</v>
          </cell>
          <cell r="M245" t="str">
            <v>ANGELICA BATISTELA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  <cell r="H246" t="str">
            <v>DISTRIBUIÇÃO</v>
          </cell>
          <cell r="I246" t="str">
            <v>FOOD SERVICE</v>
          </cell>
          <cell r="J246" t="str">
            <v>ANGELICA BATISTELA</v>
          </cell>
          <cell r="K246" t="str">
            <v>LACTALIS</v>
          </cell>
          <cell r="L246" t="str">
            <v>RODRIGO</v>
          </cell>
          <cell r="M246" t="str">
            <v>ANGELICA BATISTELA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  <cell r="H247" t="str">
            <v>DISTRIBUIÇÃO</v>
          </cell>
          <cell r="I247" t="str">
            <v>FOOD SERVICE</v>
          </cell>
          <cell r="J247" t="str">
            <v>FLAC 3</v>
          </cell>
          <cell r="K247" t="str">
            <v>LACTALIS</v>
          </cell>
          <cell r="L247" t="str">
            <v>RODRIGO</v>
          </cell>
          <cell r="M247" t="str">
            <v>RAQUEL BARBOSA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  <cell r="H248" t="str">
            <v>DISTRIBUIÇÃO</v>
          </cell>
          <cell r="I248" t="str">
            <v>FOOD SERVICE</v>
          </cell>
          <cell r="J248" t="str">
            <v>GUILHERME NASCIMENTO</v>
          </cell>
          <cell r="K248" t="str">
            <v>ITAMBÉ</v>
          </cell>
          <cell r="L248" t="str">
            <v>RODRIGO</v>
          </cell>
          <cell r="M248" t="str">
            <v>ALEXANDRO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  <cell r="H249" t="str">
            <v>DISTRIBUIÇÃO</v>
          </cell>
          <cell r="I249" t="str">
            <v>FOOD SERVICE</v>
          </cell>
          <cell r="J249" t="str">
            <v>VAGO SP</v>
          </cell>
          <cell r="K249" t="str">
            <v>ITAMBÉ</v>
          </cell>
          <cell r="L249" t="str">
            <v>RODRIGO</v>
          </cell>
          <cell r="M249" t="str">
            <v>RAQUEL BARBOSA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  <cell r="H250" t="str">
            <v>DISTRIBUIÇÃO</v>
          </cell>
          <cell r="I250" t="str">
            <v>FOOD SERVICE</v>
          </cell>
          <cell r="J250" t="str">
            <v>CLAUDIO JORGE</v>
          </cell>
          <cell r="K250" t="str">
            <v>ITAMBÉ</v>
          </cell>
          <cell r="L250" t="str">
            <v>RODRIGO</v>
          </cell>
          <cell r="M250" t="str">
            <v>MARCO AURELIO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  <cell r="H251" t="str">
            <v>DISTRIBUIÇÃO</v>
          </cell>
          <cell r="I251" t="str">
            <v>FOOD SERVICE</v>
          </cell>
          <cell r="J251" t="str">
            <v>FLAC 2</v>
          </cell>
          <cell r="K251" t="str">
            <v>LACTALIS</v>
          </cell>
          <cell r="L251" t="str">
            <v>RODRIGO</v>
          </cell>
          <cell r="M251" t="str">
            <v>RAQUEL BARBOSA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  <cell r="H252" t="str">
            <v>DISTRIBUIÇÃO</v>
          </cell>
          <cell r="I252" t="str">
            <v>FOOD SERVICE</v>
          </cell>
          <cell r="J252" t="str">
            <v>FLAC 1</v>
          </cell>
          <cell r="K252" t="str">
            <v>LACTALIS</v>
          </cell>
          <cell r="L252" t="str">
            <v>RODRIGO</v>
          </cell>
          <cell r="M252" t="str">
            <v>RAQUEL BARBOSA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  <cell r="H253" t="str">
            <v>DISTRIBUIÇÃO</v>
          </cell>
          <cell r="I253" t="str">
            <v>FOOD SERVICE</v>
          </cell>
          <cell r="J253" t="str">
            <v>FLAC 4</v>
          </cell>
          <cell r="K253" t="str">
            <v>LACTALIS</v>
          </cell>
          <cell r="L253" t="str">
            <v>RODRIGO</v>
          </cell>
          <cell r="M253" t="str">
            <v>RAQUEL BARBOSA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  <cell r="H254" t="str">
            <v>DISTRIBUIÇÃO</v>
          </cell>
          <cell r="I254" t="str">
            <v>FOOD SERVICE</v>
          </cell>
          <cell r="J254" t="str">
            <v>MARCELO DUARTE</v>
          </cell>
          <cell r="K254" t="str">
            <v>ITAMBÉ</v>
          </cell>
          <cell r="L254" t="str">
            <v>RODRIGO</v>
          </cell>
          <cell r="M254" t="str">
            <v>JESSICA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  <cell r="H255" t="str">
            <v>DISTRIBUIÇÃO</v>
          </cell>
          <cell r="I255" t="str">
            <v>FOOD SERVICE</v>
          </cell>
          <cell r="J255" t="str">
            <v>FLAC 5</v>
          </cell>
          <cell r="K255" t="str">
            <v>LACTALIS</v>
          </cell>
          <cell r="L255" t="str">
            <v>RODRIGO</v>
          </cell>
          <cell r="M255" t="str">
            <v>RAQUEL BARBOSA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  <cell r="H256" t="str">
            <v>DISTRIBUIÇÃO</v>
          </cell>
          <cell r="I256" t="str">
            <v>FOOD SERVICE</v>
          </cell>
          <cell r="J256" t="str">
            <v>VAGO SP</v>
          </cell>
          <cell r="K256" t="str">
            <v>ITAMBÉ</v>
          </cell>
          <cell r="L256" t="str">
            <v>RODRIGO</v>
          </cell>
          <cell r="M256" t="str">
            <v>RAQUEL BARBOSA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  <cell r="H257" t="str">
            <v>INGREDIENTS</v>
          </cell>
          <cell r="I257" t="str">
            <v>INGREDIENTS</v>
          </cell>
          <cell r="J257" t="str">
            <v>HENRIQUE FERREIRA</v>
          </cell>
          <cell r="K257" t="str">
            <v>ITAMBÉ</v>
          </cell>
          <cell r="L257" t="str">
            <v>MAURICIO</v>
          </cell>
          <cell r="M257" t="str">
            <v>JOEL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  <cell r="H258" t="str">
            <v>DISTRIBUIÇÃO</v>
          </cell>
          <cell r="I258" t="str">
            <v>FOOD SERVICE</v>
          </cell>
          <cell r="J258" t="str">
            <v>FLAC 1</v>
          </cell>
          <cell r="K258" t="str">
            <v>LACTALIS</v>
          </cell>
          <cell r="L258" t="str">
            <v>RODRIGO</v>
          </cell>
          <cell r="M258" t="str">
            <v>RAQUEL BARBOSA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  <cell r="H259" t="str">
            <v>DISTRIBUIÇÃO</v>
          </cell>
          <cell r="I259" t="str">
            <v>FOOD SERVICE</v>
          </cell>
          <cell r="J259" t="str">
            <v>FLAC 1</v>
          </cell>
          <cell r="K259" t="str">
            <v>LACTALIS</v>
          </cell>
          <cell r="L259" t="str">
            <v>RODRIGO</v>
          </cell>
          <cell r="M259" t="str">
            <v>RAQUEL BARBOSA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  <cell r="H260" t="str">
            <v>DISTRIBUIÇÃO</v>
          </cell>
          <cell r="I260" t="str">
            <v>FOOD SERVICE</v>
          </cell>
          <cell r="J260" t="str">
            <v>FLAC 3</v>
          </cell>
          <cell r="K260" t="str">
            <v>LACTALIS</v>
          </cell>
          <cell r="L260" t="str">
            <v>RODRIGO</v>
          </cell>
          <cell r="M260" t="str">
            <v>RAQUEL BARBOSA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  <cell r="H261" t="str">
            <v>DISTRIBUIÇÃO</v>
          </cell>
          <cell r="I261" t="str">
            <v>FOOD SERVICE</v>
          </cell>
          <cell r="J261" t="str">
            <v>FLAC 3</v>
          </cell>
          <cell r="K261" t="str">
            <v>LACTALIS</v>
          </cell>
          <cell r="L261" t="str">
            <v>RODRIGO</v>
          </cell>
          <cell r="M261" t="str">
            <v>RAQUEL BARBOSA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  <cell r="H262" t="str">
            <v>DISTRIBUIÇÃO</v>
          </cell>
          <cell r="I262" t="str">
            <v>FOOD SERVICE</v>
          </cell>
          <cell r="J262" t="str">
            <v>FLAC 6</v>
          </cell>
          <cell r="K262" t="str">
            <v>LACTALIS</v>
          </cell>
          <cell r="L262" t="str">
            <v>RODRIGO</v>
          </cell>
          <cell r="M262" t="str">
            <v>RAQUEL BARBOSA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  <cell r="H263" t="str">
            <v>DISTRIBUIÇÃO</v>
          </cell>
          <cell r="I263" t="str">
            <v>FOOD SERVICE</v>
          </cell>
          <cell r="J263" t="str">
            <v>CLAUDIO JORGE</v>
          </cell>
          <cell r="K263" t="str">
            <v>ITAMBÉ</v>
          </cell>
          <cell r="L263" t="str">
            <v>RODRIGO</v>
          </cell>
          <cell r="M263" t="str">
            <v>JESSICA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  <cell r="H264" t="str">
            <v>DISTRIBUIÇÃO</v>
          </cell>
          <cell r="I264" t="str">
            <v>FOOD SERVICE</v>
          </cell>
          <cell r="J264" t="str">
            <v>SP ITB FS FLAC REP.E COMERCIO</v>
          </cell>
          <cell r="K264" t="str">
            <v>ITAMBÉ</v>
          </cell>
          <cell r="L264" t="str">
            <v>RODRIGO</v>
          </cell>
          <cell r="M264" t="str">
            <v>RAQUEL BARBOSA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  <cell r="H265" t="str">
            <v>DISTRIBUIÇÃO</v>
          </cell>
          <cell r="I265" t="str">
            <v>FOOD SERVICE</v>
          </cell>
          <cell r="J265" t="str">
            <v>WH FOOD SERVICE CE</v>
          </cell>
          <cell r="K265" t="str">
            <v>ITAMBÉ</v>
          </cell>
          <cell r="L265" t="str">
            <v>RODRIGO</v>
          </cell>
          <cell r="M265" t="str">
            <v>MARIA LOURDES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  <cell r="H266" t="str">
            <v>OUTROS</v>
          </cell>
          <cell r="I266" t="str">
            <v>OUTROS</v>
          </cell>
          <cell r="J266" t="str">
            <v>EDUARDO LEITE LEVE LEITE</v>
          </cell>
          <cell r="K266" t="str">
            <v>OUTROS</v>
          </cell>
          <cell r="L266" t="str">
            <v>OUTROS</v>
          </cell>
          <cell r="M266" t="str">
            <v>LICITAÇÃO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  <cell r="H267" t="str">
            <v>DISTRIBUIÇÃO</v>
          </cell>
          <cell r="I267" t="str">
            <v>FOOD SERVICE</v>
          </cell>
          <cell r="J267" t="str">
            <v>FLAC 6</v>
          </cell>
          <cell r="K267" t="str">
            <v>LACTALIS</v>
          </cell>
          <cell r="L267" t="str">
            <v>RODRIGO</v>
          </cell>
          <cell r="M267" t="str">
            <v>RAQUEL BARBOSA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  <cell r="H268" t="str">
            <v>DISTRIBUIÇÃO</v>
          </cell>
          <cell r="I268" t="str">
            <v>FOOD SERVICE</v>
          </cell>
          <cell r="J268" t="str">
            <v>SP ITB FS FLAC REP.E COMERCIO</v>
          </cell>
          <cell r="K268" t="str">
            <v>ITAMBÉ</v>
          </cell>
          <cell r="L268" t="str">
            <v>RODRIGO</v>
          </cell>
          <cell r="M268" t="str">
            <v>RAQUEL BARBOSA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  <cell r="H269" t="str">
            <v>DISTRIBUIÇÃO</v>
          </cell>
          <cell r="I269" t="str">
            <v>FOOD SERVICE</v>
          </cell>
          <cell r="J269" t="str">
            <v>ANGELICA BATISTELA</v>
          </cell>
          <cell r="K269" t="str">
            <v>ITAMBÉ</v>
          </cell>
          <cell r="L269" t="str">
            <v>RODRIGO</v>
          </cell>
          <cell r="M269" t="str">
            <v>ANGELICA BATISTELA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  <cell r="H270" t="str">
            <v>DISTRIBUIÇÃO</v>
          </cell>
          <cell r="I270" t="str">
            <v>FOOD SERVICE</v>
          </cell>
          <cell r="J270" t="str">
            <v>FLAC 6</v>
          </cell>
          <cell r="K270" t="str">
            <v>LACTALIS</v>
          </cell>
          <cell r="L270" t="str">
            <v>RODRIGO</v>
          </cell>
          <cell r="M270" t="str">
            <v>RAQUEL BARBOSA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  <cell r="H271" t="str">
            <v>DISTRIBUIÇÃO</v>
          </cell>
          <cell r="I271" t="str">
            <v>FOOD SERVICE</v>
          </cell>
          <cell r="J271" t="str">
            <v>FLAC 3</v>
          </cell>
          <cell r="K271" t="str">
            <v>LACTALIS</v>
          </cell>
          <cell r="L271" t="str">
            <v>RODRIGO</v>
          </cell>
          <cell r="M271" t="str">
            <v>RAQUEL BARBOSA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  <cell r="H272" t="str">
            <v>DISTRIBUIÇÃO</v>
          </cell>
          <cell r="I272" t="str">
            <v>FOOD SERVICE</v>
          </cell>
          <cell r="J272" t="str">
            <v>FLAC 6</v>
          </cell>
          <cell r="K272" t="str">
            <v>LACTALIS</v>
          </cell>
          <cell r="L272" t="str">
            <v>RODRIGO</v>
          </cell>
          <cell r="M272" t="str">
            <v>RAQUEL BARBOSA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  <cell r="H273" t="str">
            <v>DISTRIBUIÇÃO</v>
          </cell>
          <cell r="I273" t="str">
            <v>FOOD SERVICE</v>
          </cell>
          <cell r="J273" t="str">
            <v>FLAC 7</v>
          </cell>
          <cell r="K273" t="str">
            <v>LACTALIS</v>
          </cell>
          <cell r="L273" t="str">
            <v>RODRIGO</v>
          </cell>
          <cell r="M273" t="str">
            <v>RAQUEL BARBOSA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  <cell r="H274" t="str">
            <v>DISTRIBUIÇÃO</v>
          </cell>
          <cell r="I274" t="str">
            <v>FOOD SERVICE</v>
          </cell>
          <cell r="J274" t="str">
            <v>FLAC 1</v>
          </cell>
          <cell r="K274" t="str">
            <v>LACTALIS</v>
          </cell>
          <cell r="L274" t="str">
            <v>RODRIGO</v>
          </cell>
          <cell r="M274" t="str">
            <v>RAQUEL BARBOSA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  <cell r="H275" t="str">
            <v>DISTRIBUIÇÃO</v>
          </cell>
          <cell r="I275" t="str">
            <v>FOOD SERVICE</v>
          </cell>
          <cell r="J275" t="str">
            <v>FLAC 3</v>
          </cell>
          <cell r="K275" t="str">
            <v>LACTALIS</v>
          </cell>
          <cell r="L275" t="str">
            <v>RODRIGO</v>
          </cell>
          <cell r="M275" t="str">
            <v>RAQUEL BARBOSA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  <cell r="H276" t="str">
            <v>DISTRIBUIÇÃO</v>
          </cell>
          <cell r="I276" t="str">
            <v>FOOD SERVICE</v>
          </cell>
          <cell r="J276" t="str">
            <v>FLAC 1</v>
          </cell>
          <cell r="K276" t="str">
            <v>LACTALIS</v>
          </cell>
          <cell r="L276" t="str">
            <v>RODRIGO</v>
          </cell>
          <cell r="M276" t="str">
            <v>RAQUEL BARBOSA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  <cell r="H277" t="str">
            <v>INGREDIENTS</v>
          </cell>
          <cell r="I277" t="str">
            <v>INGREDIENTS</v>
          </cell>
          <cell r="J277" t="str">
            <v>DUAS RODAS</v>
          </cell>
          <cell r="K277" t="str">
            <v>ITAMBÉ</v>
          </cell>
          <cell r="L277" t="str">
            <v>MAURICIO</v>
          </cell>
          <cell r="M277" t="str">
            <v>MARCELO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  <cell r="H278" t="str">
            <v>DISTRIBUIÇÃO</v>
          </cell>
          <cell r="I278" t="str">
            <v>FOOD SERVICE</v>
          </cell>
          <cell r="J278" t="str">
            <v>FLAC 2</v>
          </cell>
          <cell r="K278" t="str">
            <v>LACTALIS</v>
          </cell>
          <cell r="L278" t="str">
            <v>RODRIGO</v>
          </cell>
          <cell r="M278" t="str">
            <v>RAQUEL BARBOSA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  <cell r="H279" t="str">
            <v>DISTRIBUIÇÃO</v>
          </cell>
          <cell r="I279" t="str">
            <v>FOOD SERVICE</v>
          </cell>
          <cell r="J279" t="str">
            <v>FLAC 4</v>
          </cell>
          <cell r="K279" t="str">
            <v>LACTALIS</v>
          </cell>
          <cell r="L279" t="str">
            <v>RODRIGO</v>
          </cell>
          <cell r="M279" t="str">
            <v>RAQUEL BARBOSA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  <cell r="H280" t="str">
            <v>INGREDIENTS</v>
          </cell>
          <cell r="I280" t="str">
            <v>INGREDIENTS</v>
          </cell>
          <cell r="J280" t="str">
            <v>MARCELO RODRIGUES</v>
          </cell>
          <cell r="K280" t="str">
            <v>LACTALIS</v>
          </cell>
          <cell r="L280" t="str">
            <v>MAURICIO</v>
          </cell>
          <cell r="M280" t="str">
            <v>MARCELO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  <cell r="H281" t="str">
            <v>DISTRIBUIÇÃO</v>
          </cell>
          <cell r="I281" t="str">
            <v>FOOD SERVICE</v>
          </cell>
          <cell r="J281" t="str">
            <v>FLAC 6</v>
          </cell>
          <cell r="K281" t="str">
            <v>LACTALIS</v>
          </cell>
          <cell r="L281" t="str">
            <v>RODRIGO</v>
          </cell>
          <cell r="M281" t="str">
            <v>RAQUEL BARBOSA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  <cell r="H282" t="str">
            <v>INGREDIENTS</v>
          </cell>
          <cell r="I282" t="str">
            <v>INGREDIENTS</v>
          </cell>
          <cell r="J282" t="str">
            <v>MARCELO RODRIGUES</v>
          </cell>
          <cell r="K282" t="str">
            <v>ITAMBÉ</v>
          </cell>
          <cell r="L282" t="str">
            <v>MAURICIO</v>
          </cell>
          <cell r="M282" t="str">
            <v>MARCELO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  <cell r="H283" t="str">
            <v>DISTRIBUIÇÃO</v>
          </cell>
          <cell r="I283" t="str">
            <v>FOOD SERVICE</v>
          </cell>
          <cell r="J283" t="str">
            <v>SP ITB FS FLAC REP.E COMERCIO</v>
          </cell>
          <cell r="K283" t="str">
            <v>ITAMBÉ</v>
          </cell>
          <cell r="L283" t="str">
            <v>RODRIGO</v>
          </cell>
          <cell r="M283" t="str">
            <v>RAQUEL BARBOSA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  <cell r="H284" t="str">
            <v>DISTRIBUIÇÃO</v>
          </cell>
          <cell r="I284" t="str">
            <v>FOOD SERVICE</v>
          </cell>
          <cell r="J284" t="str">
            <v>ALEXANDRE BONANI</v>
          </cell>
          <cell r="K284" t="str">
            <v>ITAMBÉ</v>
          </cell>
          <cell r="L284" t="str">
            <v>RODRIGO</v>
          </cell>
          <cell r="M284" t="str">
            <v>ALEXANDRE BONANI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  <cell r="H285" t="str">
            <v>DISTRIBUIÇÃO</v>
          </cell>
          <cell r="I285" t="str">
            <v>FOOD SERVICE</v>
          </cell>
          <cell r="J285" t="str">
            <v>FLAC 2</v>
          </cell>
          <cell r="K285" t="str">
            <v>LACTALIS</v>
          </cell>
          <cell r="L285" t="str">
            <v>RODRIGO</v>
          </cell>
          <cell r="M285" t="str">
            <v>RAQUEL BARBOSA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  <cell r="H286" t="str">
            <v>DISTRIBUIÇÃO</v>
          </cell>
          <cell r="I286" t="str">
            <v>FOOD SERVICE</v>
          </cell>
          <cell r="J286" t="str">
            <v>FLAC 6</v>
          </cell>
          <cell r="K286" t="str">
            <v>LACTALIS</v>
          </cell>
          <cell r="L286" t="str">
            <v>RODRIGO</v>
          </cell>
          <cell r="M286" t="str">
            <v>RAQUEL BARBOSA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  <cell r="H287" t="str">
            <v>DISTRIBUIÇÃO</v>
          </cell>
          <cell r="I287" t="str">
            <v>FOOD SERVICE</v>
          </cell>
          <cell r="J287" t="str">
            <v>FLAC 3</v>
          </cell>
          <cell r="K287" t="str">
            <v>LACTALIS</v>
          </cell>
          <cell r="L287" t="str">
            <v>RODRIGO</v>
          </cell>
          <cell r="M287" t="str">
            <v>RAQUEL BARBOSA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  <cell r="H288" t="str">
            <v>INGREDIENTS</v>
          </cell>
          <cell r="I288" t="str">
            <v>INGREDIENTS</v>
          </cell>
          <cell r="J288" t="str">
            <v>DUAS RODAS</v>
          </cell>
          <cell r="K288" t="str">
            <v>ITAMBÉ</v>
          </cell>
          <cell r="L288" t="str">
            <v>MAURICIO</v>
          </cell>
          <cell r="M288" t="str">
            <v>JOEL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  <cell r="H289" t="str">
            <v>DISTRIBUIÇÃO</v>
          </cell>
          <cell r="I289" t="str">
            <v>FOOD SERVICE</v>
          </cell>
          <cell r="J289" t="str">
            <v>FLAC 6</v>
          </cell>
          <cell r="K289" t="str">
            <v>LACTALIS</v>
          </cell>
          <cell r="L289" t="str">
            <v>RODRIGO</v>
          </cell>
          <cell r="M289" t="str">
            <v>RAQUEL BARBOSA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  <cell r="H290" t="str">
            <v>DISTRIBUIÇÃO</v>
          </cell>
          <cell r="I290" t="str">
            <v>FOOD SERVICE</v>
          </cell>
          <cell r="J290" t="str">
            <v>FLAC 6</v>
          </cell>
          <cell r="K290" t="str">
            <v>LACTALIS</v>
          </cell>
          <cell r="L290" t="str">
            <v>RODRIGO</v>
          </cell>
          <cell r="M290" t="str">
            <v>RAQUEL BARBOSA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  <cell r="H291" t="str">
            <v>DISTRIBUIÇÃO</v>
          </cell>
          <cell r="I291" t="str">
            <v>FOOD SERVICE</v>
          </cell>
          <cell r="J291" t="str">
            <v>FLAC 2</v>
          </cell>
          <cell r="K291" t="str">
            <v>LACTALIS</v>
          </cell>
          <cell r="L291" t="str">
            <v>RODRIGO</v>
          </cell>
          <cell r="M291" t="str">
            <v>RAQUEL BARBOSA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  <cell r="H292" t="str">
            <v>INGREDIENTS</v>
          </cell>
          <cell r="I292" t="str">
            <v>INGREDIENTS</v>
          </cell>
          <cell r="J292" t="str">
            <v>MARCELO RODRIGUES</v>
          </cell>
          <cell r="K292" t="str">
            <v>LACTALIS</v>
          </cell>
          <cell r="L292" t="str">
            <v>MAURICIO</v>
          </cell>
          <cell r="M292" t="str">
            <v>MARCELO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  <cell r="H293" t="str">
            <v>DISTRIBUIÇÃO</v>
          </cell>
          <cell r="I293" t="str">
            <v>FOOD SERVICE</v>
          </cell>
          <cell r="J293" t="str">
            <v>FLAC 7</v>
          </cell>
          <cell r="K293" t="str">
            <v>LACTALIS</v>
          </cell>
          <cell r="L293" t="str">
            <v>RODRIGO</v>
          </cell>
          <cell r="M293" t="str">
            <v>RAQUEL BARBOSA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  <cell r="H294" t="str">
            <v>DISTRIBUIÇÃO</v>
          </cell>
          <cell r="I294" t="str">
            <v>FOOD SERVICE</v>
          </cell>
          <cell r="J294" t="str">
            <v>FLAC 3</v>
          </cell>
          <cell r="K294" t="str">
            <v>LACTALIS</v>
          </cell>
          <cell r="L294" t="str">
            <v>RODRIGO</v>
          </cell>
          <cell r="M294" t="str">
            <v>RAQUEL BARBOSA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  <cell r="H295" t="str">
            <v>DISTRIBUIÇÃO</v>
          </cell>
          <cell r="I295" t="str">
            <v>FOOD SERVICE</v>
          </cell>
          <cell r="J295" t="str">
            <v>FLAC 2</v>
          </cell>
          <cell r="K295" t="str">
            <v>LACTALIS</v>
          </cell>
          <cell r="L295" t="str">
            <v>RODRIGO</v>
          </cell>
          <cell r="M295" t="str">
            <v>RAQUEL BARBOSA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  <cell r="H296" t="str">
            <v>DISTRIBUIÇÃO</v>
          </cell>
          <cell r="I296" t="str">
            <v>FOOD SERVICE</v>
          </cell>
          <cell r="J296" t="str">
            <v>FLAC 6</v>
          </cell>
          <cell r="K296" t="str">
            <v>LACTALIS</v>
          </cell>
          <cell r="L296" t="str">
            <v>RODRIGO</v>
          </cell>
          <cell r="M296" t="str">
            <v>RAQUEL BARBOSA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  <cell r="H297" t="str">
            <v>DISTRIBUIÇÃO</v>
          </cell>
          <cell r="I297" t="str">
            <v>FOOD SERVICE</v>
          </cell>
          <cell r="J297" t="str">
            <v>MARCELO DUARTE</v>
          </cell>
          <cell r="K297" t="str">
            <v>ITAMBÉ</v>
          </cell>
          <cell r="L297" t="str">
            <v>RODRIGO</v>
          </cell>
          <cell r="M297" t="str">
            <v>JESSICA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  <cell r="H298" t="str">
            <v>INGREDIENTS</v>
          </cell>
          <cell r="I298" t="str">
            <v>INGREDIENTS</v>
          </cell>
          <cell r="J298" t="str">
            <v>HENRIQUE FERREIRA</v>
          </cell>
          <cell r="K298" t="str">
            <v>ITAMBÉ</v>
          </cell>
          <cell r="L298" t="str">
            <v>MAURICIO</v>
          </cell>
          <cell r="M298" t="str">
            <v>JOEL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  <cell r="H299" t="str">
            <v>DISTRIBUIÇÃO</v>
          </cell>
          <cell r="I299" t="str">
            <v>FOOD SERVICE</v>
          </cell>
          <cell r="J299" t="str">
            <v>CELIO MARTINS</v>
          </cell>
          <cell r="K299" t="str">
            <v>ITAMBÉ</v>
          </cell>
          <cell r="L299" t="str">
            <v>RODRIGO</v>
          </cell>
          <cell r="M299" t="str">
            <v>CELIO MARTINS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  <cell r="H300" t="str">
            <v>DISTRIBUIÇÃO</v>
          </cell>
          <cell r="I300" t="str">
            <v>FOOD SERVICE</v>
          </cell>
          <cell r="J300" t="str">
            <v>GUILHERME NASCIMENTO</v>
          </cell>
          <cell r="K300" t="str">
            <v>ITAMBÉ</v>
          </cell>
          <cell r="L300" t="str">
            <v>RODRIGO</v>
          </cell>
          <cell r="M300" t="str">
            <v>ALEXANDRO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  <cell r="H301" t="str">
            <v>DISTRIBUIÇÃO</v>
          </cell>
          <cell r="I301" t="str">
            <v>FOOD SERVICE</v>
          </cell>
          <cell r="J301" t="str">
            <v>GUILHERME NASCIMENTO</v>
          </cell>
          <cell r="K301" t="str">
            <v>LACTALIS</v>
          </cell>
          <cell r="L301" t="str">
            <v>RODRIGO</v>
          </cell>
          <cell r="M301" t="str">
            <v>ALEXANDRO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  <cell r="H302" t="str">
            <v>OUTROS</v>
          </cell>
          <cell r="I302" t="str">
            <v>OUTROS</v>
          </cell>
          <cell r="J302" t="str">
            <v>EDUARDO LEITE LEVE LEITE</v>
          </cell>
          <cell r="K302" t="str">
            <v>OUTROS</v>
          </cell>
          <cell r="L302" t="str">
            <v>OUTROS</v>
          </cell>
          <cell r="M302" t="str">
            <v>LICITAÇÃO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  <cell r="H303" t="str">
            <v>DISTRIBUIÇÃO</v>
          </cell>
          <cell r="I303" t="str">
            <v>FOOD SERVICE</v>
          </cell>
          <cell r="J303" t="str">
            <v>MARCELO SILVA</v>
          </cell>
          <cell r="K303" t="str">
            <v>ITAMBÉ</v>
          </cell>
          <cell r="L303" t="str">
            <v>RODRIGO</v>
          </cell>
          <cell r="M303" t="str">
            <v>CELIO MARTINS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  <cell r="H304" t="str">
            <v>DISTRIBUIÇÃO</v>
          </cell>
          <cell r="I304" t="str">
            <v>FOOD SERVICE</v>
          </cell>
          <cell r="J304" t="str">
            <v>CLAUDIO JORGE/LUIZ</v>
          </cell>
          <cell r="K304" t="str">
            <v>ITAMBÉ</v>
          </cell>
          <cell r="L304" t="str">
            <v>RODRIGO</v>
          </cell>
          <cell r="M304" t="str">
            <v>MARIA LOURDES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  <cell r="H305" t="str">
            <v>DISTRIBUIÇÃO</v>
          </cell>
          <cell r="I305" t="str">
            <v>FOOD SERVICE</v>
          </cell>
          <cell r="J305" t="str">
            <v>MARCELO DUARTE</v>
          </cell>
          <cell r="K305" t="str">
            <v>ITAMBÉ</v>
          </cell>
          <cell r="L305" t="str">
            <v>RODRIGO</v>
          </cell>
          <cell r="M305" t="str">
            <v>JESSICA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  <cell r="H306" t="str">
            <v>DISTRIBUIÇÃO</v>
          </cell>
          <cell r="I306" t="str">
            <v>FOOD SERVICE</v>
          </cell>
          <cell r="J306" t="str">
            <v>MARCELO DUARTE</v>
          </cell>
          <cell r="K306" t="str">
            <v>LACTALIS</v>
          </cell>
          <cell r="L306" t="str">
            <v>RODRIGO</v>
          </cell>
          <cell r="M306" t="str">
            <v>JESSICA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  <cell r="H307" t="str">
            <v>DISTRIBUIÇÃO</v>
          </cell>
          <cell r="I307" t="str">
            <v>FOOD SERVICE</v>
          </cell>
          <cell r="J307" t="str">
            <v>CLAUDIO JORGE</v>
          </cell>
          <cell r="K307" t="str">
            <v>ITAMBÉ</v>
          </cell>
          <cell r="L307" t="str">
            <v>RODRIGO</v>
          </cell>
          <cell r="M307" t="str">
            <v>MARIA LOURDES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  <cell r="H308" t="str">
            <v>INGREDIENTS</v>
          </cell>
          <cell r="I308" t="str">
            <v>INGREDIENTS</v>
          </cell>
          <cell r="J308" t="str">
            <v>DUAS RODAS</v>
          </cell>
          <cell r="K308" t="str">
            <v>ITAMBÉ</v>
          </cell>
          <cell r="L308" t="str">
            <v>MAURICIO</v>
          </cell>
          <cell r="M308" t="str">
            <v>MARCELO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  <cell r="H309" t="str">
            <v>DISTRIBUIÇÃO</v>
          </cell>
          <cell r="I309" t="str">
            <v>FOOD SERVICE</v>
          </cell>
          <cell r="J309" t="str">
            <v>CELIO MARTINS</v>
          </cell>
          <cell r="K309" t="str">
            <v>ITAMBÉ</v>
          </cell>
          <cell r="L309" t="str">
            <v>RODRIGO</v>
          </cell>
          <cell r="M309" t="str">
            <v>CELIO MARTINS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  <cell r="H310" t="str">
            <v>QSR</v>
          </cell>
          <cell r="I310" t="str">
            <v>FOOD SERVICE</v>
          </cell>
          <cell r="J310" t="str">
            <v>VAGO QSR</v>
          </cell>
          <cell r="K310" t="str">
            <v>LACTALIS</v>
          </cell>
          <cell r="L310" t="str">
            <v>PEDRO</v>
          </cell>
          <cell r="M310" t="str">
            <v>VAGO QSR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  <cell r="H311" t="str">
            <v>QSR</v>
          </cell>
          <cell r="I311" t="str">
            <v>FOOD SERVICE</v>
          </cell>
          <cell r="J311" t="str">
            <v>VAGO QSR</v>
          </cell>
          <cell r="K311" t="str">
            <v>LACTALIS</v>
          </cell>
          <cell r="L311" t="str">
            <v>PEDRO</v>
          </cell>
          <cell r="M311" t="str">
            <v>VAGO QSR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  <cell r="H312" t="str">
            <v>DISTRIBUIÇÃO</v>
          </cell>
          <cell r="I312" t="str">
            <v>FOOD SERVICE</v>
          </cell>
          <cell r="J312" t="str">
            <v>FLAC 1</v>
          </cell>
          <cell r="K312" t="str">
            <v>LACTALIS</v>
          </cell>
          <cell r="L312" t="str">
            <v>RODRIGO</v>
          </cell>
          <cell r="M312" t="str">
            <v>RAQUEL BARBOSA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  <cell r="H313" t="str">
            <v>DISTRIBUIÇÃO</v>
          </cell>
          <cell r="I313" t="str">
            <v>FOOD SERVICE</v>
          </cell>
          <cell r="J313" t="str">
            <v>FLAC 1</v>
          </cell>
          <cell r="K313" t="str">
            <v>LACTALIS</v>
          </cell>
          <cell r="L313" t="str">
            <v>RODRIGO</v>
          </cell>
          <cell r="M313" t="str">
            <v>RAQUEL BARBOSA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  <cell r="H314" t="str">
            <v>DISTRIBUIÇÃO</v>
          </cell>
          <cell r="I314" t="str">
            <v>FOOD SERVICE</v>
          </cell>
          <cell r="J314" t="str">
            <v>FLAC 6</v>
          </cell>
          <cell r="K314" t="str">
            <v>LACTALIS</v>
          </cell>
          <cell r="L314" t="str">
            <v>RODRIGO</v>
          </cell>
          <cell r="M314" t="str">
            <v>RAQUEL BARBOSA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  <cell r="H315" t="str">
            <v>DISTRIBUIÇÃO</v>
          </cell>
          <cell r="I315" t="str">
            <v>FOOD SERVICE</v>
          </cell>
          <cell r="J315" t="str">
            <v>CLAUDIO JORGE/LUIZ</v>
          </cell>
          <cell r="K315" t="str">
            <v>ITAMBÉ</v>
          </cell>
          <cell r="L315" t="str">
            <v>RODRIGO</v>
          </cell>
          <cell r="M315" t="str">
            <v>MARIA LOURDES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  <cell r="H316" t="str">
            <v>DISTRIBUIÇÃO</v>
          </cell>
          <cell r="I316" t="str">
            <v>FOOD SERVICE</v>
          </cell>
          <cell r="J316" t="str">
            <v>FLAC 5</v>
          </cell>
          <cell r="K316" t="str">
            <v>LACTALIS</v>
          </cell>
          <cell r="L316" t="str">
            <v>RODRIGO</v>
          </cell>
          <cell r="M316" t="str">
            <v>RAQUEL BARBOSA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  <cell r="H317" t="str">
            <v>QSR</v>
          </cell>
          <cell r="I317" t="str">
            <v>FOOD SERVICE</v>
          </cell>
          <cell r="J317" t="str">
            <v>NUTRI</v>
          </cell>
          <cell r="K317" t="str">
            <v>LACTALIS</v>
          </cell>
          <cell r="L317" t="str">
            <v>PEDRO</v>
          </cell>
          <cell r="M317" t="str">
            <v>VAGO QSR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  <cell r="H318" t="str">
            <v>DISTRIBUIÇÃO</v>
          </cell>
          <cell r="I318" t="str">
            <v>FOOD SERVICE</v>
          </cell>
          <cell r="J318" t="str">
            <v>FLAC 6</v>
          </cell>
          <cell r="K318" t="str">
            <v>LACTALIS</v>
          </cell>
          <cell r="L318" t="str">
            <v>RODRIGO</v>
          </cell>
          <cell r="M318" t="str">
            <v>RAQUEL BARBOSA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  <cell r="H319" t="str">
            <v>DISTRIBUIÇÃO</v>
          </cell>
          <cell r="I319" t="str">
            <v>FOOD SERVICE</v>
          </cell>
          <cell r="J319" t="str">
            <v>FLAC 2</v>
          </cell>
          <cell r="K319" t="str">
            <v>LACTALIS</v>
          </cell>
          <cell r="L319" t="str">
            <v>RODRIGO</v>
          </cell>
          <cell r="M319" t="str">
            <v>RAQUEL BARBOSA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  <cell r="H320" t="str">
            <v>DISTRIBUIÇÃO</v>
          </cell>
          <cell r="I320" t="str">
            <v>FOOD SERVICE</v>
          </cell>
          <cell r="J320" t="str">
            <v>FLAC 7</v>
          </cell>
          <cell r="K320" t="str">
            <v>LACTALIS</v>
          </cell>
          <cell r="L320" t="str">
            <v>RODRIGO</v>
          </cell>
          <cell r="M320" t="str">
            <v>RAQUEL BARBOSA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  <cell r="H321" t="str">
            <v>DISTRIBUIÇÃO</v>
          </cell>
          <cell r="I321" t="str">
            <v>FOOD SERVICE</v>
          </cell>
          <cell r="J321" t="str">
            <v>FLAC 5</v>
          </cell>
          <cell r="K321" t="str">
            <v>LACTALIS</v>
          </cell>
          <cell r="L321" t="str">
            <v>RODRIGO</v>
          </cell>
          <cell r="M321" t="str">
            <v>RAQUEL BARBOSA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  <cell r="H322" t="str">
            <v>DISTRIBUIÇÃO</v>
          </cell>
          <cell r="I322" t="str">
            <v>FOOD SERVICE</v>
          </cell>
          <cell r="J322" t="str">
            <v>VAGO SP</v>
          </cell>
          <cell r="K322" t="str">
            <v>ITAMBÉ</v>
          </cell>
          <cell r="L322" t="str">
            <v>RODRIGO</v>
          </cell>
          <cell r="M322" t="str">
            <v>RAQUEL BARBOSA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  <cell r="H323" t="str">
            <v>DISTRIBUIÇÃO</v>
          </cell>
          <cell r="I323" t="str">
            <v>FOOD SERVICE</v>
          </cell>
          <cell r="J323" t="str">
            <v>VAGO SP</v>
          </cell>
          <cell r="K323" t="str">
            <v>LACTALIS</v>
          </cell>
          <cell r="L323" t="str">
            <v>RODRIGO</v>
          </cell>
          <cell r="M323" t="str">
            <v>RAQUEL BARBOSA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  <cell r="H324" t="str">
            <v>QSR</v>
          </cell>
          <cell r="I324" t="str">
            <v>FOOD SERVICE</v>
          </cell>
          <cell r="J324" t="str">
            <v>NUTRI</v>
          </cell>
          <cell r="K324" t="str">
            <v>LACTALIS</v>
          </cell>
          <cell r="L324" t="str">
            <v>PEDRO</v>
          </cell>
          <cell r="M324" t="str">
            <v>VAGO QSR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  <cell r="H325" t="str">
            <v>DISTRIBUIÇÃO</v>
          </cell>
          <cell r="I325" t="str">
            <v>FOOD SERVICE</v>
          </cell>
          <cell r="J325" t="str">
            <v>MARCELO SILVA</v>
          </cell>
          <cell r="K325" t="str">
            <v>ITAMBÉ</v>
          </cell>
          <cell r="L325" t="str">
            <v>RODRIGO</v>
          </cell>
          <cell r="M325" t="str">
            <v>CELIO MARTINS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  <cell r="H326" t="str">
            <v>INGREDIENTS</v>
          </cell>
          <cell r="I326" t="str">
            <v>INGREDIENTS</v>
          </cell>
          <cell r="J326" t="str">
            <v>JOEL ELEOTÉRIO</v>
          </cell>
          <cell r="K326" t="str">
            <v>LACTALIS</v>
          </cell>
          <cell r="L326" t="str">
            <v>MAURICIO</v>
          </cell>
          <cell r="M326" t="str">
            <v>JOEL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  <cell r="H327" t="str">
            <v>INGREDIENTS</v>
          </cell>
          <cell r="I327" t="str">
            <v>INGREDIENTS</v>
          </cell>
          <cell r="J327" t="str">
            <v>MARCELO RODRIGUES</v>
          </cell>
          <cell r="K327" t="str">
            <v>LACTALIS</v>
          </cell>
          <cell r="L327" t="str">
            <v>MAURICIO</v>
          </cell>
          <cell r="M327" t="str">
            <v>MARCELO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  <cell r="H328" t="str">
            <v>INGREDIENTS</v>
          </cell>
          <cell r="I328" t="str">
            <v>INGREDIENTS</v>
          </cell>
          <cell r="J328" t="str">
            <v>MARCELO RODRIGUES</v>
          </cell>
          <cell r="K328" t="str">
            <v>ITAMBÉ</v>
          </cell>
          <cell r="L328" t="str">
            <v>MAURICIO</v>
          </cell>
          <cell r="M328" t="str">
            <v>MARCELO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  <cell r="H329" t="str">
            <v>INGREDIENTS</v>
          </cell>
          <cell r="I329" t="str">
            <v>INGREDIENTS</v>
          </cell>
          <cell r="J329" t="str">
            <v>TATIANA NITTA</v>
          </cell>
          <cell r="K329" t="str">
            <v>LACTALIS</v>
          </cell>
          <cell r="L329" t="str">
            <v>MAURICIO</v>
          </cell>
          <cell r="M329" t="str">
            <v>TATIANA NITTA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  <cell r="H330" t="str">
            <v>DISTRIBUIÇÃO</v>
          </cell>
          <cell r="I330" t="str">
            <v>FOOD SERVICE</v>
          </cell>
          <cell r="J330" t="str">
            <v>VAGO SP</v>
          </cell>
          <cell r="K330" t="str">
            <v>LACTALIS</v>
          </cell>
          <cell r="L330" t="str">
            <v>RODRIGO</v>
          </cell>
          <cell r="M330" t="str">
            <v>RAQUEL BARBOSA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  <cell r="H331" t="str">
            <v>DISTRIBUIÇÃO</v>
          </cell>
          <cell r="I331" t="str">
            <v>FOOD SERVICE</v>
          </cell>
          <cell r="J331" t="str">
            <v>FLAC 2</v>
          </cell>
          <cell r="K331" t="str">
            <v>LACTALIS</v>
          </cell>
          <cell r="L331" t="str">
            <v>RODRIGO</v>
          </cell>
          <cell r="M331" t="str">
            <v>RAQUEL BARBOSA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  <cell r="H332" t="str">
            <v>DISTRIBUIÇÃO</v>
          </cell>
          <cell r="I332" t="str">
            <v>FOOD SERVICE</v>
          </cell>
          <cell r="J332" t="str">
            <v>FLAC 6</v>
          </cell>
          <cell r="K332" t="str">
            <v>LACTALIS</v>
          </cell>
          <cell r="L332" t="str">
            <v>RODRIGO</v>
          </cell>
          <cell r="M332" t="str">
            <v>RAQUEL BARBOSA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  <cell r="H333" t="str">
            <v>DISTRIBUIÇÃO</v>
          </cell>
          <cell r="I333" t="str">
            <v>FOOD SERVICE</v>
          </cell>
          <cell r="J333" t="str">
            <v>FLAC 6</v>
          </cell>
          <cell r="K333" t="str">
            <v>LACTALIS</v>
          </cell>
          <cell r="L333" t="str">
            <v>RODRIGO</v>
          </cell>
          <cell r="M333" t="str">
            <v>RAQUEL BARBOSA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  <cell r="H334" t="str">
            <v>INGREDIENTS</v>
          </cell>
          <cell r="I334" t="str">
            <v>INGREDIENTS</v>
          </cell>
          <cell r="J334" t="str">
            <v>HENRIQUE FERREIRA</v>
          </cell>
          <cell r="K334" t="str">
            <v>ITAMBÉ</v>
          </cell>
          <cell r="L334" t="str">
            <v>MAURICIO</v>
          </cell>
          <cell r="M334" t="str">
            <v>JOEL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  <cell r="H335" t="str">
            <v>INGREDIENTS</v>
          </cell>
          <cell r="I335" t="str">
            <v>INGREDIENTS</v>
          </cell>
          <cell r="J335" t="str">
            <v>HENRIQUE FERREIRA</v>
          </cell>
          <cell r="K335" t="str">
            <v>ITAMBÉ</v>
          </cell>
          <cell r="L335" t="str">
            <v>MAURICIO</v>
          </cell>
          <cell r="M335" t="str">
            <v>JOEL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  <cell r="H336" t="str">
            <v>INGREDIENTS</v>
          </cell>
          <cell r="I336" t="str">
            <v>INGREDIENTS</v>
          </cell>
          <cell r="J336" t="str">
            <v>HENRIQUE FERREIRA</v>
          </cell>
          <cell r="K336" t="str">
            <v>ITAMBÉ</v>
          </cell>
          <cell r="L336" t="str">
            <v>MAURICIO</v>
          </cell>
          <cell r="M336" t="str">
            <v>JOEL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  <cell r="H337" t="str">
            <v>DISTRIBUIÇÃO</v>
          </cell>
          <cell r="I337" t="str">
            <v>FOOD SERVICE</v>
          </cell>
          <cell r="J337" t="str">
            <v>FLAC 3</v>
          </cell>
          <cell r="K337" t="str">
            <v>LACTALIS</v>
          </cell>
          <cell r="L337" t="str">
            <v>RODRIGO</v>
          </cell>
          <cell r="M337" t="str">
            <v>RAQUEL BARBOSA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  <cell r="H338" t="str">
            <v>DISTRIBUIÇÃO</v>
          </cell>
          <cell r="I338" t="str">
            <v>FOOD SERVICE</v>
          </cell>
          <cell r="J338" t="str">
            <v>FLAC 7</v>
          </cell>
          <cell r="K338" t="str">
            <v>LACTALIS</v>
          </cell>
          <cell r="L338" t="str">
            <v>RODRIGO</v>
          </cell>
          <cell r="M338" t="str">
            <v>RAQUEL BARBOSA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  <cell r="H339" t="str">
            <v>DISTRIBUIÇÃO</v>
          </cell>
          <cell r="I339" t="str">
            <v>FOOD SERVICE</v>
          </cell>
          <cell r="J339" t="str">
            <v>CLAUDIO JORGE</v>
          </cell>
          <cell r="K339" t="str">
            <v>ITAMBÉ</v>
          </cell>
          <cell r="L339" t="str">
            <v>RODRIGO</v>
          </cell>
          <cell r="M339" t="str">
            <v>MARCO AURELIO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  <cell r="H340" t="str">
            <v>DISTRIBUIÇÃO</v>
          </cell>
          <cell r="I340" t="str">
            <v>FOOD SERVICE</v>
          </cell>
          <cell r="J340" t="str">
            <v>FLAC 6</v>
          </cell>
          <cell r="K340" t="str">
            <v>LACTALIS</v>
          </cell>
          <cell r="L340" t="str">
            <v>RODRIGO</v>
          </cell>
          <cell r="M340" t="str">
            <v>RAQUEL BARBOSA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  <cell r="H341" t="str">
            <v>DISTRIBUIÇÃO</v>
          </cell>
          <cell r="I341" t="str">
            <v>FOOD SERVICE</v>
          </cell>
          <cell r="J341" t="str">
            <v>ANGELICA BATISTELA</v>
          </cell>
          <cell r="K341" t="str">
            <v>ITAMBÉ</v>
          </cell>
          <cell r="L341" t="str">
            <v>RODRIGO</v>
          </cell>
          <cell r="M341" t="str">
            <v>ANGELICA BATISTELA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  <cell r="H342" t="str">
            <v>DISTRIBUIÇÃO</v>
          </cell>
          <cell r="I342" t="str">
            <v>FOOD SERVICE</v>
          </cell>
          <cell r="J342" t="str">
            <v>FLAC 2</v>
          </cell>
          <cell r="K342" t="str">
            <v>LACTALIS</v>
          </cell>
          <cell r="L342" t="str">
            <v>RODRIGO</v>
          </cell>
          <cell r="M342" t="str">
            <v>RAQUEL BARBOSA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  <cell r="H343" t="str">
            <v>DISTRIBUIÇÃO</v>
          </cell>
          <cell r="I343" t="str">
            <v>FOOD SERVICE</v>
          </cell>
          <cell r="J343" t="str">
            <v>FLAC 2</v>
          </cell>
          <cell r="K343" t="str">
            <v>LACTALIS</v>
          </cell>
          <cell r="L343" t="str">
            <v>RODRIGO</v>
          </cell>
          <cell r="M343" t="str">
            <v>RAQUEL BARBOSA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  <cell r="H344" t="str">
            <v>INGREDIENTS</v>
          </cell>
          <cell r="I344" t="str">
            <v>INGREDIENTS</v>
          </cell>
          <cell r="J344" t="str">
            <v>MARCELO RODRIGUES</v>
          </cell>
          <cell r="K344" t="str">
            <v>ITAMBÉ</v>
          </cell>
          <cell r="L344" t="str">
            <v>MAURICIO</v>
          </cell>
          <cell r="M344" t="str">
            <v>MARCELO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  <cell r="H345" t="str">
            <v>DISTRIBUIÇÃO</v>
          </cell>
          <cell r="I345" t="str">
            <v>FOOD SERVICE</v>
          </cell>
          <cell r="J345" t="str">
            <v>FLAC 3</v>
          </cell>
          <cell r="K345" t="str">
            <v>LACTALIS</v>
          </cell>
          <cell r="L345" t="str">
            <v>RODRIGO</v>
          </cell>
          <cell r="M345" t="str">
            <v>RAQUEL BARBOSA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  <cell r="H346" t="str">
            <v>DISTRIBUIÇÃO</v>
          </cell>
          <cell r="I346" t="str">
            <v>FOOD SERVICE</v>
          </cell>
          <cell r="J346" t="str">
            <v>MARCELO DUARTE</v>
          </cell>
          <cell r="K346" t="str">
            <v>ITAMBÉ</v>
          </cell>
          <cell r="L346" t="str">
            <v>RODRIGO</v>
          </cell>
          <cell r="M346" t="str">
            <v>JESSICA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  <cell r="H347" t="str">
            <v>OUTROS</v>
          </cell>
          <cell r="I347" t="str">
            <v>OUTROS</v>
          </cell>
          <cell r="J347" t="str">
            <v>INTERCOMPANY</v>
          </cell>
          <cell r="K347" t="str">
            <v>OUTROS</v>
          </cell>
          <cell r="L347" t="str">
            <v>OUTROS</v>
          </cell>
          <cell r="M347" t="str">
            <v>INTERCOMPANY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  <cell r="H348" t="str">
            <v>OUTROS</v>
          </cell>
          <cell r="I348" t="str">
            <v>OUTROS</v>
          </cell>
          <cell r="J348" t="str">
            <v>INTERCOMPANY</v>
          </cell>
          <cell r="K348" t="str">
            <v>OUTROS</v>
          </cell>
          <cell r="L348" t="str">
            <v>OUTROS</v>
          </cell>
          <cell r="M348" t="str">
            <v>INTERCOMPANY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  <cell r="H349" t="str">
            <v>OUTROS</v>
          </cell>
          <cell r="I349" t="str">
            <v>OUTROS</v>
          </cell>
          <cell r="J349" t="str">
            <v>INTERCOMPANY</v>
          </cell>
          <cell r="K349" t="str">
            <v>OUTROS</v>
          </cell>
          <cell r="L349" t="str">
            <v>OUTROS</v>
          </cell>
          <cell r="M349" t="str">
            <v>INTERCOMPANY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  <cell r="H350" t="str">
            <v>OUTROS</v>
          </cell>
          <cell r="I350" t="str">
            <v>OUTROS</v>
          </cell>
          <cell r="J350" t="str">
            <v>INTERCOMPANY</v>
          </cell>
          <cell r="K350" t="str">
            <v>OUTROS</v>
          </cell>
          <cell r="L350" t="str">
            <v>OUTROS</v>
          </cell>
          <cell r="M350" t="str">
            <v>INTERCOMPANY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  <cell r="H351" t="str">
            <v>OUTROS</v>
          </cell>
          <cell r="I351" t="str">
            <v>OUTROS</v>
          </cell>
          <cell r="J351" t="str">
            <v>INTERCOMPANY</v>
          </cell>
          <cell r="K351" t="str">
            <v>OUTROS</v>
          </cell>
          <cell r="L351" t="str">
            <v>OUTROS</v>
          </cell>
          <cell r="M351" t="str">
            <v>INTERCOMPANY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  <cell r="H352" t="str">
            <v>OUTROS</v>
          </cell>
          <cell r="I352" t="str">
            <v>OUTROS</v>
          </cell>
          <cell r="J352" t="str">
            <v>INTERCOMPANY</v>
          </cell>
          <cell r="K352" t="str">
            <v>OUTROS</v>
          </cell>
          <cell r="L352" t="str">
            <v>OUTROS</v>
          </cell>
          <cell r="M352" t="str">
            <v>INTERCOMPANY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  <cell r="H353" t="str">
            <v>DISTRIBUIÇÃO</v>
          </cell>
          <cell r="I353" t="str">
            <v>FOOD SERVICE</v>
          </cell>
          <cell r="J353" t="str">
            <v>FLAC 3</v>
          </cell>
          <cell r="K353" t="str">
            <v>LACTALIS</v>
          </cell>
          <cell r="L353" t="str">
            <v>RODRIGO</v>
          </cell>
          <cell r="M353" t="str">
            <v>RAQUEL BARBOSA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  <cell r="H354" t="str">
            <v>INGREDIENTS</v>
          </cell>
          <cell r="I354" t="str">
            <v>INGREDIENTS</v>
          </cell>
          <cell r="J354" t="str">
            <v>BA ITB FS ML FLAVORS</v>
          </cell>
          <cell r="K354" t="str">
            <v>ITAMBÉ</v>
          </cell>
          <cell r="L354" t="str">
            <v>MAURICIO</v>
          </cell>
          <cell r="M354" t="str">
            <v>JOEL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  <cell r="H355" t="str">
            <v>MC DONALDS</v>
          </cell>
          <cell r="I355" t="str">
            <v>MC DONALDS</v>
          </cell>
          <cell r="J355" t="str">
            <v>MAURICIO GALLI</v>
          </cell>
          <cell r="K355" t="str">
            <v>LACTALIS</v>
          </cell>
          <cell r="L355" t="str">
            <v>MAURICIO</v>
          </cell>
          <cell r="M355" t="str">
            <v>MAURICIO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  <cell r="H356" t="str">
            <v>INGREDIENTS</v>
          </cell>
          <cell r="I356" t="str">
            <v>INGREDIENTS</v>
          </cell>
          <cell r="J356" t="str">
            <v>TATIANA NITTA</v>
          </cell>
          <cell r="K356" t="str">
            <v>LACTALIS</v>
          </cell>
          <cell r="L356" t="str">
            <v>MAURICIO</v>
          </cell>
          <cell r="M356" t="str">
            <v>TATIANA NITTA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  <cell r="H357" t="str">
            <v>INGREDIENTS</v>
          </cell>
          <cell r="I357" t="str">
            <v>INGREDIENTS</v>
          </cell>
          <cell r="J357" t="str">
            <v>JOEL ELEOTÉRIO</v>
          </cell>
          <cell r="K357" t="str">
            <v>LACTALIS</v>
          </cell>
          <cell r="L357" t="str">
            <v>MAURICIO</v>
          </cell>
          <cell r="M357" t="str">
            <v>JOEL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  <cell r="H358" t="str">
            <v>DISTRIBUIÇÃO</v>
          </cell>
          <cell r="I358" t="str">
            <v>FOOD SERVICE</v>
          </cell>
          <cell r="J358" t="str">
            <v>FLAC 6</v>
          </cell>
          <cell r="K358" t="str">
            <v>LACTALIS</v>
          </cell>
          <cell r="L358" t="str">
            <v>RODRIGO</v>
          </cell>
          <cell r="M358" t="str">
            <v>RAQUEL BARBOSA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  <cell r="H359" t="str">
            <v>DISTRIBUIÇÃO</v>
          </cell>
          <cell r="I359" t="str">
            <v>FOOD SERVICE</v>
          </cell>
          <cell r="J359" t="str">
            <v>FLAC 2</v>
          </cell>
          <cell r="K359" t="str">
            <v>LACTALIS</v>
          </cell>
          <cell r="L359" t="str">
            <v>RODRIGO</v>
          </cell>
          <cell r="M359" t="str">
            <v>RAQUEL BARBOSA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  <cell r="H360" t="str">
            <v>DISTRIBUIÇÃO</v>
          </cell>
          <cell r="I360" t="str">
            <v>FOOD SERVICE</v>
          </cell>
          <cell r="J360" t="str">
            <v>FLAC 5</v>
          </cell>
          <cell r="K360" t="str">
            <v>LACTALIS</v>
          </cell>
          <cell r="L360" t="str">
            <v>RODRIGO</v>
          </cell>
          <cell r="M360" t="str">
            <v>RAQUEL BARBOSA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  <cell r="H361" t="str">
            <v>DISTRIBUIÇÃO</v>
          </cell>
          <cell r="I361" t="str">
            <v>FOOD SERVICE</v>
          </cell>
          <cell r="J361" t="str">
            <v>FLAC 6</v>
          </cell>
          <cell r="K361" t="str">
            <v>LACTALIS</v>
          </cell>
          <cell r="L361" t="str">
            <v>RODRIGO</v>
          </cell>
          <cell r="M361" t="str">
            <v>RAQUEL BARBOSA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  <cell r="H362" t="str">
            <v>DISTRIBUIÇÃO</v>
          </cell>
          <cell r="I362" t="str">
            <v>FOOD SERVICE</v>
          </cell>
          <cell r="J362" t="str">
            <v>FLAC 2</v>
          </cell>
          <cell r="K362" t="str">
            <v>LACTALIS</v>
          </cell>
          <cell r="L362" t="str">
            <v>RODRIGO</v>
          </cell>
          <cell r="M362" t="str">
            <v>RAQUEL BARBOSA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  <cell r="H363" t="str">
            <v>DISTRIBUIÇÃO</v>
          </cell>
          <cell r="I363" t="str">
            <v>FOOD SERVICE</v>
          </cell>
          <cell r="J363" t="str">
            <v>FLAC 6</v>
          </cell>
          <cell r="K363" t="str">
            <v>LACTALIS</v>
          </cell>
          <cell r="L363" t="str">
            <v>RODRIGO</v>
          </cell>
          <cell r="M363" t="str">
            <v>RAQUEL BARBOSA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  <cell r="H364" t="str">
            <v>DISTRIBUIÇÃO</v>
          </cell>
          <cell r="I364" t="str">
            <v>FOOD SERVICE</v>
          </cell>
          <cell r="J364" t="str">
            <v>FLAC 6</v>
          </cell>
          <cell r="K364" t="str">
            <v>LACTALIS</v>
          </cell>
          <cell r="L364" t="str">
            <v>RODRIGO</v>
          </cell>
          <cell r="M364" t="str">
            <v>RAQUEL BARBOSA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  <cell r="H365" t="str">
            <v>DISTRIBUIÇÃO</v>
          </cell>
          <cell r="I365" t="str">
            <v>FOOD SERVICE</v>
          </cell>
          <cell r="J365" t="str">
            <v>FLAC 6</v>
          </cell>
          <cell r="K365" t="str">
            <v>LACTALIS</v>
          </cell>
          <cell r="L365" t="str">
            <v>RODRIGO</v>
          </cell>
          <cell r="M365" t="str">
            <v>RAQUEL BARBOSA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  <cell r="H366" t="str">
            <v>DISTRIBUIÇÃO</v>
          </cell>
          <cell r="I366" t="str">
            <v>FOOD SERVICE</v>
          </cell>
          <cell r="J366" t="str">
            <v>ALEXANDRO RODRIGUES</v>
          </cell>
          <cell r="K366" t="str">
            <v>ITAMBÉ</v>
          </cell>
          <cell r="L366" t="str">
            <v>RODRIGO</v>
          </cell>
          <cell r="M366" t="str">
            <v>ALEXANDRO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  <cell r="H367" t="str">
            <v>INGREDIENTS</v>
          </cell>
          <cell r="I367" t="str">
            <v>INGREDIENTS</v>
          </cell>
          <cell r="J367" t="str">
            <v>JOEL ELEOTÉRIO</v>
          </cell>
          <cell r="K367" t="str">
            <v>LACTALIS</v>
          </cell>
          <cell r="L367" t="str">
            <v>MAURICIO</v>
          </cell>
          <cell r="M367" t="str">
            <v>JOEL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  <cell r="H368" t="str">
            <v>DISTRIBUIÇÃO</v>
          </cell>
          <cell r="I368" t="str">
            <v>FOOD SERVICE</v>
          </cell>
          <cell r="J368" t="str">
            <v>FLAC 3</v>
          </cell>
          <cell r="K368" t="str">
            <v>LACTALIS</v>
          </cell>
          <cell r="L368" t="str">
            <v>RODRIGO</v>
          </cell>
          <cell r="M368" t="str">
            <v>RAQUEL BARBOSA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  <cell r="H369" t="str">
            <v>DISTRIBUIÇÃO</v>
          </cell>
          <cell r="I369" t="str">
            <v>FOOD SERVICE</v>
          </cell>
          <cell r="J369" t="str">
            <v>FLAC 5</v>
          </cell>
          <cell r="K369" t="str">
            <v>LACTALIS</v>
          </cell>
          <cell r="L369" t="str">
            <v>RODRIGO</v>
          </cell>
          <cell r="M369" t="str">
            <v>RAQUEL BARBOSA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  <cell r="H370" t="str">
            <v>DISTRIBUIÇÃO</v>
          </cell>
          <cell r="I370" t="str">
            <v>FOOD SERVICE</v>
          </cell>
          <cell r="J370" t="str">
            <v>SP ITB FS FLAC REP.E COMERCIO</v>
          </cell>
          <cell r="K370" t="str">
            <v>ITAMBÉ</v>
          </cell>
          <cell r="L370" t="str">
            <v>RODRIGO</v>
          </cell>
          <cell r="M370" t="str">
            <v>RAQUEL BARBOSA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  <cell r="H371" t="str">
            <v>DISTRIBUIÇÃO</v>
          </cell>
          <cell r="I371" t="str">
            <v>FOOD SERVICE</v>
          </cell>
          <cell r="J371" t="str">
            <v>FLAC 2</v>
          </cell>
          <cell r="K371" t="str">
            <v>LACTALIS</v>
          </cell>
          <cell r="L371" t="str">
            <v>RODRIGO</v>
          </cell>
          <cell r="M371" t="str">
            <v>RAQUEL BARBOSA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  <cell r="H372" t="str">
            <v>DISTRIBUIÇÃO</v>
          </cell>
          <cell r="I372" t="str">
            <v>FOOD SERVICE</v>
          </cell>
          <cell r="J372" t="str">
            <v>MARCELO SILVA</v>
          </cell>
          <cell r="K372" t="str">
            <v>ITAMBÉ</v>
          </cell>
          <cell r="L372" t="str">
            <v>RODRIGO</v>
          </cell>
          <cell r="M372" t="str">
            <v>CELIO MARTINS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  <cell r="H373" t="str">
            <v>DISTRIBUIÇÃO</v>
          </cell>
          <cell r="I373" t="str">
            <v>FOOD SERVICE</v>
          </cell>
          <cell r="J373" t="str">
            <v>FLAC 2</v>
          </cell>
          <cell r="K373" t="str">
            <v>LACTALIS</v>
          </cell>
          <cell r="L373" t="str">
            <v>RODRIGO</v>
          </cell>
          <cell r="M373" t="str">
            <v>RAQUEL BARBOSA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  <cell r="H374" t="str">
            <v>DISTRIBUIÇÃO</v>
          </cell>
          <cell r="I374" t="str">
            <v>FOOD SERVICE</v>
          </cell>
          <cell r="J374" t="str">
            <v>FLAC 5</v>
          </cell>
          <cell r="K374" t="str">
            <v>LACTALIS</v>
          </cell>
          <cell r="L374" t="str">
            <v>RODRIGO</v>
          </cell>
          <cell r="M374" t="str">
            <v>RAQUEL BARBOSA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  <cell r="H375" t="str">
            <v>DISTRIBUIÇÃO</v>
          </cell>
          <cell r="I375" t="str">
            <v>FOOD SERVICE</v>
          </cell>
          <cell r="J375" t="str">
            <v>FLAC 3</v>
          </cell>
          <cell r="K375" t="str">
            <v>LACTALIS</v>
          </cell>
          <cell r="L375" t="str">
            <v>RODRIGO</v>
          </cell>
          <cell r="M375" t="str">
            <v>RAQUEL BARBOSA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  <cell r="H376" t="str">
            <v>DISTRIBUIÇÃO</v>
          </cell>
          <cell r="I376" t="str">
            <v>FOOD SERVICE</v>
          </cell>
          <cell r="J376" t="str">
            <v>CLAUDIO JORGE</v>
          </cell>
          <cell r="K376" t="str">
            <v>ITAMBÉ</v>
          </cell>
          <cell r="L376" t="str">
            <v>RODRIGO</v>
          </cell>
          <cell r="M376" t="str">
            <v>MARIA LOURDES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  <cell r="H377" t="str">
            <v>DISTRIBUIÇÃO</v>
          </cell>
          <cell r="I377" t="str">
            <v>FOOD SERVICE</v>
          </cell>
          <cell r="J377" t="str">
            <v>FLAC 6</v>
          </cell>
          <cell r="K377" t="str">
            <v>LACTALIS</v>
          </cell>
          <cell r="L377" t="str">
            <v>RODRIGO</v>
          </cell>
          <cell r="M377" t="str">
            <v>RAQUEL BARBOSA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  <cell r="H378" t="str">
            <v>DISTRIBUIÇÃO</v>
          </cell>
          <cell r="I378" t="str">
            <v>FOOD SERVICE</v>
          </cell>
          <cell r="J378" t="str">
            <v>ALEXANDRO RODRIGUES</v>
          </cell>
          <cell r="K378" t="str">
            <v>ITAMBÉ</v>
          </cell>
          <cell r="L378" t="str">
            <v>RODRIGO</v>
          </cell>
          <cell r="M378" t="str">
            <v>ALEXANDRO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  <cell r="H379" t="str">
            <v>DISTRIBUIÇÃO</v>
          </cell>
          <cell r="I379" t="str">
            <v>FOOD SERVICE</v>
          </cell>
          <cell r="J379" t="str">
            <v>WH FOOD SERVICE CE</v>
          </cell>
          <cell r="K379" t="str">
            <v>ITAMBÉ</v>
          </cell>
          <cell r="L379" t="str">
            <v>RODRIGO</v>
          </cell>
          <cell r="M379" t="str">
            <v>MARIA LOURDES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  <cell r="H380" t="str">
            <v>DISTRIBUIÇÃO</v>
          </cell>
          <cell r="I380" t="str">
            <v>FOOD SERVICE</v>
          </cell>
          <cell r="J380" t="str">
            <v>CLAUDIO JORGE/AMANDA SANDS</v>
          </cell>
          <cell r="K380" t="str">
            <v>ITAMBÉ</v>
          </cell>
          <cell r="L380" t="str">
            <v>RODRIGO</v>
          </cell>
          <cell r="M380" t="str">
            <v>MARIA LOURDES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  <cell r="H381" t="str">
            <v>DISTRIBUIÇÃO</v>
          </cell>
          <cell r="I381" t="str">
            <v>FOOD SERVICE</v>
          </cell>
          <cell r="J381" t="str">
            <v>CLAUDIO JORGE/AMANDA SANDS</v>
          </cell>
          <cell r="K381" t="str">
            <v>ITAMBÉ</v>
          </cell>
          <cell r="L381" t="str">
            <v>RODRIGO</v>
          </cell>
          <cell r="M381" t="str">
            <v>MARIA LOURDES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  <cell r="H382" t="str">
            <v>DISTRIBUIÇÃO</v>
          </cell>
          <cell r="I382" t="str">
            <v>FOOD SERVICE</v>
          </cell>
          <cell r="J382" t="str">
            <v>CLAUDIO JORGE/AMANDA SANDS</v>
          </cell>
          <cell r="K382" t="str">
            <v>ITAMBÉ</v>
          </cell>
          <cell r="L382" t="str">
            <v>RODRIGO</v>
          </cell>
          <cell r="M382" t="str">
            <v>MARIA LOURDES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  <cell r="H383" t="str">
            <v>DISTRIBUIÇÃO</v>
          </cell>
          <cell r="I383" t="str">
            <v>FOOD SERVICE</v>
          </cell>
          <cell r="J383" t="str">
            <v>CLAUDIO JORGE/AMANDA SANDS</v>
          </cell>
          <cell r="K383" t="str">
            <v>ITAMBÉ</v>
          </cell>
          <cell r="L383" t="str">
            <v>RODRIGO</v>
          </cell>
          <cell r="M383" t="str">
            <v>MARIA LOURDES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  <cell r="H384" t="str">
            <v>INGREDIENTS</v>
          </cell>
          <cell r="I384" t="str">
            <v>INGREDIENTS</v>
          </cell>
          <cell r="J384" t="str">
            <v>AM ITB FS I DA SILVA SANTOS</v>
          </cell>
          <cell r="K384" t="str">
            <v>ITAMBÉ</v>
          </cell>
          <cell r="L384" t="str">
            <v>MAURICIO</v>
          </cell>
          <cell r="M384" t="str">
            <v>JOEL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  <cell r="H385" t="str">
            <v>DISTRIBUIÇÃO</v>
          </cell>
          <cell r="I385" t="str">
            <v>FOOD SERVICE</v>
          </cell>
          <cell r="J385" t="str">
            <v>MARCELO SILVA</v>
          </cell>
          <cell r="K385" t="str">
            <v>ITAMBÉ</v>
          </cell>
          <cell r="L385" t="str">
            <v>RODRIGO</v>
          </cell>
          <cell r="M385" t="str">
            <v>CELIO MARTINS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  <cell r="H386" t="str">
            <v>DISTRIBUIÇÃO</v>
          </cell>
          <cell r="I386" t="str">
            <v>FOOD SERVICE</v>
          </cell>
          <cell r="J386" t="str">
            <v>ANGELICA BATISTELA</v>
          </cell>
          <cell r="K386" t="str">
            <v>ITAMBÉ</v>
          </cell>
          <cell r="L386" t="str">
            <v>RODRIGO</v>
          </cell>
          <cell r="M386" t="str">
            <v>ANGELICA BATISTELA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  <cell r="H387" t="str">
            <v>DISTRIBUIÇÃO</v>
          </cell>
          <cell r="I387" t="str">
            <v>FOOD SERVICE</v>
          </cell>
          <cell r="J387" t="str">
            <v>MARCELO SILVA</v>
          </cell>
          <cell r="K387" t="str">
            <v>ITAMBÉ</v>
          </cell>
          <cell r="L387" t="str">
            <v>RODRIGO</v>
          </cell>
          <cell r="M387" t="str">
            <v>CELIO MARTINS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  <cell r="H388" t="str">
            <v>DISTRIBUIÇÃO</v>
          </cell>
          <cell r="I388" t="str">
            <v>FOOD SERVICE</v>
          </cell>
          <cell r="J388" t="str">
            <v>RAQUEL BARBOSA</v>
          </cell>
          <cell r="K388" t="str">
            <v>ITAMBÉ</v>
          </cell>
          <cell r="L388" t="str">
            <v>RODRIGO</v>
          </cell>
          <cell r="M388" t="str">
            <v>RAQUEL BARBOSA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  <cell r="H389" t="str">
            <v>DISTRIBUIÇÃO</v>
          </cell>
          <cell r="I389" t="str">
            <v>FOOD SERVICE</v>
          </cell>
          <cell r="J389" t="str">
            <v>RAQUEL BARBOSA</v>
          </cell>
          <cell r="K389" t="str">
            <v>ITAMBÉ</v>
          </cell>
          <cell r="L389" t="str">
            <v>RODRIGO</v>
          </cell>
          <cell r="M389" t="str">
            <v>RAQUEL BARBOSA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  <cell r="H390" t="str">
            <v>DISTRIBUIÇÃO</v>
          </cell>
          <cell r="I390" t="str">
            <v>FOOD SERVICE</v>
          </cell>
          <cell r="J390" t="str">
            <v>RAQUEL BARBOSA</v>
          </cell>
          <cell r="K390" t="str">
            <v>LACTALIS</v>
          </cell>
          <cell r="L390" t="str">
            <v>RODRIGO</v>
          </cell>
          <cell r="M390" t="str">
            <v>RAQUEL BARBOSA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  <cell r="H391" t="str">
            <v>DISTRIBUIÇÃO</v>
          </cell>
          <cell r="I391" t="str">
            <v>FOOD SERVICE</v>
          </cell>
          <cell r="J391" t="str">
            <v>ANGELICA BATISTELA</v>
          </cell>
          <cell r="K391" t="str">
            <v>ITAMBÉ</v>
          </cell>
          <cell r="L391" t="str">
            <v>RODRIGO</v>
          </cell>
          <cell r="M391" t="str">
            <v>ANGELICA BATISTELA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  <cell r="H392" t="str">
            <v>DISTRIBUIÇÃO</v>
          </cell>
          <cell r="I392" t="str">
            <v>FOOD SERVICE</v>
          </cell>
          <cell r="J392" t="str">
            <v>RAQUEL BARBOSA</v>
          </cell>
          <cell r="K392" t="str">
            <v>ITAMBÉ</v>
          </cell>
          <cell r="L392" t="str">
            <v>RODRIGO</v>
          </cell>
          <cell r="M392" t="str">
            <v>RAQUEL BARBOSA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  <cell r="H393" t="str">
            <v>DISTRIBUIÇÃO</v>
          </cell>
          <cell r="I393" t="str">
            <v>FOOD SERVICE</v>
          </cell>
          <cell r="J393" t="str">
            <v>RAQUEL BARBOSA</v>
          </cell>
          <cell r="K393" t="str">
            <v>ITAMBÉ</v>
          </cell>
          <cell r="L393" t="str">
            <v>RODRIGO</v>
          </cell>
          <cell r="M393" t="str">
            <v>RAQUEL BARBOSA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  <cell r="H394" t="str">
            <v>DISTRIBUIÇÃO</v>
          </cell>
          <cell r="I394" t="str">
            <v>FOOD SERVICE</v>
          </cell>
          <cell r="J394" t="str">
            <v>RAQUEL BARBOSA</v>
          </cell>
          <cell r="K394" t="str">
            <v>LACTALIS</v>
          </cell>
          <cell r="L394" t="str">
            <v>RODRIGO</v>
          </cell>
          <cell r="M394" t="str">
            <v>RAQUEL BARBOSA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  <cell r="H395" t="str">
            <v>DISTRIBUIÇÃO</v>
          </cell>
          <cell r="I395" t="str">
            <v>FOOD SERVICE</v>
          </cell>
          <cell r="J395" t="str">
            <v>RAQUEL BARBOSA</v>
          </cell>
          <cell r="K395" t="str">
            <v>LACTALIS</v>
          </cell>
          <cell r="L395" t="str">
            <v>RODRIGO</v>
          </cell>
          <cell r="M395" t="str">
            <v>RAQUEL BARBOSA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  <cell r="H396" t="str">
            <v>DISTRIBUIÇÃO</v>
          </cell>
          <cell r="I396" t="str">
            <v>FOOD SERVICE</v>
          </cell>
          <cell r="J396" t="str">
            <v>FLAC 2</v>
          </cell>
          <cell r="K396" t="str">
            <v>LACTALIS</v>
          </cell>
          <cell r="L396" t="str">
            <v>RODRIGO</v>
          </cell>
          <cell r="M396" t="str">
            <v>RAQUEL BARBOSA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  <cell r="H397" t="str">
            <v>DISTRIBUIÇÃO</v>
          </cell>
          <cell r="I397" t="str">
            <v>FOOD SERVICE</v>
          </cell>
          <cell r="J397" t="str">
            <v>CLAUDIO JORGE</v>
          </cell>
          <cell r="K397" t="str">
            <v>ITAMBÉ</v>
          </cell>
          <cell r="L397" t="str">
            <v>RODRIGO</v>
          </cell>
          <cell r="M397" t="str">
            <v>MARIA LOURDES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  <cell r="H398" t="str">
            <v>DISTRIBUIÇÃO</v>
          </cell>
          <cell r="I398" t="str">
            <v>FOOD SERVICE</v>
          </cell>
          <cell r="J398" t="str">
            <v>WH FOOD SERVICE CE</v>
          </cell>
          <cell r="K398" t="str">
            <v>ITAMBÉ</v>
          </cell>
          <cell r="L398" t="str">
            <v>RODRIGO</v>
          </cell>
          <cell r="M398" t="str">
            <v>MARIA LOURDES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  <cell r="H399" t="str">
            <v>INGREDIENTS</v>
          </cell>
          <cell r="I399" t="str">
            <v>INGREDIENTS</v>
          </cell>
          <cell r="J399" t="str">
            <v>MG ITB FS DRK REP</v>
          </cell>
          <cell r="K399" t="str">
            <v>ITAMBÉ</v>
          </cell>
          <cell r="L399" t="str">
            <v>MAURICIO</v>
          </cell>
          <cell r="M399" t="str">
            <v>JOEL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  <cell r="H400" t="str">
            <v>INGREDIENTS</v>
          </cell>
          <cell r="I400" t="str">
            <v>INGREDIENTS</v>
          </cell>
          <cell r="J400" t="str">
            <v>MG ITB FS DRK REP</v>
          </cell>
          <cell r="K400" t="str">
            <v>ITAMBÉ</v>
          </cell>
          <cell r="L400" t="str">
            <v>MAURICIO</v>
          </cell>
          <cell r="M400" t="str">
            <v>JOEL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  <cell r="H401" t="str">
            <v>DISTRIBUIÇÃO</v>
          </cell>
          <cell r="I401" t="str">
            <v>FOOD SERVICE</v>
          </cell>
          <cell r="J401" t="str">
            <v>SP ITB FS FLAC REP.E COMERCIO</v>
          </cell>
          <cell r="K401" t="str">
            <v>ITAMBÉ</v>
          </cell>
          <cell r="L401" t="str">
            <v>RODRIGO</v>
          </cell>
          <cell r="M401" t="str">
            <v>RAQUEL BARBOSA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  <cell r="H402" t="str">
            <v>DISTRIBUIÇÃO</v>
          </cell>
          <cell r="I402" t="str">
            <v>FOOD SERVICE</v>
          </cell>
          <cell r="J402" t="str">
            <v>FLAC 6</v>
          </cell>
          <cell r="K402" t="str">
            <v>LACTALIS</v>
          </cell>
          <cell r="L402" t="str">
            <v>RODRIGO</v>
          </cell>
          <cell r="M402" t="str">
            <v>RAQUEL BARBOSA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  <cell r="H403" t="str">
            <v>INGREDIENTS</v>
          </cell>
          <cell r="I403" t="str">
            <v>INGREDIENTS</v>
          </cell>
          <cell r="J403" t="str">
            <v>DUAS RODAS</v>
          </cell>
          <cell r="K403" t="str">
            <v>ITAMBÉ</v>
          </cell>
          <cell r="L403" t="str">
            <v>MAURICIO</v>
          </cell>
          <cell r="M403" t="str">
            <v>MARCELO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  <cell r="H404" t="str">
            <v>INGREDIENTS</v>
          </cell>
          <cell r="I404" t="str">
            <v>INGREDIENTS</v>
          </cell>
          <cell r="J404" t="str">
            <v>MARCELO RODRIGUES</v>
          </cell>
          <cell r="K404" t="str">
            <v>ITAMBÉ</v>
          </cell>
          <cell r="L404" t="str">
            <v>MAURICIO</v>
          </cell>
          <cell r="M404" t="str">
            <v>MARCELO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  <cell r="H405" t="str">
            <v>DISTRIBUIÇÃO</v>
          </cell>
          <cell r="I405" t="str">
            <v>FOOD SERVICE</v>
          </cell>
          <cell r="J405" t="str">
            <v>WH FOOD SERVICE CE</v>
          </cell>
          <cell r="K405" t="str">
            <v>ITAMBÉ</v>
          </cell>
          <cell r="L405" t="str">
            <v>RODRIGO</v>
          </cell>
          <cell r="M405" t="str">
            <v>MARIA LOURDES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  <cell r="H406" t="str">
            <v>DISTRIBUIÇÃO</v>
          </cell>
          <cell r="I406" t="str">
            <v>FOOD SERVICE</v>
          </cell>
          <cell r="J406" t="str">
            <v>WH FOOD SERVICE CE</v>
          </cell>
          <cell r="K406" t="str">
            <v>ITAMBÉ</v>
          </cell>
          <cell r="L406" t="str">
            <v>RODRIGO</v>
          </cell>
          <cell r="M406" t="str">
            <v>MARIA LOURDES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  <cell r="H407" t="str">
            <v>DISTRIBUIÇÃO</v>
          </cell>
          <cell r="I407" t="str">
            <v>FOOD SERVICE</v>
          </cell>
          <cell r="J407" t="str">
            <v>WH FOOD SERVICE CE</v>
          </cell>
          <cell r="K407" t="str">
            <v>ITAMBÉ</v>
          </cell>
          <cell r="L407" t="str">
            <v>RODRIGO</v>
          </cell>
          <cell r="M407" t="str">
            <v>MARIA LOURDES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  <cell r="H408" t="str">
            <v>DISTRIBUIÇÃO</v>
          </cell>
          <cell r="I408" t="str">
            <v>FOOD SERVICE</v>
          </cell>
          <cell r="J408" t="str">
            <v>WH FOOD SERVICE CE</v>
          </cell>
          <cell r="K408" t="str">
            <v>ITAMBÉ</v>
          </cell>
          <cell r="L408" t="str">
            <v>RODRIGO</v>
          </cell>
          <cell r="M408" t="str">
            <v>MARIA LOURDES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  <cell r="H409" t="str">
            <v>INGREDIENTS</v>
          </cell>
          <cell r="I409" t="str">
            <v>INGREDIENTS</v>
          </cell>
          <cell r="J409" t="str">
            <v>HENRIQUE FERREIRA</v>
          </cell>
          <cell r="K409" t="str">
            <v>ITAMBÉ</v>
          </cell>
          <cell r="L409" t="str">
            <v>MAURICIO</v>
          </cell>
          <cell r="M409" t="str">
            <v>JOEL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  <cell r="H410" t="str">
            <v>INGREDIENTS</v>
          </cell>
          <cell r="I410" t="str">
            <v>INGREDIENTS</v>
          </cell>
          <cell r="J410" t="str">
            <v>DUAS RODAS</v>
          </cell>
          <cell r="K410" t="str">
            <v>ITAMBÉ</v>
          </cell>
          <cell r="L410" t="str">
            <v>MAURICIO</v>
          </cell>
          <cell r="M410" t="str">
            <v>MARCELO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  <cell r="H411" t="str">
            <v>DISTRIBUIÇÃO</v>
          </cell>
          <cell r="I411" t="str">
            <v>FOOD SERVICE</v>
          </cell>
          <cell r="J411" t="str">
            <v>FLAC 3</v>
          </cell>
          <cell r="K411" t="str">
            <v>LACTALIS</v>
          </cell>
          <cell r="L411" t="str">
            <v>RODRIGO</v>
          </cell>
          <cell r="M411" t="str">
            <v>RAQUEL BARBOSA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  <cell r="H412" t="str">
            <v>DISTRIBUIÇÃO</v>
          </cell>
          <cell r="I412" t="str">
            <v>FOOD SERVICE</v>
          </cell>
          <cell r="J412" t="str">
            <v>FLAC 3</v>
          </cell>
          <cell r="K412" t="str">
            <v>LACTALIS</v>
          </cell>
          <cell r="L412" t="str">
            <v>RODRIGO</v>
          </cell>
          <cell r="M412" t="str">
            <v>RAQUEL BARBOSA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  <cell r="H413" t="str">
            <v>DISTRIBUIÇÃO</v>
          </cell>
          <cell r="I413" t="str">
            <v>FOOD SERVICE</v>
          </cell>
          <cell r="J413" t="str">
            <v>FLAC 2</v>
          </cell>
          <cell r="K413" t="str">
            <v>LACTALIS</v>
          </cell>
          <cell r="L413" t="str">
            <v>RODRIGO</v>
          </cell>
          <cell r="M413" t="str">
            <v>RAQUEL BARBOSA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  <cell r="H414" t="str">
            <v>DISTRIBUIÇÃO</v>
          </cell>
          <cell r="I414" t="str">
            <v>FOOD SERVICE</v>
          </cell>
          <cell r="J414" t="str">
            <v>FLAC 6</v>
          </cell>
          <cell r="K414" t="str">
            <v>LACTALIS</v>
          </cell>
          <cell r="L414" t="str">
            <v>RODRIGO</v>
          </cell>
          <cell r="M414" t="str">
            <v>RAQUEL BARBOSA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  <cell r="H415" t="str">
            <v>INGREDIENTS</v>
          </cell>
          <cell r="I415" t="str">
            <v>INGREDIENTS</v>
          </cell>
          <cell r="J415" t="str">
            <v>HENRIQUE FERREIRA</v>
          </cell>
          <cell r="K415" t="str">
            <v>ITAMBÉ</v>
          </cell>
          <cell r="L415" t="str">
            <v>MAURICIO</v>
          </cell>
          <cell r="M415" t="str">
            <v>JOEL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  <cell r="H416" t="str">
            <v>INGREDIENTS</v>
          </cell>
          <cell r="I416" t="str">
            <v>INGREDIENTS</v>
          </cell>
          <cell r="J416" t="str">
            <v>MARCELO RODRIGUES</v>
          </cell>
          <cell r="K416" t="str">
            <v>LACTALIS</v>
          </cell>
          <cell r="L416" t="str">
            <v>MAURICIO</v>
          </cell>
          <cell r="M416" t="str">
            <v>MARCELO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  <cell r="H417" t="str">
            <v>DISTRIBUIÇÃO</v>
          </cell>
          <cell r="I417" t="str">
            <v>FOOD SERVICE</v>
          </cell>
          <cell r="J417" t="str">
            <v>FLAC 4</v>
          </cell>
          <cell r="K417" t="str">
            <v>LACTALIS</v>
          </cell>
          <cell r="L417" t="str">
            <v>RODRIGO</v>
          </cell>
          <cell r="M417" t="str">
            <v>RAQUEL BARBOSA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  <cell r="H418" t="str">
            <v>DISTRIBUIÇÃO</v>
          </cell>
          <cell r="I418" t="str">
            <v>FOOD SERVICE</v>
          </cell>
          <cell r="J418" t="str">
            <v>FLAC 2</v>
          </cell>
          <cell r="K418" t="str">
            <v>LACTALIS</v>
          </cell>
          <cell r="L418" t="str">
            <v>RODRIGO</v>
          </cell>
          <cell r="M418" t="str">
            <v>RAQUEL BARBOSA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  <cell r="H419" t="str">
            <v>DISTRIBUIÇÃO</v>
          </cell>
          <cell r="I419" t="str">
            <v>FOOD SERVICE</v>
          </cell>
          <cell r="J419" t="str">
            <v>FLAC 1</v>
          </cell>
          <cell r="K419" t="str">
            <v>LACTALIS</v>
          </cell>
          <cell r="L419" t="str">
            <v>RODRIGO</v>
          </cell>
          <cell r="M419" t="str">
            <v>RAQUEL BARBOSA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  <cell r="H420" t="str">
            <v>DISTRIBUIÇÃO</v>
          </cell>
          <cell r="I420" t="str">
            <v>FOOD SERVICE</v>
          </cell>
          <cell r="J420" t="str">
            <v>FLAC 6</v>
          </cell>
          <cell r="K420" t="str">
            <v>LACTALIS</v>
          </cell>
          <cell r="L420" t="str">
            <v>RODRIGO</v>
          </cell>
          <cell r="M420" t="str">
            <v>RAQUEL BARBOSA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  <cell r="H421" t="str">
            <v>INGREDIENTS</v>
          </cell>
          <cell r="I421" t="str">
            <v>INGREDIENTS</v>
          </cell>
          <cell r="J421" t="str">
            <v>TATIANA NITTA</v>
          </cell>
          <cell r="K421" t="str">
            <v>ITAMBÉ</v>
          </cell>
          <cell r="L421" t="str">
            <v>MAURICIO</v>
          </cell>
          <cell r="M421" t="str">
            <v>TATIANA NITTA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  <cell r="H422" t="str">
            <v>INGREDIENTS</v>
          </cell>
          <cell r="I422" t="str">
            <v>INGREDIENTS</v>
          </cell>
          <cell r="J422" t="str">
            <v>TATIANA NITTA</v>
          </cell>
          <cell r="K422" t="str">
            <v>ITAMBÉ</v>
          </cell>
          <cell r="L422" t="str">
            <v>MAURICIO</v>
          </cell>
          <cell r="M422" t="str">
            <v>TATIANA NITTA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  <cell r="H423" t="str">
            <v>DISTRIBUIÇÃO</v>
          </cell>
          <cell r="I423" t="str">
            <v>FOOD SERVICE</v>
          </cell>
          <cell r="J423" t="str">
            <v>FLAC 3</v>
          </cell>
          <cell r="K423" t="str">
            <v>LACTALIS</v>
          </cell>
          <cell r="L423" t="str">
            <v>RODRIGO</v>
          </cell>
          <cell r="M423" t="str">
            <v>RAQUEL BARBOSA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  <cell r="H424" t="str">
            <v>INGREDIENTS</v>
          </cell>
          <cell r="I424" t="str">
            <v>INGREDIENTS</v>
          </cell>
          <cell r="J424" t="str">
            <v>TATIANA NITTA</v>
          </cell>
          <cell r="K424" t="str">
            <v>ITAMBÉ</v>
          </cell>
          <cell r="L424" t="str">
            <v>MAURICIO</v>
          </cell>
          <cell r="M424" t="str">
            <v>TATIANA NITTA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  <cell r="H425" t="str">
            <v>DISTRIBUIÇÃO</v>
          </cell>
          <cell r="I425" t="str">
            <v>FOOD SERVICE</v>
          </cell>
          <cell r="J425" t="str">
            <v>VAGO SP</v>
          </cell>
          <cell r="K425" t="str">
            <v>ITAMBÉ</v>
          </cell>
          <cell r="L425" t="str">
            <v>RODRIGO</v>
          </cell>
          <cell r="M425" t="str">
            <v>RAQUEL BARBOSA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  <cell r="H426" t="str">
            <v>DISTRIBUIÇÃO</v>
          </cell>
          <cell r="I426" t="str">
            <v>FOOD SERVICE</v>
          </cell>
          <cell r="J426" t="str">
            <v>MARCELO SILVA</v>
          </cell>
          <cell r="K426" t="str">
            <v>ITAMBÉ</v>
          </cell>
          <cell r="L426" t="str">
            <v>RODRIGO</v>
          </cell>
          <cell r="M426" t="str">
            <v>CELIO MARTINS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  <cell r="H427" t="str">
            <v>DISTRIBUIÇÃO</v>
          </cell>
          <cell r="I427" t="str">
            <v>FOOD SERVICE</v>
          </cell>
          <cell r="J427" t="str">
            <v>FLAC 2</v>
          </cell>
          <cell r="K427" t="str">
            <v>LACTALIS</v>
          </cell>
          <cell r="L427" t="str">
            <v>RODRIGO</v>
          </cell>
          <cell r="M427" t="str">
            <v>RAQUEL BARBOSA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  <cell r="H428" t="str">
            <v>DISTRIBUIÇÃO</v>
          </cell>
          <cell r="I428" t="str">
            <v>FOOD SERVICE</v>
          </cell>
          <cell r="J428" t="str">
            <v>FLAC 2</v>
          </cell>
          <cell r="K428" t="str">
            <v>LACTALIS</v>
          </cell>
          <cell r="L428" t="str">
            <v>RODRIGO</v>
          </cell>
          <cell r="M428" t="str">
            <v>RAQUEL BARBOSA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  <cell r="H429" t="str">
            <v>INGREDIENTS</v>
          </cell>
          <cell r="I429" t="str">
            <v>INGREDIENTS</v>
          </cell>
          <cell r="J429" t="str">
            <v>MARCELO RODRIGUES</v>
          </cell>
          <cell r="K429" t="str">
            <v>ITAMBÉ</v>
          </cell>
          <cell r="L429" t="str">
            <v>MAURICIO</v>
          </cell>
          <cell r="M429" t="str">
            <v>MARCELO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  <cell r="H430" t="str">
            <v>INGREDIENTS</v>
          </cell>
          <cell r="I430" t="str">
            <v>INGREDIENTS</v>
          </cell>
          <cell r="J430" t="str">
            <v>MARCELO RODRIGUES</v>
          </cell>
          <cell r="K430" t="str">
            <v>LACTALIS</v>
          </cell>
          <cell r="L430" t="str">
            <v>MAURICIO</v>
          </cell>
          <cell r="M430" t="str">
            <v>MARCELO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  <cell r="H431" t="str">
            <v>DISTRIBUIÇÃO</v>
          </cell>
          <cell r="I431" t="str">
            <v>FOOD SERVICE</v>
          </cell>
          <cell r="J431" t="str">
            <v>FLAC 3</v>
          </cell>
          <cell r="K431" t="str">
            <v>LACTALIS</v>
          </cell>
          <cell r="L431" t="str">
            <v>RODRIGO</v>
          </cell>
          <cell r="M431" t="str">
            <v>RAQUEL BARBOSA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  <cell r="H432" t="str">
            <v>DISTRIBUIÇÃO</v>
          </cell>
          <cell r="I432" t="str">
            <v>FOOD SERVICE</v>
          </cell>
          <cell r="J432" t="str">
            <v>GUILHERME NASCIMENTO</v>
          </cell>
          <cell r="K432" t="str">
            <v>ITAMBÉ</v>
          </cell>
          <cell r="L432" t="str">
            <v>RODRIGO</v>
          </cell>
          <cell r="M432" t="str">
            <v>ALEXANDRO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  <cell r="H433" t="str">
            <v>DISTRIBUIÇÃO</v>
          </cell>
          <cell r="I433" t="str">
            <v>FOOD SERVICE</v>
          </cell>
          <cell r="J433" t="str">
            <v>MARCELO SILVA</v>
          </cell>
          <cell r="K433" t="str">
            <v>ITAMBÉ</v>
          </cell>
          <cell r="L433" t="str">
            <v>RODRIGO</v>
          </cell>
          <cell r="M433" t="str">
            <v>CELIO MARTINS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  <cell r="H434" t="str">
            <v>OUTROS</v>
          </cell>
          <cell r="I434" t="str">
            <v>OUTROS</v>
          </cell>
          <cell r="J434" t="str">
            <v>ITAMBE - EXPORTACAO</v>
          </cell>
          <cell r="K434" t="str">
            <v>OUTROS</v>
          </cell>
          <cell r="L434" t="str">
            <v>OUTROS</v>
          </cell>
          <cell r="M434" t="str">
            <v>EXPORTAÇÃO</v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  <cell r="H435" t="str">
            <v>DISTRIBUIÇÃO</v>
          </cell>
          <cell r="I435" t="str">
            <v>FOOD SERVICE</v>
          </cell>
          <cell r="J435" t="str">
            <v>MARCELO DUARTE</v>
          </cell>
          <cell r="K435" t="str">
            <v>ITAMBÉ</v>
          </cell>
          <cell r="L435" t="str">
            <v>RODRIGO</v>
          </cell>
          <cell r="M435" t="str">
            <v>JESSICA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  <cell r="H436" t="str">
            <v>DISTRIBUIÇÃO</v>
          </cell>
          <cell r="I436" t="str">
            <v>FOOD SERVICE</v>
          </cell>
          <cell r="J436" t="str">
            <v>MARCELO SILVA</v>
          </cell>
          <cell r="K436" t="str">
            <v>ITAMBÉ</v>
          </cell>
          <cell r="L436" t="str">
            <v>RODRIGO</v>
          </cell>
          <cell r="M436" t="str">
            <v>CELIO MARTINS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  <cell r="H437" t="str">
            <v>INGREDIENTS</v>
          </cell>
          <cell r="I437" t="str">
            <v>INGREDIENTS</v>
          </cell>
          <cell r="J437" t="str">
            <v>DUAS RODAS</v>
          </cell>
          <cell r="K437" t="str">
            <v>ITAMBÉ</v>
          </cell>
          <cell r="L437" t="str">
            <v>MAURICIO</v>
          </cell>
          <cell r="M437" t="str">
            <v>TATIANA NITTA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  <cell r="H438" t="str">
            <v>DISTRIBUIÇÃO</v>
          </cell>
          <cell r="I438" t="str">
            <v>FOOD SERVICE</v>
          </cell>
          <cell r="J438" t="str">
            <v>CLAUDIO JORGE</v>
          </cell>
          <cell r="K438" t="str">
            <v>ITAMBÉ</v>
          </cell>
          <cell r="L438" t="str">
            <v>RODRIGO</v>
          </cell>
          <cell r="M438" t="str">
            <v>MARCO AURELIO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  <cell r="H439" t="str">
            <v>DISTRIBUIÇÃO</v>
          </cell>
          <cell r="I439" t="str">
            <v>FOOD SERVICE</v>
          </cell>
          <cell r="J439" t="str">
            <v>CLAUDIO JORGE</v>
          </cell>
          <cell r="K439" t="str">
            <v>ITAMBÉ</v>
          </cell>
          <cell r="L439" t="str">
            <v>RODRIGO</v>
          </cell>
          <cell r="M439" t="str">
            <v>MARIA LOURDES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  <cell r="H440" t="str">
            <v>DISTRIBUIÇÃO</v>
          </cell>
          <cell r="I440" t="str">
            <v>FOOD SERVICE</v>
          </cell>
          <cell r="J440" t="str">
            <v>FLAC 6</v>
          </cell>
          <cell r="K440" t="str">
            <v>LACTALIS</v>
          </cell>
          <cell r="L440" t="str">
            <v>RODRIGO</v>
          </cell>
          <cell r="M440" t="str">
            <v>RAQUEL BARBOSA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  <cell r="H441" t="str">
            <v>INGREDIENTS</v>
          </cell>
          <cell r="I441" t="str">
            <v>INGREDIENTS</v>
          </cell>
          <cell r="J441" t="str">
            <v>JOEL ELEOTÉRIO</v>
          </cell>
          <cell r="K441" t="str">
            <v>ITAMBÉ</v>
          </cell>
          <cell r="L441" t="str">
            <v>MAURICIO</v>
          </cell>
          <cell r="M441" t="str">
            <v>JOEL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  <cell r="H442" t="str">
            <v>DISTRIBUIÇÃO</v>
          </cell>
          <cell r="I442" t="str">
            <v>FOOD SERVICE</v>
          </cell>
          <cell r="J442" t="str">
            <v>FLAC 6</v>
          </cell>
          <cell r="K442" t="str">
            <v>LACTALIS</v>
          </cell>
          <cell r="L442" t="str">
            <v>RODRIGO</v>
          </cell>
          <cell r="M442" t="str">
            <v>RAQUEL BARBOSA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  <cell r="H443" t="str">
            <v>INGREDIENTS</v>
          </cell>
          <cell r="I443" t="str">
            <v>INGREDIENTS</v>
          </cell>
          <cell r="J443" t="str">
            <v>HENRIQUE FERREIRA</v>
          </cell>
          <cell r="K443" t="str">
            <v>ITAMBÉ</v>
          </cell>
          <cell r="L443" t="str">
            <v>MAURICIO</v>
          </cell>
          <cell r="M443" t="str">
            <v>JOEL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  <cell r="H444" t="str">
            <v>INGREDIENTS</v>
          </cell>
          <cell r="I444" t="str">
            <v>INGREDIENTS</v>
          </cell>
          <cell r="J444" t="str">
            <v>JOEL ELEOTÉRIO</v>
          </cell>
          <cell r="K444" t="str">
            <v>LACTALIS</v>
          </cell>
          <cell r="L444" t="str">
            <v>MAURICIO</v>
          </cell>
          <cell r="M444" t="str">
            <v>JOEL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  <cell r="H445" t="str">
            <v>QSR</v>
          </cell>
          <cell r="I445" t="str">
            <v>FOOD SERVICE</v>
          </cell>
          <cell r="J445" t="str">
            <v>NUTRI</v>
          </cell>
          <cell r="K445" t="str">
            <v>LACTALIS</v>
          </cell>
          <cell r="L445" t="str">
            <v>PEDRO</v>
          </cell>
          <cell r="M445" t="str">
            <v>VAGO QSR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  <cell r="H446" t="str">
            <v>DISTRIBUIÇÃO</v>
          </cell>
          <cell r="I446" t="str">
            <v>FOOD SERVICE</v>
          </cell>
          <cell r="J446" t="str">
            <v>WH FOOD SERVICE CE</v>
          </cell>
          <cell r="K446" t="str">
            <v>ITAMBÉ</v>
          </cell>
          <cell r="L446" t="str">
            <v>RODRIGO</v>
          </cell>
          <cell r="M446" t="str">
            <v>MARIA LOURDES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  <cell r="H447" t="str">
            <v>QSR</v>
          </cell>
          <cell r="I447" t="str">
            <v>FOOD SERVICE</v>
          </cell>
          <cell r="J447" t="str">
            <v>ANA MENIQUETE</v>
          </cell>
          <cell r="K447" t="str">
            <v>LACTALIS</v>
          </cell>
          <cell r="L447" t="str">
            <v>PEDRO</v>
          </cell>
          <cell r="M447" t="str">
            <v>ANA MENIQUETE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  <cell r="H448" t="str">
            <v>QSR</v>
          </cell>
          <cell r="I448" t="str">
            <v>FOOD SERVICE</v>
          </cell>
          <cell r="J448" t="str">
            <v>NUTRI</v>
          </cell>
          <cell r="K448" t="str">
            <v>LACTALIS</v>
          </cell>
          <cell r="L448" t="str">
            <v>PEDRO</v>
          </cell>
          <cell r="M448" t="str">
            <v>VAGO QSR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  <cell r="H449" t="str">
            <v>DISTRIBUIÇÃO</v>
          </cell>
          <cell r="I449" t="str">
            <v>FOOD SERVICE</v>
          </cell>
          <cell r="J449" t="str">
            <v>FLAC 2</v>
          </cell>
          <cell r="K449" t="str">
            <v>LACTALIS</v>
          </cell>
          <cell r="L449" t="str">
            <v>RODRIGO</v>
          </cell>
          <cell r="M449" t="str">
            <v>RAQUEL BARBOSA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  <cell r="H450" t="str">
            <v>DISTRIBUIÇÃO</v>
          </cell>
          <cell r="I450" t="str">
            <v>FOOD SERVICE</v>
          </cell>
          <cell r="J450" t="str">
            <v>FLAC 6</v>
          </cell>
          <cell r="K450" t="str">
            <v>LACTALIS</v>
          </cell>
          <cell r="L450" t="str">
            <v>RODRIGO</v>
          </cell>
          <cell r="M450" t="str">
            <v>RAQUEL BARBOSA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  <cell r="H451" t="str">
            <v>DISTRIBUIÇÃO</v>
          </cell>
          <cell r="I451" t="str">
            <v>FOOD SERVICE</v>
          </cell>
          <cell r="J451" t="str">
            <v>FLAC 5</v>
          </cell>
          <cell r="K451" t="str">
            <v>LACTALIS</v>
          </cell>
          <cell r="L451" t="str">
            <v>RODRIGO</v>
          </cell>
          <cell r="M451" t="str">
            <v>RAQUEL BARBOSA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  <cell r="H452" t="str">
            <v>DISTRIBUIÇÃO</v>
          </cell>
          <cell r="I452" t="str">
            <v>FOOD SERVICE</v>
          </cell>
          <cell r="J452" t="str">
            <v>SP ITB FS FLAC REP.E COMERCIO</v>
          </cell>
          <cell r="K452" t="str">
            <v>ITAMBÉ</v>
          </cell>
          <cell r="L452" t="str">
            <v>RODRIGO</v>
          </cell>
          <cell r="M452" t="str">
            <v>RAQUEL BARBOSA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  <cell r="H453" t="str">
            <v>DISTRIBUIÇÃO</v>
          </cell>
          <cell r="I453" t="str">
            <v>FOOD SERVICE</v>
          </cell>
          <cell r="J453" t="str">
            <v>MARCELO SILVA</v>
          </cell>
          <cell r="K453" t="str">
            <v>ITAMBÉ</v>
          </cell>
          <cell r="L453" t="str">
            <v>RODRIGO</v>
          </cell>
          <cell r="M453" t="str">
            <v>CELIO MARTINS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  <cell r="H454" t="str">
            <v>DISTRIBUIÇÃO</v>
          </cell>
          <cell r="I454" t="str">
            <v>FOOD SERVICE</v>
          </cell>
          <cell r="J454" t="str">
            <v>FLAC 3</v>
          </cell>
          <cell r="K454" t="str">
            <v>LACTALIS</v>
          </cell>
          <cell r="L454" t="str">
            <v>RODRIGO</v>
          </cell>
          <cell r="M454" t="str">
            <v>RAQUEL BARBOSA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  <cell r="H455" t="str">
            <v>DISTRIBUIÇÃO</v>
          </cell>
          <cell r="I455" t="str">
            <v>FOOD SERVICE</v>
          </cell>
          <cell r="J455" t="str">
            <v>ANGELICA BATISTELA</v>
          </cell>
          <cell r="K455" t="str">
            <v>ITAMBÉ</v>
          </cell>
          <cell r="L455" t="str">
            <v>RODRIGO</v>
          </cell>
          <cell r="M455" t="str">
            <v>ANGELICA BATISTELA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  <cell r="H456" t="str">
            <v>DISTRIBUIÇÃO</v>
          </cell>
          <cell r="I456" t="str">
            <v>FOOD SERVICE</v>
          </cell>
          <cell r="J456" t="str">
            <v>FLAC 1</v>
          </cell>
          <cell r="K456" t="str">
            <v>LACTALIS</v>
          </cell>
          <cell r="L456" t="str">
            <v>RODRIGO</v>
          </cell>
          <cell r="M456" t="str">
            <v>RAQUEL BARBOSA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  <cell r="H457" t="str">
            <v>DISTRIBUIÇÃO</v>
          </cell>
          <cell r="I457" t="str">
            <v>FOOD SERVICE</v>
          </cell>
          <cell r="J457" t="str">
            <v>FLAC 7</v>
          </cell>
          <cell r="K457" t="str">
            <v>LACTALIS</v>
          </cell>
          <cell r="L457" t="str">
            <v>RODRIGO</v>
          </cell>
          <cell r="M457" t="str">
            <v>RAQUEL BARBOSA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  <cell r="H458" t="str">
            <v>DISTRIBUIÇÃO</v>
          </cell>
          <cell r="I458" t="str">
            <v>FOOD SERVICE</v>
          </cell>
          <cell r="J458" t="str">
            <v>FLAC 3</v>
          </cell>
          <cell r="K458" t="str">
            <v>LACTALIS</v>
          </cell>
          <cell r="L458" t="str">
            <v>RODRIGO</v>
          </cell>
          <cell r="M458" t="str">
            <v>RAQUEL BARBOSA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  <cell r="H459" t="str">
            <v>DISTRIBUIÇÃO</v>
          </cell>
          <cell r="I459" t="str">
            <v>FOOD SERVICE</v>
          </cell>
          <cell r="J459" t="str">
            <v>FLAC 2</v>
          </cell>
          <cell r="K459" t="str">
            <v>LACTALIS</v>
          </cell>
          <cell r="L459" t="str">
            <v>RODRIGO</v>
          </cell>
          <cell r="M459" t="str">
            <v>RAQUEL BARBOSA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  <cell r="H460" t="str">
            <v>DISTRIBUIÇÃO</v>
          </cell>
          <cell r="I460" t="str">
            <v>FOOD SERVICE</v>
          </cell>
          <cell r="J460" t="str">
            <v>FLAC 6</v>
          </cell>
          <cell r="K460" t="str">
            <v>LACTALIS</v>
          </cell>
          <cell r="L460" t="str">
            <v>RODRIGO</v>
          </cell>
          <cell r="M460" t="str">
            <v>RAQUEL BARBOSA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  <cell r="H461" t="str">
            <v>DISTRIBUIÇÃO</v>
          </cell>
          <cell r="I461" t="str">
            <v>FOOD SERVICE</v>
          </cell>
          <cell r="J461" t="str">
            <v>FLAC 6</v>
          </cell>
          <cell r="K461" t="str">
            <v>LACTALIS</v>
          </cell>
          <cell r="L461" t="str">
            <v>RODRIGO</v>
          </cell>
          <cell r="M461" t="str">
            <v>RAQUEL BARBOSA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  <cell r="H462" t="str">
            <v>DISTRIBUIÇÃO</v>
          </cell>
          <cell r="I462" t="str">
            <v>FOOD SERVICE</v>
          </cell>
          <cell r="J462" t="str">
            <v>FLAC 6</v>
          </cell>
          <cell r="K462" t="str">
            <v>LACTALIS</v>
          </cell>
          <cell r="L462" t="str">
            <v>RODRIGO</v>
          </cell>
          <cell r="M462" t="str">
            <v>RAQUEL BARBOSA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  <cell r="H463" t="str">
            <v>DISTRIBUIÇÃO</v>
          </cell>
          <cell r="I463" t="str">
            <v>FOOD SERVICE</v>
          </cell>
          <cell r="J463" t="str">
            <v>FLAC 1</v>
          </cell>
          <cell r="K463" t="str">
            <v>LACTALIS</v>
          </cell>
          <cell r="L463" t="str">
            <v>RODRIGO</v>
          </cell>
          <cell r="M463" t="str">
            <v>RAQUEL BARBOSA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  <cell r="H464" t="str">
            <v>DISTRIBUIÇÃO</v>
          </cell>
          <cell r="I464" t="str">
            <v>FOOD SERVICE</v>
          </cell>
          <cell r="J464" t="str">
            <v>FLAC 3</v>
          </cell>
          <cell r="K464" t="str">
            <v>LACTALIS</v>
          </cell>
          <cell r="L464" t="str">
            <v>RODRIGO</v>
          </cell>
          <cell r="M464" t="str">
            <v>RAQUEL BARBOSA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  <cell r="H465" t="str">
            <v>DISTRIBUIÇÃO</v>
          </cell>
          <cell r="I465" t="str">
            <v>FOOD SERVICE</v>
          </cell>
          <cell r="J465" t="str">
            <v>FLAC 3</v>
          </cell>
          <cell r="K465" t="str">
            <v>LACTALIS</v>
          </cell>
          <cell r="L465" t="str">
            <v>RODRIGO</v>
          </cell>
          <cell r="M465" t="str">
            <v>RAQUEL BARBOSA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  <cell r="H466" t="str">
            <v>DISTRIBUIÇÃO</v>
          </cell>
          <cell r="I466" t="str">
            <v>FOOD SERVICE</v>
          </cell>
          <cell r="J466" t="str">
            <v>CLAUDIO JORGE</v>
          </cell>
          <cell r="K466" t="str">
            <v>ITAMBÉ</v>
          </cell>
          <cell r="L466" t="str">
            <v>RODRIGO</v>
          </cell>
          <cell r="M466" t="str">
            <v>MARIA LOURDES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  <cell r="H467" t="str">
            <v>INGREDIENTS</v>
          </cell>
          <cell r="I467" t="str">
            <v>INGREDIENTS</v>
          </cell>
          <cell r="J467" t="str">
            <v>MARCELO RODRIGUES</v>
          </cell>
          <cell r="K467" t="str">
            <v>LACTALIS</v>
          </cell>
          <cell r="L467" t="str">
            <v>MAURICIO</v>
          </cell>
          <cell r="M467" t="str">
            <v>MARCELO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  <cell r="H468" t="str">
            <v>DISTRIBUIÇÃO</v>
          </cell>
          <cell r="I468" t="str">
            <v>FOOD SERVICE</v>
          </cell>
          <cell r="J468" t="str">
            <v>FLAC 3</v>
          </cell>
          <cell r="K468" t="str">
            <v>LACTALIS</v>
          </cell>
          <cell r="L468" t="str">
            <v>RODRIGO</v>
          </cell>
          <cell r="M468" t="str">
            <v>RAQUEL BARBOSA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  <cell r="H469" t="str">
            <v>INGREDIENTS</v>
          </cell>
          <cell r="I469" t="str">
            <v>INGREDIENTS</v>
          </cell>
          <cell r="J469" t="str">
            <v>HENRIQUE FERREIRA</v>
          </cell>
          <cell r="K469" t="str">
            <v>ITAMBÉ</v>
          </cell>
          <cell r="L469" t="str">
            <v>MAURICIO</v>
          </cell>
          <cell r="M469" t="str">
            <v>JOEL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  <cell r="H470" t="str">
            <v>DISTRIBUIÇÃO</v>
          </cell>
          <cell r="I470" t="str">
            <v>FOOD SERVICE</v>
          </cell>
          <cell r="J470" t="str">
            <v>FLAC 4</v>
          </cell>
          <cell r="K470" t="str">
            <v>LACTALIS</v>
          </cell>
          <cell r="L470" t="str">
            <v>RODRIGO</v>
          </cell>
          <cell r="M470" t="str">
            <v>RAQUEL BARBOSA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  <cell r="H471" t="str">
            <v>DISTRIBUIÇÃO</v>
          </cell>
          <cell r="I471" t="str">
            <v>FOOD SERVICE</v>
          </cell>
          <cell r="J471" t="str">
            <v>FLAC 2</v>
          </cell>
          <cell r="K471" t="str">
            <v>LACTALIS</v>
          </cell>
          <cell r="L471" t="str">
            <v>RODRIGO</v>
          </cell>
          <cell r="M471" t="str">
            <v>RAQUEL BARBOSA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  <cell r="H472" t="str">
            <v>DISTRIBUIÇÃO</v>
          </cell>
          <cell r="I472" t="str">
            <v>FOOD SERVICE</v>
          </cell>
          <cell r="J472" t="str">
            <v>FLAC 3</v>
          </cell>
          <cell r="K472" t="str">
            <v>LACTALIS</v>
          </cell>
          <cell r="L472" t="str">
            <v>RODRIGO</v>
          </cell>
          <cell r="M472" t="str">
            <v>RAQUEL BARBOSA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  <cell r="H473" t="str">
            <v>INGREDIENTS</v>
          </cell>
          <cell r="I473" t="str">
            <v>INGREDIENTS</v>
          </cell>
          <cell r="J473" t="str">
            <v>MARCELO RODRIGUES</v>
          </cell>
          <cell r="K473" t="str">
            <v>ITAMBÉ</v>
          </cell>
          <cell r="L473" t="str">
            <v>MAURICIO</v>
          </cell>
          <cell r="M473" t="str">
            <v>MARCELO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  <cell r="H474" t="str">
            <v>DISTRIBUIÇÃO</v>
          </cell>
          <cell r="I474" t="str">
            <v>FOOD SERVICE</v>
          </cell>
          <cell r="J474" t="str">
            <v>FLAC 6</v>
          </cell>
          <cell r="K474" t="str">
            <v>LACTALIS</v>
          </cell>
          <cell r="L474" t="str">
            <v>RODRIGO</v>
          </cell>
          <cell r="M474" t="str">
            <v>RAQUEL BARBOSA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  <cell r="H475" t="str">
            <v>DISTRIBUIÇÃO</v>
          </cell>
          <cell r="I475" t="str">
            <v>FOOD SERVICE</v>
          </cell>
          <cell r="J475" t="str">
            <v>FLAC 6</v>
          </cell>
          <cell r="K475" t="str">
            <v>LACTALIS</v>
          </cell>
          <cell r="L475" t="str">
            <v>RODRIGO</v>
          </cell>
          <cell r="M475" t="str">
            <v>RAQUEL BARBOSA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  <cell r="H476" t="str">
            <v>DISTRIBUIÇÃO</v>
          </cell>
          <cell r="I476" t="str">
            <v>FOOD SERVICE</v>
          </cell>
          <cell r="J476" t="str">
            <v>WH FOOD SERVICE CE</v>
          </cell>
          <cell r="K476" t="str">
            <v>ITAMBÉ</v>
          </cell>
          <cell r="L476" t="str">
            <v>RODRIGO</v>
          </cell>
          <cell r="M476" t="str">
            <v>MARIA LOURDES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  <cell r="H477" t="str">
            <v>DISTRIBUIÇÃO</v>
          </cell>
          <cell r="I477" t="str">
            <v>FOOD SERVICE</v>
          </cell>
          <cell r="J477" t="str">
            <v>FLAC 6</v>
          </cell>
          <cell r="K477" t="str">
            <v>LACTALIS</v>
          </cell>
          <cell r="L477" t="str">
            <v>RODRIGO</v>
          </cell>
          <cell r="M477" t="str">
            <v>RAQUEL BARBOSA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  <cell r="H478" t="str">
            <v>INGREDIENTS</v>
          </cell>
          <cell r="I478" t="str">
            <v>INGREDIENTS</v>
          </cell>
          <cell r="J478" t="str">
            <v>SP ITB FS LUIZ PEREIRA</v>
          </cell>
          <cell r="K478" t="str">
            <v>ITAMBÉ</v>
          </cell>
          <cell r="L478" t="str">
            <v>MAURICIO</v>
          </cell>
          <cell r="M478" t="str">
            <v>TATIANA NITTA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  <cell r="H479" t="str">
            <v>DISTRIBUIÇÃO</v>
          </cell>
          <cell r="I479" t="str">
            <v>FOOD SERVICE</v>
          </cell>
          <cell r="J479" t="str">
            <v>FLAC 3</v>
          </cell>
          <cell r="K479" t="str">
            <v>LACTALIS</v>
          </cell>
          <cell r="L479" t="str">
            <v>RODRIGO</v>
          </cell>
          <cell r="M479" t="str">
            <v>RAQUEL BARBOSA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  <cell r="H480" t="str">
            <v>DISTRIBUIÇÃO</v>
          </cell>
          <cell r="I480" t="str">
            <v>FOOD SERVICE</v>
          </cell>
          <cell r="J480" t="str">
            <v>SP ITB FS FLAC REP.E COMERCIO</v>
          </cell>
          <cell r="K480" t="str">
            <v>LACTALIS</v>
          </cell>
          <cell r="L480" t="str">
            <v>RODRIGO</v>
          </cell>
          <cell r="M480" t="str">
            <v>RAQUEL BARBOSA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  <cell r="H481" t="str">
            <v>QSR</v>
          </cell>
          <cell r="I481" t="str">
            <v>FOOD SERVICE</v>
          </cell>
          <cell r="J481" t="str">
            <v>NUTRI</v>
          </cell>
          <cell r="K481" t="str">
            <v>LACTALIS</v>
          </cell>
          <cell r="L481" t="str">
            <v>PEDRO</v>
          </cell>
          <cell r="M481" t="str">
            <v>VAGO QSR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  <cell r="H482" t="str">
            <v>DISTRIBUIÇÃO</v>
          </cell>
          <cell r="I482" t="str">
            <v>FOOD SERVICE</v>
          </cell>
          <cell r="J482" t="str">
            <v>SP ITB FS FLAC REP.E COMERCIO</v>
          </cell>
          <cell r="K482" t="str">
            <v>LACTALIS</v>
          </cell>
          <cell r="L482" t="str">
            <v>RODRIGO</v>
          </cell>
          <cell r="M482" t="str">
            <v>RAQUEL BARBOSA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  <cell r="H483" t="str">
            <v>QSR</v>
          </cell>
          <cell r="I483" t="str">
            <v>FOOD SERVICE</v>
          </cell>
          <cell r="J483" t="str">
            <v>NUTRI</v>
          </cell>
          <cell r="K483" t="str">
            <v>LACTALIS</v>
          </cell>
          <cell r="L483" t="str">
            <v>PEDRO</v>
          </cell>
          <cell r="M483" t="str">
            <v>VAGO QSR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  <cell r="H484" t="str">
            <v>QSR</v>
          </cell>
          <cell r="I484" t="str">
            <v>FOOD SERVICE</v>
          </cell>
          <cell r="J484" t="str">
            <v>NUTRI</v>
          </cell>
          <cell r="K484" t="str">
            <v>LACTALIS</v>
          </cell>
          <cell r="L484" t="str">
            <v>PEDRO</v>
          </cell>
          <cell r="M484" t="str">
            <v>VAGO QSR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  <cell r="H485" t="str">
            <v>QSR</v>
          </cell>
          <cell r="I485" t="str">
            <v>FOOD SERVICE</v>
          </cell>
          <cell r="J485" t="str">
            <v>NUTRI</v>
          </cell>
          <cell r="K485" t="str">
            <v>LACTALIS</v>
          </cell>
          <cell r="L485" t="str">
            <v>PEDRO</v>
          </cell>
          <cell r="M485" t="str">
            <v>VAGO QSR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  <cell r="H486" t="str">
            <v>DISTRIBUIÇÃO</v>
          </cell>
          <cell r="I486" t="str">
            <v>FOOD SERVICE</v>
          </cell>
          <cell r="J486" t="str">
            <v>LUCIANA MARTINS</v>
          </cell>
          <cell r="K486" t="str">
            <v>ITAMBÉ</v>
          </cell>
          <cell r="L486" t="str">
            <v>RODRIGO</v>
          </cell>
          <cell r="M486" t="str">
            <v>JESSICA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  <cell r="H487" t="str">
            <v>DISTRIBUIÇÃO</v>
          </cell>
          <cell r="I487" t="str">
            <v>FOOD SERVICE</v>
          </cell>
          <cell r="J487" t="str">
            <v>FLAC 3</v>
          </cell>
          <cell r="K487" t="str">
            <v>LACTALIS</v>
          </cell>
          <cell r="L487" t="str">
            <v>RODRIGO</v>
          </cell>
          <cell r="M487" t="str">
            <v>RAQUEL BARBOSA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  <cell r="H488" t="str">
            <v>OUTROS</v>
          </cell>
          <cell r="I488" t="str">
            <v>OUTROS</v>
          </cell>
          <cell r="J488" t="str">
            <v>INTERCOMPANY EXP</v>
          </cell>
          <cell r="K488" t="str">
            <v>OUTROS</v>
          </cell>
          <cell r="L488" t="str">
            <v>OUTROS</v>
          </cell>
          <cell r="M488" t="str">
            <v>INTERCOMPANY</v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  <cell r="H489" t="str">
            <v>OUTROS</v>
          </cell>
          <cell r="I489" t="str">
            <v>OUTROS</v>
          </cell>
          <cell r="J489" t="str">
            <v>INTERCOMPANY EXP</v>
          </cell>
          <cell r="K489" t="str">
            <v>OUTROS</v>
          </cell>
          <cell r="L489" t="str">
            <v>OUTROS</v>
          </cell>
          <cell r="M489" t="str">
            <v>INTERCOMPANY</v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  <cell r="H490" t="str">
            <v>OUTROS</v>
          </cell>
          <cell r="I490" t="str">
            <v>OUTROS</v>
          </cell>
          <cell r="J490" t="str">
            <v>INTERCOMPANY EXP</v>
          </cell>
          <cell r="K490" t="str">
            <v>OUTROS</v>
          </cell>
          <cell r="L490" t="str">
            <v>OUTROS</v>
          </cell>
          <cell r="M490" t="str">
            <v>INTERCOMPANY</v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  <cell r="H491" t="str">
            <v>OUTROS</v>
          </cell>
          <cell r="I491" t="str">
            <v>OUTROS</v>
          </cell>
          <cell r="J491" t="str">
            <v>INTERCOMPANY EXP</v>
          </cell>
          <cell r="K491" t="str">
            <v>OUTROS</v>
          </cell>
          <cell r="L491" t="str">
            <v>OUTROS</v>
          </cell>
          <cell r="M491" t="str">
            <v>INTERCOMPANY</v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  <cell r="H492" t="str">
            <v>OUTROS</v>
          </cell>
          <cell r="I492" t="str">
            <v>OUTROS</v>
          </cell>
          <cell r="J492" t="str">
            <v>INTERCOMPANY EXP</v>
          </cell>
          <cell r="K492" t="str">
            <v>OUTROS</v>
          </cell>
          <cell r="L492" t="str">
            <v>OUTROS</v>
          </cell>
          <cell r="M492" t="str">
            <v>INTERCOMPANY</v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  <cell r="H493" t="str">
            <v>DISTRIBUIÇÃO</v>
          </cell>
          <cell r="I493" t="str">
            <v>FOOD SERVICE</v>
          </cell>
          <cell r="J493" t="str">
            <v>FLAC 6</v>
          </cell>
          <cell r="K493" t="str">
            <v>LACTALIS</v>
          </cell>
          <cell r="L493" t="str">
            <v>RODRIGO</v>
          </cell>
          <cell r="M493" t="str">
            <v>RAQUEL BARBOSA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  <cell r="H494" t="str">
            <v>DISTRIBUIÇÃO</v>
          </cell>
          <cell r="I494" t="str">
            <v>FOOD SERVICE</v>
          </cell>
          <cell r="J494" t="str">
            <v>MARCELO DUARTE</v>
          </cell>
          <cell r="K494" t="str">
            <v>ITAMBÉ</v>
          </cell>
          <cell r="L494" t="str">
            <v>RODRIGO</v>
          </cell>
          <cell r="M494" t="str">
            <v>JESSICA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  <cell r="H495" t="str">
            <v>DISTRIBUIÇÃO</v>
          </cell>
          <cell r="I495" t="str">
            <v>FOOD SERVICE</v>
          </cell>
          <cell r="J495" t="str">
            <v>MARCELO DUARTE</v>
          </cell>
          <cell r="K495" t="str">
            <v>LACTALIS</v>
          </cell>
          <cell r="L495" t="str">
            <v>RODRIGO</v>
          </cell>
          <cell r="M495" t="str">
            <v>JESSICA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  <cell r="H496" t="str">
            <v>DISTRIBUIÇÃO</v>
          </cell>
          <cell r="I496" t="str">
            <v>FOOD SERVICE</v>
          </cell>
          <cell r="J496" t="str">
            <v>CLAUDIO JORGE</v>
          </cell>
          <cell r="K496" t="str">
            <v>ITAMBÉ</v>
          </cell>
          <cell r="L496" t="str">
            <v>RODRIGO</v>
          </cell>
          <cell r="M496" t="str">
            <v>MARCO AURELIO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  <cell r="H497" t="str">
            <v>DISTRIBUIÇÃO</v>
          </cell>
          <cell r="I497" t="str">
            <v>FOOD SERVICE</v>
          </cell>
          <cell r="J497" t="str">
            <v>CLAUDIO JORGE/LUIZ</v>
          </cell>
          <cell r="K497" t="str">
            <v>ITAMBÉ</v>
          </cell>
          <cell r="L497" t="str">
            <v>RODRIGO</v>
          </cell>
          <cell r="M497" t="str">
            <v>MARIA LOURDES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  <cell r="H498" t="str">
            <v>DISTRIBUIÇÃO</v>
          </cell>
          <cell r="I498" t="str">
            <v>FOOD SERVICE</v>
          </cell>
          <cell r="J498" t="str">
            <v>CLAUDIO JORGE/LUIZ</v>
          </cell>
          <cell r="K498" t="str">
            <v>ITAMBÉ</v>
          </cell>
          <cell r="L498" t="str">
            <v>RODRIGO</v>
          </cell>
          <cell r="M498" t="str">
            <v>MARIA LOURDES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  <cell r="H499" t="str">
            <v>DISTRIBUIÇÃO</v>
          </cell>
          <cell r="I499" t="str">
            <v>FOOD SERVICE</v>
          </cell>
          <cell r="J499" t="str">
            <v>FLAC 2</v>
          </cell>
          <cell r="K499" t="str">
            <v>LACTALIS</v>
          </cell>
          <cell r="L499" t="str">
            <v>RODRIGO</v>
          </cell>
          <cell r="M499" t="str">
            <v>RAQUEL BARBOSA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  <cell r="H500" t="str">
            <v>DISTRIBUIÇÃO</v>
          </cell>
          <cell r="I500" t="str">
            <v>FOOD SERVICE</v>
          </cell>
          <cell r="J500" t="str">
            <v>FLAC 2</v>
          </cell>
          <cell r="K500" t="str">
            <v>LACTALIS</v>
          </cell>
          <cell r="L500" t="str">
            <v>RODRIGO</v>
          </cell>
          <cell r="M500" t="str">
            <v>RAQUEL BARBOSA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  <cell r="H501" t="str">
            <v>DISTRIBUIÇÃO</v>
          </cell>
          <cell r="I501" t="str">
            <v>FOOD SERVICE</v>
          </cell>
          <cell r="J501" t="str">
            <v>FLAC 3</v>
          </cell>
          <cell r="K501" t="str">
            <v>LACTALIS</v>
          </cell>
          <cell r="L501" t="str">
            <v>RODRIGO</v>
          </cell>
          <cell r="M501" t="str">
            <v>RAQUEL BARBOSA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  <cell r="H502" t="str">
            <v>DISTRIBUIÇÃO</v>
          </cell>
          <cell r="I502" t="str">
            <v>FOOD SERVICE</v>
          </cell>
          <cell r="J502" t="str">
            <v>FLAC 2</v>
          </cell>
          <cell r="K502" t="str">
            <v>LACTALIS</v>
          </cell>
          <cell r="L502" t="str">
            <v>RODRIGO</v>
          </cell>
          <cell r="M502" t="str">
            <v>RAQUEL BARBOSA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  <cell r="H503" t="str">
            <v>DISTRIBUIÇÃO</v>
          </cell>
          <cell r="I503" t="str">
            <v>FOOD SERVICE</v>
          </cell>
          <cell r="J503" t="str">
            <v>FLAC 6</v>
          </cell>
          <cell r="K503" t="str">
            <v>LACTALIS</v>
          </cell>
          <cell r="L503" t="str">
            <v>RODRIGO</v>
          </cell>
          <cell r="M503" t="str">
            <v>RAQUEL BARBOSA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  <cell r="H504" t="str">
            <v>DISTRIBUIÇÃO</v>
          </cell>
          <cell r="I504" t="str">
            <v>FOOD SERVICE</v>
          </cell>
          <cell r="J504" t="str">
            <v>FLAC 6</v>
          </cell>
          <cell r="K504" t="str">
            <v>LACTALIS</v>
          </cell>
          <cell r="L504" t="str">
            <v>RODRIGO</v>
          </cell>
          <cell r="M504" t="str">
            <v>RAQUEL BARBOSA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  <cell r="H505" t="str">
            <v>DISTRIBUIÇÃO</v>
          </cell>
          <cell r="I505" t="str">
            <v>FOOD SERVICE</v>
          </cell>
          <cell r="J505" t="str">
            <v>ANGELICA BATISTELA</v>
          </cell>
          <cell r="K505" t="str">
            <v>ITAMBÉ</v>
          </cell>
          <cell r="L505" t="str">
            <v>RODRIGO</v>
          </cell>
          <cell r="M505" t="str">
            <v>ANGELICA BATISTELA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  <cell r="H506" t="str">
            <v>DISTRIBUIÇÃO</v>
          </cell>
          <cell r="I506" t="str">
            <v>FOOD SERVICE</v>
          </cell>
          <cell r="J506" t="str">
            <v>FLAC 6</v>
          </cell>
          <cell r="K506" t="str">
            <v>LACTALIS</v>
          </cell>
          <cell r="L506" t="str">
            <v>RODRIGO</v>
          </cell>
          <cell r="M506" t="str">
            <v>RAQUEL BARBOSA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  <cell r="H507" t="str">
            <v>DISTRIBUIÇÃO</v>
          </cell>
          <cell r="I507" t="str">
            <v>FOOD SERVICE</v>
          </cell>
          <cell r="J507" t="str">
            <v>FLAC 7</v>
          </cell>
          <cell r="K507" t="str">
            <v>LACTALIS</v>
          </cell>
          <cell r="L507" t="str">
            <v>RODRIGO</v>
          </cell>
          <cell r="M507" t="str">
            <v>RAQUEL BARBOSA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  <cell r="H508" t="str">
            <v>DISTRIBUIÇÃO</v>
          </cell>
          <cell r="I508" t="str">
            <v>FOOD SERVICE</v>
          </cell>
          <cell r="J508" t="str">
            <v>FLAC 6</v>
          </cell>
          <cell r="K508" t="str">
            <v>LACTALIS</v>
          </cell>
          <cell r="L508" t="str">
            <v>RODRIGO</v>
          </cell>
          <cell r="M508" t="str">
            <v>RAQUEL BARBOSA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  <cell r="H509" t="str">
            <v>DISTRIBUIÇÃO</v>
          </cell>
          <cell r="I509" t="str">
            <v>FOOD SERVICE</v>
          </cell>
          <cell r="J509" t="str">
            <v>FLAC 1</v>
          </cell>
          <cell r="K509" t="str">
            <v>LACTALIS</v>
          </cell>
          <cell r="L509" t="str">
            <v>RODRIGO</v>
          </cell>
          <cell r="M509" t="str">
            <v>RAQUEL BARBOSA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  <cell r="H510" t="str">
            <v>DISTRIBUIÇÃO</v>
          </cell>
          <cell r="I510" t="str">
            <v>FOOD SERVICE</v>
          </cell>
          <cell r="J510" t="str">
            <v>ANGELICA BATISTELA</v>
          </cell>
          <cell r="K510" t="str">
            <v>ITAMBÉ</v>
          </cell>
          <cell r="L510" t="str">
            <v>RODRIGO</v>
          </cell>
          <cell r="M510" t="str">
            <v>ANGELICA BATISTELA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  <cell r="H511" t="str">
            <v>DISTRIBUIÇÃO</v>
          </cell>
          <cell r="I511" t="str">
            <v>FOOD SERVICE</v>
          </cell>
          <cell r="J511" t="str">
            <v>FLAC 2</v>
          </cell>
          <cell r="K511" t="str">
            <v>LACTALIS</v>
          </cell>
          <cell r="L511" t="str">
            <v>RODRIGO</v>
          </cell>
          <cell r="M511" t="str">
            <v>RAQUEL BARBOSA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  <cell r="H512" t="str">
            <v>DISTRIBUIÇÃO</v>
          </cell>
          <cell r="I512" t="str">
            <v>FOOD SERVICE</v>
          </cell>
          <cell r="J512" t="str">
            <v>FLAC 3</v>
          </cell>
          <cell r="K512" t="str">
            <v>LACTALIS</v>
          </cell>
          <cell r="L512" t="str">
            <v>RODRIGO</v>
          </cell>
          <cell r="M512" t="str">
            <v>RAQUEL BARBOSA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  <cell r="H513" t="str">
            <v>DISTRIBUIÇÃO</v>
          </cell>
          <cell r="I513" t="str">
            <v>FOOD SERVICE</v>
          </cell>
          <cell r="J513" t="str">
            <v>VAGO SP</v>
          </cell>
          <cell r="K513" t="str">
            <v>ITAMBÉ</v>
          </cell>
          <cell r="L513" t="str">
            <v>RODRIGO</v>
          </cell>
          <cell r="M513" t="str">
            <v>RAQUEL BARBOSA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  <cell r="H514" t="str">
            <v>DISTRIBUIÇÃO</v>
          </cell>
          <cell r="I514" t="str">
            <v>FOOD SERVICE</v>
          </cell>
          <cell r="J514" t="str">
            <v>ANGELICA BATISTELA</v>
          </cell>
          <cell r="K514" t="str">
            <v>ITAMBÉ</v>
          </cell>
          <cell r="L514" t="str">
            <v>RODRIGO</v>
          </cell>
          <cell r="M514" t="str">
            <v>ANGELICA BATISTELA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  <cell r="H515" t="str">
            <v>DISTRIBUIÇÃO</v>
          </cell>
          <cell r="I515" t="str">
            <v>FOOD SERVICE</v>
          </cell>
          <cell r="J515" t="str">
            <v>MARCELO DUARTE</v>
          </cell>
          <cell r="K515" t="str">
            <v>ITAMBÉ</v>
          </cell>
          <cell r="L515" t="str">
            <v>RODRIGO</v>
          </cell>
          <cell r="M515" t="str">
            <v>JESSICA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  <cell r="H516" t="str">
            <v>DISTRIBUIÇÃO</v>
          </cell>
          <cell r="I516" t="str">
            <v>FOOD SERVICE</v>
          </cell>
          <cell r="J516" t="str">
            <v>FLAC 4</v>
          </cell>
          <cell r="K516" t="str">
            <v>LACTALIS</v>
          </cell>
          <cell r="L516" t="str">
            <v>RODRIGO</v>
          </cell>
          <cell r="M516" t="str">
            <v>RAQUEL BARBOSA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  <cell r="H517" t="str">
            <v>DISTRIBUIÇÃO</v>
          </cell>
          <cell r="I517" t="str">
            <v>FOOD SERVICE</v>
          </cell>
          <cell r="J517" t="str">
            <v>FLAC 2</v>
          </cell>
          <cell r="K517" t="str">
            <v>LACTALIS</v>
          </cell>
          <cell r="L517" t="str">
            <v>RODRIGO</v>
          </cell>
          <cell r="M517" t="str">
            <v>RAQUEL BARBOSA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  <cell r="H518" t="str">
            <v>DISTRIBUIÇÃO</v>
          </cell>
          <cell r="I518" t="str">
            <v>FOOD SERVICE</v>
          </cell>
          <cell r="J518" t="str">
            <v>FLAC 2</v>
          </cell>
          <cell r="K518" t="str">
            <v>LACTALIS</v>
          </cell>
          <cell r="L518" t="str">
            <v>RODRIGO</v>
          </cell>
          <cell r="M518" t="str">
            <v>RAQUEL BARBOSA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  <cell r="H519" t="str">
            <v>OUTROS</v>
          </cell>
          <cell r="I519" t="str">
            <v>OUTROS</v>
          </cell>
          <cell r="J519" t="str">
            <v>ITAMBE ALIMENTOS SA - EXPORTAC</v>
          </cell>
          <cell r="K519" t="str">
            <v>OUTROS</v>
          </cell>
          <cell r="L519" t="str">
            <v>OUTROS</v>
          </cell>
          <cell r="M519" t="str">
            <v>EXPORTAÇÃO</v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  <cell r="H520" t="str">
            <v>DISTRIBUIÇÃO</v>
          </cell>
          <cell r="I520" t="str">
            <v>FOOD SERVICE</v>
          </cell>
          <cell r="J520" t="str">
            <v>FLAC 6</v>
          </cell>
          <cell r="K520" t="str">
            <v>LACTALIS</v>
          </cell>
          <cell r="L520" t="str">
            <v>RODRIGO</v>
          </cell>
          <cell r="M520" t="str">
            <v>RAQUEL BARBOSA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  <cell r="H521" t="str">
            <v>DISTRIBUIÇÃO</v>
          </cell>
          <cell r="I521" t="str">
            <v>FOOD SERVICE</v>
          </cell>
          <cell r="J521" t="str">
            <v>FLAC 1</v>
          </cell>
          <cell r="K521" t="str">
            <v>LACTALIS</v>
          </cell>
          <cell r="L521" t="str">
            <v>RODRIGO</v>
          </cell>
          <cell r="M521" t="str">
            <v>RAQUEL BARBOSA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  <cell r="H522" t="str">
            <v>DISTRIBUIÇÃO</v>
          </cell>
          <cell r="I522" t="str">
            <v>FOOD SERVICE</v>
          </cell>
          <cell r="J522" t="str">
            <v>JULIANA CORDEIRO</v>
          </cell>
          <cell r="K522" t="str">
            <v>ITAMBÉ</v>
          </cell>
          <cell r="L522" t="str">
            <v>RODRIGO</v>
          </cell>
          <cell r="M522" t="str">
            <v>JESSICA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  <cell r="H523" t="str">
            <v>DISTRIBUIÇÃO</v>
          </cell>
          <cell r="I523" t="str">
            <v>FOOD SERVICE</v>
          </cell>
          <cell r="J523" t="str">
            <v>FLAC 6</v>
          </cell>
          <cell r="K523" t="str">
            <v>LACTALIS</v>
          </cell>
          <cell r="L523" t="str">
            <v>RODRIGO</v>
          </cell>
          <cell r="M523" t="str">
            <v>RAQUEL BARBOSA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  <cell r="H524" t="str">
            <v>DISTRIBUIÇÃO</v>
          </cell>
          <cell r="I524" t="str">
            <v>FOOD SERVICE</v>
          </cell>
          <cell r="J524" t="str">
            <v>FLAC 6</v>
          </cell>
          <cell r="K524" t="str">
            <v>LACTALIS</v>
          </cell>
          <cell r="L524" t="str">
            <v>RODRIGO</v>
          </cell>
          <cell r="M524" t="str">
            <v>RAQUEL BARBOSA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  <cell r="H525" t="str">
            <v>DISTRIBUIÇÃO</v>
          </cell>
          <cell r="I525" t="str">
            <v>FOOD SERVICE</v>
          </cell>
          <cell r="J525" t="str">
            <v>MARCELO SILVA</v>
          </cell>
          <cell r="K525" t="str">
            <v>ITAMBÉ</v>
          </cell>
          <cell r="L525" t="str">
            <v>RODRIGO</v>
          </cell>
          <cell r="M525" t="str">
            <v>CELIO MARTINS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  <cell r="H526" t="str">
            <v>DISTRIBUIÇÃO</v>
          </cell>
          <cell r="I526" t="str">
            <v>FOOD SERVICE</v>
          </cell>
          <cell r="J526" t="str">
            <v>FLAC 3</v>
          </cell>
          <cell r="K526" t="str">
            <v>LACTALIS</v>
          </cell>
          <cell r="L526" t="str">
            <v>RODRIGO</v>
          </cell>
          <cell r="M526" t="str">
            <v>RAQUEL BARBOSA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  <cell r="H527" t="str">
            <v>DISTRIBUIÇÃO</v>
          </cell>
          <cell r="I527" t="str">
            <v>FOOD SERVICE</v>
          </cell>
          <cell r="J527" t="str">
            <v>FLAC 2</v>
          </cell>
          <cell r="K527" t="str">
            <v>LACTALIS</v>
          </cell>
          <cell r="L527" t="str">
            <v>RODRIGO</v>
          </cell>
          <cell r="M527" t="str">
            <v>RAQUEL BARBOSA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  <cell r="H528" t="str">
            <v>DISTRIBUIÇÃO</v>
          </cell>
          <cell r="I528" t="str">
            <v>FOOD SERVICE</v>
          </cell>
          <cell r="J528" t="str">
            <v>WH FOOD SERVICE CE</v>
          </cell>
          <cell r="K528" t="str">
            <v>ITAMBÉ</v>
          </cell>
          <cell r="L528" t="str">
            <v>RODRIGO</v>
          </cell>
          <cell r="M528" t="str">
            <v>MARIA LOURDES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  <cell r="H529" t="str">
            <v>DISTRIBUIÇÃO</v>
          </cell>
          <cell r="I529" t="str">
            <v>FOOD SERVICE</v>
          </cell>
          <cell r="J529" t="str">
            <v>FLAC 4</v>
          </cell>
          <cell r="K529" t="str">
            <v>LACTALIS</v>
          </cell>
          <cell r="L529" t="str">
            <v>RODRIGO</v>
          </cell>
          <cell r="M529" t="str">
            <v>RAQUEL BARBOSA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  <cell r="H530" t="str">
            <v>DISTRIBUIÇÃO</v>
          </cell>
          <cell r="I530" t="str">
            <v>FOOD SERVICE</v>
          </cell>
          <cell r="J530" t="str">
            <v>FLAC 6</v>
          </cell>
          <cell r="K530" t="str">
            <v>LACTALIS</v>
          </cell>
          <cell r="L530" t="str">
            <v>RODRIGO</v>
          </cell>
          <cell r="M530" t="str">
            <v>RAQUEL BARBOSA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  <cell r="H531" t="str">
            <v>DISTRIBUIÇÃO</v>
          </cell>
          <cell r="I531" t="str">
            <v>FOOD SERVICE</v>
          </cell>
          <cell r="J531" t="str">
            <v>CLAUDIO JORGE</v>
          </cell>
          <cell r="K531" t="str">
            <v>ITAMBÉ</v>
          </cell>
          <cell r="L531" t="str">
            <v>RODRIGO</v>
          </cell>
          <cell r="M531" t="str">
            <v>MARIA LOURDES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  <cell r="H532" t="str">
            <v>INGREDIENTS</v>
          </cell>
          <cell r="I532" t="str">
            <v>INGREDIENTS</v>
          </cell>
          <cell r="J532" t="str">
            <v>JOEL ELEOTÉRIO</v>
          </cell>
          <cell r="K532" t="str">
            <v>ITAMBÉ</v>
          </cell>
          <cell r="L532" t="str">
            <v>MAURICIO</v>
          </cell>
          <cell r="M532" t="str">
            <v>JOEL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  <cell r="H533" t="str">
            <v>INGREDIENTS</v>
          </cell>
          <cell r="I533" t="str">
            <v>INGREDIENTS</v>
          </cell>
          <cell r="J533" t="str">
            <v>JOEL ELEOTÉRIO</v>
          </cell>
          <cell r="K533" t="str">
            <v>LACTALIS</v>
          </cell>
          <cell r="L533" t="str">
            <v>MAURICIO</v>
          </cell>
          <cell r="M533" t="str">
            <v>JOEL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  <cell r="H534" t="str">
            <v>INGREDIENTS</v>
          </cell>
          <cell r="I534" t="str">
            <v>INGREDIENTS</v>
          </cell>
          <cell r="J534" t="str">
            <v>JOEL ELEOTÉRIO</v>
          </cell>
          <cell r="K534" t="str">
            <v>ITAMBÉ</v>
          </cell>
          <cell r="L534" t="str">
            <v>MAURICIO</v>
          </cell>
          <cell r="M534" t="str">
            <v>JOEL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  <cell r="H535" t="str">
            <v>INGREDIENTS</v>
          </cell>
          <cell r="I535" t="str">
            <v>INGREDIENTS</v>
          </cell>
          <cell r="J535" t="str">
            <v>JOEL ELEOTÉRIO</v>
          </cell>
          <cell r="K535" t="str">
            <v>LACTALIS</v>
          </cell>
          <cell r="L535" t="str">
            <v>MAURICIO</v>
          </cell>
          <cell r="M535" t="str">
            <v>JOEL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  <cell r="H536" t="str">
            <v>DISTRIBUIÇÃO</v>
          </cell>
          <cell r="I536" t="str">
            <v>FOOD SERVICE</v>
          </cell>
          <cell r="J536" t="str">
            <v>FLAC 2</v>
          </cell>
          <cell r="K536" t="str">
            <v>LACTALIS</v>
          </cell>
          <cell r="L536" t="str">
            <v>RODRIGO</v>
          </cell>
          <cell r="M536" t="str">
            <v>RAQUEL BARBOSA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  <cell r="H537" t="str">
            <v>DISTRIBUIÇÃO</v>
          </cell>
          <cell r="I537" t="str">
            <v>FOOD SERVICE</v>
          </cell>
          <cell r="J537" t="str">
            <v>WH FOOD SERVICE CE</v>
          </cell>
          <cell r="K537" t="str">
            <v>ITAMBÉ</v>
          </cell>
          <cell r="L537" t="str">
            <v>RODRIGO</v>
          </cell>
          <cell r="M537" t="str">
            <v>MARIA LOURDES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  <cell r="H538" t="str">
            <v>DISTRIBUIÇÃO</v>
          </cell>
          <cell r="I538" t="str">
            <v>FOOD SERVICE</v>
          </cell>
          <cell r="J538" t="str">
            <v>WH FOOD SERVICE CE</v>
          </cell>
          <cell r="K538" t="str">
            <v>ITAMBÉ</v>
          </cell>
          <cell r="L538" t="str">
            <v>RODRIGO</v>
          </cell>
          <cell r="M538" t="str">
            <v>MARIA LOURDES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  <cell r="H539" t="str">
            <v>DISTRIBUIÇÃO</v>
          </cell>
          <cell r="I539" t="str">
            <v>FOOD SERVICE</v>
          </cell>
          <cell r="J539" t="str">
            <v>WH FOOD SERVICE CE</v>
          </cell>
          <cell r="K539" t="str">
            <v>ITAMBÉ</v>
          </cell>
          <cell r="L539" t="str">
            <v>RODRIGO</v>
          </cell>
          <cell r="M539" t="str">
            <v>MARIA LOURDES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  <cell r="H540" t="str">
            <v>DISTRIBUIÇÃO</v>
          </cell>
          <cell r="I540" t="str">
            <v>FOOD SERVICE</v>
          </cell>
          <cell r="J540" t="str">
            <v>CLAUDIO JORGE/LUIZ</v>
          </cell>
          <cell r="K540" t="str">
            <v>ITAMBÉ</v>
          </cell>
          <cell r="L540" t="str">
            <v>RODRIGO</v>
          </cell>
          <cell r="M540" t="str">
            <v>MARIA LOURDES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  <cell r="H541" t="str">
            <v>DISTRIBUIÇÃO</v>
          </cell>
          <cell r="I541" t="str">
            <v>FOOD SERVICE</v>
          </cell>
          <cell r="J541" t="str">
            <v>FLAC 2</v>
          </cell>
          <cell r="K541" t="str">
            <v>LACTALIS</v>
          </cell>
          <cell r="L541" t="str">
            <v>RODRIGO</v>
          </cell>
          <cell r="M541" t="str">
            <v>RAQUEL BARBOSA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  <cell r="H542" t="str">
            <v>DISTRIBUIÇÃO</v>
          </cell>
          <cell r="I542" t="str">
            <v>FOOD SERVICE</v>
          </cell>
          <cell r="J542" t="str">
            <v>FLAC 5</v>
          </cell>
          <cell r="K542" t="str">
            <v>LACTALIS</v>
          </cell>
          <cell r="L542" t="str">
            <v>RODRIGO</v>
          </cell>
          <cell r="M542" t="str">
            <v>RAQUEL BARBOSA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  <cell r="H543" t="str">
            <v>DISTRIBUIÇÃO</v>
          </cell>
          <cell r="I543" t="str">
            <v>FOOD SERVICE</v>
          </cell>
          <cell r="J543" t="str">
            <v>FLAC 2</v>
          </cell>
          <cell r="K543" t="str">
            <v>LACTALIS</v>
          </cell>
          <cell r="L543" t="str">
            <v>RODRIGO</v>
          </cell>
          <cell r="M543" t="str">
            <v>RAQUEL BARBOSA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  <cell r="H544" t="str">
            <v>DISTRIBUIÇÃO</v>
          </cell>
          <cell r="I544" t="str">
            <v>FOOD SERVICE</v>
          </cell>
          <cell r="J544" t="str">
            <v>FLAC 2</v>
          </cell>
          <cell r="K544" t="str">
            <v>LACTALIS</v>
          </cell>
          <cell r="L544" t="str">
            <v>RODRIGO</v>
          </cell>
          <cell r="M544" t="str">
            <v>RAQUEL BARBOSA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  <cell r="H545" t="str">
            <v>DISTRIBUIÇÃO</v>
          </cell>
          <cell r="I545" t="str">
            <v>FOOD SERVICE</v>
          </cell>
          <cell r="J545" t="str">
            <v>WH FOOD SERVICE CE</v>
          </cell>
          <cell r="K545" t="str">
            <v>ITAMBÉ</v>
          </cell>
          <cell r="L545" t="str">
            <v>RODRIGO</v>
          </cell>
          <cell r="M545" t="str">
            <v>MARIA LOURDES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  <cell r="H546" t="str">
            <v>DISTRIBUIÇÃO</v>
          </cell>
          <cell r="I546" t="str">
            <v>FOOD SERVICE</v>
          </cell>
          <cell r="J546" t="str">
            <v>FLAC 2</v>
          </cell>
          <cell r="K546" t="str">
            <v>LACTALIS</v>
          </cell>
          <cell r="L546" t="str">
            <v>RODRIGO</v>
          </cell>
          <cell r="M546" t="str">
            <v>RAQUEL BARBOSA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  <cell r="H547" t="str">
            <v>INGREDIENTS</v>
          </cell>
          <cell r="I547" t="str">
            <v>INGREDIENTS</v>
          </cell>
          <cell r="J547" t="str">
            <v>MARCELO RODRIGUES</v>
          </cell>
          <cell r="K547" t="str">
            <v>LACTALIS</v>
          </cell>
          <cell r="L547" t="str">
            <v>MAURICIO</v>
          </cell>
          <cell r="M547" t="str">
            <v>MARCELO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  <cell r="H548" t="str">
            <v>INGREDIENTS</v>
          </cell>
          <cell r="I548" t="str">
            <v>INGREDIENTS</v>
          </cell>
          <cell r="J548" t="str">
            <v>MARCELO RODRIGUES</v>
          </cell>
          <cell r="K548" t="str">
            <v>LACTALIS</v>
          </cell>
          <cell r="L548" t="str">
            <v>MAURICIO</v>
          </cell>
          <cell r="M548" t="str">
            <v>MARCELO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  <cell r="H549" t="str">
            <v>INGREDIENTS</v>
          </cell>
          <cell r="I549" t="str">
            <v>INGREDIENTS</v>
          </cell>
          <cell r="J549" t="str">
            <v>JOEL ELEOTÉRIO</v>
          </cell>
          <cell r="K549" t="str">
            <v>ITAMBÉ</v>
          </cell>
          <cell r="L549" t="str">
            <v>MAURICIO</v>
          </cell>
          <cell r="M549" t="str">
            <v>JOEL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  <cell r="H550" t="str">
            <v>OUTROS</v>
          </cell>
          <cell r="I550" t="str">
            <v>OUTROS</v>
          </cell>
          <cell r="J550" t="str">
            <v>E-COMMERCE</v>
          </cell>
          <cell r="K550" t="str">
            <v>OUTROS</v>
          </cell>
          <cell r="L550" t="str">
            <v>OUTROS</v>
          </cell>
          <cell r="M550" t="str">
            <v>E-COMMERCE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  <cell r="H551" t="str">
            <v>OUTROS</v>
          </cell>
          <cell r="I551" t="str">
            <v>OUTROS</v>
          </cell>
          <cell r="J551" t="str">
            <v>E-COMMERCE</v>
          </cell>
          <cell r="K551" t="str">
            <v>OUTROS</v>
          </cell>
          <cell r="L551" t="str">
            <v>OUTROS</v>
          </cell>
          <cell r="M551" t="str">
            <v>E-COMMERCE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  <cell r="H552" t="str">
            <v>OUTROS</v>
          </cell>
          <cell r="I552" t="str">
            <v>OUTROS</v>
          </cell>
          <cell r="J552" t="str">
            <v>E-COMMERCE</v>
          </cell>
          <cell r="K552" t="str">
            <v>OUTROS</v>
          </cell>
          <cell r="L552" t="str">
            <v>OUTROS</v>
          </cell>
          <cell r="M552" t="str">
            <v>E-COMMERCE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  <cell r="H553" t="str">
            <v>OUTROS</v>
          </cell>
          <cell r="I553" t="str">
            <v>OUTROS</v>
          </cell>
          <cell r="J553" t="str">
            <v>E-COMMERCE</v>
          </cell>
          <cell r="K553" t="str">
            <v>OUTROS</v>
          </cell>
          <cell r="L553" t="str">
            <v>OUTROS</v>
          </cell>
          <cell r="M553" t="str">
            <v>E-COMMERCE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  <cell r="H554" t="str">
            <v>OUTROS</v>
          </cell>
          <cell r="I554" t="str">
            <v>OUTROS</v>
          </cell>
          <cell r="J554" t="str">
            <v>E-COMMERCE</v>
          </cell>
          <cell r="K554" t="str">
            <v>OUTROS</v>
          </cell>
          <cell r="L554" t="str">
            <v>OUTROS</v>
          </cell>
          <cell r="M554" t="str">
            <v>E-COMMERCE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  <cell r="H555" t="str">
            <v>OUTROS</v>
          </cell>
          <cell r="I555" t="str">
            <v>OUTROS</v>
          </cell>
          <cell r="J555" t="str">
            <v>E-COMMERCE</v>
          </cell>
          <cell r="K555" t="str">
            <v>OUTROS</v>
          </cell>
          <cell r="L555" t="str">
            <v>OUTROS</v>
          </cell>
          <cell r="M555" t="str">
            <v>E-COMMERCE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  <cell r="H556" t="str">
            <v>OUTROS</v>
          </cell>
          <cell r="I556" t="str">
            <v>OUTROS</v>
          </cell>
          <cell r="J556" t="str">
            <v>E-COMMERCE</v>
          </cell>
          <cell r="K556" t="str">
            <v>OUTROS</v>
          </cell>
          <cell r="L556" t="str">
            <v>OUTROS</v>
          </cell>
          <cell r="M556" t="str">
            <v>E-COMMERCE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  <cell r="H557" t="str">
            <v>OUTROS</v>
          </cell>
          <cell r="I557" t="str">
            <v>OUTROS</v>
          </cell>
          <cell r="J557" t="str">
            <v>E-COMMERCE</v>
          </cell>
          <cell r="K557" t="str">
            <v>OUTROS</v>
          </cell>
          <cell r="L557" t="str">
            <v>OUTROS</v>
          </cell>
          <cell r="M557" t="str">
            <v>E-COMMERCE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  <cell r="H558" t="str">
            <v>OUTROS</v>
          </cell>
          <cell r="I558" t="str">
            <v>OUTROS</v>
          </cell>
          <cell r="J558" t="str">
            <v>E-COMMERCE</v>
          </cell>
          <cell r="K558" t="str">
            <v>OUTROS</v>
          </cell>
          <cell r="L558" t="str">
            <v>OUTROS</v>
          </cell>
          <cell r="M558" t="str">
            <v>E-COMMERCE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  <cell r="H559" t="str">
            <v>INGREDIENTS</v>
          </cell>
          <cell r="I559" t="str">
            <v>INGREDIENTS</v>
          </cell>
          <cell r="J559" t="str">
            <v>JOEL ELEOTÉRIO</v>
          </cell>
          <cell r="K559" t="str">
            <v>LACTALIS</v>
          </cell>
          <cell r="L559" t="str">
            <v>MAURICIO</v>
          </cell>
          <cell r="M559" t="str">
            <v>JOEL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  <cell r="H560" t="str">
            <v>INGREDIENTS</v>
          </cell>
          <cell r="I560" t="str">
            <v>INGREDIENTS</v>
          </cell>
          <cell r="J560" t="str">
            <v>JOEL ELEOTÉRIO</v>
          </cell>
          <cell r="K560" t="str">
            <v>ITAMBÉ</v>
          </cell>
          <cell r="L560" t="str">
            <v>MAURICIO</v>
          </cell>
          <cell r="M560" t="str">
            <v>JOEL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  <cell r="H561" t="str">
            <v>DISTRIBUIÇÃO</v>
          </cell>
          <cell r="I561" t="str">
            <v>FOOD SERVICE</v>
          </cell>
          <cell r="J561" t="str">
            <v>FLAC 3</v>
          </cell>
          <cell r="K561" t="str">
            <v>LACTALIS</v>
          </cell>
          <cell r="L561" t="str">
            <v>RODRIGO</v>
          </cell>
          <cell r="M561" t="str">
            <v>RAQUEL BARBOSA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  <cell r="H562" t="str">
            <v>INGREDIENTS</v>
          </cell>
          <cell r="I562" t="str">
            <v>INGREDIENTS</v>
          </cell>
          <cell r="J562" t="str">
            <v>HENRIQUE FERREIRA</v>
          </cell>
          <cell r="K562" t="str">
            <v>ITAMBÉ</v>
          </cell>
          <cell r="L562" t="str">
            <v>MAURICIO</v>
          </cell>
          <cell r="M562" t="str">
            <v>JOEL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  <cell r="H563" t="str">
            <v>DISTRIBUIÇÃO</v>
          </cell>
          <cell r="I563" t="str">
            <v>FOOD SERVICE</v>
          </cell>
          <cell r="J563" t="str">
            <v>CLAUDIO JORGE</v>
          </cell>
          <cell r="K563" t="str">
            <v>ITAMBÉ</v>
          </cell>
          <cell r="L563" t="str">
            <v>RODRIGO</v>
          </cell>
          <cell r="M563" t="str">
            <v>MARCO AURELIO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  <cell r="H564" t="str">
            <v>DISTRIBUIÇÃO</v>
          </cell>
          <cell r="I564" t="str">
            <v>FOOD SERVICE</v>
          </cell>
          <cell r="J564" t="str">
            <v>FLAC 3</v>
          </cell>
          <cell r="K564" t="str">
            <v>LACTALIS</v>
          </cell>
          <cell r="L564" t="str">
            <v>RODRIGO</v>
          </cell>
          <cell r="M564" t="str">
            <v>RAQUEL BARBOSA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  <cell r="H565" t="str">
            <v>DISTRIBUIÇÃO</v>
          </cell>
          <cell r="I565" t="str">
            <v>FOOD SERVICE</v>
          </cell>
          <cell r="J565" t="str">
            <v>FLAC 3</v>
          </cell>
          <cell r="K565" t="str">
            <v>LACTALIS</v>
          </cell>
          <cell r="L565" t="str">
            <v>RODRIGO</v>
          </cell>
          <cell r="M565" t="str">
            <v>RAQUEL BARBOSA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  <cell r="H566" t="str">
            <v>DISTRIBUIÇÃO</v>
          </cell>
          <cell r="I566" t="str">
            <v>FOOD SERVICE</v>
          </cell>
          <cell r="J566" t="str">
            <v>VAGO SP</v>
          </cell>
          <cell r="K566" t="str">
            <v>ITAMBÉ</v>
          </cell>
          <cell r="L566" t="str">
            <v>RODRIGO</v>
          </cell>
          <cell r="M566" t="str">
            <v>RAQUEL BARBOSA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  <cell r="H567" t="str">
            <v>QSR</v>
          </cell>
          <cell r="I567" t="str">
            <v>FOOD SERVICE</v>
          </cell>
          <cell r="J567" t="str">
            <v>NUTRI</v>
          </cell>
          <cell r="K567" t="str">
            <v>LACTALIS</v>
          </cell>
          <cell r="L567" t="str">
            <v>PEDRO</v>
          </cell>
          <cell r="M567" t="str">
            <v>VAGO QSR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  <cell r="H568" t="str">
            <v>DISTRIBUIÇÃO</v>
          </cell>
          <cell r="I568" t="str">
            <v>FOOD SERVICE</v>
          </cell>
          <cell r="J568" t="str">
            <v>FLAC 6</v>
          </cell>
          <cell r="K568" t="str">
            <v>LACTALIS</v>
          </cell>
          <cell r="L568" t="str">
            <v>RODRIGO</v>
          </cell>
          <cell r="M568" t="str">
            <v>RAQUEL BARBOSA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  <cell r="H569" t="str">
            <v>DISTRIBUIÇÃO</v>
          </cell>
          <cell r="I569" t="str">
            <v>FOOD SERVICE</v>
          </cell>
          <cell r="J569" t="str">
            <v>VAGO SP</v>
          </cell>
          <cell r="K569" t="str">
            <v>LACTALIS</v>
          </cell>
          <cell r="L569" t="str">
            <v>RODRIGO</v>
          </cell>
          <cell r="M569" t="str">
            <v>RAQUEL BARBOSA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  <cell r="H570" t="str">
            <v>DISTRIBUIÇÃO</v>
          </cell>
          <cell r="I570" t="str">
            <v>FOOD SERVICE</v>
          </cell>
          <cell r="J570" t="str">
            <v>VAGO SP</v>
          </cell>
          <cell r="K570" t="str">
            <v>ITAMBÉ</v>
          </cell>
          <cell r="L570" t="str">
            <v>RODRIGO</v>
          </cell>
          <cell r="M570" t="str">
            <v>RAQUEL BARBOSA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  <cell r="H571" t="str">
            <v>INGREDIENTS</v>
          </cell>
          <cell r="I571" t="str">
            <v>INGREDIENTS</v>
          </cell>
          <cell r="J571" t="str">
            <v>MARCELO RODRIGUES</v>
          </cell>
          <cell r="K571" t="str">
            <v>ITAMBÉ</v>
          </cell>
          <cell r="L571" t="str">
            <v>MAURICIO</v>
          </cell>
          <cell r="M571" t="str">
            <v>MARCELO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  <cell r="H572" t="str">
            <v>QSR</v>
          </cell>
          <cell r="I572" t="str">
            <v>FOOD SERVICE</v>
          </cell>
          <cell r="J572" t="str">
            <v>ANA MENIQUETE</v>
          </cell>
          <cell r="K572" t="str">
            <v>LACTALIS</v>
          </cell>
          <cell r="L572" t="str">
            <v>PEDRO</v>
          </cell>
          <cell r="M572" t="str">
            <v>ANA MENIQUETE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  <cell r="H573" t="str">
            <v>QSR</v>
          </cell>
          <cell r="I573" t="str">
            <v>FOOD SERVICE</v>
          </cell>
          <cell r="J573" t="str">
            <v>NUTRI</v>
          </cell>
          <cell r="K573" t="str">
            <v>LACTALIS</v>
          </cell>
          <cell r="L573" t="str">
            <v>PEDRO</v>
          </cell>
          <cell r="M573" t="str">
            <v>VAGO QSR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  <cell r="H574" t="str">
            <v>DISTRIBUIÇÃO</v>
          </cell>
          <cell r="I574" t="str">
            <v>FOOD SERVICE</v>
          </cell>
          <cell r="J574" t="str">
            <v>WH FOOD SERVICE CE</v>
          </cell>
          <cell r="K574" t="str">
            <v>ITAMBÉ</v>
          </cell>
          <cell r="L574" t="str">
            <v>RODRIGO</v>
          </cell>
          <cell r="M574" t="str">
            <v>MARIA LOURDES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  <cell r="H575" t="str">
            <v>DISTRIBUIÇÃO</v>
          </cell>
          <cell r="I575" t="str">
            <v>FOOD SERVICE</v>
          </cell>
          <cell r="J575" t="str">
            <v>FLAC 6</v>
          </cell>
          <cell r="K575" t="str">
            <v>LACTALIS</v>
          </cell>
          <cell r="L575" t="str">
            <v>RODRIGO</v>
          </cell>
          <cell r="M575" t="str">
            <v>RAQUEL BARBOSA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  <cell r="H576" t="str">
            <v>DISTRIBUIÇÃO</v>
          </cell>
          <cell r="I576" t="str">
            <v>FOOD SERVICE</v>
          </cell>
          <cell r="J576" t="str">
            <v>CLAUDIO JORGE/LUIZ</v>
          </cell>
          <cell r="K576" t="str">
            <v>ITAMBÉ</v>
          </cell>
          <cell r="L576" t="str">
            <v>RODRIGO</v>
          </cell>
          <cell r="M576" t="str">
            <v>MARIA LOURDES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  <cell r="H577" t="str">
            <v>INGREDIENTS</v>
          </cell>
          <cell r="I577" t="str">
            <v>INGREDIENTS</v>
          </cell>
          <cell r="J577" t="str">
            <v>DUAS RODAS</v>
          </cell>
          <cell r="K577" t="str">
            <v>ITAMBÉ</v>
          </cell>
          <cell r="L577" t="str">
            <v>MAURICIO</v>
          </cell>
          <cell r="M577" t="str">
            <v>MARCELO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  <cell r="H578" t="str">
            <v>OUTROS</v>
          </cell>
          <cell r="I578" t="str">
            <v>OUTROS</v>
          </cell>
          <cell r="J578" t="str">
            <v>ITAMBE - EXPORTACAO</v>
          </cell>
          <cell r="K578" t="str">
            <v>OUTROS</v>
          </cell>
          <cell r="L578" t="str">
            <v>OUTROS</v>
          </cell>
          <cell r="M578" t="str">
            <v>EXPORTAÇÃO</v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  <cell r="H579" t="str">
            <v>DISTRIBUIÇÃO</v>
          </cell>
          <cell r="I579" t="str">
            <v>FOOD SERVICE</v>
          </cell>
          <cell r="J579" t="str">
            <v>FLAC 2</v>
          </cell>
          <cell r="K579" t="str">
            <v>LACTALIS</v>
          </cell>
          <cell r="L579" t="str">
            <v>RODRIGO</v>
          </cell>
          <cell r="M579" t="str">
            <v>RAQUEL BARBOSA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  <cell r="H580" t="str">
            <v>DISTRIBUIÇÃO</v>
          </cell>
          <cell r="I580" t="str">
            <v>FOOD SERVICE</v>
          </cell>
          <cell r="J580" t="str">
            <v>VAGO SP</v>
          </cell>
          <cell r="K580" t="str">
            <v>LACTALIS</v>
          </cell>
          <cell r="L580" t="str">
            <v>RODRIGO</v>
          </cell>
          <cell r="M580" t="str">
            <v>RAQUEL BARBOSA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  <cell r="H581" t="str">
            <v>DISTRIBUIÇÃO</v>
          </cell>
          <cell r="I581" t="str">
            <v>FOOD SERVICE</v>
          </cell>
          <cell r="J581" t="str">
            <v>CLAUDIO JORGE</v>
          </cell>
          <cell r="K581" t="str">
            <v>ITAMBÉ</v>
          </cell>
          <cell r="L581" t="str">
            <v>RODRIGO</v>
          </cell>
          <cell r="M581" t="str">
            <v>MARCO AURELIO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  <cell r="H582" t="str">
            <v>QSR</v>
          </cell>
          <cell r="I582" t="str">
            <v>FOOD SERVICE</v>
          </cell>
          <cell r="J582" t="str">
            <v>NUTRI</v>
          </cell>
          <cell r="K582" t="str">
            <v>LACTALIS</v>
          </cell>
          <cell r="L582" t="str">
            <v>PEDRO</v>
          </cell>
          <cell r="M582" t="str">
            <v>VAGO QSR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  <cell r="H583" t="str">
            <v>QSR</v>
          </cell>
          <cell r="I583" t="str">
            <v>FOOD SERVICE</v>
          </cell>
          <cell r="J583" t="str">
            <v>ANA MENIQUETE</v>
          </cell>
          <cell r="K583" t="str">
            <v>ITAMBÉ</v>
          </cell>
          <cell r="L583" t="str">
            <v>PEDRO</v>
          </cell>
          <cell r="M583" t="str">
            <v>ANA MENIQUETE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  <cell r="H584" t="str">
            <v>QSR</v>
          </cell>
          <cell r="I584" t="str">
            <v>FOOD SERVICE</v>
          </cell>
          <cell r="J584" t="str">
            <v>ANA MENIQUETE</v>
          </cell>
          <cell r="K584" t="str">
            <v>LACTALIS</v>
          </cell>
          <cell r="L584" t="str">
            <v>PEDRO</v>
          </cell>
          <cell r="M584" t="str">
            <v>ANA MENIQUETE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  <cell r="H585" t="str">
            <v>QSR</v>
          </cell>
          <cell r="I585" t="str">
            <v>FOOD SERVICE</v>
          </cell>
          <cell r="J585" t="str">
            <v>ANA MENIQUETE</v>
          </cell>
          <cell r="K585" t="str">
            <v>LACTALIS</v>
          </cell>
          <cell r="L585" t="str">
            <v>PEDRO</v>
          </cell>
          <cell r="M585" t="str">
            <v>ANA MENIQUETE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  <cell r="H586" t="str">
            <v>DISTRIBUIÇÃO</v>
          </cell>
          <cell r="I586" t="str">
            <v>FOOD SERVICE</v>
          </cell>
          <cell r="J586" t="str">
            <v>CLAUDIO JORGE/LUIZ</v>
          </cell>
          <cell r="K586" t="str">
            <v>ITAMBÉ</v>
          </cell>
          <cell r="L586" t="str">
            <v>RODRIGO</v>
          </cell>
          <cell r="M586" t="str">
            <v>MARIA LOURDES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  <cell r="H587" t="str">
            <v>INGREDIENTS</v>
          </cell>
          <cell r="I587" t="str">
            <v>INGREDIENTS</v>
          </cell>
          <cell r="J587" t="str">
            <v>MARCELO RODRIGUES</v>
          </cell>
          <cell r="K587" t="str">
            <v>ITAMBÉ</v>
          </cell>
          <cell r="L587" t="str">
            <v>MAURICIO</v>
          </cell>
          <cell r="M587" t="str">
            <v>MARCELO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  <cell r="H588" t="str">
            <v>DISTRIBUIÇÃO</v>
          </cell>
          <cell r="I588" t="str">
            <v>FOOD SERVICE</v>
          </cell>
          <cell r="J588" t="str">
            <v>CLAUDIO JORGE/LUIZ</v>
          </cell>
          <cell r="K588" t="str">
            <v>ITAMBÉ</v>
          </cell>
          <cell r="L588" t="str">
            <v>RODRIGO</v>
          </cell>
          <cell r="M588" t="str">
            <v>MARIA LOURDES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  <cell r="H589" t="str">
            <v>DISTRIBUIÇÃO</v>
          </cell>
          <cell r="I589" t="str">
            <v>FOOD SERVICE</v>
          </cell>
          <cell r="J589" t="str">
            <v>CLAUDIO JORGE/LUIZ</v>
          </cell>
          <cell r="K589" t="str">
            <v>ITAMBÉ</v>
          </cell>
          <cell r="L589" t="str">
            <v>RODRIGO</v>
          </cell>
          <cell r="M589" t="str">
            <v>MARIA LOURDES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  <cell r="H590" t="str">
            <v>DISTRIBUIÇÃO</v>
          </cell>
          <cell r="I590" t="str">
            <v>FOOD SERVICE</v>
          </cell>
          <cell r="J590" t="str">
            <v>FLAC 6</v>
          </cell>
          <cell r="K590" t="str">
            <v>LACTALIS</v>
          </cell>
          <cell r="L590" t="str">
            <v>RODRIGO</v>
          </cell>
          <cell r="M590" t="str">
            <v>RAQUEL BARBOSA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  <cell r="H591" t="str">
            <v>DISTRIBUIÇÃO</v>
          </cell>
          <cell r="I591" t="str">
            <v>FOOD SERVICE</v>
          </cell>
          <cell r="J591" t="str">
            <v>FLAC 6</v>
          </cell>
          <cell r="K591" t="str">
            <v>LACTALIS</v>
          </cell>
          <cell r="L591" t="str">
            <v>RODRIGO</v>
          </cell>
          <cell r="M591" t="str">
            <v>RAQUEL BARBOSA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  <cell r="H592" t="str">
            <v>INGREDIENTS</v>
          </cell>
          <cell r="I592" t="str">
            <v>INGREDIENTS</v>
          </cell>
          <cell r="J592" t="str">
            <v>MARCELO RODRIGUES</v>
          </cell>
          <cell r="K592" t="str">
            <v>LACTALIS</v>
          </cell>
          <cell r="L592" t="str">
            <v>MAURICIO</v>
          </cell>
          <cell r="M592" t="str">
            <v>MARCELO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  <cell r="H593" t="str">
            <v>DISTRIBUIÇÃO</v>
          </cell>
          <cell r="I593" t="str">
            <v>FOOD SERVICE</v>
          </cell>
          <cell r="J593" t="str">
            <v>FLAC 6</v>
          </cell>
          <cell r="K593" t="str">
            <v>LACTALIS</v>
          </cell>
          <cell r="L593" t="str">
            <v>RODRIGO</v>
          </cell>
          <cell r="M593" t="str">
            <v>RAQUEL BARBOSA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  <cell r="H594" t="str">
            <v>DISTRIBUIÇÃO</v>
          </cell>
          <cell r="I594" t="str">
            <v>FOOD SERVICE</v>
          </cell>
          <cell r="J594" t="str">
            <v>CLAUDIO JORGE</v>
          </cell>
          <cell r="K594" t="str">
            <v>ITAMBÉ</v>
          </cell>
          <cell r="L594" t="str">
            <v>RODRIGO</v>
          </cell>
          <cell r="M594" t="str">
            <v>MARIA LOURDES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  <cell r="H595" t="str">
            <v>DISTRIBUIÇÃO</v>
          </cell>
          <cell r="I595" t="str">
            <v>FOOD SERVICE</v>
          </cell>
          <cell r="J595" t="str">
            <v>FLAC 7</v>
          </cell>
          <cell r="K595" t="str">
            <v>LACTALIS</v>
          </cell>
          <cell r="L595" t="str">
            <v>RODRIGO</v>
          </cell>
          <cell r="M595" t="str">
            <v>RAQUEL BARBOSA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  <cell r="H596" t="str">
            <v>DISTRIBUIÇÃO</v>
          </cell>
          <cell r="I596" t="str">
            <v>FOOD SERVICE</v>
          </cell>
          <cell r="J596" t="str">
            <v>FLAC 6</v>
          </cell>
          <cell r="K596" t="str">
            <v>LACTALIS</v>
          </cell>
          <cell r="L596" t="str">
            <v>RODRIGO</v>
          </cell>
          <cell r="M596" t="str">
            <v>RAQUEL BARBOSA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  <cell r="H597" t="str">
            <v>OUTROS</v>
          </cell>
          <cell r="I597" t="str">
            <v>OUTROS</v>
          </cell>
          <cell r="J597" t="str">
            <v>ITAMBE - EXPORTACAO</v>
          </cell>
          <cell r="K597" t="str">
            <v>OUTROS</v>
          </cell>
          <cell r="L597" t="str">
            <v>OUTROS</v>
          </cell>
          <cell r="M597" t="str">
            <v>EXPORTAÇÃO</v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  <cell r="H598" t="str">
            <v>DISTRIBUIÇÃO</v>
          </cell>
          <cell r="I598" t="str">
            <v>FOOD SERVICE</v>
          </cell>
          <cell r="J598" t="str">
            <v>ANGELICA BATISTELA</v>
          </cell>
          <cell r="K598" t="str">
            <v>ITAMBÉ</v>
          </cell>
          <cell r="L598" t="str">
            <v>RODRIGO</v>
          </cell>
          <cell r="M598" t="str">
            <v>ANGELICA BATISTELA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  <cell r="H599" t="str">
            <v>DISTRIBUIÇÃO</v>
          </cell>
          <cell r="I599" t="str">
            <v>FOOD SERVICE</v>
          </cell>
          <cell r="J599" t="str">
            <v>FLAC 3</v>
          </cell>
          <cell r="K599" t="str">
            <v>LACTALIS</v>
          </cell>
          <cell r="L599" t="str">
            <v>RODRIGO</v>
          </cell>
          <cell r="M599" t="str">
            <v>RAQUEL BARBOSA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  <cell r="H600" t="str">
            <v>DISTRIBUIÇÃO</v>
          </cell>
          <cell r="I600" t="str">
            <v>FOOD SERVICE</v>
          </cell>
          <cell r="J600" t="str">
            <v>FLAC 6</v>
          </cell>
          <cell r="K600" t="str">
            <v>LACTALIS</v>
          </cell>
          <cell r="L600" t="str">
            <v>RODRIGO</v>
          </cell>
          <cell r="M600" t="str">
            <v>RAQUEL BARBOSA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  <cell r="H601" t="str">
            <v>DISTRIBUIÇÃO</v>
          </cell>
          <cell r="I601" t="str">
            <v>FOOD SERVICE</v>
          </cell>
          <cell r="J601" t="str">
            <v>FLAC 6</v>
          </cell>
          <cell r="K601" t="str">
            <v>LACTALIS</v>
          </cell>
          <cell r="L601" t="str">
            <v>RODRIGO</v>
          </cell>
          <cell r="M601" t="str">
            <v>RAQUEL BARBOSA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  <cell r="H602" t="str">
            <v>DISTRIBUIÇÃO</v>
          </cell>
          <cell r="I602" t="str">
            <v>FOOD SERVICE</v>
          </cell>
          <cell r="J602" t="str">
            <v>FLAC 2</v>
          </cell>
          <cell r="K602" t="str">
            <v>LACTALIS</v>
          </cell>
          <cell r="L602" t="str">
            <v>RODRIGO</v>
          </cell>
          <cell r="M602" t="str">
            <v>RAQUEL BARBOSA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  <cell r="H603" t="str">
            <v>DISTRIBUIÇÃO</v>
          </cell>
          <cell r="I603" t="str">
            <v>FOOD SERVICE</v>
          </cell>
          <cell r="J603" t="str">
            <v>FLAC 6</v>
          </cell>
          <cell r="K603" t="str">
            <v>LACTALIS</v>
          </cell>
          <cell r="L603" t="str">
            <v>RODRIGO</v>
          </cell>
          <cell r="M603" t="str">
            <v>RAQUEL BARBOSA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  <cell r="H604" t="str">
            <v>INGREDIENTS</v>
          </cell>
          <cell r="I604" t="str">
            <v>INGREDIENTS</v>
          </cell>
          <cell r="J604" t="str">
            <v>JOEL ELEOTÉRIO</v>
          </cell>
          <cell r="K604" t="str">
            <v>ITAMBÉ</v>
          </cell>
          <cell r="L604" t="str">
            <v>MAURICIO</v>
          </cell>
          <cell r="M604" t="str">
            <v>JOEL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  <cell r="H605" t="str">
            <v>DISTRIBUIÇÃO</v>
          </cell>
          <cell r="I605" t="str">
            <v>FOOD SERVICE</v>
          </cell>
          <cell r="J605" t="str">
            <v>ANGELICA BATISTELA</v>
          </cell>
          <cell r="K605" t="str">
            <v>ITAMBÉ</v>
          </cell>
          <cell r="L605" t="str">
            <v>RODRIGO</v>
          </cell>
          <cell r="M605" t="str">
            <v>ANGELICA BATISTELA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  <cell r="H606" t="str">
            <v>DISTRIBUIÇÃO</v>
          </cell>
          <cell r="I606" t="str">
            <v>FOOD SERVICE</v>
          </cell>
          <cell r="J606" t="str">
            <v>FLAC 2</v>
          </cell>
          <cell r="K606" t="str">
            <v>LACTALIS</v>
          </cell>
          <cell r="L606" t="str">
            <v>RODRIGO</v>
          </cell>
          <cell r="M606" t="str">
            <v>RAQUEL BARBOSA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  <cell r="H607" t="str">
            <v>DISTRIBUIÇÃO</v>
          </cell>
          <cell r="I607" t="str">
            <v>FOOD SERVICE</v>
          </cell>
          <cell r="J607" t="str">
            <v>CLAUDIO JORGE</v>
          </cell>
          <cell r="K607" t="str">
            <v>ITAMBÉ</v>
          </cell>
          <cell r="L607" t="str">
            <v>RODRIGO</v>
          </cell>
          <cell r="M607" t="str">
            <v>MARCO AURELIO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  <cell r="H608" t="str">
            <v>DISTRIBUIÇÃO</v>
          </cell>
          <cell r="I608" t="str">
            <v>FOOD SERVICE</v>
          </cell>
          <cell r="J608" t="str">
            <v>MARCELO DUARTE</v>
          </cell>
          <cell r="K608" t="str">
            <v>ITAMBÉ</v>
          </cell>
          <cell r="L608" t="str">
            <v>RODRIGO</v>
          </cell>
          <cell r="M608" t="str">
            <v>JESSICA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  <cell r="H609" t="str">
            <v>QSR</v>
          </cell>
          <cell r="I609" t="str">
            <v>FOOD SERVICE</v>
          </cell>
          <cell r="J609" t="str">
            <v>NUTRI</v>
          </cell>
          <cell r="K609" t="str">
            <v>ITAMBÉ</v>
          </cell>
          <cell r="L609" t="str">
            <v>PEDRO</v>
          </cell>
          <cell r="M609" t="str">
            <v>VAGO QSR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  <cell r="H610" t="str">
            <v>QSR</v>
          </cell>
          <cell r="I610" t="str">
            <v>FOOD SERVICE</v>
          </cell>
          <cell r="J610" t="str">
            <v>NUTRI</v>
          </cell>
          <cell r="K610" t="str">
            <v>ITAMBÉ</v>
          </cell>
          <cell r="L610" t="str">
            <v>PEDRO</v>
          </cell>
          <cell r="M610" t="str">
            <v>VAGO QSR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  <cell r="H611" t="str">
            <v>QSR</v>
          </cell>
          <cell r="I611" t="str">
            <v>FOOD SERVICE</v>
          </cell>
          <cell r="J611" t="str">
            <v>NUTRI</v>
          </cell>
          <cell r="K611" t="str">
            <v>ITAMBÉ</v>
          </cell>
          <cell r="L611" t="str">
            <v>PEDRO</v>
          </cell>
          <cell r="M611" t="str">
            <v>VAGO QSR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  <cell r="H612" t="str">
            <v>QSR</v>
          </cell>
          <cell r="I612" t="str">
            <v>FOOD SERVICE</v>
          </cell>
          <cell r="J612" t="str">
            <v>NUTRI</v>
          </cell>
          <cell r="K612" t="str">
            <v>ITAMBÉ</v>
          </cell>
          <cell r="L612" t="str">
            <v>PEDRO</v>
          </cell>
          <cell r="M612" t="str">
            <v>VAGO QSR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  <cell r="H613" t="str">
            <v>QSR</v>
          </cell>
          <cell r="I613" t="str">
            <v>FOOD SERVICE</v>
          </cell>
          <cell r="J613" t="str">
            <v>NUTRI</v>
          </cell>
          <cell r="K613" t="str">
            <v>ITAMBÉ</v>
          </cell>
          <cell r="L613" t="str">
            <v>PEDRO</v>
          </cell>
          <cell r="M613" t="str">
            <v>VAGO QSR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  <cell r="H614" t="str">
            <v>QSR</v>
          </cell>
          <cell r="I614" t="str">
            <v>FOOD SERVICE</v>
          </cell>
          <cell r="J614" t="str">
            <v>NUTRI</v>
          </cell>
          <cell r="K614" t="str">
            <v>ITAMBÉ</v>
          </cell>
          <cell r="L614" t="str">
            <v>PEDRO</v>
          </cell>
          <cell r="M614" t="str">
            <v>VAGO QSR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  <cell r="H615" t="str">
            <v>QSR</v>
          </cell>
          <cell r="I615" t="str">
            <v>FOOD SERVICE</v>
          </cell>
          <cell r="J615" t="str">
            <v>NUTRI</v>
          </cell>
          <cell r="K615" t="str">
            <v>ITAMBÉ</v>
          </cell>
          <cell r="L615" t="str">
            <v>PEDRO</v>
          </cell>
          <cell r="M615" t="str">
            <v>VAGO QSR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  <cell r="H616" t="str">
            <v>QSR</v>
          </cell>
          <cell r="I616" t="str">
            <v>FOOD SERVICE</v>
          </cell>
          <cell r="J616" t="str">
            <v>NUTRI</v>
          </cell>
          <cell r="K616" t="str">
            <v>ITAMBÉ</v>
          </cell>
          <cell r="L616" t="str">
            <v>PEDRO</v>
          </cell>
          <cell r="M616" t="str">
            <v>VAGO QSR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  <cell r="H617" t="str">
            <v>QSR</v>
          </cell>
          <cell r="I617" t="str">
            <v>FOOD SERVICE</v>
          </cell>
          <cell r="J617" t="str">
            <v>NUTRI</v>
          </cell>
          <cell r="K617" t="str">
            <v>LACTALIS</v>
          </cell>
          <cell r="L617" t="str">
            <v>PEDRO</v>
          </cell>
          <cell r="M617" t="str">
            <v>VAGO QSR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  <cell r="H618" t="str">
            <v>QSR</v>
          </cell>
          <cell r="I618" t="str">
            <v>FOOD SERVICE</v>
          </cell>
          <cell r="J618" t="str">
            <v>NUTRI</v>
          </cell>
          <cell r="K618" t="str">
            <v>LACTALIS</v>
          </cell>
          <cell r="L618" t="str">
            <v>PEDRO</v>
          </cell>
          <cell r="M618" t="str">
            <v>VAGO QSR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  <cell r="H619" t="str">
            <v>DISTRIBUIÇÃO</v>
          </cell>
          <cell r="I619" t="str">
            <v>FOOD SERVICE</v>
          </cell>
          <cell r="J619" t="str">
            <v>FLAC 6</v>
          </cell>
          <cell r="K619" t="str">
            <v>LACTALIS</v>
          </cell>
          <cell r="L619" t="str">
            <v>RODRIGO</v>
          </cell>
          <cell r="M619" t="str">
            <v>RAQUEL BARBOSA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  <cell r="H620" t="str">
            <v>OUTROS</v>
          </cell>
          <cell r="I620" t="str">
            <v>OUTROS</v>
          </cell>
          <cell r="J620" t="str">
            <v>INTERCOMPANY EXP</v>
          </cell>
          <cell r="K620" t="str">
            <v>OUTROS</v>
          </cell>
          <cell r="L620" t="str">
            <v>OUTROS</v>
          </cell>
          <cell r="M620" t="str">
            <v>INTERCOMPANY</v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  <cell r="H621" t="str">
            <v>QSR</v>
          </cell>
          <cell r="I621" t="str">
            <v>FOOD SERVICE</v>
          </cell>
          <cell r="J621" t="str">
            <v>NUTRI</v>
          </cell>
          <cell r="K621" t="str">
            <v>ITAMBÉ</v>
          </cell>
          <cell r="L621" t="str">
            <v>PEDRO</v>
          </cell>
          <cell r="M621" t="str">
            <v>VAGO QSR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  <cell r="H622" t="str">
            <v>QSR</v>
          </cell>
          <cell r="I622" t="str">
            <v>FOOD SERVICE</v>
          </cell>
          <cell r="J622" t="str">
            <v>NUTRI</v>
          </cell>
          <cell r="K622" t="str">
            <v>LACTALIS</v>
          </cell>
          <cell r="L622" t="str">
            <v>PEDRO</v>
          </cell>
          <cell r="M622" t="str">
            <v>VAGO QSR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  <cell r="H623" t="str">
            <v>QSR</v>
          </cell>
          <cell r="I623" t="str">
            <v>FOOD SERVICE</v>
          </cell>
          <cell r="J623" t="str">
            <v>NUTRI</v>
          </cell>
          <cell r="K623" t="str">
            <v>LACTALIS</v>
          </cell>
          <cell r="L623" t="str">
            <v>PEDRO</v>
          </cell>
          <cell r="M623" t="str">
            <v>VAGO QSR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  <cell r="H624" t="str">
            <v>DISTRIBUIÇÃO</v>
          </cell>
          <cell r="I624" t="str">
            <v>FOOD SERVICE</v>
          </cell>
          <cell r="J624" t="str">
            <v>FLAC 4</v>
          </cell>
          <cell r="K624" t="str">
            <v>LACTALIS</v>
          </cell>
          <cell r="L624" t="str">
            <v>RODRIGO</v>
          </cell>
          <cell r="M624" t="str">
            <v>RAQUEL BARBOSA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  <cell r="H625" t="str">
            <v>DISTRIBUIÇÃO</v>
          </cell>
          <cell r="I625" t="str">
            <v>FOOD SERVICE</v>
          </cell>
          <cell r="J625" t="str">
            <v>VAGO SP</v>
          </cell>
          <cell r="K625" t="str">
            <v>ITAMBÉ</v>
          </cell>
          <cell r="L625" t="str">
            <v>RODRIGO</v>
          </cell>
          <cell r="M625" t="str">
            <v>RAQUEL BARBOSA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  <cell r="H626" t="str">
            <v>DISTRIBUIÇÃO</v>
          </cell>
          <cell r="I626" t="str">
            <v>FOOD SERVICE</v>
          </cell>
          <cell r="J626" t="str">
            <v>FLAC 6</v>
          </cell>
          <cell r="K626" t="str">
            <v>LACTALIS</v>
          </cell>
          <cell r="L626" t="str">
            <v>RODRIGO</v>
          </cell>
          <cell r="M626" t="str">
            <v>RAQUEL BARBOSA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  <cell r="H627" t="str">
            <v>DISTRIBUIÇÃO</v>
          </cell>
          <cell r="I627" t="str">
            <v>FOOD SERVICE</v>
          </cell>
          <cell r="J627" t="str">
            <v>FLAC 6</v>
          </cell>
          <cell r="K627" t="str">
            <v>LACTALIS</v>
          </cell>
          <cell r="L627" t="str">
            <v>RODRIGO</v>
          </cell>
          <cell r="M627" t="str">
            <v>RAQUEL BARBOSA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  <cell r="H628" t="str">
            <v>INGREDIENTS</v>
          </cell>
          <cell r="I628" t="str">
            <v>INGREDIENTS</v>
          </cell>
          <cell r="J628" t="str">
            <v>JOEL ELEOTÉRIO</v>
          </cell>
          <cell r="K628" t="str">
            <v>LACTALIS</v>
          </cell>
          <cell r="L628" t="str">
            <v>MAURICIO</v>
          </cell>
          <cell r="M628" t="str">
            <v>JOEL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  <cell r="H629" t="str">
            <v>DISTRIBUIÇÃO</v>
          </cell>
          <cell r="I629" t="str">
            <v>FOOD SERVICE</v>
          </cell>
          <cell r="J629" t="str">
            <v>FLAC 6</v>
          </cell>
          <cell r="K629" t="str">
            <v>LACTALIS</v>
          </cell>
          <cell r="L629" t="str">
            <v>RODRIGO</v>
          </cell>
          <cell r="M629" t="str">
            <v>RAQUEL BARBOSA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  <cell r="H630" t="str">
            <v>DISTRIBUIÇÃO</v>
          </cell>
          <cell r="I630" t="str">
            <v>FOOD SERVICE</v>
          </cell>
          <cell r="J630" t="str">
            <v>FLAC 5</v>
          </cell>
          <cell r="K630" t="str">
            <v>LACTALIS</v>
          </cell>
          <cell r="L630" t="str">
            <v>RODRIGO</v>
          </cell>
          <cell r="M630" t="str">
            <v>RAQUEL BARBOSA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  <cell r="H631" t="str">
            <v>DISTRIBUIÇÃO</v>
          </cell>
          <cell r="I631" t="str">
            <v>FOOD SERVICE</v>
          </cell>
          <cell r="J631" t="str">
            <v>FLAC 6</v>
          </cell>
          <cell r="K631" t="str">
            <v>LACTALIS</v>
          </cell>
          <cell r="L631" t="str">
            <v>RODRIGO</v>
          </cell>
          <cell r="M631" t="str">
            <v>RAQUEL BARBOSA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  <cell r="H632" t="str">
            <v>DISTRIBUIÇÃO</v>
          </cell>
          <cell r="I632" t="str">
            <v>FOOD SERVICE</v>
          </cell>
          <cell r="J632" t="str">
            <v>WH FOOD SERVICE CE</v>
          </cell>
          <cell r="K632" t="str">
            <v>ITAMBÉ</v>
          </cell>
          <cell r="L632" t="str">
            <v>RODRIGO</v>
          </cell>
          <cell r="M632" t="str">
            <v>MARIA LOURDES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  <cell r="H633" t="str">
            <v>DISTRIBUIÇÃO</v>
          </cell>
          <cell r="I633" t="str">
            <v>FOOD SERVICE</v>
          </cell>
          <cell r="J633" t="str">
            <v>WH FOOD SERVICE CE</v>
          </cell>
          <cell r="K633" t="str">
            <v>ITAMBÉ</v>
          </cell>
          <cell r="L633" t="str">
            <v>RODRIGO</v>
          </cell>
          <cell r="M633" t="str">
            <v>MARIA LOURDES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  <cell r="H634" t="str">
            <v>DISTRIBUIÇÃO</v>
          </cell>
          <cell r="I634" t="str">
            <v>FOOD SERVICE</v>
          </cell>
          <cell r="J634" t="str">
            <v>MARCELO DUARTE</v>
          </cell>
          <cell r="K634" t="str">
            <v>ITAMBÉ</v>
          </cell>
          <cell r="L634" t="str">
            <v>RODRIGO</v>
          </cell>
          <cell r="M634" t="str">
            <v>JESSICA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  <cell r="H635" t="str">
            <v>DISTRIBUIÇÃO</v>
          </cell>
          <cell r="I635" t="str">
            <v>FOOD SERVICE</v>
          </cell>
          <cell r="J635" t="str">
            <v>FLAC 6</v>
          </cell>
          <cell r="K635" t="str">
            <v>LACTALIS</v>
          </cell>
          <cell r="L635" t="str">
            <v>RODRIGO</v>
          </cell>
          <cell r="M635" t="str">
            <v>RAQUEL BARBOSA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  <cell r="H636" t="str">
            <v>QSR</v>
          </cell>
          <cell r="I636" t="str">
            <v>FOOD SERVICE</v>
          </cell>
          <cell r="J636" t="str">
            <v>NUTRI</v>
          </cell>
          <cell r="K636" t="str">
            <v>LACTALIS</v>
          </cell>
          <cell r="L636" t="str">
            <v>PEDRO</v>
          </cell>
          <cell r="M636" t="str">
            <v>VAGO QSR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  <cell r="H637" t="str">
            <v>INGREDIENTS</v>
          </cell>
          <cell r="I637" t="str">
            <v>INGREDIENTS</v>
          </cell>
          <cell r="J637" t="str">
            <v>DUAS RODAS</v>
          </cell>
          <cell r="K637" t="str">
            <v>ITAMBÉ</v>
          </cell>
          <cell r="L637" t="str">
            <v>MAURICIO</v>
          </cell>
          <cell r="M637" t="str">
            <v>TATIANA NITTA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  <cell r="H638" t="str">
            <v>DISTRIBUIÇÃO</v>
          </cell>
          <cell r="I638" t="str">
            <v>FOOD SERVICE</v>
          </cell>
          <cell r="J638" t="str">
            <v>FLAC 3</v>
          </cell>
          <cell r="K638" t="str">
            <v>LACTALIS</v>
          </cell>
          <cell r="L638" t="str">
            <v>RODRIGO</v>
          </cell>
          <cell r="M638" t="str">
            <v>RAQUEL BARBOSA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  <cell r="H639" t="str">
            <v>DISTRIBUIÇÃO</v>
          </cell>
          <cell r="I639" t="str">
            <v>FOOD SERVICE</v>
          </cell>
          <cell r="J639" t="str">
            <v>FLAC 4</v>
          </cell>
          <cell r="K639" t="str">
            <v>LACTALIS</v>
          </cell>
          <cell r="L639" t="str">
            <v>RODRIGO</v>
          </cell>
          <cell r="M639" t="str">
            <v>RAQUEL BARBOSA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  <cell r="H640" t="str">
            <v>INGREDIENTS</v>
          </cell>
          <cell r="I640" t="str">
            <v>INGREDIENTS</v>
          </cell>
          <cell r="J640" t="str">
            <v>MARCELO RODRIGUES</v>
          </cell>
          <cell r="K640" t="str">
            <v>ITAMBÉ</v>
          </cell>
          <cell r="L640" t="str">
            <v>MAURICIO</v>
          </cell>
          <cell r="M640" t="str">
            <v>MARCELO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  <cell r="H641" t="str">
            <v>DISTRIBUIÇÃO</v>
          </cell>
          <cell r="I641" t="str">
            <v>FOOD SERVICE</v>
          </cell>
          <cell r="J641" t="str">
            <v>WH FOOD SERVICE CE</v>
          </cell>
          <cell r="K641" t="str">
            <v>ITAMBÉ</v>
          </cell>
          <cell r="L641" t="str">
            <v>RODRIGO</v>
          </cell>
          <cell r="M641" t="str">
            <v>MARIA LOURDES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  <cell r="H642" t="str">
            <v>DISTRIBUIÇÃO</v>
          </cell>
          <cell r="I642" t="str">
            <v>FOOD SERVICE</v>
          </cell>
          <cell r="J642" t="str">
            <v>CLAUDIO JORGE/LUIZ</v>
          </cell>
          <cell r="K642" t="str">
            <v>ITAMBÉ</v>
          </cell>
          <cell r="L642" t="str">
            <v>RODRIGO</v>
          </cell>
          <cell r="M642" t="str">
            <v>MARIA LOURDES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  <cell r="H643" t="str">
            <v>DISTRIBUIÇÃO</v>
          </cell>
          <cell r="I643" t="str">
            <v>FOOD SERVICE</v>
          </cell>
          <cell r="J643" t="str">
            <v>SP ITB FS FLAC REP.E COMERCIO</v>
          </cell>
          <cell r="K643" t="str">
            <v>ITAMBÉ</v>
          </cell>
          <cell r="L643" t="str">
            <v>RODRIGO</v>
          </cell>
          <cell r="M643" t="str">
            <v>RAQUEL BARBOSA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  <cell r="H644" t="str">
            <v>DISTRIBUIÇÃO</v>
          </cell>
          <cell r="I644" t="str">
            <v>FOOD SERVICE</v>
          </cell>
          <cell r="J644" t="str">
            <v>FLAC 5</v>
          </cell>
          <cell r="K644" t="str">
            <v>LACTALIS</v>
          </cell>
          <cell r="L644" t="str">
            <v>RODRIGO</v>
          </cell>
          <cell r="M644" t="str">
            <v>RAQUEL BARBOSA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  <cell r="H645" t="str">
            <v>DISTRIBUIÇÃO</v>
          </cell>
          <cell r="I645" t="str">
            <v>FOOD SERVICE</v>
          </cell>
          <cell r="J645" t="str">
            <v>SP ITB FS FLAC REP.E COMERCIO</v>
          </cell>
          <cell r="K645" t="str">
            <v>ITAMBÉ</v>
          </cell>
          <cell r="L645" t="str">
            <v>RODRIGO</v>
          </cell>
          <cell r="M645" t="str">
            <v>RAQUEL BARBOSA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  <cell r="H646" t="str">
            <v>DISTRIBUIÇÃO</v>
          </cell>
          <cell r="I646" t="str">
            <v>FOOD SERVICE</v>
          </cell>
          <cell r="J646" t="str">
            <v>FLAC 6</v>
          </cell>
          <cell r="K646" t="str">
            <v>LACTALIS</v>
          </cell>
          <cell r="L646" t="str">
            <v>RODRIGO</v>
          </cell>
          <cell r="M646" t="str">
            <v>RAQUEL BARBOSA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  <cell r="H647" t="str">
            <v>DISTRIBUIÇÃO</v>
          </cell>
          <cell r="I647" t="str">
            <v>FOOD SERVICE</v>
          </cell>
          <cell r="J647" t="str">
            <v>MARCELO SILVA</v>
          </cell>
          <cell r="K647" t="str">
            <v>ITAMBÉ</v>
          </cell>
          <cell r="L647" t="str">
            <v>RODRIGO</v>
          </cell>
          <cell r="M647" t="str">
            <v>CELIO MARTINS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  <cell r="H648" t="str">
            <v>QSR</v>
          </cell>
          <cell r="I648" t="str">
            <v>FOOD SERVICE</v>
          </cell>
          <cell r="J648" t="str">
            <v>NUTRI</v>
          </cell>
          <cell r="K648" t="str">
            <v>LACTALIS</v>
          </cell>
          <cell r="L648" t="str">
            <v>PEDRO</v>
          </cell>
          <cell r="M648" t="str">
            <v>VAGO QSR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  <cell r="H649" t="str">
            <v>DISTRIBUIÇÃO</v>
          </cell>
          <cell r="I649" t="str">
            <v>FOOD SERVICE</v>
          </cell>
          <cell r="J649" t="str">
            <v>FLAC 4</v>
          </cell>
          <cell r="K649" t="str">
            <v>LACTALIS</v>
          </cell>
          <cell r="L649" t="str">
            <v>RODRIGO</v>
          </cell>
          <cell r="M649" t="str">
            <v>RAQUEL BARBOSA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  <cell r="H650" t="str">
            <v>DISTRIBUIÇÃO</v>
          </cell>
          <cell r="I650" t="str">
            <v>FOOD SERVICE</v>
          </cell>
          <cell r="J650" t="str">
            <v>FLAC 5</v>
          </cell>
          <cell r="K650" t="str">
            <v>LACTALIS</v>
          </cell>
          <cell r="L650" t="str">
            <v>RODRIGO</v>
          </cell>
          <cell r="M650" t="str">
            <v>RAQUEL BARBOSA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  <cell r="H651" t="str">
            <v>DISTRIBUIÇÃO</v>
          </cell>
          <cell r="I651" t="str">
            <v>FOOD SERVICE</v>
          </cell>
          <cell r="J651" t="str">
            <v>CLAUDIO JORGE/LUIZ</v>
          </cell>
          <cell r="K651" t="str">
            <v>ITAMBÉ</v>
          </cell>
          <cell r="L651" t="str">
            <v>RODRIGO</v>
          </cell>
          <cell r="M651" t="str">
            <v>MARIA LOURDES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  <cell r="H652" t="str">
            <v>DISTRIBUIÇÃO</v>
          </cell>
          <cell r="I652" t="str">
            <v>FOOD SERVICE</v>
          </cell>
          <cell r="J652" t="str">
            <v>FLAC 6</v>
          </cell>
          <cell r="K652" t="str">
            <v>LACTALIS</v>
          </cell>
          <cell r="L652" t="str">
            <v>RODRIGO</v>
          </cell>
          <cell r="M652" t="str">
            <v>RAQUEL BARBOSA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  <cell r="H653" t="str">
            <v>DISTRIBUIÇÃO</v>
          </cell>
          <cell r="I653" t="str">
            <v>FOOD SERVICE</v>
          </cell>
          <cell r="J653" t="str">
            <v>FLAC 4</v>
          </cell>
          <cell r="K653" t="str">
            <v>LACTALIS</v>
          </cell>
          <cell r="L653" t="str">
            <v>RODRIGO</v>
          </cell>
          <cell r="M653" t="str">
            <v>RAQUEL BARBOSA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  <cell r="H654" t="str">
            <v>DISTRIBUIÇÃO</v>
          </cell>
          <cell r="I654" t="str">
            <v>FOOD SERVICE</v>
          </cell>
          <cell r="J654" t="str">
            <v>FLAC 5</v>
          </cell>
          <cell r="K654" t="str">
            <v>LACTALIS</v>
          </cell>
          <cell r="L654" t="str">
            <v>RODRIGO</v>
          </cell>
          <cell r="M654" t="str">
            <v>RAQUEL BARBOSA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  <cell r="H655" t="str">
            <v>DISTRIBUIÇÃO</v>
          </cell>
          <cell r="I655" t="str">
            <v>FOOD SERVICE</v>
          </cell>
          <cell r="J655" t="str">
            <v>FLAC 5</v>
          </cell>
          <cell r="K655" t="str">
            <v>LACTALIS</v>
          </cell>
          <cell r="L655" t="str">
            <v>RODRIGO</v>
          </cell>
          <cell r="M655" t="str">
            <v>RAQUEL BARBOSA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  <cell r="H656" t="str">
            <v>DISTRIBUIÇÃO</v>
          </cell>
          <cell r="I656" t="str">
            <v>FOOD SERVICE</v>
          </cell>
          <cell r="J656" t="str">
            <v>FLAC 6</v>
          </cell>
          <cell r="K656" t="str">
            <v>LACTALIS</v>
          </cell>
          <cell r="L656" t="str">
            <v>RODRIGO</v>
          </cell>
          <cell r="M656" t="str">
            <v>RAQUEL BARBOSA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  <cell r="H657" t="str">
            <v>DISTRIBUIÇÃO</v>
          </cell>
          <cell r="I657" t="str">
            <v>FOOD SERVICE</v>
          </cell>
          <cell r="J657" t="str">
            <v>FLAC 7</v>
          </cell>
          <cell r="K657" t="str">
            <v>LACTALIS</v>
          </cell>
          <cell r="L657" t="str">
            <v>RODRIGO</v>
          </cell>
          <cell r="M657" t="str">
            <v>RAQUEL BARBOSA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  <cell r="H658" t="str">
            <v>DISTRIBUIÇÃO</v>
          </cell>
          <cell r="I658" t="str">
            <v>FOOD SERVICE</v>
          </cell>
          <cell r="J658" t="str">
            <v>MARCELO SILVA</v>
          </cell>
          <cell r="K658" t="str">
            <v>ITAMBÉ</v>
          </cell>
          <cell r="L658" t="str">
            <v>RODRIGO</v>
          </cell>
          <cell r="M658" t="str">
            <v>CELIO MARTINS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  <cell r="H659" t="str">
            <v>DISTRIBUIÇÃO</v>
          </cell>
          <cell r="I659" t="str">
            <v>FOOD SERVICE</v>
          </cell>
          <cell r="J659" t="str">
            <v>FLAC 6</v>
          </cell>
          <cell r="K659" t="str">
            <v>LACTALIS</v>
          </cell>
          <cell r="L659" t="str">
            <v>RODRIGO</v>
          </cell>
          <cell r="M659" t="str">
            <v>RAQUEL BARBOSA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  <cell r="H660" t="str">
            <v>DISTRIBUIÇÃO</v>
          </cell>
          <cell r="I660" t="str">
            <v>FOOD SERVICE</v>
          </cell>
          <cell r="J660" t="str">
            <v>FLAC 6</v>
          </cell>
          <cell r="K660" t="str">
            <v>LACTALIS</v>
          </cell>
          <cell r="L660" t="str">
            <v>RODRIGO</v>
          </cell>
          <cell r="M660" t="str">
            <v>RAQUEL BARBOSA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  <cell r="H661" t="str">
            <v>DISTRIBUIÇÃO</v>
          </cell>
          <cell r="I661" t="str">
            <v>FOOD SERVICE</v>
          </cell>
          <cell r="J661" t="str">
            <v>MARCELO SILVA</v>
          </cell>
          <cell r="K661" t="str">
            <v>ITAMBÉ</v>
          </cell>
          <cell r="L661" t="str">
            <v>RODRIGO</v>
          </cell>
          <cell r="M661" t="str">
            <v>CELIO MARTINS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  <cell r="H662" t="str">
            <v>DISTRIBUIÇÃO</v>
          </cell>
          <cell r="I662" t="str">
            <v>FOOD SERVICE</v>
          </cell>
          <cell r="J662" t="str">
            <v>FLAC 3</v>
          </cell>
          <cell r="K662" t="str">
            <v>LACTALIS</v>
          </cell>
          <cell r="L662" t="str">
            <v>RODRIGO</v>
          </cell>
          <cell r="M662" t="str">
            <v>RAQUEL BARBOSA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  <cell r="H663" t="str">
            <v>DISTRIBUIÇÃO</v>
          </cell>
          <cell r="I663" t="str">
            <v>FOOD SERVICE</v>
          </cell>
          <cell r="J663" t="str">
            <v>FLAC 2</v>
          </cell>
          <cell r="K663" t="str">
            <v>LACTALIS</v>
          </cell>
          <cell r="L663" t="str">
            <v>RODRIGO</v>
          </cell>
          <cell r="M663" t="str">
            <v>RAQUEL BARBOSA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  <cell r="H664" t="str">
            <v>DISTRIBUIÇÃO</v>
          </cell>
          <cell r="I664" t="str">
            <v>FOOD SERVICE</v>
          </cell>
          <cell r="J664" t="str">
            <v>FLAC 5</v>
          </cell>
          <cell r="K664" t="str">
            <v>LACTALIS</v>
          </cell>
          <cell r="L664" t="str">
            <v>RODRIGO</v>
          </cell>
          <cell r="M664" t="str">
            <v>RAQUEL BARBOSA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  <cell r="H665" t="str">
            <v>DISTRIBUIÇÃO</v>
          </cell>
          <cell r="I665" t="str">
            <v>FOOD SERVICE</v>
          </cell>
          <cell r="J665" t="str">
            <v>FLAC 3</v>
          </cell>
          <cell r="K665" t="str">
            <v>LACTALIS</v>
          </cell>
          <cell r="L665" t="str">
            <v>RODRIGO</v>
          </cell>
          <cell r="M665" t="str">
            <v>RAQUEL BARBOSA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  <cell r="H666" t="str">
            <v>DISTRIBUIÇÃO</v>
          </cell>
          <cell r="I666" t="str">
            <v>FOOD SERVICE</v>
          </cell>
          <cell r="J666" t="str">
            <v>FLAC 6</v>
          </cell>
          <cell r="K666" t="str">
            <v>LACTALIS</v>
          </cell>
          <cell r="L666" t="str">
            <v>RODRIGO</v>
          </cell>
          <cell r="M666" t="str">
            <v>RAQUEL BARBOSA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  <cell r="H667" t="str">
            <v>DISTRIBUIÇÃO</v>
          </cell>
          <cell r="I667" t="str">
            <v>FOOD SERVICE</v>
          </cell>
          <cell r="J667" t="str">
            <v>FLAC 3</v>
          </cell>
          <cell r="K667" t="str">
            <v>LACTALIS</v>
          </cell>
          <cell r="L667" t="str">
            <v>RODRIGO</v>
          </cell>
          <cell r="M667" t="str">
            <v>RAQUEL BARBOSA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  <cell r="H668" t="str">
            <v>DISTRIBUIÇÃO</v>
          </cell>
          <cell r="I668" t="str">
            <v>FOOD SERVICE</v>
          </cell>
          <cell r="J668" t="str">
            <v>FLAC 3</v>
          </cell>
          <cell r="K668" t="str">
            <v>LACTALIS</v>
          </cell>
          <cell r="L668" t="str">
            <v>RODRIGO</v>
          </cell>
          <cell r="M668" t="str">
            <v>RAQUEL BARBOSA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  <cell r="H669" t="str">
            <v>DISTRIBUIÇÃO</v>
          </cell>
          <cell r="I669" t="str">
            <v>FOOD SERVICE</v>
          </cell>
          <cell r="J669" t="str">
            <v>FLAC 2</v>
          </cell>
          <cell r="K669" t="str">
            <v>LACTALIS</v>
          </cell>
          <cell r="L669" t="str">
            <v>RODRIGO</v>
          </cell>
          <cell r="M669" t="str">
            <v>RAQUEL BARBOSA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  <cell r="H670" t="str">
            <v>DISTRIBUIÇÃO</v>
          </cell>
          <cell r="I670" t="str">
            <v>FOOD SERVICE</v>
          </cell>
          <cell r="J670" t="str">
            <v>FLAC 6</v>
          </cell>
          <cell r="K670" t="str">
            <v>LACTALIS</v>
          </cell>
          <cell r="L670" t="str">
            <v>RODRIGO</v>
          </cell>
          <cell r="M670" t="str">
            <v>RAQUEL BARBOSA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  <cell r="H671" t="str">
            <v>DISTRIBUIÇÃO</v>
          </cell>
          <cell r="I671" t="str">
            <v>FOOD SERVICE</v>
          </cell>
          <cell r="J671" t="str">
            <v>FLAC 3</v>
          </cell>
          <cell r="K671" t="str">
            <v>LACTALIS</v>
          </cell>
          <cell r="L671" t="str">
            <v>RODRIGO</v>
          </cell>
          <cell r="M671" t="str">
            <v>RAQUEL BARBOSA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  <cell r="H672" t="str">
            <v>DISTRIBUIÇÃO</v>
          </cell>
          <cell r="I672" t="str">
            <v>FOOD SERVICE</v>
          </cell>
          <cell r="J672" t="str">
            <v>FLAC 3</v>
          </cell>
          <cell r="K672" t="str">
            <v>LACTALIS</v>
          </cell>
          <cell r="L672" t="str">
            <v>RODRIGO</v>
          </cell>
          <cell r="M672" t="str">
            <v>RAQUEL BARBOSA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  <cell r="H673" t="str">
            <v>DISTRIBUIÇÃO</v>
          </cell>
          <cell r="I673" t="str">
            <v>FOOD SERVICE</v>
          </cell>
          <cell r="J673" t="str">
            <v>FLAC 6</v>
          </cell>
          <cell r="K673" t="str">
            <v>LACTALIS</v>
          </cell>
          <cell r="L673" t="str">
            <v>RODRIGO</v>
          </cell>
          <cell r="M673" t="str">
            <v>RAQUEL BARBOSA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  <cell r="H674" t="str">
            <v>DISTRIBUIÇÃO</v>
          </cell>
          <cell r="I674" t="str">
            <v>FOOD SERVICE</v>
          </cell>
          <cell r="J674" t="str">
            <v>FLAC 2</v>
          </cell>
          <cell r="K674" t="str">
            <v>LACTALIS</v>
          </cell>
          <cell r="L674" t="str">
            <v>RODRIGO</v>
          </cell>
          <cell r="M674" t="str">
            <v>RAQUEL BARBOSA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  <cell r="H675" t="str">
            <v>DISTRIBUIÇÃO</v>
          </cell>
          <cell r="I675" t="str">
            <v>FOOD SERVICE</v>
          </cell>
          <cell r="J675" t="str">
            <v>FLAC 5</v>
          </cell>
          <cell r="K675" t="str">
            <v>LACTALIS</v>
          </cell>
          <cell r="L675" t="str">
            <v>RODRIGO</v>
          </cell>
          <cell r="M675" t="str">
            <v>RAQUEL BARBOSA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  <cell r="H676" t="str">
            <v>DISTRIBUIÇÃO</v>
          </cell>
          <cell r="I676" t="str">
            <v>FOOD SERVICE</v>
          </cell>
          <cell r="J676" t="str">
            <v>FLAC 6</v>
          </cell>
          <cell r="K676" t="str">
            <v>LACTALIS</v>
          </cell>
          <cell r="L676" t="str">
            <v>RODRIGO</v>
          </cell>
          <cell r="M676" t="str">
            <v>RAQUEL BARBOSA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  <cell r="H677" t="str">
            <v>DISTRIBUIÇÃO</v>
          </cell>
          <cell r="I677" t="str">
            <v>FOOD SERVICE</v>
          </cell>
          <cell r="J677" t="str">
            <v>FLAC 6</v>
          </cell>
          <cell r="K677" t="str">
            <v>LACTALIS</v>
          </cell>
          <cell r="L677" t="str">
            <v>RODRIGO</v>
          </cell>
          <cell r="M677" t="str">
            <v>RAQUEL BARBOSA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  <cell r="H678" t="str">
            <v>DISTRIBUIÇÃO</v>
          </cell>
          <cell r="I678" t="str">
            <v>FOOD SERVICE</v>
          </cell>
          <cell r="J678" t="str">
            <v>FLAC 4</v>
          </cell>
          <cell r="K678" t="str">
            <v>LACTALIS</v>
          </cell>
          <cell r="L678" t="str">
            <v>RODRIGO</v>
          </cell>
          <cell r="M678" t="str">
            <v>RAQUEL BARBOSA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  <cell r="H679" t="str">
            <v>DISTRIBUIÇÃO</v>
          </cell>
          <cell r="I679" t="str">
            <v>FOOD SERVICE</v>
          </cell>
          <cell r="J679" t="str">
            <v>FLAC 6</v>
          </cell>
          <cell r="K679" t="str">
            <v>LACTALIS</v>
          </cell>
          <cell r="L679" t="str">
            <v>RODRIGO</v>
          </cell>
          <cell r="M679" t="str">
            <v>RAQUEL BARBOSA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  <cell r="H680" t="str">
            <v>DISTRIBUIÇÃO</v>
          </cell>
          <cell r="I680" t="str">
            <v>FOOD SERVICE</v>
          </cell>
          <cell r="J680" t="str">
            <v>MARCELO DUARTE</v>
          </cell>
          <cell r="K680" t="str">
            <v>ITAMBÉ</v>
          </cell>
          <cell r="L680" t="str">
            <v>RODRIGO</v>
          </cell>
          <cell r="M680" t="str">
            <v>JESSICA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  <cell r="H681" t="str">
            <v>DISTRIBUIÇÃO</v>
          </cell>
          <cell r="I681" t="str">
            <v>FOOD SERVICE</v>
          </cell>
          <cell r="J681" t="str">
            <v>FLAC 2</v>
          </cell>
          <cell r="K681" t="str">
            <v>LACTALIS</v>
          </cell>
          <cell r="L681" t="str">
            <v>RODRIGO</v>
          </cell>
          <cell r="M681" t="str">
            <v>RAQUEL BARBOSA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  <cell r="H682" t="str">
            <v>DISTRIBUIÇÃO</v>
          </cell>
          <cell r="I682" t="str">
            <v>FOOD SERVICE</v>
          </cell>
          <cell r="J682" t="str">
            <v>FLAC 5</v>
          </cell>
          <cell r="K682" t="str">
            <v>LACTALIS</v>
          </cell>
          <cell r="L682" t="str">
            <v>RODRIGO</v>
          </cell>
          <cell r="M682" t="str">
            <v>RAQUEL BARBOSA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  <cell r="H683" t="str">
            <v>DISTRIBUIÇÃO</v>
          </cell>
          <cell r="I683" t="str">
            <v>FOOD SERVICE</v>
          </cell>
          <cell r="J683" t="str">
            <v>FLAC 2</v>
          </cell>
          <cell r="K683" t="str">
            <v>LACTALIS</v>
          </cell>
          <cell r="L683" t="str">
            <v>RODRIGO</v>
          </cell>
          <cell r="M683" t="str">
            <v>RAQUEL BARBOSA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  <cell r="H684" t="str">
            <v>INGREDIENTS</v>
          </cell>
          <cell r="I684" t="str">
            <v>INGREDIENTS</v>
          </cell>
          <cell r="J684" t="str">
            <v>TATIANA NITTA</v>
          </cell>
          <cell r="K684" t="str">
            <v>ITAMBÉ</v>
          </cell>
          <cell r="L684" t="str">
            <v>MAURICIO</v>
          </cell>
          <cell r="M684" t="str">
            <v>TATIANA NITTA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  <cell r="H685" t="str">
            <v>INGREDIENTS</v>
          </cell>
          <cell r="I685" t="str">
            <v>INGREDIENTS</v>
          </cell>
          <cell r="J685" t="str">
            <v>TATIANA NITTA</v>
          </cell>
          <cell r="K685" t="str">
            <v>ITAMBÉ</v>
          </cell>
          <cell r="L685" t="str">
            <v>MAURICIO</v>
          </cell>
          <cell r="M685" t="str">
            <v>TATIANA NITTA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  <cell r="H686" t="str">
            <v>INGREDIENTS</v>
          </cell>
          <cell r="I686" t="str">
            <v>INGREDIENTS</v>
          </cell>
          <cell r="J686" t="str">
            <v>TATIANA NITTA</v>
          </cell>
          <cell r="K686" t="str">
            <v>ITAMBÉ</v>
          </cell>
          <cell r="L686" t="str">
            <v>MAURICIO</v>
          </cell>
          <cell r="M686" t="str">
            <v>TATIANA NITTA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  <cell r="H687" t="str">
            <v>DISTRIBUIÇÃO</v>
          </cell>
          <cell r="I687" t="str">
            <v>FOOD SERVICE</v>
          </cell>
          <cell r="J687" t="str">
            <v>FLAC 2</v>
          </cell>
          <cell r="K687" t="str">
            <v>LACTALIS</v>
          </cell>
          <cell r="L687" t="str">
            <v>RODRIGO</v>
          </cell>
          <cell r="M687" t="str">
            <v>RAQUEL BARBOSA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  <cell r="H688" t="str">
            <v>DISTRIBUIÇÃO</v>
          </cell>
          <cell r="I688" t="str">
            <v>FOOD SERVICE</v>
          </cell>
          <cell r="J688" t="str">
            <v>FLAC 4</v>
          </cell>
          <cell r="K688" t="str">
            <v>LACTALIS</v>
          </cell>
          <cell r="L688" t="str">
            <v>RODRIGO</v>
          </cell>
          <cell r="M688" t="str">
            <v>RAQUEL BARBOSA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  <cell r="H689" t="str">
            <v>INGREDIENTS</v>
          </cell>
          <cell r="I689" t="str">
            <v>INGREDIENTS</v>
          </cell>
          <cell r="J689" t="str">
            <v>JOEL ELEOTÉRIO</v>
          </cell>
          <cell r="K689" t="str">
            <v>LACTALIS</v>
          </cell>
          <cell r="L689" t="str">
            <v>MAURICIO</v>
          </cell>
          <cell r="M689" t="str">
            <v>JOEL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  <cell r="H690" t="str">
            <v>DISTRIBUIÇÃO</v>
          </cell>
          <cell r="I690" t="str">
            <v>FOOD SERVICE</v>
          </cell>
          <cell r="J690" t="str">
            <v>FLAC 7</v>
          </cell>
          <cell r="K690" t="str">
            <v>LACTALIS</v>
          </cell>
          <cell r="L690" t="str">
            <v>RODRIGO</v>
          </cell>
          <cell r="M690" t="str">
            <v>RAQUEL BARBOSA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  <cell r="H691" t="str">
            <v>DISTRIBUIÇÃO</v>
          </cell>
          <cell r="I691" t="str">
            <v>FOOD SERVICE</v>
          </cell>
          <cell r="J691" t="str">
            <v>FLAC 7</v>
          </cell>
          <cell r="K691" t="str">
            <v>LACTALIS</v>
          </cell>
          <cell r="L691" t="str">
            <v>RODRIGO</v>
          </cell>
          <cell r="M691" t="str">
            <v>RAQUEL BARBOSA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  <cell r="H692" t="str">
            <v>INGREDIENTS</v>
          </cell>
          <cell r="I692" t="str">
            <v>INGREDIENTS</v>
          </cell>
          <cell r="J692" t="str">
            <v>HENRIQUE FERREIRA</v>
          </cell>
          <cell r="K692" t="str">
            <v>LACTALIS</v>
          </cell>
          <cell r="L692" t="str">
            <v>MAURICIO</v>
          </cell>
          <cell r="M692" t="str">
            <v>JOEL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  <cell r="H693" t="str">
            <v>DISTRIBUIÇÃO</v>
          </cell>
          <cell r="I693" t="str">
            <v>FOOD SERVICE</v>
          </cell>
          <cell r="J693" t="str">
            <v>MARCELO DUARTE</v>
          </cell>
          <cell r="K693" t="str">
            <v>ITAMBÉ</v>
          </cell>
          <cell r="L693" t="str">
            <v>RODRIGO</v>
          </cell>
          <cell r="M693" t="str">
            <v>JESSICA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  <cell r="H694" t="str">
            <v>DISTRIBUIÇÃO</v>
          </cell>
          <cell r="I694" t="str">
            <v>FOOD SERVICE</v>
          </cell>
          <cell r="J694" t="str">
            <v>FLAC 3</v>
          </cell>
          <cell r="K694" t="str">
            <v>LACTALIS</v>
          </cell>
          <cell r="L694" t="str">
            <v>RODRIGO</v>
          </cell>
          <cell r="M694" t="str">
            <v>RAQUEL BARBOSA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  <cell r="H695" t="str">
            <v>DISTRIBUIÇÃO</v>
          </cell>
          <cell r="I695" t="str">
            <v>FOOD SERVICE</v>
          </cell>
          <cell r="J695" t="str">
            <v>JULIANA CORDEIRO</v>
          </cell>
          <cell r="K695" t="str">
            <v>ITAMBÉ</v>
          </cell>
          <cell r="L695" t="str">
            <v>RODRIGO</v>
          </cell>
          <cell r="M695" t="str">
            <v>JESSICA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  <cell r="H696" t="str">
            <v>INGREDIENTS</v>
          </cell>
          <cell r="I696" t="str">
            <v>INGREDIENTS</v>
          </cell>
          <cell r="J696" t="str">
            <v>JOEL ELEOTÉRIO</v>
          </cell>
          <cell r="K696" t="str">
            <v>LACTALIS</v>
          </cell>
          <cell r="L696" t="str">
            <v>MAURICIO</v>
          </cell>
          <cell r="M696" t="str">
            <v>JOEL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  <cell r="H697" t="str">
            <v>INGREDIENTS</v>
          </cell>
          <cell r="I697" t="str">
            <v>INGREDIENTS</v>
          </cell>
          <cell r="J697" t="str">
            <v>JOEL ELEOTÉRIO</v>
          </cell>
          <cell r="K697" t="str">
            <v>LACTALIS</v>
          </cell>
          <cell r="L697" t="str">
            <v>MAURICIO</v>
          </cell>
          <cell r="M697" t="str">
            <v>JOEL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  <cell r="H698" t="str">
            <v>INGREDIENTS</v>
          </cell>
          <cell r="I698" t="str">
            <v>INGREDIENTS</v>
          </cell>
          <cell r="J698" t="str">
            <v>JOEL ELEOTÉRIO</v>
          </cell>
          <cell r="K698" t="str">
            <v>ITAMBÉ</v>
          </cell>
          <cell r="L698" t="str">
            <v>MAURICIO</v>
          </cell>
          <cell r="M698" t="str">
            <v>JOEL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  <cell r="H699" t="str">
            <v>DISTRIBUIÇÃO</v>
          </cell>
          <cell r="I699" t="str">
            <v>FOOD SERVICE</v>
          </cell>
          <cell r="J699" t="str">
            <v>FLAC 3</v>
          </cell>
          <cell r="K699" t="str">
            <v>LACTALIS</v>
          </cell>
          <cell r="L699" t="str">
            <v>RODRIGO</v>
          </cell>
          <cell r="M699" t="str">
            <v>RAQUEL BARBOSA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  <cell r="H700" t="str">
            <v>INGREDIENTS</v>
          </cell>
          <cell r="I700" t="str">
            <v>INGREDIENTS</v>
          </cell>
          <cell r="J700" t="str">
            <v>JOEL ELEOTÉRIO</v>
          </cell>
          <cell r="K700" t="str">
            <v>LACTALIS</v>
          </cell>
          <cell r="L700" t="str">
            <v>MAURICIO</v>
          </cell>
          <cell r="M700" t="str">
            <v>JOEL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  <cell r="H701" t="str">
            <v>INGREDIENTS</v>
          </cell>
          <cell r="I701" t="str">
            <v>INGREDIENTS</v>
          </cell>
          <cell r="J701" t="str">
            <v>JOEL ELEOTÉRIO</v>
          </cell>
          <cell r="K701" t="str">
            <v>LACTALIS</v>
          </cell>
          <cell r="L701" t="str">
            <v>MAURICIO</v>
          </cell>
          <cell r="M701" t="str">
            <v>JOEL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  <cell r="H702" t="str">
            <v>INGREDIENTS</v>
          </cell>
          <cell r="I702" t="str">
            <v>INGREDIENTS</v>
          </cell>
          <cell r="J702" t="str">
            <v>HENRIQUE FERREIRA</v>
          </cell>
          <cell r="K702" t="str">
            <v>ITAMBÉ</v>
          </cell>
          <cell r="L702" t="str">
            <v>MAURICIO</v>
          </cell>
          <cell r="M702" t="str">
            <v>JOEL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  <cell r="H703" t="str">
            <v>INGREDIENTS</v>
          </cell>
          <cell r="I703" t="str">
            <v>INGREDIENTS</v>
          </cell>
          <cell r="J703" t="str">
            <v>HENRIQUE FERREIRA</v>
          </cell>
          <cell r="K703" t="str">
            <v>LACTALIS</v>
          </cell>
          <cell r="L703" t="str">
            <v>MAURICIO</v>
          </cell>
          <cell r="M703" t="str">
            <v>JOEL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  <cell r="H704" t="str">
            <v>OUTROS</v>
          </cell>
          <cell r="I704" t="str">
            <v>OUTROS</v>
          </cell>
          <cell r="J704" t="str">
            <v>ITAMBE - EXPORTACAO</v>
          </cell>
          <cell r="K704" t="str">
            <v>OUTROS</v>
          </cell>
          <cell r="L704" t="str">
            <v>OUTROS</v>
          </cell>
          <cell r="M704" t="str">
            <v>EXPORTAÇÃO</v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  <cell r="H705" t="str">
            <v>OUTROS</v>
          </cell>
          <cell r="I705" t="str">
            <v>OUTROS</v>
          </cell>
          <cell r="J705" t="str">
            <v>INTERCOMPANY EXP</v>
          </cell>
          <cell r="K705" t="str">
            <v>OUTROS</v>
          </cell>
          <cell r="L705" t="str">
            <v>OUTROS</v>
          </cell>
          <cell r="M705" t="str">
            <v>INTERCOMPANY</v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  <cell r="H706" t="str">
            <v>QSR</v>
          </cell>
          <cell r="I706" t="str">
            <v>FOOD SERVICE</v>
          </cell>
          <cell r="J706" t="str">
            <v>ANA MENIQUETE</v>
          </cell>
          <cell r="K706" t="str">
            <v>LACTALIS</v>
          </cell>
          <cell r="L706" t="str">
            <v>PEDRO</v>
          </cell>
          <cell r="M706" t="str">
            <v>ANA MENIQUETE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  <cell r="H707" t="str">
            <v>INGREDIENTS</v>
          </cell>
          <cell r="I707" t="str">
            <v>INGREDIENTS</v>
          </cell>
          <cell r="J707" t="str">
            <v>DUAS RODAS</v>
          </cell>
          <cell r="K707" t="str">
            <v>ITAMBÉ</v>
          </cell>
          <cell r="L707" t="str">
            <v>MAURICIO</v>
          </cell>
          <cell r="M707" t="str">
            <v>MARCELO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  <cell r="H708" t="str">
            <v>INGREDIENTS</v>
          </cell>
          <cell r="I708" t="str">
            <v>INGREDIENTS</v>
          </cell>
          <cell r="J708" t="str">
            <v>JOEL ELEOTÉRIO</v>
          </cell>
          <cell r="K708" t="str">
            <v>ITAMBÉ</v>
          </cell>
          <cell r="L708" t="str">
            <v>MAURICIO</v>
          </cell>
          <cell r="M708" t="str">
            <v>JOEL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  <cell r="H709" t="str">
            <v>INGREDIENTS</v>
          </cell>
          <cell r="I709" t="str">
            <v>INGREDIENTS</v>
          </cell>
          <cell r="J709" t="str">
            <v>HENRIQUE FERREIRA</v>
          </cell>
          <cell r="K709" t="str">
            <v>ITAMBÉ</v>
          </cell>
          <cell r="L709" t="str">
            <v>MAURICIO</v>
          </cell>
          <cell r="M709" t="str">
            <v>JOEL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  <cell r="H710" t="str">
            <v>DISTRIBUIÇÃO</v>
          </cell>
          <cell r="I710" t="str">
            <v>FOOD SERVICE</v>
          </cell>
          <cell r="J710" t="str">
            <v>FLAC 6</v>
          </cell>
          <cell r="K710" t="str">
            <v>LACTALIS</v>
          </cell>
          <cell r="L710" t="str">
            <v>RODRIGO</v>
          </cell>
          <cell r="M710" t="str">
            <v>RAQUEL BARBOSA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  <cell r="H711" t="str">
            <v>DISTRIBUIÇÃO</v>
          </cell>
          <cell r="I711" t="str">
            <v>FOOD SERVICE</v>
          </cell>
          <cell r="J711" t="str">
            <v>MARCELO SILVA</v>
          </cell>
          <cell r="K711" t="str">
            <v>ITAMBÉ</v>
          </cell>
          <cell r="L711" t="str">
            <v>RODRIGO</v>
          </cell>
          <cell r="M711" t="str">
            <v>CELIO MARTINS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  <cell r="H712" t="str">
            <v>DISTRIBUIÇÃO</v>
          </cell>
          <cell r="I712" t="str">
            <v>FOOD SERVICE</v>
          </cell>
          <cell r="J712" t="str">
            <v>FLAC 6</v>
          </cell>
          <cell r="K712" t="str">
            <v>LACTALIS</v>
          </cell>
          <cell r="L712" t="str">
            <v>RODRIGO</v>
          </cell>
          <cell r="M712" t="str">
            <v>RAQUEL BARBOSA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  <cell r="H713" t="str">
            <v>DISTRIBUIÇÃO</v>
          </cell>
          <cell r="I713" t="str">
            <v>FOOD SERVICE</v>
          </cell>
          <cell r="J713" t="str">
            <v>FLAC 2</v>
          </cell>
          <cell r="K713" t="str">
            <v>LACTALIS</v>
          </cell>
          <cell r="L713" t="str">
            <v>RODRIGO</v>
          </cell>
          <cell r="M713" t="str">
            <v>RAQUEL BARBOSA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  <cell r="H714" t="str">
            <v>DISTRIBUIÇÃO</v>
          </cell>
          <cell r="I714" t="str">
            <v>FOOD SERVICE</v>
          </cell>
          <cell r="J714" t="str">
            <v>MARCELO SILVA</v>
          </cell>
          <cell r="K714" t="str">
            <v>ITAMBÉ</v>
          </cell>
          <cell r="L714" t="str">
            <v>RODRIGO</v>
          </cell>
          <cell r="M714" t="str">
            <v>CELIO MARTINS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  <cell r="H715" t="str">
            <v>DISTRIBUIÇÃO</v>
          </cell>
          <cell r="I715" t="str">
            <v>FOOD SERVICE</v>
          </cell>
          <cell r="J715" t="str">
            <v>FLAC 6</v>
          </cell>
          <cell r="K715" t="str">
            <v>LACTALIS</v>
          </cell>
          <cell r="L715" t="str">
            <v>RODRIGO</v>
          </cell>
          <cell r="M715" t="str">
            <v>RAQUEL BARBOSA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  <cell r="H716" t="str">
            <v>DISTRIBUIÇÃO</v>
          </cell>
          <cell r="I716" t="str">
            <v>FOOD SERVICE</v>
          </cell>
          <cell r="J716" t="str">
            <v>FLAC 3</v>
          </cell>
          <cell r="K716" t="str">
            <v>LACTALIS</v>
          </cell>
          <cell r="L716" t="str">
            <v>RODRIGO</v>
          </cell>
          <cell r="M716" t="str">
            <v>RAQUEL BARBOSA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  <cell r="H717" t="str">
            <v>DISTRIBUIÇÃO</v>
          </cell>
          <cell r="I717" t="str">
            <v>FOOD SERVICE</v>
          </cell>
          <cell r="J717" t="str">
            <v>FLAC 1</v>
          </cell>
          <cell r="K717" t="str">
            <v>LACTALIS</v>
          </cell>
          <cell r="L717" t="str">
            <v>RODRIGO</v>
          </cell>
          <cell r="M717" t="str">
            <v>RAQUEL BARBOSA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  <cell r="H718" t="str">
            <v>DISTRIBUIÇÃO</v>
          </cell>
          <cell r="I718" t="str">
            <v>FOOD SERVICE</v>
          </cell>
          <cell r="J718" t="str">
            <v>FLAC 1</v>
          </cell>
          <cell r="K718" t="str">
            <v>LACTALIS</v>
          </cell>
          <cell r="L718" t="str">
            <v>RODRIGO</v>
          </cell>
          <cell r="M718" t="str">
            <v>RAQUEL BARBOSA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  <cell r="H719" t="str">
            <v>INGREDIENTS</v>
          </cell>
          <cell r="I719" t="str">
            <v>INGREDIENTS</v>
          </cell>
          <cell r="J719" t="str">
            <v>JOEL ELEOTÉRIO</v>
          </cell>
          <cell r="K719" t="str">
            <v>LACTALIS</v>
          </cell>
          <cell r="L719" t="str">
            <v>MAURICIO</v>
          </cell>
          <cell r="M719" t="str">
            <v>JOEL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  <cell r="H720" t="str">
            <v>DISTRIBUIÇÃO</v>
          </cell>
          <cell r="I720" t="str">
            <v>FOOD SERVICE</v>
          </cell>
          <cell r="J720" t="str">
            <v>FLAC 6</v>
          </cell>
          <cell r="K720" t="str">
            <v>LACTALIS</v>
          </cell>
          <cell r="L720" t="str">
            <v>RODRIGO</v>
          </cell>
          <cell r="M720" t="str">
            <v>RAQUEL BARBOSA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  <cell r="H721" t="str">
            <v>DISTRIBUIÇÃO</v>
          </cell>
          <cell r="I721" t="str">
            <v>FOOD SERVICE</v>
          </cell>
          <cell r="J721" t="str">
            <v>GUILHERME NASCIMENTO</v>
          </cell>
          <cell r="K721" t="str">
            <v>ITAMBÉ</v>
          </cell>
          <cell r="L721" t="str">
            <v>RODRIGO</v>
          </cell>
          <cell r="M721" t="str">
            <v>ALEXANDRO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  <cell r="H722" t="str">
            <v>INGREDIENTS</v>
          </cell>
          <cell r="I722" t="str">
            <v>INGREDIENTS</v>
          </cell>
          <cell r="J722" t="str">
            <v>HENRIQUE FERREIRA</v>
          </cell>
          <cell r="K722" t="str">
            <v>ITAMBÉ</v>
          </cell>
          <cell r="L722" t="str">
            <v>MAURICIO</v>
          </cell>
          <cell r="M722" t="str">
            <v>JOEL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  <cell r="H723" t="str">
            <v>QSR</v>
          </cell>
          <cell r="I723" t="str">
            <v>FOOD SERVICE</v>
          </cell>
          <cell r="J723" t="str">
            <v>VAGO QSR</v>
          </cell>
          <cell r="K723" t="str">
            <v>ITAMBÉ</v>
          </cell>
          <cell r="L723" t="str">
            <v>PEDRO</v>
          </cell>
          <cell r="M723" t="str">
            <v>VAGO QSR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  <cell r="H724" t="str">
            <v>DISTRIBUIÇÃO</v>
          </cell>
          <cell r="I724" t="str">
            <v>FOOD SERVICE</v>
          </cell>
          <cell r="J724" t="str">
            <v>LUCIANA MARTINS</v>
          </cell>
          <cell r="K724" t="str">
            <v>LACTALIS</v>
          </cell>
          <cell r="L724" t="str">
            <v>RODRIGO</v>
          </cell>
          <cell r="M724" t="str">
            <v>JESSICA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  <cell r="H725" t="str">
            <v>DISTRIBUIÇÃO</v>
          </cell>
          <cell r="I725" t="str">
            <v>FOOD SERVICE</v>
          </cell>
          <cell r="J725" t="str">
            <v>LUCIANA MARTINS</v>
          </cell>
          <cell r="K725" t="str">
            <v>ITAMBÉ</v>
          </cell>
          <cell r="L725" t="str">
            <v>RODRIGO</v>
          </cell>
          <cell r="M725" t="str">
            <v>JESSICA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  <cell r="H726" t="str">
            <v>DISTRIBUIÇÃO</v>
          </cell>
          <cell r="I726" t="str">
            <v>FOOD SERVICE</v>
          </cell>
          <cell r="J726" t="str">
            <v>FLAC 3</v>
          </cell>
          <cell r="K726" t="str">
            <v>LACTALIS</v>
          </cell>
          <cell r="L726" t="str">
            <v>RODRIGO</v>
          </cell>
          <cell r="M726" t="str">
            <v>RAQUEL BARBOSA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  <cell r="H727" t="str">
            <v>INGREDIENTS</v>
          </cell>
          <cell r="I727" t="str">
            <v>INGREDIENTS</v>
          </cell>
          <cell r="J727" t="str">
            <v>ITB FS SPLENDI REPRESENTAÇÕES</v>
          </cell>
          <cell r="K727" t="str">
            <v>ITAMBÉ</v>
          </cell>
          <cell r="L727" t="str">
            <v>MAURICIO</v>
          </cell>
          <cell r="M727" t="str">
            <v>TATIANA NITTA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  <cell r="H728" t="str">
            <v>DISTRIBUIÇÃO</v>
          </cell>
          <cell r="I728" t="str">
            <v>FOOD SERVICE</v>
          </cell>
          <cell r="J728" t="str">
            <v>FLAC 2</v>
          </cell>
          <cell r="K728" t="str">
            <v>LACTALIS</v>
          </cell>
          <cell r="L728" t="str">
            <v>RODRIGO</v>
          </cell>
          <cell r="M728" t="str">
            <v>RAQUEL BARBOSA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  <cell r="H729" t="str">
            <v>DISTRIBUIÇÃO</v>
          </cell>
          <cell r="I729" t="str">
            <v>FOOD SERVICE</v>
          </cell>
          <cell r="J729" t="str">
            <v>FLAC 3</v>
          </cell>
          <cell r="K729" t="str">
            <v>LACTALIS</v>
          </cell>
          <cell r="L729" t="str">
            <v>RODRIGO</v>
          </cell>
          <cell r="M729" t="str">
            <v>RAQUEL BARBOSA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  <cell r="H730" t="str">
            <v>INGREDIENTS</v>
          </cell>
          <cell r="I730" t="str">
            <v>INGREDIENTS</v>
          </cell>
          <cell r="J730" t="str">
            <v>HENRIQUE FERREIRA</v>
          </cell>
          <cell r="K730" t="str">
            <v>ITAMBÉ</v>
          </cell>
          <cell r="L730" t="str">
            <v>MAURICIO</v>
          </cell>
          <cell r="M730" t="str">
            <v>JOEL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  <cell r="H731" t="str">
            <v>INGREDIENTS</v>
          </cell>
          <cell r="I731" t="str">
            <v>INGREDIENTS</v>
          </cell>
          <cell r="J731" t="str">
            <v>MARCELO RODRIGUES</v>
          </cell>
          <cell r="K731" t="str">
            <v>LACTALIS</v>
          </cell>
          <cell r="L731" t="str">
            <v>MAURICIO</v>
          </cell>
          <cell r="M731" t="str">
            <v>MARCELO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  <cell r="H732" t="str">
            <v>DISTRIBUIÇÃO</v>
          </cell>
          <cell r="I732" t="str">
            <v>FOOD SERVICE</v>
          </cell>
          <cell r="J732" t="str">
            <v>WH FOOD SERVICE CE</v>
          </cell>
          <cell r="K732" t="str">
            <v>ITAMBÉ</v>
          </cell>
          <cell r="L732" t="str">
            <v>RODRIGO</v>
          </cell>
          <cell r="M732" t="str">
            <v>MARIA LOURDES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  <cell r="H733" t="str">
            <v>DISTRIBUIÇÃO</v>
          </cell>
          <cell r="I733" t="str">
            <v>FOOD SERVICE</v>
          </cell>
          <cell r="J733" t="str">
            <v>JESSICA CARLA</v>
          </cell>
          <cell r="K733" t="str">
            <v>ITAMBÉ</v>
          </cell>
          <cell r="L733" t="str">
            <v>RODRIGO</v>
          </cell>
          <cell r="M733" t="str">
            <v>JESSICA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  <cell r="H734" t="str">
            <v>DISTRIBUIÇÃO</v>
          </cell>
          <cell r="I734" t="str">
            <v>FOOD SERVICE</v>
          </cell>
          <cell r="J734" t="str">
            <v>FLAC 6</v>
          </cell>
          <cell r="K734" t="str">
            <v>LACTALIS</v>
          </cell>
          <cell r="L734" t="str">
            <v>RODRIGO</v>
          </cell>
          <cell r="M734" t="str">
            <v>RAQUEL BARBOSA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  <cell r="H735" t="str">
            <v>DISTRIBUIÇÃO</v>
          </cell>
          <cell r="I735" t="str">
            <v>FOOD SERVICE</v>
          </cell>
          <cell r="J735" t="str">
            <v>FLAC 1</v>
          </cell>
          <cell r="K735" t="str">
            <v>LACTALIS</v>
          </cell>
          <cell r="L735" t="str">
            <v>RODRIGO</v>
          </cell>
          <cell r="M735" t="str">
            <v>RAQUEL BARBOSA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  <cell r="H736" t="str">
            <v>DISTRIBUIÇÃO</v>
          </cell>
          <cell r="I736" t="str">
            <v>FOOD SERVICE</v>
          </cell>
          <cell r="J736" t="str">
            <v>FLAC 6</v>
          </cell>
          <cell r="K736" t="str">
            <v>LACTALIS</v>
          </cell>
          <cell r="L736" t="str">
            <v>RODRIGO</v>
          </cell>
          <cell r="M736" t="str">
            <v>RAQUEL BARBOSA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  <cell r="H737" t="str">
            <v>DISTRIBUIÇÃO</v>
          </cell>
          <cell r="I737" t="str">
            <v>FOOD SERVICE</v>
          </cell>
          <cell r="J737" t="str">
            <v>ANGELICA BATISTELA</v>
          </cell>
          <cell r="K737" t="str">
            <v>ITAMBÉ</v>
          </cell>
          <cell r="L737" t="str">
            <v>RODRIGO</v>
          </cell>
          <cell r="M737" t="str">
            <v>ANGELICA BATISTELA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  <cell r="H738" t="str">
            <v>DISTRIBUIÇÃO</v>
          </cell>
          <cell r="I738" t="str">
            <v>FOOD SERVICE</v>
          </cell>
          <cell r="J738" t="str">
            <v>FLAC 3</v>
          </cell>
          <cell r="K738" t="str">
            <v>LACTALIS</v>
          </cell>
          <cell r="L738" t="str">
            <v>RODRIGO</v>
          </cell>
          <cell r="M738" t="str">
            <v>RAQUEL BARBOSA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  <cell r="H739" t="str">
            <v>DISTRIBUIÇÃO</v>
          </cell>
          <cell r="I739" t="str">
            <v>FOOD SERVICE</v>
          </cell>
          <cell r="J739" t="str">
            <v>VAGO SP</v>
          </cell>
          <cell r="K739" t="str">
            <v>LACTALIS</v>
          </cell>
          <cell r="L739" t="str">
            <v>RODRIGO</v>
          </cell>
          <cell r="M739" t="str">
            <v>RAQUEL BARBOSA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  <cell r="H740" t="str">
            <v>DISTRIBUIÇÃO</v>
          </cell>
          <cell r="I740" t="str">
            <v>FOOD SERVICE</v>
          </cell>
          <cell r="J740" t="str">
            <v>MARCELO DUARTE</v>
          </cell>
          <cell r="K740" t="str">
            <v>ITAMBÉ</v>
          </cell>
          <cell r="L740" t="str">
            <v>RODRIGO</v>
          </cell>
          <cell r="M740" t="str">
            <v>JESSICA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  <cell r="H741" t="str">
            <v>INGREDIENTS</v>
          </cell>
          <cell r="I741" t="str">
            <v>INGREDIENTS</v>
          </cell>
          <cell r="J741" t="str">
            <v>DUAS RODAS</v>
          </cell>
          <cell r="K741" t="str">
            <v>ITAMBÉ</v>
          </cell>
          <cell r="L741" t="str">
            <v>MAURICIO</v>
          </cell>
          <cell r="M741" t="str">
            <v>MARCELO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  <cell r="H742" t="str">
            <v>INGREDIENTS</v>
          </cell>
          <cell r="I742" t="str">
            <v>INGREDIENTS</v>
          </cell>
          <cell r="J742" t="str">
            <v>DUAS RODAS</v>
          </cell>
          <cell r="K742" t="str">
            <v>ITAMBÉ</v>
          </cell>
          <cell r="L742" t="str">
            <v>MAURICIO</v>
          </cell>
          <cell r="M742" t="str">
            <v>MARCELO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  <cell r="H743" t="str">
            <v>INGREDIENTS</v>
          </cell>
          <cell r="I743" t="str">
            <v>INGREDIENTS</v>
          </cell>
          <cell r="J743" t="str">
            <v>DUAS RODAS</v>
          </cell>
          <cell r="K743" t="str">
            <v>ITAMBÉ</v>
          </cell>
          <cell r="L743" t="str">
            <v>MAURICIO</v>
          </cell>
          <cell r="M743" t="str">
            <v>MARCELO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  <cell r="H744" t="str">
            <v>INGREDIENTS</v>
          </cell>
          <cell r="I744" t="str">
            <v>INGREDIENTS</v>
          </cell>
          <cell r="J744" t="str">
            <v>MARCELO RODRIGUES</v>
          </cell>
          <cell r="K744" t="str">
            <v>ITAMBÉ</v>
          </cell>
          <cell r="L744" t="str">
            <v>MAURICIO</v>
          </cell>
          <cell r="M744" t="str">
            <v>MARCELO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  <cell r="H745" t="str">
            <v>DISTRIBUIÇÃO</v>
          </cell>
          <cell r="I745" t="str">
            <v>FOOD SERVICE</v>
          </cell>
          <cell r="J745" t="str">
            <v>CLAUDIO JORGE</v>
          </cell>
          <cell r="K745" t="str">
            <v>ITAMBÉ</v>
          </cell>
          <cell r="L745" t="str">
            <v>RODRIGO</v>
          </cell>
          <cell r="M745" t="str">
            <v>MARIA LOURDES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  <cell r="H746" t="str">
            <v>DISTRIBUIÇÃO</v>
          </cell>
          <cell r="I746" t="str">
            <v>FOOD SERVICE</v>
          </cell>
          <cell r="J746" t="str">
            <v>FLAC 3</v>
          </cell>
          <cell r="K746" t="str">
            <v>LACTALIS</v>
          </cell>
          <cell r="L746" t="str">
            <v>RODRIGO</v>
          </cell>
          <cell r="M746" t="str">
            <v>RAQUEL BARBOSA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  <cell r="H747" t="str">
            <v>DISTRIBUIÇÃO</v>
          </cell>
          <cell r="I747" t="str">
            <v>FOOD SERVICE</v>
          </cell>
          <cell r="J747" t="str">
            <v>CLAUDIO JORGE</v>
          </cell>
          <cell r="K747" t="str">
            <v>ITAMBÉ</v>
          </cell>
          <cell r="L747" t="str">
            <v>RODRIGO</v>
          </cell>
          <cell r="M747" t="str">
            <v>MARIA LOURDES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  <cell r="H748" t="str">
            <v>DISTRIBUIÇÃO</v>
          </cell>
          <cell r="I748" t="str">
            <v>FOOD SERVICE</v>
          </cell>
          <cell r="J748" t="str">
            <v>LUCIANA MARTINS</v>
          </cell>
          <cell r="K748" t="str">
            <v>ITAMBÉ</v>
          </cell>
          <cell r="L748" t="str">
            <v>RODRIGO</v>
          </cell>
          <cell r="M748" t="str">
            <v>JESSICA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  <cell r="H749" t="str">
            <v>DISTRIBUIÇÃO</v>
          </cell>
          <cell r="I749" t="str">
            <v>FOOD SERVICE</v>
          </cell>
          <cell r="J749" t="str">
            <v>LUCIANA MARTINS</v>
          </cell>
          <cell r="K749" t="str">
            <v>ITAMBÉ</v>
          </cell>
          <cell r="L749" t="str">
            <v>RODRIGO</v>
          </cell>
          <cell r="M749" t="str">
            <v>JESSICA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  <cell r="H750" t="str">
            <v>DISTRIBUIÇÃO</v>
          </cell>
          <cell r="I750" t="str">
            <v>FOOD SERVICE</v>
          </cell>
          <cell r="J750" t="str">
            <v>FLAC 3</v>
          </cell>
          <cell r="K750" t="str">
            <v>LACTALIS</v>
          </cell>
          <cell r="L750" t="str">
            <v>RODRIGO</v>
          </cell>
          <cell r="M750" t="str">
            <v>RAQUEL BARBOSA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  <cell r="H751" t="str">
            <v>DISTRIBUIÇÃO</v>
          </cell>
          <cell r="I751" t="str">
            <v>FOOD SERVICE</v>
          </cell>
          <cell r="J751" t="str">
            <v>GUILHERME NASCIMENTO</v>
          </cell>
          <cell r="K751" t="str">
            <v>ITAMBÉ</v>
          </cell>
          <cell r="L751" t="str">
            <v>RODRIGO</v>
          </cell>
          <cell r="M751" t="str">
            <v>ALEXANDRO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  <cell r="H752" t="str">
            <v>DISTRIBUIÇÃO</v>
          </cell>
          <cell r="I752" t="str">
            <v>FOOD SERVICE</v>
          </cell>
          <cell r="J752" t="str">
            <v>GUILHERME NASCIMENTO</v>
          </cell>
          <cell r="K752" t="str">
            <v>ITAMBÉ</v>
          </cell>
          <cell r="L752" t="str">
            <v>RODRIGO</v>
          </cell>
          <cell r="M752" t="str">
            <v>ALEXANDRO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  <cell r="H753" t="str">
            <v>DISTRIBUIÇÃO</v>
          </cell>
          <cell r="I753" t="str">
            <v>FOOD SERVICE</v>
          </cell>
          <cell r="J753" t="str">
            <v>FLAC 2</v>
          </cell>
          <cell r="K753" t="str">
            <v>LACTALIS</v>
          </cell>
          <cell r="L753" t="str">
            <v>RODRIGO</v>
          </cell>
          <cell r="M753" t="str">
            <v>RAQUEL BARBOSA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  <cell r="H754" t="str">
            <v>DISTRIBUIÇÃO</v>
          </cell>
          <cell r="I754" t="str">
            <v>FOOD SERVICE</v>
          </cell>
          <cell r="J754" t="str">
            <v>FLAC 6</v>
          </cell>
          <cell r="K754" t="str">
            <v>LACTALIS</v>
          </cell>
          <cell r="L754" t="str">
            <v>RODRIGO</v>
          </cell>
          <cell r="M754" t="str">
            <v>RAQUEL BARBOSA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  <cell r="H755" t="str">
            <v>DISTRIBUIÇÃO</v>
          </cell>
          <cell r="I755" t="str">
            <v>FOOD SERVICE</v>
          </cell>
          <cell r="J755" t="str">
            <v>WH FOOD SERVICE CE</v>
          </cell>
          <cell r="K755" t="str">
            <v>ITAMBÉ</v>
          </cell>
          <cell r="L755" t="str">
            <v>RODRIGO</v>
          </cell>
          <cell r="M755" t="str">
            <v>MARIA LOURDES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  <cell r="H756" t="str">
            <v>DISTRIBUIÇÃO</v>
          </cell>
          <cell r="I756" t="str">
            <v>FOOD SERVICE</v>
          </cell>
          <cell r="J756" t="str">
            <v>FLAC 6</v>
          </cell>
          <cell r="K756" t="str">
            <v>LACTALIS</v>
          </cell>
          <cell r="L756" t="str">
            <v>RODRIGO</v>
          </cell>
          <cell r="M756" t="str">
            <v>RAQUEL BARBOSA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  <cell r="H757" t="str">
            <v>DISTRIBUIÇÃO</v>
          </cell>
          <cell r="I757" t="str">
            <v>FOOD SERVICE</v>
          </cell>
          <cell r="J757" t="str">
            <v>FLAC 2</v>
          </cell>
          <cell r="K757" t="str">
            <v>LACTALIS</v>
          </cell>
          <cell r="L757" t="str">
            <v>RODRIGO</v>
          </cell>
          <cell r="M757" t="str">
            <v>RAQUEL BARBOSA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  <cell r="H758" t="str">
            <v>QSR</v>
          </cell>
          <cell r="I758" t="str">
            <v>FOOD SERVICE</v>
          </cell>
          <cell r="J758" t="str">
            <v>NUTRI</v>
          </cell>
          <cell r="K758" t="str">
            <v>LACTALIS</v>
          </cell>
          <cell r="L758" t="str">
            <v>PEDRO</v>
          </cell>
          <cell r="M758" t="str">
            <v>VAGO QSR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  <cell r="H759" t="str">
            <v>DISTRIBUIÇÃO</v>
          </cell>
          <cell r="I759" t="str">
            <v>FOOD SERVICE</v>
          </cell>
          <cell r="J759" t="str">
            <v>FLAC 6</v>
          </cell>
          <cell r="K759" t="str">
            <v>LACTALIS</v>
          </cell>
          <cell r="L759" t="str">
            <v>RODRIGO</v>
          </cell>
          <cell r="M759" t="str">
            <v>RAQUEL BARBOSA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  <cell r="H760" t="str">
            <v>DISTRIBUIÇÃO</v>
          </cell>
          <cell r="I760" t="str">
            <v>FOOD SERVICE</v>
          </cell>
          <cell r="J760" t="str">
            <v>FLAC 5</v>
          </cell>
          <cell r="K760" t="str">
            <v>LACTALIS</v>
          </cell>
          <cell r="L760" t="str">
            <v>RODRIGO</v>
          </cell>
          <cell r="M760" t="str">
            <v>RAQUEL BARBOSA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  <cell r="H761" t="str">
            <v>DISTRIBUIÇÃO</v>
          </cell>
          <cell r="I761" t="str">
            <v>FOOD SERVICE</v>
          </cell>
          <cell r="J761" t="str">
            <v>FLAC 6</v>
          </cell>
          <cell r="K761" t="str">
            <v>LACTALIS</v>
          </cell>
          <cell r="L761" t="str">
            <v>RODRIGO</v>
          </cell>
          <cell r="M761" t="str">
            <v>RAQUEL BARBOSA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  <cell r="H762" t="str">
            <v>INGREDIENTS</v>
          </cell>
          <cell r="I762" t="str">
            <v>INGREDIENTS</v>
          </cell>
          <cell r="J762" t="str">
            <v>DUAS RODAS</v>
          </cell>
          <cell r="K762" t="str">
            <v>ITAMBÉ</v>
          </cell>
          <cell r="L762" t="str">
            <v>MAURICIO</v>
          </cell>
          <cell r="M762" t="str">
            <v>MARCELO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  <cell r="H763" t="str">
            <v>DISTRIBUIÇÃO</v>
          </cell>
          <cell r="I763" t="str">
            <v>FOOD SERVICE</v>
          </cell>
          <cell r="J763" t="str">
            <v>FLAC 6</v>
          </cell>
          <cell r="K763" t="str">
            <v>LACTALIS</v>
          </cell>
          <cell r="L763" t="str">
            <v>RODRIGO</v>
          </cell>
          <cell r="M763" t="str">
            <v>RAQUEL BARBOSA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  <cell r="H764" t="str">
            <v>INGREDIENTS</v>
          </cell>
          <cell r="I764" t="str">
            <v>INGREDIENTS</v>
          </cell>
          <cell r="J764" t="str">
            <v>JOEL ELEOTÉRIO</v>
          </cell>
          <cell r="K764" t="str">
            <v>LACTALIS</v>
          </cell>
          <cell r="L764" t="str">
            <v>MAURICIO</v>
          </cell>
          <cell r="M764" t="str">
            <v>JOEL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  <cell r="H765" t="str">
            <v>DISTRIBUIÇÃO</v>
          </cell>
          <cell r="I765" t="str">
            <v>FOOD SERVICE</v>
          </cell>
          <cell r="J765" t="str">
            <v>CLAUDIO JORGE/LUIZ</v>
          </cell>
          <cell r="K765" t="str">
            <v>ITAMBÉ</v>
          </cell>
          <cell r="L765" t="str">
            <v>RODRIGO</v>
          </cell>
          <cell r="M765" t="str">
            <v>MARIA LOURDES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  <cell r="H766" t="str">
            <v>INGREDIENTS</v>
          </cell>
          <cell r="I766" t="str">
            <v>INGREDIENTS</v>
          </cell>
          <cell r="J766" t="str">
            <v>HENRIQUE FERREIRA</v>
          </cell>
          <cell r="K766" t="str">
            <v>ITAMBÉ</v>
          </cell>
          <cell r="L766" t="str">
            <v>MAURICIO</v>
          </cell>
          <cell r="M766" t="str">
            <v>JOEL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  <cell r="H767" t="str">
            <v>DISTRIBUIÇÃO</v>
          </cell>
          <cell r="I767" t="str">
            <v>FOOD SERVICE</v>
          </cell>
          <cell r="J767" t="str">
            <v>CLAUDIO JORGE</v>
          </cell>
          <cell r="K767" t="str">
            <v>ITAMBÉ</v>
          </cell>
          <cell r="L767" t="str">
            <v>RODRIGO</v>
          </cell>
          <cell r="M767" t="str">
            <v>MARIA LOURDES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  <cell r="H768" t="str">
            <v>DISTRIBUIÇÃO</v>
          </cell>
          <cell r="I768" t="str">
            <v>FOOD SERVICE</v>
          </cell>
          <cell r="J768" t="str">
            <v>FLAC 2</v>
          </cell>
          <cell r="K768" t="str">
            <v>LACTALIS</v>
          </cell>
          <cell r="L768" t="str">
            <v>RODRIGO</v>
          </cell>
          <cell r="M768" t="str">
            <v>RAQUEL BARBOSA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  <cell r="H769" t="str">
            <v>INGREDIENTS</v>
          </cell>
          <cell r="I769" t="str">
            <v>INGREDIENTS</v>
          </cell>
          <cell r="J769" t="str">
            <v>JOEL ELEOTÉRIO</v>
          </cell>
          <cell r="K769" t="str">
            <v>LACTALIS</v>
          </cell>
          <cell r="L769" t="str">
            <v>MAURICIO</v>
          </cell>
          <cell r="M769" t="str">
            <v>JOEL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  <cell r="H770" t="str">
            <v>INGREDIENTS</v>
          </cell>
          <cell r="I770" t="str">
            <v>INGREDIENTS</v>
          </cell>
          <cell r="J770" t="str">
            <v>JOEL ELEOTÉRIO</v>
          </cell>
          <cell r="K770" t="str">
            <v>LACTALIS</v>
          </cell>
          <cell r="L770" t="str">
            <v>MAURICIO</v>
          </cell>
          <cell r="M770" t="str">
            <v>JOEL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  <cell r="H771" t="str">
            <v>INGREDIENTS</v>
          </cell>
          <cell r="I771" t="str">
            <v>INGREDIENTS</v>
          </cell>
          <cell r="J771" t="str">
            <v>JOEL ELEOTÉRIO</v>
          </cell>
          <cell r="K771" t="str">
            <v>ITAMBÉ</v>
          </cell>
          <cell r="L771" t="str">
            <v>MAURICIO</v>
          </cell>
          <cell r="M771" t="str">
            <v>JOEL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  <cell r="H772" t="str">
            <v>INGREDIENTS</v>
          </cell>
          <cell r="I772" t="str">
            <v>INGREDIENTS</v>
          </cell>
          <cell r="J772" t="str">
            <v>JOEL ELEOTÉRIO</v>
          </cell>
          <cell r="K772" t="str">
            <v>ITAMBÉ</v>
          </cell>
          <cell r="L772" t="str">
            <v>MAURICIO</v>
          </cell>
          <cell r="M772" t="str">
            <v>JOEL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  <cell r="H773" t="str">
            <v>INGREDIENTS</v>
          </cell>
          <cell r="I773" t="str">
            <v>INGREDIENTS</v>
          </cell>
          <cell r="J773" t="str">
            <v>JOEL ELEOTÉRIO</v>
          </cell>
          <cell r="K773" t="str">
            <v>LACTALIS</v>
          </cell>
          <cell r="L773" t="str">
            <v>MAURICIO</v>
          </cell>
          <cell r="M773" t="str">
            <v>JOEL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  <cell r="H774" t="str">
            <v>DISTRIBUIÇÃO</v>
          </cell>
          <cell r="I774" t="str">
            <v>FOOD SERVICE</v>
          </cell>
          <cell r="J774" t="str">
            <v>FLAC 5</v>
          </cell>
          <cell r="K774" t="str">
            <v>LACTALIS</v>
          </cell>
          <cell r="L774" t="str">
            <v>RODRIGO</v>
          </cell>
          <cell r="M774" t="str">
            <v>RAQUEL BARBOSA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  <cell r="H775" t="str">
            <v>DISTRIBUIÇÃO</v>
          </cell>
          <cell r="I775" t="str">
            <v>FOOD SERVICE</v>
          </cell>
          <cell r="J775" t="str">
            <v>FLAC 5</v>
          </cell>
          <cell r="K775" t="str">
            <v>LACTALIS</v>
          </cell>
          <cell r="L775" t="str">
            <v>RODRIGO</v>
          </cell>
          <cell r="M775" t="str">
            <v>RAQUEL BARBOSA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  <cell r="H776" t="str">
            <v>DISTRIBUIÇÃO</v>
          </cell>
          <cell r="I776" t="str">
            <v>FOOD SERVICE</v>
          </cell>
          <cell r="J776" t="str">
            <v>FLAC 6</v>
          </cell>
          <cell r="K776" t="str">
            <v>LACTALIS</v>
          </cell>
          <cell r="L776" t="str">
            <v>RODRIGO</v>
          </cell>
          <cell r="M776" t="str">
            <v>RAQUEL BARBOSA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  <cell r="H777" t="str">
            <v>INGREDIENTS</v>
          </cell>
          <cell r="I777" t="str">
            <v>INGREDIENTS</v>
          </cell>
          <cell r="J777" t="str">
            <v>SP ITB FS LUIZ PEREIRA</v>
          </cell>
          <cell r="K777" t="str">
            <v>ITAMBÉ</v>
          </cell>
          <cell r="L777" t="str">
            <v>MAURICIO</v>
          </cell>
          <cell r="M777" t="str">
            <v>TATIANA NITTA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  <cell r="H778" t="str">
            <v>DISTRIBUIÇÃO</v>
          </cell>
          <cell r="I778" t="str">
            <v>FOOD SERVICE</v>
          </cell>
          <cell r="J778" t="str">
            <v>FLAC 6</v>
          </cell>
          <cell r="K778" t="str">
            <v>LACTALIS</v>
          </cell>
          <cell r="L778" t="str">
            <v>RODRIGO</v>
          </cell>
          <cell r="M778" t="str">
            <v>RAQUEL BARBOSA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  <cell r="H779" t="str">
            <v>QSR</v>
          </cell>
          <cell r="I779" t="str">
            <v>FOOD SERVICE</v>
          </cell>
          <cell r="J779" t="str">
            <v>ANA MENIQUETE</v>
          </cell>
          <cell r="K779" t="str">
            <v>LACTALIS</v>
          </cell>
          <cell r="L779" t="str">
            <v>PEDRO</v>
          </cell>
          <cell r="M779" t="str">
            <v>ANA MENIQUETE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  <cell r="H780" t="str">
            <v>DISTRIBUIÇÃO</v>
          </cell>
          <cell r="I780" t="str">
            <v>FOOD SERVICE</v>
          </cell>
          <cell r="J780" t="str">
            <v>FLAC 2</v>
          </cell>
          <cell r="K780" t="str">
            <v>LACTALIS</v>
          </cell>
          <cell r="L780" t="str">
            <v>RODRIGO</v>
          </cell>
          <cell r="M780" t="str">
            <v>RAQUEL BARBOSA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  <cell r="H781" t="str">
            <v>DISTRIBUIÇÃO</v>
          </cell>
          <cell r="I781" t="str">
            <v>FOOD SERVICE</v>
          </cell>
          <cell r="J781" t="str">
            <v>ANGELICA BATISTELA</v>
          </cell>
          <cell r="K781" t="str">
            <v>LACTALIS</v>
          </cell>
          <cell r="L781" t="str">
            <v>RODRIGO</v>
          </cell>
          <cell r="M781" t="str">
            <v>ANGELICA BATISTELA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  <cell r="H782" t="str">
            <v>DISTRIBUIÇÃO</v>
          </cell>
          <cell r="I782" t="str">
            <v>FOOD SERVICE</v>
          </cell>
          <cell r="J782" t="str">
            <v>ANGELICA BATISTELA</v>
          </cell>
          <cell r="K782" t="str">
            <v>ITAMBÉ</v>
          </cell>
          <cell r="L782" t="str">
            <v>RODRIGO</v>
          </cell>
          <cell r="M782" t="str">
            <v>ANGELICA BATISTELA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  <cell r="H783" t="str">
            <v>DISTRIBUIÇÃO</v>
          </cell>
          <cell r="I783" t="str">
            <v>FOOD SERVICE</v>
          </cell>
          <cell r="J783" t="str">
            <v>FLAC 6</v>
          </cell>
          <cell r="K783" t="str">
            <v>LACTALIS</v>
          </cell>
          <cell r="L783" t="str">
            <v>RODRIGO</v>
          </cell>
          <cell r="M783" t="str">
            <v>RAQUEL BARBOSA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  <cell r="H784" t="str">
            <v>DISTRIBUIÇÃO</v>
          </cell>
          <cell r="I784" t="str">
            <v>FOOD SERVICE</v>
          </cell>
          <cell r="J784" t="str">
            <v>FLAC 3</v>
          </cell>
          <cell r="K784" t="str">
            <v>LACTALIS</v>
          </cell>
          <cell r="L784" t="str">
            <v>RODRIGO</v>
          </cell>
          <cell r="M784" t="str">
            <v>RAQUEL BARBOSA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  <cell r="H785" t="str">
            <v>DISTRIBUIÇÃO</v>
          </cell>
          <cell r="I785" t="str">
            <v>FOOD SERVICE</v>
          </cell>
          <cell r="J785" t="str">
            <v>FLAC 6</v>
          </cell>
          <cell r="K785" t="str">
            <v>LACTALIS</v>
          </cell>
          <cell r="L785" t="str">
            <v>RODRIGO</v>
          </cell>
          <cell r="M785" t="str">
            <v>RAQUEL BARBOSA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  <cell r="H786" t="str">
            <v>DISTRIBUIÇÃO</v>
          </cell>
          <cell r="I786" t="str">
            <v>FOOD SERVICE</v>
          </cell>
          <cell r="J786" t="str">
            <v>FLAC 6</v>
          </cell>
          <cell r="K786" t="str">
            <v>LACTALIS</v>
          </cell>
          <cell r="L786" t="str">
            <v>RODRIGO</v>
          </cell>
          <cell r="M786" t="str">
            <v>RAQUEL BARBOSA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  <cell r="H787" t="str">
            <v>DISTRIBUIÇÃO</v>
          </cell>
          <cell r="I787" t="str">
            <v>FOOD SERVICE</v>
          </cell>
          <cell r="J787" t="str">
            <v>FLAC 6</v>
          </cell>
          <cell r="K787" t="str">
            <v>LACTALIS</v>
          </cell>
          <cell r="L787" t="str">
            <v>RODRIGO</v>
          </cell>
          <cell r="M787" t="str">
            <v>RAQUEL BARBOSA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  <cell r="H788" t="str">
            <v>DISTRIBUIÇÃO</v>
          </cell>
          <cell r="I788" t="str">
            <v>FOOD SERVICE</v>
          </cell>
          <cell r="J788" t="str">
            <v>WH FOOD SERVICE CE</v>
          </cell>
          <cell r="K788" t="str">
            <v>ITAMBÉ</v>
          </cell>
          <cell r="L788" t="str">
            <v>RODRIGO</v>
          </cell>
          <cell r="M788" t="str">
            <v>MARIA LOURDES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  <cell r="H789" t="str">
            <v>DISTRIBUIÇÃO</v>
          </cell>
          <cell r="I789" t="str">
            <v>FOOD SERVICE</v>
          </cell>
          <cell r="J789" t="str">
            <v>WH FOOD SERVICE CE</v>
          </cell>
          <cell r="K789" t="str">
            <v>ITAMBÉ</v>
          </cell>
          <cell r="L789" t="str">
            <v>RODRIGO</v>
          </cell>
          <cell r="M789" t="str">
            <v>MARIA LOURDES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  <cell r="H790" t="str">
            <v>DISTRIBUIÇÃO</v>
          </cell>
          <cell r="I790" t="str">
            <v>FOOD SERVICE</v>
          </cell>
          <cell r="J790" t="str">
            <v>WH FOOD SERVICE CE</v>
          </cell>
          <cell r="K790" t="str">
            <v>ITAMBÉ</v>
          </cell>
          <cell r="L790" t="str">
            <v>RODRIGO</v>
          </cell>
          <cell r="M790" t="str">
            <v>MARIA LOURDES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  <cell r="H791" t="str">
            <v>DISTRIBUIÇÃO</v>
          </cell>
          <cell r="I791" t="str">
            <v>FOOD SERVICE</v>
          </cell>
          <cell r="J791" t="str">
            <v>FLAC 6</v>
          </cell>
          <cell r="K791" t="str">
            <v>LACTALIS</v>
          </cell>
          <cell r="L791" t="str">
            <v>RODRIGO</v>
          </cell>
          <cell r="M791" t="str">
            <v>RAQUEL BARBOSA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  <cell r="H792" t="str">
            <v>DISTRIBUIÇÃO</v>
          </cell>
          <cell r="I792" t="str">
            <v>FOOD SERVICE</v>
          </cell>
          <cell r="J792" t="str">
            <v>MARCELO SILVA</v>
          </cell>
          <cell r="K792" t="str">
            <v>ITAMBÉ</v>
          </cell>
          <cell r="L792" t="str">
            <v>RODRIGO</v>
          </cell>
          <cell r="M792" t="str">
            <v>CELIO MARTINS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  <cell r="H793" t="str">
            <v>INGREDIENTS</v>
          </cell>
          <cell r="I793" t="str">
            <v>INGREDIENTS</v>
          </cell>
          <cell r="J793" t="str">
            <v>JOEL ELEOTÉRIO</v>
          </cell>
          <cell r="K793" t="str">
            <v>ITAMBÉ</v>
          </cell>
          <cell r="L793" t="str">
            <v>MAURICIO</v>
          </cell>
          <cell r="M793" t="str">
            <v>JOEL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  <cell r="H794" t="str">
            <v>DISTRIBUIÇÃO</v>
          </cell>
          <cell r="I794" t="str">
            <v>FOOD SERVICE</v>
          </cell>
          <cell r="J794" t="str">
            <v>FLAC 6</v>
          </cell>
          <cell r="K794" t="str">
            <v>LACTALIS</v>
          </cell>
          <cell r="L794" t="str">
            <v>RODRIGO</v>
          </cell>
          <cell r="M794" t="str">
            <v>RAQUEL BARBOSA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  <cell r="H795" t="str">
            <v>OUTROS</v>
          </cell>
          <cell r="I795" t="str">
            <v>OUTROS</v>
          </cell>
          <cell r="J795" t="str">
            <v>SERVIÇO TIROL</v>
          </cell>
          <cell r="K795" t="str">
            <v>OUTROS</v>
          </cell>
          <cell r="L795" t="str">
            <v>OUTROS</v>
          </cell>
          <cell r="M795" t="str">
            <v>SERVIÇO TIROL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  <cell r="H796" t="str">
            <v>OUTROS</v>
          </cell>
          <cell r="I796" t="str">
            <v>OUTROS</v>
          </cell>
          <cell r="J796" t="str">
            <v>SERVIÇO TIROL</v>
          </cell>
          <cell r="K796" t="str">
            <v>OUTROS</v>
          </cell>
          <cell r="L796" t="str">
            <v>OUTROS</v>
          </cell>
          <cell r="M796" t="str">
            <v>SERVIÇO TIROL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  <cell r="H797" t="str">
            <v>OUTROS</v>
          </cell>
          <cell r="I797" t="str">
            <v>OUTROS</v>
          </cell>
          <cell r="J797" t="str">
            <v>SERVIÇO TIROL</v>
          </cell>
          <cell r="K797" t="str">
            <v>OUTROS</v>
          </cell>
          <cell r="L797" t="str">
            <v>OUTROS</v>
          </cell>
          <cell r="M797" t="str">
            <v>SERVIÇO TIROL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  <cell r="H798" t="str">
            <v>OUTROS</v>
          </cell>
          <cell r="I798" t="str">
            <v>OUTROS</v>
          </cell>
          <cell r="J798" t="str">
            <v>SERVIÇO TIROL</v>
          </cell>
          <cell r="K798" t="str">
            <v>OUTROS</v>
          </cell>
          <cell r="L798" t="str">
            <v>OUTROS</v>
          </cell>
          <cell r="M798" t="str">
            <v>SERVIÇO TIROL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  <cell r="H799" t="str">
            <v>OUTROS</v>
          </cell>
          <cell r="I799" t="str">
            <v>OUTROS</v>
          </cell>
          <cell r="J799" t="str">
            <v>SERVIÇO TIROL</v>
          </cell>
          <cell r="K799" t="str">
            <v>OUTROS</v>
          </cell>
          <cell r="L799" t="str">
            <v>OUTROS</v>
          </cell>
          <cell r="M799" t="str">
            <v>SERVIÇO TIROL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  <cell r="H800" t="str">
            <v>OUTROS</v>
          </cell>
          <cell r="I800" t="str">
            <v>OUTROS</v>
          </cell>
          <cell r="J800" t="str">
            <v>SERVIÇO TIROL</v>
          </cell>
          <cell r="K800" t="str">
            <v>OUTROS</v>
          </cell>
          <cell r="L800" t="str">
            <v>OUTROS</v>
          </cell>
          <cell r="M800" t="str">
            <v>SERVIÇO TIROL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  <cell r="H801" t="str">
            <v>OUTROS</v>
          </cell>
          <cell r="I801" t="str">
            <v>OUTROS</v>
          </cell>
          <cell r="J801" t="str">
            <v>SERVIÇO TIROL</v>
          </cell>
          <cell r="K801" t="str">
            <v>OUTROS</v>
          </cell>
          <cell r="L801" t="str">
            <v>OUTROS</v>
          </cell>
          <cell r="M801" t="str">
            <v>SERVIÇO TIROL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  <cell r="H802" t="str">
            <v>OUTROS</v>
          </cell>
          <cell r="I802" t="str">
            <v>OUTROS</v>
          </cell>
          <cell r="J802" t="str">
            <v>SERVIÇO TIROL</v>
          </cell>
          <cell r="K802" t="str">
            <v>OUTROS</v>
          </cell>
          <cell r="L802" t="str">
            <v>OUTROS</v>
          </cell>
          <cell r="M802" t="str">
            <v>SERVIÇO TIROL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  <cell r="H803" t="str">
            <v>OUTROS</v>
          </cell>
          <cell r="I803" t="str">
            <v>OUTROS</v>
          </cell>
          <cell r="J803" t="str">
            <v>SERVIÇO TIROL</v>
          </cell>
          <cell r="K803" t="str">
            <v>OUTROS</v>
          </cell>
          <cell r="L803" t="str">
            <v>OUTROS</v>
          </cell>
          <cell r="M803" t="str">
            <v>SERVIÇO TIROL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  <cell r="H804" t="str">
            <v>OUTROS</v>
          </cell>
          <cell r="I804" t="str">
            <v>OUTROS</v>
          </cell>
          <cell r="J804" t="str">
            <v>SERVIÇO TIROL</v>
          </cell>
          <cell r="K804" t="str">
            <v>OUTROS</v>
          </cell>
          <cell r="L804" t="str">
            <v>OUTROS</v>
          </cell>
          <cell r="M804" t="str">
            <v>SERVIÇO TIROL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  <cell r="H805" t="str">
            <v>OUTROS</v>
          </cell>
          <cell r="I805" t="str">
            <v>OUTROS</v>
          </cell>
          <cell r="J805" t="str">
            <v>SERVIÇO TIROL</v>
          </cell>
          <cell r="K805" t="str">
            <v>OUTROS</v>
          </cell>
          <cell r="L805" t="str">
            <v>OUTROS</v>
          </cell>
          <cell r="M805" t="str">
            <v>SERVIÇO TIROL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  <cell r="H806" t="str">
            <v>OUTROS</v>
          </cell>
          <cell r="I806" t="str">
            <v>OUTROS</v>
          </cell>
          <cell r="J806" t="str">
            <v>SERVIÇO TIROL</v>
          </cell>
          <cell r="K806" t="str">
            <v>OUTROS</v>
          </cell>
          <cell r="L806" t="str">
            <v>OUTROS</v>
          </cell>
          <cell r="M806" t="str">
            <v>SERVIÇO TIROL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  <cell r="H807" t="str">
            <v>OUTROS</v>
          </cell>
          <cell r="I807" t="str">
            <v>OUTROS</v>
          </cell>
          <cell r="J807" t="str">
            <v>SERVIÇO TIROL</v>
          </cell>
          <cell r="K807" t="str">
            <v>OUTROS</v>
          </cell>
          <cell r="L807" t="str">
            <v>OUTROS</v>
          </cell>
          <cell r="M807" t="str">
            <v>SERVIÇO TIROL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  <cell r="H808" t="str">
            <v>OUTROS</v>
          </cell>
          <cell r="I808" t="str">
            <v>OUTROS</v>
          </cell>
          <cell r="J808" t="str">
            <v>SERVIÇO TIROL</v>
          </cell>
          <cell r="K808" t="str">
            <v>OUTROS</v>
          </cell>
          <cell r="L808" t="str">
            <v>OUTROS</v>
          </cell>
          <cell r="M808" t="str">
            <v>SERVIÇO TIROL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  <cell r="H809" t="str">
            <v>INGREDIENTS</v>
          </cell>
          <cell r="I809" t="str">
            <v>INGREDIENTS</v>
          </cell>
          <cell r="J809" t="str">
            <v>MARCELO RODRIGUES</v>
          </cell>
          <cell r="K809" t="str">
            <v>LACTALIS</v>
          </cell>
          <cell r="L809" t="str">
            <v>MAURICIO</v>
          </cell>
          <cell r="M809" t="str">
            <v>MARCELO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  <cell r="H810" t="str">
            <v>DISTRIBUIÇÃO</v>
          </cell>
          <cell r="I810" t="str">
            <v>FOOD SERVICE</v>
          </cell>
          <cell r="J810" t="str">
            <v>ANGELICA BATISTELA</v>
          </cell>
          <cell r="K810" t="str">
            <v>ITAMBÉ</v>
          </cell>
          <cell r="L810" t="str">
            <v>RODRIGO</v>
          </cell>
          <cell r="M810" t="str">
            <v>ANGELICA BATISTELA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  <cell r="H811" t="str">
            <v>DISTRIBUIÇÃO</v>
          </cell>
          <cell r="I811" t="str">
            <v>FOOD SERVICE</v>
          </cell>
          <cell r="J811" t="str">
            <v>FLAC 6</v>
          </cell>
          <cell r="K811" t="str">
            <v>LACTALIS</v>
          </cell>
          <cell r="L811" t="str">
            <v>RODRIGO</v>
          </cell>
          <cell r="M811" t="str">
            <v>RAQUEL BARBOSA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  <cell r="H812" t="str">
            <v>DISTRIBUIÇÃO</v>
          </cell>
          <cell r="I812" t="str">
            <v>FOOD SERVICE</v>
          </cell>
          <cell r="J812" t="str">
            <v>FLAC 6</v>
          </cell>
          <cell r="K812" t="str">
            <v>LACTALIS</v>
          </cell>
          <cell r="L812" t="str">
            <v>RODRIGO</v>
          </cell>
          <cell r="M812" t="str">
            <v>RAQUEL BARBOSA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  <cell r="H813" t="str">
            <v>DISTRIBUIÇÃO</v>
          </cell>
          <cell r="I813" t="str">
            <v>FOOD SERVICE</v>
          </cell>
          <cell r="J813" t="str">
            <v>FLAC 5</v>
          </cell>
          <cell r="K813" t="str">
            <v>LACTALIS</v>
          </cell>
          <cell r="L813" t="str">
            <v>RODRIGO</v>
          </cell>
          <cell r="M813" t="str">
            <v>RAQUEL BARBOSA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  <cell r="H814" t="str">
            <v>DISTRIBUIÇÃO</v>
          </cell>
          <cell r="I814" t="str">
            <v>FOOD SERVICE</v>
          </cell>
          <cell r="J814" t="str">
            <v>FLAC 6</v>
          </cell>
          <cell r="K814" t="str">
            <v>LACTALIS</v>
          </cell>
          <cell r="L814" t="str">
            <v>RODRIGO</v>
          </cell>
          <cell r="M814" t="str">
            <v>RAQUEL BARBOSA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  <cell r="H815" t="str">
            <v>DISTRIBUIÇÃO</v>
          </cell>
          <cell r="I815" t="str">
            <v>FOOD SERVICE</v>
          </cell>
          <cell r="J815" t="str">
            <v>FLAC 3</v>
          </cell>
          <cell r="K815" t="str">
            <v>LACTALIS</v>
          </cell>
          <cell r="L815" t="str">
            <v>RODRIGO</v>
          </cell>
          <cell r="M815" t="str">
            <v>RAQUEL BARBOSA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  <cell r="H816" t="str">
            <v>DISTRIBUIÇÃO</v>
          </cell>
          <cell r="I816" t="str">
            <v>FOOD SERVICE</v>
          </cell>
          <cell r="J816" t="str">
            <v>FLAC 5</v>
          </cell>
          <cell r="K816" t="str">
            <v>LACTALIS</v>
          </cell>
          <cell r="L816" t="str">
            <v>RODRIGO</v>
          </cell>
          <cell r="M816" t="str">
            <v>RAQUEL BARBOSA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  <cell r="H817" t="str">
            <v>DISTRIBUIÇÃO</v>
          </cell>
          <cell r="I817" t="str">
            <v>FOOD SERVICE</v>
          </cell>
          <cell r="J817" t="str">
            <v>GUILHERME NASCIMENTO</v>
          </cell>
          <cell r="K817" t="str">
            <v>LACTALIS</v>
          </cell>
          <cell r="L817" t="str">
            <v>RODRIGO</v>
          </cell>
          <cell r="M817" t="str">
            <v>ALEXANDRO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  <cell r="H818" t="str">
            <v>INGREDIENTS</v>
          </cell>
          <cell r="I818" t="str">
            <v>INGREDIENTS</v>
          </cell>
          <cell r="J818" t="str">
            <v>JOEL ELEOTÉRIO</v>
          </cell>
          <cell r="K818" t="str">
            <v>LACTALIS</v>
          </cell>
          <cell r="L818" t="str">
            <v>MAURICIO</v>
          </cell>
          <cell r="M818" t="str">
            <v>JOEL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  <cell r="H819" t="str">
            <v>INGREDIENTS</v>
          </cell>
          <cell r="I819" t="str">
            <v>INGREDIENTS</v>
          </cell>
          <cell r="J819" t="str">
            <v>JOEL ELEOTÉRIO</v>
          </cell>
          <cell r="K819" t="str">
            <v>LACTALIS</v>
          </cell>
          <cell r="L819" t="str">
            <v>MAURICIO</v>
          </cell>
          <cell r="M819" t="str">
            <v>JOEL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  <cell r="H820" t="str">
            <v>INGREDIENTS</v>
          </cell>
          <cell r="I820" t="str">
            <v>INGREDIENTS</v>
          </cell>
          <cell r="J820" t="str">
            <v>JOEL ELEOTÉRIO</v>
          </cell>
          <cell r="K820" t="str">
            <v>LACTALIS</v>
          </cell>
          <cell r="L820" t="str">
            <v>MAURICIO</v>
          </cell>
          <cell r="M820" t="str">
            <v>JOEL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  <cell r="H821" t="str">
            <v>INGREDIENTS</v>
          </cell>
          <cell r="I821" t="str">
            <v>INGREDIENTS</v>
          </cell>
          <cell r="J821" t="str">
            <v>JOEL ELEOTÉRIO</v>
          </cell>
          <cell r="K821" t="str">
            <v>LACTALIS</v>
          </cell>
          <cell r="L821" t="str">
            <v>MAURICIO</v>
          </cell>
          <cell r="M821" t="str">
            <v>JOEL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  <cell r="H822" t="str">
            <v>INGREDIENTS</v>
          </cell>
          <cell r="I822" t="str">
            <v>INGREDIENTS</v>
          </cell>
          <cell r="J822" t="str">
            <v>HENRIQUE FERREIRA</v>
          </cell>
          <cell r="K822" t="str">
            <v>ITAMBÉ</v>
          </cell>
          <cell r="L822" t="str">
            <v>MAURICIO</v>
          </cell>
          <cell r="M822" t="str">
            <v>JOEL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  <cell r="H823" t="str">
            <v>DISTRIBUIÇÃO</v>
          </cell>
          <cell r="I823" t="str">
            <v>FOOD SERVICE</v>
          </cell>
          <cell r="J823" t="str">
            <v>FLAC 3</v>
          </cell>
          <cell r="K823" t="str">
            <v>LACTALIS</v>
          </cell>
          <cell r="L823" t="str">
            <v>RODRIGO</v>
          </cell>
          <cell r="M823" t="str">
            <v>RAQUEL BARBOSA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  <cell r="H824" t="str">
            <v>INGREDIENTS</v>
          </cell>
          <cell r="I824" t="str">
            <v>INGREDIENTS</v>
          </cell>
          <cell r="J824" t="str">
            <v>JOEL ELEOTÉRIO</v>
          </cell>
          <cell r="K824" t="str">
            <v>LACTALIS</v>
          </cell>
          <cell r="L824" t="str">
            <v>MAURICIO</v>
          </cell>
          <cell r="M824" t="str">
            <v>JOEL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  <cell r="H825" t="str">
            <v>DISTRIBUIÇÃO</v>
          </cell>
          <cell r="I825" t="str">
            <v>FOOD SERVICE</v>
          </cell>
          <cell r="J825" t="str">
            <v>FLAC 1</v>
          </cell>
          <cell r="K825" t="str">
            <v>LACTALIS</v>
          </cell>
          <cell r="L825" t="str">
            <v>RODRIGO</v>
          </cell>
          <cell r="M825" t="str">
            <v>RAQUEL BARBOSA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  <cell r="H826" t="str">
            <v>INGREDIENTS</v>
          </cell>
          <cell r="I826" t="str">
            <v>INGREDIENTS</v>
          </cell>
          <cell r="J826" t="str">
            <v>JOEL ELEOTÉRIO</v>
          </cell>
          <cell r="K826" t="str">
            <v>ITAMBÉ</v>
          </cell>
          <cell r="L826" t="str">
            <v>MAURICIO</v>
          </cell>
          <cell r="M826" t="str">
            <v>JOEL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  <cell r="H827" t="str">
            <v>INGREDIENTS</v>
          </cell>
          <cell r="I827" t="str">
            <v>INGREDIENTS</v>
          </cell>
          <cell r="J827" t="str">
            <v>MARCELO RODRIGUES</v>
          </cell>
          <cell r="K827" t="str">
            <v>ITAMBÉ</v>
          </cell>
          <cell r="L827" t="str">
            <v>MAURICIO</v>
          </cell>
          <cell r="M827" t="str">
            <v>MARCELO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  <cell r="H828" t="str">
            <v>INGREDIENTS</v>
          </cell>
          <cell r="I828" t="str">
            <v>INGREDIENTS</v>
          </cell>
          <cell r="J828" t="str">
            <v>MARCELO RODRIGUES</v>
          </cell>
          <cell r="K828" t="str">
            <v>LACTALIS</v>
          </cell>
          <cell r="L828" t="str">
            <v>MAURICIO</v>
          </cell>
          <cell r="M828" t="str">
            <v>MARCELO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  <cell r="H829" t="str">
            <v>INGREDIENTS</v>
          </cell>
          <cell r="I829" t="str">
            <v>INGREDIENTS</v>
          </cell>
          <cell r="J829" t="str">
            <v>MARCELO RODRIGUES</v>
          </cell>
          <cell r="K829" t="str">
            <v>LACTALIS</v>
          </cell>
          <cell r="L829" t="str">
            <v>MAURICIO</v>
          </cell>
          <cell r="M829" t="str">
            <v>MARCELO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  <cell r="H830" t="str">
            <v>INGREDIENTS</v>
          </cell>
          <cell r="I830" t="str">
            <v>INGREDIENTS</v>
          </cell>
          <cell r="J830" t="str">
            <v>JOEL ELEOTÉRIO</v>
          </cell>
          <cell r="K830" t="str">
            <v>LACTALIS</v>
          </cell>
          <cell r="L830" t="str">
            <v>MAURICIO</v>
          </cell>
          <cell r="M830" t="str">
            <v>JOEL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  <cell r="H831" t="str">
            <v>DISTRIBUIÇÃO</v>
          </cell>
          <cell r="I831" t="str">
            <v>FOOD SERVICE</v>
          </cell>
          <cell r="J831" t="str">
            <v>CLAUDIO JORGE/LUIZ</v>
          </cell>
          <cell r="K831" t="str">
            <v>ITAMBÉ</v>
          </cell>
          <cell r="L831" t="str">
            <v>RODRIGO</v>
          </cell>
          <cell r="M831" t="str">
            <v>MARIA LOURDES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  <cell r="H832" t="str">
            <v>QSR</v>
          </cell>
          <cell r="I832" t="str">
            <v>FOOD SERVICE</v>
          </cell>
          <cell r="J832" t="str">
            <v>NUTRI</v>
          </cell>
          <cell r="K832" t="str">
            <v>LACTALIS</v>
          </cell>
          <cell r="L832" t="str">
            <v>PEDRO</v>
          </cell>
          <cell r="M832" t="str">
            <v>VAGO QSR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  <cell r="H833" t="str">
            <v>DISTRIBUIÇÃO</v>
          </cell>
          <cell r="I833" t="str">
            <v>FOOD SERVICE</v>
          </cell>
          <cell r="J833" t="str">
            <v>MARCELO DUARTE</v>
          </cell>
          <cell r="K833" t="str">
            <v>ITAMBÉ</v>
          </cell>
          <cell r="L833" t="str">
            <v>RODRIGO</v>
          </cell>
          <cell r="M833" t="str">
            <v>JESSICA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  <cell r="H834" t="str">
            <v>QSR</v>
          </cell>
          <cell r="I834" t="str">
            <v>FOOD SERVICE</v>
          </cell>
          <cell r="J834" t="str">
            <v>NUTRI</v>
          </cell>
          <cell r="K834" t="str">
            <v>LACTALIS</v>
          </cell>
          <cell r="L834" t="str">
            <v>PEDRO</v>
          </cell>
          <cell r="M834" t="str">
            <v>VAGO QSR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  <cell r="H835" t="str">
            <v>QSR</v>
          </cell>
          <cell r="I835" t="str">
            <v>FOOD SERVICE</v>
          </cell>
          <cell r="J835" t="str">
            <v>NUTRI</v>
          </cell>
          <cell r="K835" t="str">
            <v>LACTALIS</v>
          </cell>
          <cell r="L835" t="str">
            <v>PEDRO</v>
          </cell>
          <cell r="M835" t="str">
            <v>VAGO QSR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  <cell r="H836" t="str">
            <v>QSR</v>
          </cell>
          <cell r="I836" t="str">
            <v>FOOD SERVICE</v>
          </cell>
          <cell r="J836" t="str">
            <v>NUTRI</v>
          </cell>
          <cell r="K836" t="str">
            <v>ITAMBÉ</v>
          </cell>
          <cell r="L836" t="str">
            <v>PEDRO</v>
          </cell>
          <cell r="M836" t="str">
            <v>VAGO QSR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  <cell r="H837" t="str">
            <v>QSR</v>
          </cell>
          <cell r="I837" t="str">
            <v>FOOD SERVICE</v>
          </cell>
          <cell r="J837" t="str">
            <v>NUTRI</v>
          </cell>
          <cell r="K837" t="str">
            <v>LACTALIS</v>
          </cell>
          <cell r="L837" t="str">
            <v>PEDRO</v>
          </cell>
          <cell r="M837" t="str">
            <v>VAGO QSR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  <cell r="H838" t="str">
            <v>DISTRIBUIÇÃO</v>
          </cell>
          <cell r="I838" t="str">
            <v>FOOD SERVICE</v>
          </cell>
          <cell r="J838" t="str">
            <v>FLAC 3</v>
          </cell>
          <cell r="K838" t="str">
            <v>LACTALIS</v>
          </cell>
          <cell r="L838" t="str">
            <v>RODRIGO</v>
          </cell>
          <cell r="M838" t="str">
            <v>RAQUEL BARBOSA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  <cell r="H839" t="str">
            <v>DISTRIBUIÇÃO</v>
          </cell>
          <cell r="I839" t="str">
            <v>FOOD SERVICE</v>
          </cell>
          <cell r="J839" t="str">
            <v>FLAC 3</v>
          </cell>
          <cell r="K839" t="str">
            <v>LACTALIS</v>
          </cell>
          <cell r="L839" t="str">
            <v>RODRIGO</v>
          </cell>
          <cell r="M839" t="str">
            <v>RAQUEL BARBOSA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  <cell r="H840" t="str">
            <v>DISTRIBUIÇÃO</v>
          </cell>
          <cell r="I840" t="str">
            <v>FOOD SERVICE</v>
          </cell>
          <cell r="J840" t="str">
            <v>FLAC 5</v>
          </cell>
          <cell r="K840" t="str">
            <v>LACTALIS</v>
          </cell>
          <cell r="L840" t="str">
            <v>RODRIGO</v>
          </cell>
          <cell r="M840" t="str">
            <v>RAQUEL BARBOSA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  <cell r="H841" t="str">
            <v>DISTRIBUIÇÃO</v>
          </cell>
          <cell r="I841" t="str">
            <v>FOOD SERVICE</v>
          </cell>
          <cell r="J841" t="str">
            <v>FLAC 5</v>
          </cell>
          <cell r="K841" t="str">
            <v>LACTALIS</v>
          </cell>
          <cell r="L841" t="str">
            <v>RODRIGO</v>
          </cell>
          <cell r="M841" t="str">
            <v>RAQUEL BARBOSA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  <cell r="H842" t="str">
            <v>DISTRIBUIÇÃO</v>
          </cell>
          <cell r="I842" t="str">
            <v>FOOD SERVICE</v>
          </cell>
          <cell r="J842" t="str">
            <v>FLAC 6</v>
          </cell>
          <cell r="K842" t="str">
            <v>LACTALIS</v>
          </cell>
          <cell r="L842" t="str">
            <v>RODRIGO</v>
          </cell>
          <cell r="M842" t="str">
            <v>RAQUEL BARBOSA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  <cell r="H843" t="str">
            <v>DISTRIBUIÇÃO</v>
          </cell>
          <cell r="I843" t="str">
            <v>FOOD SERVICE</v>
          </cell>
          <cell r="J843" t="str">
            <v>FLAC 6</v>
          </cell>
          <cell r="K843" t="str">
            <v>LACTALIS</v>
          </cell>
          <cell r="L843" t="str">
            <v>RODRIGO</v>
          </cell>
          <cell r="M843" t="str">
            <v>RAQUEL BARBOSA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  <cell r="H844" t="str">
            <v>DISTRIBUIÇÃO</v>
          </cell>
          <cell r="I844" t="str">
            <v>FOOD SERVICE</v>
          </cell>
          <cell r="J844" t="str">
            <v>FLAC 2</v>
          </cell>
          <cell r="K844" t="str">
            <v>LACTALIS</v>
          </cell>
          <cell r="L844" t="str">
            <v>RODRIGO</v>
          </cell>
          <cell r="M844" t="str">
            <v>RAQUEL BARBOSA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  <cell r="H845" t="str">
            <v>DISTRIBUIÇÃO</v>
          </cell>
          <cell r="I845" t="str">
            <v>FOOD SERVICE</v>
          </cell>
          <cell r="J845" t="str">
            <v>ANGELICA BATISTELA</v>
          </cell>
          <cell r="K845" t="str">
            <v>ITAMBÉ</v>
          </cell>
          <cell r="L845" t="str">
            <v>RODRIGO</v>
          </cell>
          <cell r="M845" t="str">
            <v>ANGELICA BATISTELA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  <cell r="H846" t="str">
            <v>DISTRIBUIÇÃO</v>
          </cell>
          <cell r="I846" t="str">
            <v>FOOD SERVICE</v>
          </cell>
          <cell r="J846" t="str">
            <v>CLAUDIO JORGE/LUIZ</v>
          </cell>
          <cell r="K846" t="str">
            <v>ITAMBÉ</v>
          </cell>
          <cell r="L846" t="str">
            <v>RODRIGO</v>
          </cell>
          <cell r="M846" t="str">
            <v>MARIA LOURDES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  <cell r="H847" t="str">
            <v>INGREDIENTS</v>
          </cell>
          <cell r="I847" t="str">
            <v>INGREDIENTS</v>
          </cell>
          <cell r="J847" t="str">
            <v>DUAS RODAS</v>
          </cell>
          <cell r="K847" t="str">
            <v>ITAMBÉ</v>
          </cell>
          <cell r="L847" t="str">
            <v>MAURICIO</v>
          </cell>
          <cell r="M847" t="str">
            <v>MARCELO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  <cell r="H848" t="str">
            <v>INGREDIENTS</v>
          </cell>
          <cell r="I848" t="str">
            <v>INGREDIENTS</v>
          </cell>
          <cell r="J848" t="str">
            <v>MARCELO RODRIGUES</v>
          </cell>
          <cell r="K848" t="str">
            <v>ITAMBÉ</v>
          </cell>
          <cell r="L848" t="str">
            <v>MAURICIO</v>
          </cell>
          <cell r="M848" t="str">
            <v>MARCELO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  <cell r="H849" t="str">
            <v>INGREDIENTS</v>
          </cell>
          <cell r="I849" t="str">
            <v>INGREDIENTS</v>
          </cell>
          <cell r="J849" t="str">
            <v>MARCELO RODRIGUES</v>
          </cell>
          <cell r="K849" t="str">
            <v>ITAMBÉ</v>
          </cell>
          <cell r="L849" t="str">
            <v>MAURICIO</v>
          </cell>
          <cell r="M849" t="str">
            <v>MARCELO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  <cell r="H850" t="str">
            <v>INGREDIENTS</v>
          </cell>
          <cell r="I850" t="str">
            <v>INGREDIENTS</v>
          </cell>
          <cell r="J850" t="str">
            <v>MARCELO RODRIGUES</v>
          </cell>
          <cell r="K850" t="str">
            <v>LACTALIS</v>
          </cell>
          <cell r="L850" t="str">
            <v>MAURICIO</v>
          </cell>
          <cell r="M850" t="str">
            <v>MARCELO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  <cell r="H851" t="str">
            <v>DISTRIBUIÇÃO</v>
          </cell>
          <cell r="I851" t="str">
            <v>FOOD SERVICE</v>
          </cell>
          <cell r="J851" t="str">
            <v>FLAC 6</v>
          </cell>
          <cell r="K851" t="str">
            <v>LACTALIS</v>
          </cell>
          <cell r="L851" t="str">
            <v>RODRIGO</v>
          </cell>
          <cell r="M851" t="str">
            <v>RAQUEL BARBOSA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  <cell r="H852" t="str">
            <v>DISTRIBUIÇÃO</v>
          </cell>
          <cell r="I852" t="str">
            <v>FOOD SERVICE</v>
          </cell>
          <cell r="J852" t="str">
            <v>FLAC 2</v>
          </cell>
          <cell r="K852" t="str">
            <v>LACTALIS</v>
          </cell>
          <cell r="L852" t="str">
            <v>RODRIGO</v>
          </cell>
          <cell r="M852" t="str">
            <v>RAQUEL BARBOSA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  <cell r="H853" t="str">
            <v>DISTRIBUIÇÃO</v>
          </cell>
          <cell r="I853" t="str">
            <v>FOOD SERVICE</v>
          </cell>
          <cell r="J853" t="str">
            <v>CLAUDIO JORGE</v>
          </cell>
          <cell r="K853" t="str">
            <v>ITAMBÉ</v>
          </cell>
          <cell r="L853" t="str">
            <v>RODRIGO</v>
          </cell>
          <cell r="M853" t="str">
            <v>MARIA LOURDES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  <cell r="H854" t="str">
            <v>DISTRIBUIÇÃO</v>
          </cell>
          <cell r="I854" t="str">
            <v>FOOD SERVICE</v>
          </cell>
          <cell r="J854" t="str">
            <v>FLAC 2</v>
          </cell>
          <cell r="K854" t="str">
            <v>LACTALIS</v>
          </cell>
          <cell r="L854" t="str">
            <v>RODRIGO</v>
          </cell>
          <cell r="M854" t="str">
            <v>RAQUEL BARBOSA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  <cell r="H855" t="str">
            <v>DISTRIBUIÇÃO</v>
          </cell>
          <cell r="I855" t="str">
            <v>FOOD SERVICE</v>
          </cell>
          <cell r="J855" t="str">
            <v>FLAC 5</v>
          </cell>
          <cell r="K855" t="str">
            <v>LACTALIS</v>
          </cell>
          <cell r="L855" t="str">
            <v>RODRIGO</v>
          </cell>
          <cell r="M855" t="str">
            <v>RAQUEL BARBOSA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  <cell r="H856" t="str">
            <v>INGREDIENTS</v>
          </cell>
          <cell r="I856" t="str">
            <v>INGREDIENTS</v>
          </cell>
          <cell r="J856" t="str">
            <v>JOEL ELEOTÉRIO</v>
          </cell>
          <cell r="K856" t="str">
            <v>LACTALIS</v>
          </cell>
          <cell r="L856" t="str">
            <v>MAURICIO</v>
          </cell>
          <cell r="M856" t="str">
            <v>JOEL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  <cell r="H857" t="str">
            <v>DISTRIBUIÇÃO</v>
          </cell>
          <cell r="I857" t="str">
            <v>FOOD SERVICE</v>
          </cell>
          <cell r="J857" t="str">
            <v>FLAC 6</v>
          </cell>
          <cell r="K857" t="str">
            <v>LACTALIS</v>
          </cell>
          <cell r="L857" t="str">
            <v>RODRIGO</v>
          </cell>
          <cell r="M857" t="str">
            <v>RAQUEL BARBOSA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  <cell r="H858" t="str">
            <v>DISTRIBUIÇÃO</v>
          </cell>
          <cell r="I858" t="str">
            <v>FOOD SERVICE</v>
          </cell>
          <cell r="J858" t="str">
            <v>FLAC 6</v>
          </cell>
          <cell r="K858" t="str">
            <v>LACTALIS</v>
          </cell>
          <cell r="L858" t="str">
            <v>RODRIGO</v>
          </cell>
          <cell r="M858" t="str">
            <v>RAQUEL BARBOSA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  <cell r="H859" t="str">
            <v>OUTROS</v>
          </cell>
          <cell r="I859" t="str">
            <v>OUTROS</v>
          </cell>
          <cell r="J859" t="str">
            <v>INTERCOMPANY EXP</v>
          </cell>
          <cell r="K859" t="str">
            <v>OUTROS</v>
          </cell>
          <cell r="L859" t="str">
            <v>OUTROS</v>
          </cell>
          <cell r="M859" t="str">
            <v>INTERCOMPANY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  <cell r="H860" t="str">
            <v>DISTRIBUIÇÃO</v>
          </cell>
          <cell r="I860" t="str">
            <v>FOOD SERVICE</v>
          </cell>
          <cell r="J860" t="str">
            <v>CLAUDIO JORGE</v>
          </cell>
          <cell r="K860" t="str">
            <v>ITAMBÉ</v>
          </cell>
          <cell r="L860" t="str">
            <v>RODRIGO</v>
          </cell>
          <cell r="M860" t="str">
            <v>MARCO AURELIO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  <cell r="H861" t="str">
            <v>INGREDIENTS</v>
          </cell>
          <cell r="I861" t="str">
            <v>INGREDIENTS</v>
          </cell>
          <cell r="J861" t="str">
            <v>TATIANA NITTA</v>
          </cell>
          <cell r="K861" t="str">
            <v>ITAMBÉ</v>
          </cell>
          <cell r="L861" t="str">
            <v>MAURICIO</v>
          </cell>
          <cell r="M861" t="str">
            <v>TATIANA NITTA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  <cell r="H862" t="str">
            <v>INGREDIENTS</v>
          </cell>
          <cell r="I862" t="str">
            <v>INGREDIENTS</v>
          </cell>
          <cell r="J862" t="str">
            <v>TATIANA NITTA</v>
          </cell>
          <cell r="K862" t="str">
            <v>LACTALIS</v>
          </cell>
          <cell r="L862" t="str">
            <v>MAURICIO</v>
          </cell>
          <cell r="M862" t="str">
            <v>TATIANA NITTA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  <cell r="H863" t="str">
            <v>INGREDIENTS</v>
          </cell>
          <cell r="I863" t="str">
            <v>INGREDIENTS</v>
          </cell>
          <cell r="J863" t="str">
            <v>TATIANA NITTA</v>
          </cell>
          <cell r="K863" t="str">
            <v>ITAMBÉ</v>
          </cell>
          <cell r="L863" t="str">
            <v>MAURICIO</v>
          </cell>
          <cell r="M863" t="str">
            <v>TATIANA NITTA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  <cell r="H864" t="str">
            <v>INGREDIENTS</v>
          </cell>
          <cell r="I864" t="str">
            <v>INGREDIENTS</v>
          </cell>
          <cell r="J864" t="str">
            <v>TATIANA NITTA</v>
          </cell>
          <cell r="K864" t="str">
            <v>ITAMBÉ</v>
          </cell>
          <cell r="L864" t="str">
            <v>MAURICIO</v>
          </cell>
          <cell r="M864" t="str">
            <v>TATIANA NITTA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  <cell r="H865" t="str">
            <v>INGREDIENTS</v>
          </cell>
          <cell r="I865" t="str">
            <v>INGREDIENTS</v>
          </cell>
          <cell r="J865" t="str">
            <v>TATIANA NITTA</v>
          </cell>
          <cell r="K865" t="str">
            <v>ITAMBÉ</v>
          </cell>
          <cell r="L865" t="str">
            <v>MAURICIO</v>
          </cell>
          <cell r="M865" t="str">
            <v>TATIANA NITTA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  <cell r="H866" t="str">
            <v>INGREDIENTS</v>
          </cell>
          <cell r="I866" t="str">
            <v>INGREDIENTS</v>
          </cell>
          <cell r="J866" t="str">
            <v>TATIANA NITTA</v>
          </cell>
          <cell r="K866" t="str">
            <v>LACTALIS</v>
          </cell>
          <cell r="L866" t="str">
            <v>MAURICIO</v>
          </cell>
          <cell r="M866" t="str">
            <v>TATIANA NITTA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  <cell r="H867" t="str">
            <v>INGREDIENTS</v>
          </cell>
          <cell r="I867" t="str">
            <v>INGREDIENTS</v>
          </cell>
          <cell r="J867" t="str">
            <v>TATIANA NITTA</v>
          </cell>
          <cell r="K867" t="str">
            <v>LACTALIS</v>
          </cell>
          <cell r="L867" t="str">
            <v>MAURICIO</v>
          </cell>
          <cell r="M867" t="str">
            <v>TATIANA NITTA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  <cell r="H868" t="str">
            <v>INGREDIENTS</v>
          </cell>
          <cell r="I868" t="str">
            <v>INGREDIENTS</v>
          </cell>
          <cell r="J868" t="str">
            <v>TATIANA NITTA</v>
          </cell>
          <cell r="K868" t="str">
            <v>LACTALIS</v>
          </cell>
          <cell r="L868" t="str">
            <v>MAURICIO</v>
          </cell>
          <cell r="M868" t="str">
            <v>TATIANA NITTA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  <cell r="H869" t="str">
            <v>INGREDIENTS</v>
          </cell>
          <cell r="I869" t="str">
            <v>INGREDIENTS</v>
          </cell>
          <cell r="J869" t="str">
            <v>TATIANA NITTA</v>
          </cell>
          <cell r="K869" t="str">
            <v>ITAMBÉ</v>
          </cell>
          <cell r="L869" t="str">
            <v>MAURICIO</v>
          </cell>
          <cell r="M869" t="str">
            <v>TATIANA NITTA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  <cell r="H870" t="str">
            <v>DISTRIBUIÇÃO</v>
          </cell>
          <cell r="I870" t="str">
            <v>FOOD SERVICE</v>
          </cell>
          <cell r="J870" t="str">
            <v>FLAC 2</v>
          </cell>
          <cell r="K870" t="str">
            <v>LACTALIS</v>
          </cell>
          <cell r="L870" t="str">
            <v>RODRIGO</v>
          </cell>
          <cell r="M870" t="str">
            <v>RAQUEL BARBOSA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  <cell r="H871" t="str">
            <v>DISTRIBUIÇÃO</v>
          </cell>
          <cell r="I871" t="str">
            <v>FOOD SERVICE</v>
          </cell>
          <cell r="J871" t="str">
            <v>MARCELO SILVA</v>
          </cell>
          <cell r="K871" t="str">
            <v>ITAMBÉ</v>
          </cell>
          <cell r="L871" t="str">
            <v>RODRIGO</v>
          </cell>
          <cell r="M871" t="str">
            <v>CELIO MARTINS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  <cell r="H872" t="str">
            <v>DISTRIBUIÇÃO</v>
          </cell>
          <cell r="I872" t="str">
            <v>FOOD SERVICE</v>
          </cell>
          <cell r="J872" t="str">
            <v>JULIANA CORDEIRO</v>
          </cell>
          <cell r="K872" t="str">
            <v>ITAMBÉ</v>
          </cell>
          <cell r="L872" t="str">
            <v>RODRIGO</v>
          </cell>
          <cell r="M872" t="str">
            <v>JESSICA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  <cell r="H873" t="str">
            <v>DISTRIBUIÇÃO</v>
          </cell>
          <cell r="I873" t="str">
            <v>FOOD SERVICE</v>
          </cell>
          <cell r="J873" t="str">
            <v>FLAC 4</v>
          </cell>
          <cell r="K873" t="str">
            <v>LACTALIS</v>
          </cell>
          <cell r="L873" t="str">
            <v>RODRIGO</v>
          </cell>
          <cell r="M873" t="str">
            <v>RAQUEL BARBOSA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  <cell r="H874" t="str">
            <v>INGREDIENTS</v>
          </cell>
          <cell r="I874" t="str">
            <v>INGREDIENTS</v>
          </cell>
          <cell r="J874" t="str">
            <v>AM ITB FS I DA SILVA SANTOS</v>
          </cell>
          <cell r="K874" t="str">
            <v>ITAMBÉ</v>
          </cell>
          <cell r="L874" t="str">
            <v>MAURICIO</v>
          </cell>
          <cell r="M874" t="str">
            <v>JOEL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  <cell r="H875" t="str">
            <v>DISTRIBUIÇÃO</v>
          </cell>
          <cell r="I875" t="str">
            <v>FOOD SERVICE</v>
          </cell>
          <cell r="J875" t="str">
            <v>MARCELO DUARTE</v>
          </cell>
          <cell r="K875" t="str">
            <v>ITAMBÉ</v>
          </cell>
          <cell r="L875" t="str">
            <v>RODRIGO</v>
          </cell>
          <cell r="M875" t="str">
            <v>JESSICA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  <cell r="H876" t="str">
            <v>INGREDIENTS</v>
          </cell>
          <cell r="I876" t="str">
            <v>INGREDIENTS</v>
          </cell>
          <cell r="J876" t="str">
            <v>JOEL ELEOTÉRIO</v>
          </cell>
          <cell r="K876" t="str">
            <v>LACTALIS</v>
          </cell>
          <cell r="L876" t="str">
            <v>MAURICIO</v>
          </cell>
          <cell r="M876" t="str">
            <v>JOEL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  <cell r="H877" t="str">
            <v>INGREDIENTS</v>
          </cell>
          <cell r="I877" t="str">
            <v>INGREDIENTS</v>
          </cell>
          <cell r="J877" t="str">
            <v>JOEL ELEOTÉRIO</v>
          </cell>
          <cell r="K877" t="str">
            <v>LACTALIS</v>
          </cell>
          <cell r="L877" t="str">
            <v>MAURICIO</v>
          </cell>
          <cell r="M877" t="str">
            <v>JOEL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  <cell r="H878" t="str">
            <v>INGREDIENTS</v>
          </cell>
          <cell r="I878" t="str">
            <v>INGREDIENTS</v>
          </cell>
          <cell r="J878" t="str">
            <v>JOEL ELEOTÉRIO</v>
          </cell>
          <cell r="K878" t="str">
            <v>LACTALIS</v>
          </cell>
          <cell r="L878" t="str">
            <v>MAURICIO</v>
          </cell>
          <cell r="M878" t="str">
            <v>JOEL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  <cell r="H879" t="str">
            <v>INGREDIENTS</v>
          </cell>
          <cell r="I879" t="str">
            <v>INGREDIENTS</v>
          </cell>
          <cell r="J879" t="str">
            <v>JOEL ELEOTÉRIO</v>
          </cell>
          <cell r="K879" t="str">
            <v>LACTALIS</v>
          </cell>
          <cell r="L879" t="str">
            <v>MAURICIO</v>
          </cell>
          <cell r="M879" t="str">
            <v>JOEL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  <cell r="H880" t="str">
            <v>DISTRIBUIÇÃO</v>
          </cell>
          <cell r="I880" t="str">
            <v>FOOD SERVICE</v>
          </cell>
          <cell r="J880" t="str">
            <v>FLAC 3</v>
          </cell>
          <cell r="K880" t="str">
            <v>LACTALIS</v>
          </cell>
          <cell r="L880" t="str">
            <v>RODRIGO</v>
          </cell>
          <cell r="M880" t="str">
            <v>RAQUEL BARBOSA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  <cell r="H881" t="str">
            <v>DISTRIBUIÇÃO</v>
          </cell>
          <cell r="I881" t="str">
            <v>FOOD SERVICE</v>
          </cell>
          <cell r="J881" t="str">
            <v>FLAC 2</v>
          </cell>
          <cell r="K881" t="str">
            <v>LACTALIS</v>
          </cell>
          <cell r="L881" t="str">
            <v>RODRIGO</v>
          </cell>
          <cell r="M881" t="str">
            <v>RAQUEL BARBOSA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  <cell r="H882" t="str">
            <v>DISTRIBUIÇÃO</v>
          </cell>
          <cell r="I882" t="str">
            <v>FOOD SERVICE</v>
          </cell>
          <cell r="J882" t="str">
            <v>WH FOOD SERVICE CE</v>
          </cell>
          <cell r="K882" t="str">
            <v>ITAMBÉ</v>
          </cell>
          <cell r="L882" t="str">
            <v>RODRIGO</v>
          </cell>
          <cell r="M882" t="str">
            <v>MARIA LOURDES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  <cell r="H883" t="str">
            <v>DISTRIBUIÇÃO</v>
          </cell>
          <cell r="I883" t="str">
            <v>FOOD SERVICE</v>
          </cell>
          <cell r="J883" t="str">
            <v>WH FOOD SERVICE CE</v>
          </cell>
          <cell r="K883" t="str">
            <v>ITAMBÉ</v>
          </cell>
          <cell r="L883" t="str">
            <v>RODRIGO</v>
          </cell>
          <cell r="M883" t="str">
            <v>MARIA LOURDES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  <cell r="H884" t="str">
            <v>DISTRIBUIÇÃO</v>
          </cell>
          <cell r="I884" t="str">
            <v>FOOD SERVICE</v>
          </cell>
          <cell r="J884" t="str">
            <v>MARCELO SILVA</v>
          </cell>
          <cell r="K884" t="str">
            <v>ITAMBÉ</v>
          </cell>
          <cell r="L884" t="str">
            <v>RODRIGO</v>
          </cell>
          <cell r="M884" t="str">
            <v>CELIO MARTINS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  <cell r="H885" t="str">
            <v>INGREDIENTS</v>
          </cell>
          <cell r="I885" t="str">
            <v>INGREDIENTS</v>
          </cell>
          <cell r="J885" t="str">
            <v>DUAS RODAS</v>
          </cell>
          <cell r="K885" t="str">
            <v>ITAMBÉ</v>
          </cell>
          <cell r="L885" t="str">
            <v>MAURICIO</v>
          </cell>
          <cell r="M885" t="str">
            <v>MARCELO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  <cell r="H886" t="str">
            <v>DISTRIBUIÇÃO</v>
          </cell>
          <cell r="I886" t="str">
            <v>FOOD SERVICE</v>
          </cell>
          <cell r="J886" t="str">
            <v>FLAC 2</v>
          </cell>
          <cell r="K886" t="str">
            <v>LACTALIS</v>
          </cell>
          <cell r="L886" t="str">
            <v>RODRIGO</v>
          </cell>
          <cell r="M886" t="str">
            <v>RAQUEL BARBOSA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  <cell r="H887" t="str">
            <v>DISTRIBUIÇÃO</v>
          </cell>
          <cell r="I887" t="str">
            <v>FOOD SERVICE</v>
          </cell>
          <cell r="J887" t="str">
            <v>GUILHERME NASCIMENTO</v>
          </cell>
          <cell r="K887" t="str">
            <v>ITAMBÉ</v>
          </cell>
          <cell r="L887" t="str">
            <v>RODRIGO</v>
          </cell>
          <cell r="M887" t="str">
            <v>ALEXANDRO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  <cell r="H888" t="str">
            <v>DISTRIBUIÇÃO</v>
          </cell>
          <cell r="I888" t="str">
            <v>FOOD SERVICE</v>
          </cell>
          <cell r="J888" t="str">
            <v>GUILHERME NASCIMENTO</v>
          </cell>
          <cell r="K888" t="str">
            <v>LACTALIS</v>
          </cell>
          <cell r="L888" t="str">
            <v>RODRIGO</v>
          </cell>
          <cell r="M888" t="str">
            <v>ALEXANDRO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  <cell r="H889" t="str">
            <v>DISTRIBUIÇÃO</v>
          </cell>
          <cell r="I889" t="str">
            <v>FOOD SERVICE</v>
          </cell>
          <cell r="J889" t="str">
            <v>FLAC 6</v>
          </cell>
          <cell r="K889" t="str">
            <v>LACTALIS</v>
          </cell>
          <cell r="L889" t="str">
            <v>RODRIGO</v>
          </cell>
          <cell r="M889" t="str">
            <v>RAQUEL BARBOSA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  <cell r="H890" t="str">
            <v>DISTRIBUIÇÃO</v>
          </cell>
          <cell r="I890" t="str">
            <v>FOOD SERVICE</v>
          </cell>
          <cell r="J890" t="str">
            <v>DIGMA REPR LTDA</v>
          </cell>
          <cell r="K890" t="str">
            <v>ITAMBÉ</v>
          </cell>
          <cell r="L890" t="str">
            <v>RODRIGO</v>
          </cell>
          <cell r="M890" t="str">
            <v>MARIA LOURDES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  <cell r="H891" t="str">
            <v>DISTRIBUIÇÃO</v>
          </cell>
          <cell r="I891" t="str">
            <v>FOOD SERVICE</v>
          </cell>
          <cell r="J891" t="str">
            <v>CLAUDIO JORGE</v>
          </cell>
          <cell r="K891" t="str">
            <v>ITAMBÉ</v>
          </cell>
          <cell r="L891" t="str">
            <v>RODRIGO</v>
          </cell>
          <cell r="M891" t="str">
            <v>MARIA LOURDES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  <cell r="H892" t="str">
            <v>QSR</v>
          </cell>
          <cell r="I892" t="str">
            <v>FOOD SERVICE</v>
          </cell>
          <cell r="J892" t="str">
            <v>VAGO QSR</v>
          </cell>
          <cell r="K892" t="str">
            <v>ITAMBÉ</v>
          </cell>
          <cell r="L892" t="str">
            <v>PEDRO</v>
          </cell>
          <cell r="M892" t="str">
            <v>VAGO QSR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  <cell r="H893" t="str">
            <v>DISTRIBUIÇÃO</v>
          </cell>
          <cell r="I893" t="str">
            <v>FOOD SERVICE</v>
          </cell>
          <cell r="J893" t="str">
            <v>FLAC 6</v>
          </cell>
          <cell r="K893" t="str">
            <v>LACTALIS</v>
          </cell>
          <cell r="L893" t="str">
            <v>RODRIGO</v>
          </cell>
          <cell r="M893" t="str">
            <v>RAQUEL BARBOSA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  <cell r="H894" t="str">
            <v>DISTRIBUIÇÃO</v>
          </cell>
          <cell r="I894" t="str">
            <v>FOOD SERVICE</v>
          </cell>
          <cell r="J894" t="str">
            <v>CLAUDIO JORGE</v>
          </cell>
          <cell r="K894" t="str">
            <v>ITAMBÉ</v>
          </cell>
          <cell r="L894" t="str">
            <v>RODRIGO</v>
          </cell>
          <cell r="M894" t="str">
            <v>MARCO AURELIO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  <cell r="H895" t="str">
            <v>DISTRIBUIÇÃO</v>
          </cell>
          <cell r="I895" t="str">
            <v>FOOD SERVICE</v>
          </cell>
          <cell r="J895" t="str">
            <v>ANGELICA BATISTELA</v>
          </cell>
          <cell r="K895" t="str">
            <v>ITAMBÉ</v>
          </cell>
          <cell r="L895" t="str">
            <v>RODRIGO</v>
          </cell>
          <cell r="M895" t="str">
            <v>ANGELICA BATISTELA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  <cell r="H896" t="str">
            <v>DISTRIBUIÇÃO</v>
          </cell>
          <cell r="I896" t="str">
            <v>FOOD SERVICE</v>
          </cell>
          <cell r="J896" t="str">
            <v>FLAC 2</v>
          </cell>
          <cell r="K896" t="str">
            <v>LACTALIS</v>
          </cell>
          <cell r="L896" t="str">
            <v>RODRIGO</v>
          </cell>
          <cell r="M896" t="str">
            <v>RAQUEL BARBOSA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  <cell r="H897" t="str">
            <v>DISTRIBUIÇÃO</v>
          </cell>
          <cell r="I897" t="str">
            <v>FOOD SERVICE</v>
          </cell>
          <cell r="J897" t="str">
            <v>FLAC 6</v>
          </cell>
          <cell r="K897" t="str">
            <v>LACTALIS</v>
          </cell>
          <cell r="L897" t="str">
            <v>RODRIGO</v>
          </cell>
          <cell r="M897" t="str">
            <v>RAQUEL BARBOSA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  <cell r="H898" t="str">
            <v>DISTRIBUIÇÃO</v>
          </cell>
          <cell r="I898" t="str">
            <v>FOOD SERVICE</v>
          </cell>
          <cell r="J898" t="str">
            <v>SP ITB FS FLAC REP.E COMERCIO</v>
          </cell>
          <cell r="K898" t="str">
            <v>ITAMBÉ</v>
          </cell>
          <cell r="L898" t="str">
            <v>RODRIGO</v>
          </cell>
          <cell r="M898" t="str">
            <v>RAQUEL BARBOSA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  <cell r="H899" t="str">
            <v>DISTRIBUIÇÃO</v>
          </cell>
          <cell r="I899" t="str">
            <v>FOOD SERVICE</v>
          </cell>
          <cell r="J899" t="str">
            <v>FLAC 6</v>
          </cell>
          <cell r="K899" t="str">
            <v>LACTALIS</v>
          </cell>
          <cell r="L899" t="str">
            <v>RODRIGO</v>
          </cell>
          <cell r="M899" t="str">
            <v>RAQUEL BARBOSA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  <cell r="H900" t="str">
            <v>INGREDIENTS</v>
          </cell>
          <cell r="I900" t="str">
            <v>INGREDIENTS</v>
          </cell>
          <cell r="J900" t="str">
            <v>DUAS RODAS</v>
          </cell>
          <cell r="K900" t="str">
            <v>ITAMBÉ</v>
          </cell>
          <cell r="L900" t="str">
            <v>MAURICIO</v>
          </cell>
          <cell r="M900" t="str">
            <v>MARCELO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  <cell r="H901" t="str">
            <v>DISTRIBUIÇÃO</v>
          </cell>
          <cell r="I901" t="str">
            <v>FOOD SERVICE</v>
          </cell>
          <cell r="J901" t="str">
            <v>VAGO SP</v>
          </cell>
          <cell r="K901" t="str">
            <v>ITAMBÉ</v>
          </cell>
          <cell r="L901" t="str">
            <v>RODRIGO</v>
          </cell>
          <cell r="M901" t="str">
            <v>RAQUEL BARBOSA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  <cell r="H902" t="str">
            <v>DISTRIBUIÇÃO</v>
          </cell>
          <cell r="I902" t="str">
            <v>FOOD SERVICE</v>
          </cell>
          <cell r="J902" t="str">
            <v>VAGO SP</v>
          </cell>
          <cell r="K902" t="str">
            <v>ITAMBÉ</v>
          </cell>
          <cell r="L902" t="str">
            <v>RODRIGO</v>
          </cell>
          <cell r="M902" t="str">
            <v>RAQUEL BARBOSA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  <cell r="H903" t="str">
            <v>DISTRIBUIÇÃO</v>
          </cell>
          <cell r="I903" t="str">
            <v>FOOD SERVICE</v>
          </cell>
          <cell r="J903" t="str">
            <v>VAGO SP</v>
          </cell>
          <cell r="K903" t="str">
            <v>ITAMBÉ</v>
          </cell>
          <cell r="L903" t="str">
            <v>RODRIGO</v>
          </cell>
          <cell r="M903" t="str">
            <v>RAQUEL BARBOSA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  <cell r="H904" t="str">
            <v>DISTRIBUIÇÃO</v>
          </cell>
          <cell r="I904" t="str">
            <v>FOOD SERVICE</v>
          </cell>
          <cell r="J904" t="str">
            <v>FLAC 6</v>
          </cell>
          <cell r="K904" t="str">
            <v>LACTALIS</v>
          </cell>
          <cell r="L904" t="str">
            <v>RODRIGO</v>
          </cell>
          <cell r="M904" t="str">
            <v>RAQUEL BARBOSA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  <cell r="H905" t="str">
            <v>DISTRIBUIÇÃO</v>
          </cell>
          <cell r="I905" t="str">
            <v>FOOD SERVICE</v>
          </cell>
          <cell r="J905" t="str">
            <v>FLAC 2</v>
          </cell>
          <cell r="K905" t="str">
            <v>LACTALIS</v>
          </cell>
          <cell r="L905" t="str">
            <v>RODRIGO</v>
          </cell>
          <cell r="M905" t="str">
            <v>RAQUEL BARBOSA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  <cell r="H906" t="str">
            <v>QSR</v>
          </cell>
          <cell r="I906" t="str">
            <v>FOOD SERVICE</v>
          </cell>
          <cell r="J906" t="str">
            <v>NUTRI</v>
          </cell>
          <cell r="K906" t="str">
            <v>LACTALIS</v>
          </cell>
          <cell r="L906" t="str">
            <v>PEDRO</v>
          </cell>
          <cell r="M906" t="str">
            <v>VAGO QSR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  <cell r="H907" t="str">
            <v>INGREDIENTS</v>
          </cell>
          <cell r="I907" t="str">
            <v>INGREDIENTS</v>
          </cell>
          <cell r="J907" t="str">
            <v>HENRIQUE FERREIRA</v>
          </cell>
          <cell r="K907" t="str">
            <v>ITAMBÉ</v>
          </cell>
          <cell r="L907" t="str">
            <v>MAURICIO</v>
          </cell>
          <cell r="M907" t="str">
            <v>JOEL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  <cell r="H908" t="str">
            <v>DISTRIBUIÇÃO</v>
          </cell>
          <cell r="I908" t="str">
            <v>FOOD SERVICE</v>
          </cell>
          <cell r="J908" t="str">
            <v>FLAC 2</v>
          </cell>
          <cell r="K908" t="str">
            <v>LACTALIS</v>
          </cell>
          <cell r="L908" t="str">
            <v>RODRIGO</v>
          </cell>
          <cell r="M908" t="str">
            <v>RAQUEL BARBOSA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  <cell r="H909" t="str">
            <v>DISTRIBUIÇÃO</v>
          </cell>
          <cell r="I909" t="str">
            <v>FOOD SERVICE</v>
          </cell>
          <cell r="J909" t="str">
            <v>FLAC 6</v>
          </cell>
          <cell r="K909" t="str">
            <v>LACTALIS</v>
          </cell>
          <cell r="L909" t="str">
            <v>RODRIGO</v>
          </cell>
          <cell r="M909" t="str">
            <v>RAQUEL BARBOSA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  <cell r="H910" t="str">
            <v>DISTRIBUIÇÃO</v>
          </cell>
          <cell r="I910" t="str">
            <v>FOOD SERVICE</v>
          </cell>
          <cell r="J910" t="str">
            <v>CLAUDIO JORGE</v>
          </cell>
          <cell r="K910" t="str">
            <v>ITAMBÉ</v>
          </cell>
          <cell r="L910" t="str">
            <v>RODRIGO</v>
          </cell>
          <cell r="M910" t="str">
            <v>MARIA LOURDES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  <cell r="H911" t="str">
            <v>DISTRIBUIÇÃO</v>
          </cell>
          <cell r="I911" t="str">
            <v>FOOD SERVICE</v>
          </cell>
          <cell r="J911" t="str">
            <v>FLAC 3</v>
          </cell>
          <cell r="K911" t="str">
            <v>LACTALIS</v>
          </cell>
          <cell r="L911" t="str">
            <v>RODRIGO</v>
          </cell>
          <cell r="M911" t="str">
            <v>RAQUEL BARBOSA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  <cell r="H912" t="str">
            <v>DISTRIBUIÇÃO</v>
          </cell>
          <cell r="I912" t="str">
            <v>FOOD SERVICE</v>
          </cell>
          <cell r="J912" t="str">
            <v>FLAC 3</v>
          </cell>
          <cell r="K912" t="str">
            <v>LACTALIS</v>
          </cell>
          <cell r="L912" t="str">
            <v>RODRIGO</v>
          </cell>
          <cell r="M912" t="str">
            <v>RAQUEL BARBOSA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  <cell r="H913" t="str">
            <v>DISTRIBUIÇÃO</v>
          </cell>
          <cell r="I913" t="str">
            <v>FOOD SERVICE</v>
          </cell>
          <cell r="J913" t="str">
            <v>FLAC 5</v>
          </cell>
          <cell r="K913" t="str">
            <v>LACTALIS</v>
          </cell>
          <cell r="L913" t="str">
            <v>RODRIGO</v>
          </cell>
          <cell r="M913" t="str">
            <v>RAQUEL BARBOSA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  <cell r="H914" t="str">
            <v>DISTRIBUIÇÃO</v>
          </cell>
          <cell r="I914" t="str">
            <v>FOOD SERVICE</v>
          </cell>
          <cell r="J914" t="str">
            <v>ALEXANDRO RODRIGUES</v>
          </cell>
          <cell r="K914" t="str">
            <v>ITAMBÉ</v>
          </cell>
          <cell r="L914" t="str">
            <v>RODRIGO</v>
          </cell>
          <cell r="M914" t="str">
            <v>ALEXANDRO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  <cell r="H915" t="str">
            <v>DISTRIBUIÇÃO</v>
          </cell>
          <cell r="I915" t="str">
            <v>FOOD SERVICE</v>
          </cell>
          <cell r="J915" t="str">
            <v>ALEXANDRO RODRIGUES</v>
          </cell>
          <cell r="K915" t="str">
            <v>ITAMBÉ</v>
          </cell>
          <cell r="L915" t="str">
            <v>RODRIGO</v>
          </cell>
          <cell r="M915" t="str">
            <v>ALEXANDRO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  <cell r="H916" t="str">
            <v>DISTRIBUIÇÃO</v>
          </cell>
          <cell r="I916" t="str">
            <v>FOOD SERVICE</v>
          </cell>
          <cell r="J916" t="str">
            <v>FLAC 5</v>
          </cell>
          <cell r="K916" t="str">
            <v>LACTALIS</v>
          </cell>
          <cell r="L916" t="str">
            <v>RODRIGO</v>
          </cell>
          <cell r="M916" t="str">
            <v>RAQUEL BARBOSA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  <cell r="H917" t="str">
            <v>INGREDIENTS</v>
          </cell>
          <cell r="I917" t="str">
            <v>INGREDIENTS</v>
          </cell>
          <cell r="J917" t="str">
            <v>JOEL ELEOTÉRIO</v>
          </cell>
          <cell r="K917" t="str">
            <v>LACTALIS</v>
          </cell>
          <cell r="L917" t="str">
            <v>MAURICIO</v>
          </cell>
          <cell r="M917" t="str">
            <v>JOEL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  <cell r="H918" t="str">
            <v>INGREDIENTS</v>
          </cell>
          <cell r="I918" t="str">
            <v>INGREDIENTS</v>
          </cell>
          <cell r="J918" t="str">
            <v>JOEL ELEOTÉRIO</v>
          </cell>
          <cell r="K918" t="str">
            <v>LACTALIS</v>
          </cell>
          <cell r="L918" t="str">
            <v>MAURICIO</v>
          </cell>
          <cell r="M918" t="str">
            <v>JOEL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  <cell r="H919" t="str">
            <v>DISTRIBUIÇÃO</v>
          </cell>
          <cell r="I919" t="str">
            <v>FOOD SERVICE</v>
          </cell>
          <cell r="J919" t="str">
            <v>FLAC 6</v>
          </cell>
          <cell r="K919" t="str">
            <v>LACTALIS</v>
          </cell>
          <cell r="L919" t="str">
            <v>RODRIGO</v>
          </cell>
          <cell r="M919" t="str">
            <v>RAQUEL BARBOSA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  <cell r="H920" t="str">
            <v>DISTRIBUIÇÃO</v>
          </cell>
          <cell r="I920" t="str">
            <v>FOOD SERVICE</v>
          </cell>
          <cell r="J920" t="str">
            <v>FLAC 2</v>
          </cell>
          <cell r="K920" t="str">
            <v>LACTALIS</v>
          </cell>
          <cell r="L920" t="str">
            <v>RODRIGO</v>
          </cell>
          <cell r="M920" t="str">
            <v>RAQUEL BARBOSA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  <cell r="H921" t="str">
            <v>QSR</v>
          </cell>
          <cell r="I921" t="str">
            <v>FOOD SERVICE</v>
          </cell>
          <cell r="J921" t="str">
            <v>ANA MENIQUETE</v>
          </cell>
          <cell r="K921" t="str">
            <v>ITAMBÉ</v>
          </cell>
          <cell r="L921" t="str">
            <v>PEDRO</v>
          </cell>
          <cell r="M921" t="str">
            <v>ANA MENIQUETE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  <cell r="H922" t="str">
            <v>QSR</v>
          </cell>
          <cell r="I922" t="str">
            <v>FOOD SERVICE</v>
          </cell>
          <cell r="J922" t="str">
            <v>ANA MENIQUETE</v>
          </cell>
          <cell r="K922" t="str">
            <v>LACTALIS</v>
          </cell>
          <cell r="L922" t="str">
            <v>PEDRO</v>
          </cell>
          <cell r="M922" t="str">
            <v>ANA MENIQUETE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  <cell r="H923" t="str">
            <v>DISTRIBUIÇÃO</v>
          </cell>
          <cell r="I923" t="str">
            <v>FOOD SERVICE</v>
          </cell>
          <cell r="J923" t="str">
            <v>FLAC 2</v>
          </cell>
          <cell r="K923" t="str">
            <v>LACTALIS</v>
          </cell>
          <cell r="L923" t="str">
            <v>RODRIGO</v>
          </cell>
          <cell r="M923" t="str">
            <v>RAQUEL BARBOSA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  <cell r="H924" t="str">
            <v>DISTRIBUIÇÃO</v>
          </cell>
          <cell r="I924" t="str">
            <v>FOOD SERVICE</v>
          </cell>
          <cell r="J924" t="str">
            <v>FLAC 6</v>
          </cell>
          <cell r="K924" t="str">
            <v>LACTALIS</v>
          </cell>
          <cell r="L924" t="str">
            <v>RODRIGO</v>
          </cell>
          <cell r="M924" t="str">
            <v>RAQUEL BARBOSA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  <cell r="H925" t="str">
            <v>QSR</v>
          </cell>
          <cell r="I925" t="str">
            <v>FOOD SERVICE</v>
          </cell>
          <cell r="J925" t="str">
            <v>NUTRI</v>
          </cell>
          <cell r="K925" t="str">
            <v>LACTALIS</v>
          </cell>
          <cell r="L925" t="str">
            <v>PEDRO</v>
          </cell>
          <cell r="M925" t="str">
            <v>VAGO QSR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  <cell r="H926" t="str">
            <v>QSR</v>
          </cell>
          <cell r="I926" t="str">
            <v>FOOD SERVICE</v>
          </cell>
          <cell r="J926" t="str">
            <v>NUTRI</v>
          </cell>
          <cell r="K926" t="str">
            <v>ITAMBÉ</v>
          </cell>
          <cell r="L926" t="str">
            <v>PEDRO</v>
          </cell>
          <cell r="M926" t="str">
            <v>VAGO QSR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  <cell r="H927" t="str">
            <v>QSR</v>
          </cell>
          <cell r="I927" t="str">
            <v>FOOD SERVICE</v>
          </cell>
          <cell r="J927" t="str">
            <v>NUTRI</v>
          </cell>
          <cell r="K927" t="str">
            <v>LACTALIS</v>
          </cell>
          <cell r="L927" t="str">
            <v>PEDRO</v>
          </cell>
          <cell r="M927" t="str">
            <v>VAGO QSR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  <cell r="H928" t="str">
            <v>DISTRIBUIÇÃO</v>
          </cell>
          <cell r="I928" t="str">
            <v>FOOD SERVICE</v>
          </cell>
          <cell r="J928" t="str">
            <v>FLAC 3</v>
          </cell>
          <cell r="K928" t="str">
            <v>LACTALIS</v>
          </cell>
          <cell r="L928" t="str">
            <v>RODRIGO</v>
          </cell>
          <cell r="M928" t="str">
            <v>RAQUEL BARBOSA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  <cell r="H929" t="str">
            <v>DISTRIBUIÇÃO</v>
          </cell>
          <cell r="I929" t="str">
            <v>FOOD SERVICE</v>
          </cell>
          <cell r="J929" t="str">
            <v>MARCELO SILVA</v>
          </cell>
          <cell r="K929" t="str">
            <v>ITAMBÉ</v>
          </cell>
          <cell r="L929" t="str">
            <v>RODRIGO</v>
          </cell>
          <cell r="M929" t="str">
            <v>CELIO MARTINS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  <cell r="H930" t="str">
            <v>INGREDIENTS</v>
          </cell>
          <cell r="I930" t="str">
            <v>INGREDIENTS</v>
          </cell>
          <cell r="J930" t="str">
            <v>JOEL ELEOTÉRIO</v>
          </cell>
          <cell r="K930" t="str">
            <v>LACTALIS</v>
          </cell>
          <cell r="L930" t="str">
            <v>MAURICIO</v>
          </cell>
          <cell r="M930" t="str">
            <v>JOEL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  <cell r="H931" t="str">
            <v>DISTRIBUIÇÃO</v>
          </cell>
          <cell r="I931" t="str">
            <v>FOOD SERVICE</v>
          </cell>
          <cell r="J931" t="str">
            <v>ALEXANDRO RODRIGUES</v>
          </cell>
          <cell r="K931" t="str">
            <v>ITAMBÉ</v>
          </cell>
          <cell r="L931" t="str">
            <v>RODRIGO</v>
          </cell>
          <cell r="M931" t="str">
            <v>ALEXANDRO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  <cell r="H932" t="str">
            <v>DISTRIBUIÇÃO</v>
          </cell>
          <cell r="I932" t="str">
            <v>FOOD SERVICE</v>
          </cell>
          <cell r="J932" t="str">
            <v>FLAC 6</v>
          </cell>
          <cell r="K932" t="str">
            <v>LACTALIS</v>
          </cell>
          <cell r="L932" t="str">
            <v>RODRIGO</v>
          </cell>
          <cell r="M932" t="str">
            <v>RAQUEL BARBOSA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  <cell r="H933" t="str">
            <v>DISTRIBUIÇÃO</v>
          </cell>
          <cell r="I933" t="str">
            <v>FOOD SERVICE</v>
          </cell>
          <cell r="J933" t="str">
            <v>FLAC 2</v>
          </cell>
          <cell r="K933" t="str">
            <v>LACTALIS</v>
          </cell>
          <cell r="L933" t="str">
            <v>RODRIGO</v>
          </cell>
          <cell r="M933" t="str">
            <v>RAQUEL BARBOSA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  <cell r="H934" t="str">
            <v>INGREDIENTS</v>
          </cell>
          <cell r="I934" t="str">
            <v>INGREDIENTS</v>
          </cell>
          <cell r="J934" t="str">
            <v>AM - DUAS RODAS</v>
          </cell>
          <cell r="K934" t="str">
            <v>ITAMBÉ</v>
          </cell>
          <cell r="L934" t="str">
            <v>MAURICIO</v>
          </cell>
          <cell r="M934" t="str">
            <v>JOEL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  <cell r="H935" t="str">
            <v>DISTRIBUIÇÃO</v>
          </cell>
          <cell r="I935" t="str">
            <v>FOOD SERVICE</v>
          </cell>
          <cell r="J935" t="str">
            <v>FLAC 2</v>
          </cell>
          <cell r="K935" t="str">
            <v>LACTALIS</v>
          </cell>
          <cell r="L935" t="str">
            <v>RODRIGO</v>
          </cell>
          <cell r="M935" t="str">
            <v>RAQUEL BARBOSA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  <cell r="H936" t="str">
            <v>DISTRIBUIÇÃO</v>
          </cell>
          <cell r="I936" t="str">
            <v>FOOD SERVICE</v>
          </cell>
          <cell r="J936" t="str">
            <v>FLAC 6</v>
          </cell>
          <cell r="K936" t="str">
            <v>LACTALIS</v>
          </cell>
          <cell r="L936" t="str">
            <v>RODRIGO</v>
          </cell>
          <cell r="M936" t="str">
            <v>RAQUEL BARBOSA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  <cell r="H937" t="str">
            <v>INGREDIENTS</v>
          </cell>
          <cell r="I937" t="str">
            <v>INGREDIENTS</v>
          </cell>
          <cell r="J937" t="str">
            <v>JOEL ELEOTÉRIO</v>
          </cell>
          <cell r="K937" t="str">
            <v>LACTALIS</v>
          </cell>
          <cell r="L937" t="str">
            <v>MAURICIO</v>
          </cell>
          <cell r="M937" t="str">
            <v>JOEL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  <cell r="H938" t="str">
            <v>DISTRIBUIÇÃO</v>
          </cell>
          <cell r="I938" t="str">
            <v>FOOD SERVICE</v>
          </cell>
          <cell r="J938" t="str">
            <v>FLAC 6</v>
          </cell>
          <cell r="K938" t="str">
            <v>LACTALIS</v>
          </cell>
          <cell r="L938" t="str">
            <v>RODRIGO</v>
          </cell>
          <cell r="M938" t="str">
            <v>RAQUEL BARBOSA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  <cell r="H939" t="str">
            <v>DISTRIBUIÇÃO</v>
          </cell>
          <cell r="I939" t="str">
            <v>FOOD SERVICE</v>
          </cell>
          <cell r="J939" t="str">
            <v>FLAC 1</v>
          </cell>
          <cell r="K939" t="str">
            <v>LACTALIS</v>
          </cell>
          <cell r="L939" t="str">
            <v>RODRIGO</v>
          </cell>
          <cell r="M939" t="str">
            <v>RAQUEL BARBOSA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  <cell r="H940" t="str">
            <v>DISTRIBUIÇÃO</v>
          </cell>
          <cell r="I940" t="str">
            <v>FOOD SERVICE</v>
          </cell>
          <cell r="J940" t="str">
            <v>MARCELO DUARTE</v>
          </cell>
          <cell r="K940" t="str">
            <v>ITAMBÉ</v>
          </cell>
          <cell r="L940" t="str">
            <v>RODRIGO</v>
          </cell>
          <cell r="M940" t="str">
            <v>JESSICA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  <cell r="H941" t="str">
            <v>INGREDIENTS</v>
          </cell>
          <cell r="I941" t="str">
            <v>INGREDIENTS</v>
          </cell>
          <cell r="J941" t="str">
            <v>SP ITB FS IKM REPRESENTACOES</v>
          </cell>
          <cell r="K941" t="str">
            <v>ITAMBÉ</v>
          </cell>
          <cell r="L941" t="str">
            <v>MAURICIO</v>
          </cell>
          <cell r="M941" t="str">
            <v>TATIANA NITTA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  <cell r="H942" t="str">
            <v>DISTRIBUIÇÃO</v>
          </cell>
          <cell r="I942" t="str">
            <v>FOOD SERVICE</v>
          </cell>
          <cell r="J942" t="str">
            <v>FLAC 6</v>
          </cell>
          <cell r="K942" t="str">
            <v>LACTALIS</v>
          </cell>
          <cell r="L942" t="str">
            <v>RODRIGO</v>
          </cell>
          <cell r="M942" t="str">
            <v>RAQUEL BARBOSA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  <cell r="H943" t="str">
            <v>DISTRIBUIÇÃO</v>
          </cell>
          <cell r="I943" t="str">
            <v>FOOD SERVICE</v>
          </cell>
          <cell r="J943" t="str">
            <v>ANGELICA BATISTELA</v>
          </cell>
          <cell r="K943" t="str">
            <v>ITAMBÉ</v>
          </cell>
          <cell r="L943" t="str">
            <v>RODRIGO</v>
          </cell>
          <cell r="M943" t="str">
            <v>ANGELICA BATISTELA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  <cell r="H944" t="str">
            <v>DISTRIBUIÇÃO</v>
          </cell>
          <cell r="I944" t="str">
            <v>FOOD SERVICE</v>
          </cell>
          <cell r="J944" t="str">
            <v>FLAC 6</v>
          </cell>
          <cell r="K944" t="str">
            <v>LACTALIS</v>
          </cell>
          <cell r="L944" t="str">
            <v>RODRIGO</v>
          </cell>
          <cell r="M944" t="str">
            <v>RAQUEL BARBOSA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  <cell r="H945" t="str">
            <v>DISTRIBUIÇÃO</v>
          </cell>
          <cell r="I945" t="str">
            <v>FOOD SERVICE</v>
          </cell>
          <cell r="J945" t="str">
            <v>FLAC 2</v>
          </cell>
          <cell r="K945" t="str">
            <v>LACTALIS</v>
          </cell>
          <cell r="L945" t="str">
            <v>RODRIGO</v>
          </cell>
          <cell r="M945" t="str">
            <v>RAQUEL BARBOSA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  <cell r="H946" t="str">
            <v>DISTRIBUIÇÃO</v>
          </cell>
          <cell r="I946" t="str">
            <v>FOOD SERVICE</v>
          </cell>
          <cell r="J946" t="str">
            <v>FLAC 6</v>
          </cell>
          <cell r="K946" t="str">
            <v>LACTALIS</v>
          </cell>
          <cell r="L946" t="str">
            <v>RODRIGO</v>
          </cell>
          <cell r="M946" t="str">
            <v>RAQUEL BARBOSA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  <cell r="H947" t="str">
            <v>DISTRIBUIÇÃO</v>
          </cell>
          <cell r="I947" t="str">
            <v>FOOD SERVICE</v>
          </cell>
          <cell r="J947" t="str">
            <v>FLAC 2</v>
          </cell>
          <cell r="K947" t="str">
            <v>LACTALIS</v>
          </cell>
          <cell r="L947" t="str">
            <v>RODRIGO</v>
          </cell>
          <cell r="M947" t="str">
            <v>RAQUEL BARBOSA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  <cell r="H948" t="str">
            <v>DISTRIBUIÇÃO</v>
          </cell>
          <cell r="I948" t="str">
            <v>FOOD SERVICE</v>
          </cell>
          <cell r="J948" t="str">
            <v>FLAC 6</v>
          </cell>
          <cell r="K948" t="str">
            <v>LACTALIS</v>
          </cell>
          <cell r="L948" t="str">
            <v>RODRIGO</v>
          </cell>
          <cell r="M948" t="str">
            <v>RAQUEL BARBOSA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  <cell r="H949" t="str">
            <v>DISTRIBUIÇÃO</v>
          </cell>
          <cell r="I949" t="str">
            <v>FOOD SERVICE</v>
          </cell>
          <cell r="J949" t="str">
            <v>FLAC 2</v>
          </cell>
          <cell r="K949" t="str">
            <v>LACTALIS</v>
          </cell>
          <cell r="L949" t="str">
            <v>RODRIGO</v>
          </cell>
          <cell r="M949" t="str">
            <v>RAQUEL BARBOSA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  <cell r="H950" t="str">
            <v>DISTRIBUIÇÃO</v>
          </cell>
          <cell r="I950" t="str">
            <v>FOOD SERVICE</v>
          </cell>
          <cell r="J950" t="str">
            <v>FLAC 2</v>
          </cell>
          <cell r="K950" t="str">
            <v>LACTALIS</v>
          </cell>
          <cell r="L950" t="str">
            <v>RODRIGO</v>
          </cell>
          <cell r="M950" t="str">
            <v>RAQUEL BARBOSA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  <cell r="H951" t="str">
            <v>DISTRIBUIÇÃO</v>
          </cell>
          <cell r="I951" t="str">
            <v>FOOD SERVICE</v>
          </cell>
          <cell r="J951" t="str">
            <v>FLAC 2</v>
          </cell>
          <cell r="K951" t="str">
            <v>LACTALIS</v>
          </cell>
          <cell r="L951" t="str">
            <v>RODRIGO</v>
          </cell>
          <cell r="M951" t="str">
            <v>RAQUEL BARBOSA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  <cell r="H952" t="str">
            <v>DISTRIBUIÇÃO</v>
          </cell>
          <cell r="I952" t="str">
            <v>FOOD SERVICE</v>
          </cell>
          <cell r="J952" t="str">
            <v>FLAC 3</v>
          </cell>
          <cell r="K952" t="str">
            <v>LACTALIS</v>
          </cell>
          <cell r="L952" t="str">
            <v>RODRIGO</v>
          </cell>
          <cell r="M952" t="str">
            <v>RAQUEL BARBOSA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  <cell r="H953" t="str">
            <v>DISTRIBUIÇÃO</v>
          </cell>
          <cell r="I953" t="str">
            <v>FOOD SERVICE</v>
          </cell>
          <cell r="J953" t="str">
            <v>VAGO SP</v>
          </cell>
          <cell r="K953" t="str">
            <v>LACTALIS</v>
          </cell>
          <cell r="L953" t="str">
            <v>RODRIGO</v>
          </cell>
          <cell r="M953" t="str">
            <v>RAQUEL BARBOSA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  <cell r="H954" t="str">
            <v>DISTRIBUIÇÃO</v>
          </cell>
          <cell r="I954" t="str">
            <v>FOOD SERVICE</v>
          </cell>
          <cell r="J954" t="str">
            <v>FLAC 1</v>
          </cell>
          <cell r="K954" t="str">
            <v>LACTALIS</v>
          </cell>
          <cell r="L954" t="str">
            <v>RODRIGO</v>
          </cell>
          <cell r="M954" t="str">
            <v>RAQUEL BARBOSA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  <cell r="H955" t="str">
            <v>DISTRIBUIÇÃO</v>
          </cell>
          <cell r="I955" t="str">
            <v>FOOD SERVICE</v>
          </cell>
          <cell r="J955" t="str">
            <v>MARCELO SILVA</v>
          </cell>
          <cell r="K955" t="str">
            <v>ITAMBÉ</v>
          </cell>
          <cell r="L955" t="str">
            <v>RODRIGO</v>
          </cell>
          <cell r="M955" t="str">
            <v>CELIO MARTINS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  <cell r="H956" t="str">
            <v>DISTRIBUIÇÃO</v>
          </cell>
          <cell r="I956" t="str">
            <v>FOOD SERVICE</v>
          </cell>
          <cell r="J956" t="str">
            <v>FLAC 2</v>
          </cell>
          <cell r="K956" t="str">
            <v>LACTALIS</v>
          </cell>
          <cell r="L956" t="str">
            <v>RODRIGO</v>
          </cell>
          <cell r="M956" t="str">
            <v>RAQUEL BARBOSA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  <cell r="H957" t="str">
            <v>DISTRIBUIÇÃO</v>
          </cell>
          <cell r="I957" t="str">
            <v>FOOD SERVICE</v>
          </cell>
          <cell r="J957" t="str">
            <v>FLAC 3</v>
          </cell>
          <cell r="K957" t="str">
            <v>LACTALIS</v>
          </cell>
          <cell r="L957" t="str">
            <v>RODRIGO</v>
          </cell>
          <cell r="M957" t="str">
            <v>RAQUEL BARBOSA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  <cell r="H958" t="str">
            <v>QSR</v>
          </cell>
          <cell r="I958" t="str">
            <v>FOOD SERVICE</v>
          </cell>
          <cell r="J958" t="str">
            <v>ANA MENIQUETE</v>
          </cell>
          <cell r="K958" t="str">
            <v>ITAMBÉ</v>
          </cell>
          <cell r="L958" t="str">
            <v>PEDRO</v>
          </cell>
          <cell r="M958" t="str">
            <v>ANA MENIQUETE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  <cell r="H959" t="str">
            <v>QSR</v>
          </cell>
          <cell r="I959" t="str">
            <v>FOOD SERVICE</v>
          </cell>
          <cell r="J959" t="str">
            <v>ANA MENIQUETE</v>
          </cell>
          <cell r="K959" t="str">
            <v>ITAMBÉ</v>
          </cell>
          <cell r="L959" t="str">
            <v>PEDRO</v>
          </cell>
          <cell r="M959" t="str">
            <v>ANA MENIQUETE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  <cell r="H960" t="str">
            <v>QSR</v>
          </cell>
          <cell r="I960" t="str">
            <v>FOOD SERVICE</v>
          </cell>
          <cell r="J960" t="str">
            <v>ANA MENIQUETE</v>
          </cell>
          <cell r="K960" t="str">
            <v>LACTALIS</v>
          </cell>
          <cell r="L960" t="str">
            <v>PEDRO</v>
          </cell>
          <cell r="M960" t="str">
            <v>ANA MENIQUETE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  <cell r="H961" t="str">
            <v>QSR</v>
          </cell>
          <cell r="I961" t="str">
            <v>FOOD SERVICE</v>
          </cell>
          <cell r="J961" t="str">
            <v>ANA MENIQUETE</v>
          </cell>
          <cell r="K961" t="str">
            <v>ITAMBÉ</v>
          </cell>
          <cell r="L961" t="str">
            <v>PEDRO</v>
          </cell>
          <cell r="M961" t="str">
            <v>ANA MENIQUETE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  <cell r="H962" t="str">
            <v>QSR</v>
          </cell>
          <cell r="I962" t="str">
            <v>FOOD SERVICE</v>
          </cell>
          <cell r="J962" t="str">
            <v>ANA MENIQUETE</v>
          </cell>
          <cell r="K962" t="str">
            <v>LACTALIS</v>
          </cell>
          <cell r="L962" t="str">
            <v>PEDRO</v>
          </cell>
          <cell r="M962" t="str">
            <v>ANA MENIQUETE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  <cell r="H963" t="str">
            <v>DISTRIBUIÇÃO</v>
          </cell>
          <cell r="I963" t="str">
            <v>FOOD SERVICE</v>
          </cell>
          <cell r="J963" t="str">
            <v>WH FOOD SERVICE CE</v>
          </cell>
          <cell r="K963" t="str">
            <v>ITAMBÉ</v>
          </cell>
          <cell r="L963" t="str">
            <v>RODRIGO</v>
          </cell>
          <cell r="M963" t="str">
            <v>MARIA LOURDES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  <cell r="H964" t="str">
            <v>DISTRIBUIÇÃO</v>
          </cell>
          <cell r="I964" t="str">
            <v>FOOD SERVICE</v>
          </cell>
          <cell r="J964" t="str">
            <v>FLAC 2</v>
          </cell>
          <cell r="K964" t="str">
            <v>LACTALIS</v>
          </cell>
          <cell r="L964" t="str">
            <v>RODRIGO</v>
          </cell>
          <cell r="M964" t="str">
            <v>RAQUEL BARBOSA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  <cell r="H965" t="str">
            <v>DISTRIBUIÇÃO</v>
          </cell>
          <cell r="I965" t="str">
            <v>FOOD SERVICE</v>
          </cell>
          <cell r="J965" t="str">
            <v>CLAUDIO JORGE/LUIZ</v>
          </cell>
          <cell r="K965" t="str">
            <v>ITAMBÉ</v>
          </cell>
          <cell r="L965" t="str">
            <v>RODRIGO</v>
          </cell>
          <cell r="M965" t="str">
            <v>MARIA LOURDES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  <cell r="H966" t="str">
            <v>INGREDIENTS</v>
          </cell>
          <cell r="I966" t="str">
            <v>INGREDIENTS</v>
          </cell>
          <cell r="J966" t="str">
            <v>HENRIQUE FERREIRA</v>
          </cell>
          <cell r="K966" t="str">
            <v>ITAMBÉ</v>
          </cell>
          <cell r="L966" t="str">
            <v>MAURICIO</v>
          </cell>
          <cell r="M966" t="str">
            <v>JOEL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  <cell r="H967" t="str">
            <v>INGREDIENTS</v>
          </cell>
          <cell r="I967" t="str">
            <v>INGREDIENTS</v>
          </cell>
          <cell r="J967" t="str">
            <v>TATIANA NITTA</v>
          </cell>
          <cell r="K967" t="str">
            <v>ITAMBÉ</v>
          </cell>
          <cell r="L967" t="str">
            <v>MAURICIO</v>
          </cell>
          <cell r="M967" t="str">
            <v>TATIANA NITTA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  <cell r="H968" t="str">
            <v>DISTRIBUIÇÃO</v>
          </cell>
          <cell r="I968" t="str">
            <v>FOOD SERVICE</v>
          </cell>
          <cell r="J968" t="str">
            <v>MARCELO DUARTE</v>
          </cell>
          <cell r="K968" t="str">
            <v>ITAMBÉ</v>
          </cell>
          <cell r="L968" t="str">
            <v>RODRIGO</v>
          </cell>
          <cell r="M968" t="str">
            <v>JESSICA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  <cell r="H969" t="str">
            <v>DISTRIBUIÇÃO</v>
          </cell>
          <cell r="I969" t="str">
            <v>FOOD SERVICE</v>
          </cell>
          <cell r="J969" t="str">
            <v>MARCELO DUARTE</v>
          </cell>
          <cell r="K969" t="str">
            <v>ITAMBÉ</v>
          </cell>
          <cell r="L969" t="str">
            <v>RODRIGO</v>
          </cell>
          <cell r="M969" t="str">
            <v>JESSICA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  <cell r="H970" t="str">
            <v>DISTRIBUIÇÃO</v>
          </cell>
          <cell r="I970" t="str">
            <v>FOOD SERVICE</v>
          </cell>
          <cell r="J970" t="str">
            <v>MARCELO SILVA</v>
          </cell>
          <cell r="K970" t="str">
            <v>ITAMBÉ</v>
          </cell>
          <cell r="L970" t="str">
            <v>RODRIGO</v>
          </cell>
          <cell r="M970" t="str">
            <v>CELIO MARTINS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  <cell r="H971" t="str">
            <v>INGREDIENTS</v>
          </cell>
          <cell r="I971" t="str">
            <v>INGREDIENTS</v>
          </cell>
          <cell r="J971" t="str">
            <v>BA ITB FS ML FLAVORS</v>
          </cell>
          <cell r="K971" t="str">
            <v>ITAMBÉ</v>
          </cell>
          <cell r="L971" t="str">
            <v>MAURICIO</v>
          </cell>
          <cell r="M971" t="str">
            <v>JOEL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  <cell r="H972" t="str">
            <v>INGREDIENTS</v>
          </cell>
          <cell r="I972" t="str">
            <v>INGREDIENTS</v>
          </cell>
          <cell r="J972" t="str">
            <v>BA ITB FS ML FLAVORS</v>
          </cell>
          <cell r="K972" t="str">
            <v>ITAMBÉ</v>
          </cell>
          <cell r="L972" t="str">
            <v>MAURICIO</v>
          </cell>
          <cell r="M972" t="str">
            <v>JOEL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  <cell r="H973" t="str">
            <v>INGREDIENTS</v>
          </cell>
          <cell r="I973" t="str">
            <v>INGREDIENTS</v>
          </cell>
          <cell r="J973" t="str">
            <v>MARCELO RODRIGUES</v>
          </cell>
          <cell r="K973" t="str">
            <v>LACTALIS</v>
          </cell>
          <cell r="L973" t="str">
            <v>MAURICIO</v>
          </cell>
          <cell r="M973" t="str">
            <v>MARCELO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  <cell r="H974" t="str">
            <v>DISTRIBUIÇÃO</v>
          </cell>
          <cell r="I974" t="str">
            <v>FOOD SERVICE</v>
          </cell>
          <cell r="J974" t="str">
            <v>WH FOOD SERVICE CE</v>
          </cell>
          <cell r="K974" t="str">
            <v>ITAMBÉ</v>
          </cell>
          <cell r="L974" t="str">
            <v>RODRIGO</v>
          </cell>
          <cell r="M974" t="str">
            <v>MARIA LOURDES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  <cell r="H975" t="str">
            <v>DISTRIBUIÇÃO</v>
          </cell>
          <cell r="I975" t="str">
            <v>FOOD SERVICE</v>
          </cell>
          <cell r="J975" t="str">
            <v>FLAC 6</v>
          </cell>
          <cell r="K975" t="str">
            <v>LACTALIS</v>
          </cell>
          <cell r="L975" t="str">
            <v>RODRIGO</v>
          </cell>
          <cell r="M975" t="str">
            <v>RAQUEL BARBOSA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  <cell r="H976" t="str">
            <v>DISTRIBUIÇÃO</v>
          </cell>
          <cell r="I976" t="str">
            <v>FOOD SERVICE</v>
          </cell>
          <cell r="J976" t="str">
            <v>FLAC 3</v>
          </cell>
          <cell r="K976" t="str">
            <v>LACTALIS</v>
          </cell>
          <cell r="L976" t="str">
            <v>RODRIGO</v>
          </cell>
          <cell r="M976" t="str">
            <v>RAQUEL BARBOSA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  <cell r="H977" t="str">
            <v>DISTRIBUIÇÃO</v>
          </cell>
          <cell r="I977" t="str">
            <v>FOOD SERVICE</v>
          </cell>
          <cell r="J977" t="str">
            <v>FLAC 2</v>
          </cell>
          <cell r="K977" t="str">
            <v>LACTALIS</v>
          </cell>
          <cell r="L977" t="str">
            <v>RODRIGO</v>
          </cell>
          <cell r="M977" t="str">
            <v>RAQUEL BARBOSA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  <cell r="H978" t="str">
            <v>DISTRIBUIÇÃO</v>
          </cell>
          <cell r="I978" t="str">
            <v>FOOD SERVICE</v>
          </cell>
          <cell r="J978" t="str">
            <v>FLAC 2</v>
          </cell>
          <cell r="K978" t="str">
            <v>LACTALIS</v>
          </cell>
          <cell r="L978" t="str">
            <v>RODRIGO</v>
          </cell>
          <cell r="M978" t="str">
            <v>RAQUEL BARBOSA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  <cell r="H979" t="str">
            <v>DISTRIBUIÇÃO</v>
          </cell>
          <cell r="I979" t="str">
            <v>FOOD SERVICE</v>
          </cell>
          <cell r="J979" t="str">
            <v>FLAC 2</v>
          </cell>
          <cell r="K979" t="str">
            <v>LACTALIS</v>
          </cell>
          <cell r="L979" t="str">
            <v>RODRIGO</v>
          </cell>
          <cell r="M979" t="str">
            <v>RAQUEL BARBOSA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  <cell r="H980" t="str">
            <v>DISTRIBUIÇÃO</v>
          </cell>
          <cell r="I980" t="str">
            <v>FOOD SERVICE</v>
          </cell>
          <cell r="J980" t="str">
            <v>ANGELICA BATISTELA</v>
          </cell>
          <cell r="K980" t="str">
            <v>ITAMBÉ</v>
          </cell>
          <cell r="L980" t="str">
            <v>RODRIGO</v>
          </cell>
          <cell r="M980" t="str">
            <v>ANGELICA BATISTELA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  <cell r="H981" t="str">
            <v>DISTRIBUIÇÃO</v>
          </cell>
          <cell r="I981" t="str">
            <v>FOOD SERVICE</v>
          </cell>
          <cell r="J981" t="str">
            <v>FLAC 6</v>
          </cell>
          <cell r="K981" t="str">
            <v>LACTALIS</v>
          </cell>
          <cell r="L981" t="str">
            <v>RODRIGO</v>
          </cell>
          <cell r="M981" t="str">
            <v>RAQUEL BARBOSA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  <cell r="H982" t="str">
            <v>DISTRIBUIÇÃO</v>
          </cell>
          <cell r="I982" t="str">
            <v>FOOD SERVICE</v>
          </cell>
          <cell r="J982" t="str">
            <v>FLAC 6</v>
          </cell>
          <cell r="K982" t="str">
            <v>LACTALIS</v>
          </cell>
          <cell r="L982" t="str">
            <v>RODRIGO</v>
          </cell>
          <cell r="M982" t="str">
            <v>RAQUEL BARBOSA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  <cell r="H983" t="str">
            <v>DISTRIBUIÇÃO</v>
          </cell>
          <cell r="I983" t="str">
            <v>FOOD SERVICE</v>
          </cell>
          <cell r="J983" t="str">
            <v>FLAC 2</v>
          </cell>
          <cell r="K983" t="str">
            <v>LACTALIS</v>
          </cell>
          <cell r="L983" t="str">
            <v>RODRIGO</v>
          </cell>
          <cell r="M983" t="str">
            <v>RAQUEL BARBOSA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  <cell r="H984" t="str">
            <v>DISTRIBUIÇÃO</v>
          </cell>
          <cell r="I984" t="str">
            <v>FOOD SERVICE</v>
          </cell>
          <cell r="J984" t="str">
            <v>CLAUDIO JORGE/LUIZ</v>
          </cell>
          <cell r="K984" t="str">
            <v>ITAMBÉ</v>
          </cell>
          <cell r="L984" t="str">
            <v>RODRIGO</v>
          </cell>
          <cell r="M984" t="str">
            <v>MARIA LOURDES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  <cell r="H985" t="str">
            <v>INGREDIENTS</v>
          </cell>
          <cell r="I985" t="str">
            <v>INGREDIENTS</v>
          </cell>
          <cell r="J985" t="str">
            <v>DUAS RODAS</v>
          </cell>
          <cell r="K985" t="str">
            <v>ITAMBÉ</v>
          </cell>
          <cell r="L985" t="str">
            <v>MAURICIO</v>
          </cell>
          <cell r="M985" t="str">
            <v>MARCELO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  <cell r="H986" t="str">
            <v>DISTRIBUIÇÃO</v>
          </cell>
          <cell r="I986" t="str">
            <v>FOOD SERVICE</v>
          </cell>
          <cell r="J986" t="str">
            <v>MARCELO DUARTE</v>
          </cell>
          <cell r="K986" t="str">
            <v>ITAMBÉ</v>
          </cell>
          <cell r="L986" t="str">
            <v>RODRIGO</v>
          </cell>
          <cell r="M986" t="str">
            <v>JESSICA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  <cell r="H987" t="str">
            <v>INGREDIENTS</v>
          </cell>
          <cell r="I987" t="str">
            <v>INGREDIENTS</v>
          </cell>
          <cell r="J987" t="str">
            <v>MARCELO RODRIGUES</v>
          </cell>
          <cell r="K987" t="str">
            <v>LACTALIS</v>
          </cell>
          <cell r="L987" t="str">
            <v>MAURICIO</v>
          </cell>
          <cell r="M987" t="str">
            <v>MARCELO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  <cell r="H988" t="str">
            <v>DISTRIBUIÇÃO</v>
          </cell>
          <cell r="I988" t="str">
            <v>FOOD SERVICE</v>
          </cell>
          <cell r="J988" t="str">
            <v>FLAC 2</v>
          </cell>
          <cell r="K988" t="str">
            <v>LACTALIS</v>
          </cell>
          <cell r="L988" t="str">
            <v>RODRIGO</v>
          </cell>
          <cell r="M988" t="str">
            <v>RAQUEL BARBOSA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  <cell r="H989" t="str">
            <v>DISTRIBUIÇÃO</v>
          </cell>
          <cell r="I989" t="str">
            <v>FOOD SERVICE</v>
          </cell>
          <cell r="J989" t="str">
            <v>FLAC 2</v>
          </cell>
          <cell r="K989" t="str">
            <v>LACTALIS</v>
          </cell>
          <cell r="L989" t="str">
            <v>RODRIGO</v>
          </cell>
          <cell r="M989" t="str">
            <v>RAQUEL BARBOSA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  <cell r="H990" t="str">
            <v>DISTRIBUIÇÃO</v>
          </cell>
          <cell r="I990" t="str">
            <v>FOOD SERVICE</v>
          </cell>
          <cell r="J990" t="str">
            <v>FLAC 6</v>
          </cell>
          <cell r="K990" t="str">
            <v>LACTALIS</v>
          </cell>
          <cell r="L990" t="str">
            <v>RODRIGO</v>
          </cell>
          <cell r="M990" t="str">
            <v>RAQUEL BARBOSA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  <cell r="H991" t="str">
            <v>DISTRIBUIÇÃO</v>
          </cell>
          <cell r="I991" t="str">
            <v>FOOD SERVICE</v>
          </cell>
          <cell r="J991" t="str">
            <v>FLAC 2</v>
          </cell>
          <cell r="K991" t="str">
            <v>LACTALIS</v>
          </cell>
          <cell r="L991" t="str">
            <v>RODRIGO</v>
          </cell>
          <cell r="M991" t="str">
            <v>RAQUEL BARBOSA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  <cell r="H992" t="str">
            <v>DISTRIBUIÇÃO</v>
          </cell>
          <cell r="I992" t="str">
            <v>FOOD SERVICE</v>
          </cell>
          <cell r="J992" t="str">
            <v>LUCIANA MARTINS</v>
          </cell>
          <cell r="K992" t="str">
            <v>ITAMBÉ</v>
          </cell>
          <cell r="L992" t="str">
            <v>RODRIGO</v>
          </cell>
          <cell r="M992" t="str">
            <v>JESSICA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  <cell r="H993" t="str">
            <v>INGREDIENTS</v>
          </cell>
          <cell r="I993" t="str">
            <v>INGREDIENTS</v>
          </cell>
          <cell r="J993" t="str">
            <v>DUAS RODAS</v>
          </cell>
          <cell r="K993" t="str">
            <v>ITAMBÉ</v>
          </cell>
          <cell r="L993" t="str">
            <v>MAURICIO</v>
          </cell>
          <cell r="M993" t="str">
            <v>MARCELO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  <cell r="H994" t="str">
            <v>INGREDIENTS</v>
          </cell>
          <cell r="I994" t="str">
            <v>INGREDIENTS</v>
          </cell>
          <cell r="J994" t="str">
            <v>MARCELO RODRIGUES</v>
          </cell>
          <cell r="K994" t="str">
            <v>ITAMBÉ</v>
          </cell>
          <cell r="L994" t="str">
            <v>MAURICIO</v>
          </cell>
          <cell r="M994" t="str">
            <v>MARCELO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  <cell r="H995" t="str">
            <v>INGREDIENTS</v>
          </cell>
          <cell r="I995" t="str">
            <v>INGREDIENTS</v>
          </cell>
          <cell r="J995" t="str">
            <v>MARCELO RODRIGUES</v>
          </cell>
          <cell r="K995" t="str">
            <v>ITAMBÉ</v>
          </cell>
          <cell r="L995" t="str">
            <v>MAURICIO</v>
          </cell>
          <cell r="M995" t="str">
            <v>MARCELO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  <cell r="H996" t="str">
            <v>INGREDIENTS</v>
          </cell>
          <cell r="I996" t="str">
            <v>INGREDIENTS</v>
          </cell>
          <cell r="J996" t="str">
            <v>MARCELO RODRIGUES</v>
          </cell>
          <cell r="K996" t="str">
            <v>LACTALIS</v>
          </cell>
          <cell r="L996" t="str">
            <v>MAURICIO</v>
          </cell>
          <cell r="M996" t="str">
            <v>MARCELO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  <cell r="H997" t="str">
            <v>INGREDIENTS</v>
          </cell>
          <cell r="I997" t="str">
            <v>INGREDIENTS</v>
          </cell>
          <cell r="J997" t="str">
            <v>MARCELO RODRIGUES</v>
          </cell>
          <cell r="K997" t="str">
            <v>LACTALIS</v>
          </cell>
          <cell r="L997" t="str">
            <v>MAURICIO</v>
          </cell>
          <cell r="M997" t="str">
            <v>MARCELO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  <cell r="H998" t="str">
            <v>INGREDIENTS</v>
          </cell>
          <cell r="I998" t="str">
            <v>INGREDIENTS</v>
          </cell>
          <cell r="J998" t="str">
            <v>MARCELO RODRIGUES</v>
          </cell>
          <cell r="K998" t="str">
            <v>ITAMBÉ</v>
          </cell>
          <cell r="L998" t="str">
            <v>MAURICIO</v>
          </cell>
          <cell r="M998" t="str">
            <v>MARCELO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  <cell r="H999" t="str">
            <v>DISTRIBUIÇÃO</v>
          </cell>
          <cell r="I999" t="str">
            <v>FOOD SERVICE</v>
          </cell>
          <cell r="J999" t="str">
            <v>FLAC 2</v>
          </cell>
          <cell r="K999" t="str">
            <v>LACTALIS</v>
          </cell>
          <cell r="L999" t="str">
            <v>RODRIGO</v>
          </cell>
          <cell r="M999" t="str">
            <v>RAQUEL BARBOSA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  <cell r="H1000" t="str">
            <v>DISTRIBUIÇÃO</v>
          </cell>
          <cell r="I1000" t="str">
            <v>FOOD SERVICE</v>
          </cell>
          <cell r="J1000" t="str">
            <v>FLAC 2</v>
          </cell>
          <cell r="K1000" t="str">
            <v>LACTALIS</v>
          </cell>
          <cell r="L1000" t="str">
            <v>RODRIGO</v>
          </cell>
          <cell r="M1000" t="str">
            <v>RAQUEL BARBOSA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  <cell r="H1001" t="str">
            <v>QSR</v>
          </cell>
          <cell r="I1001" t="str">
            <v>FOOD SERVICE</v>
          </cell>
          <cell r="J1001" t="str">
            <v>ANA MENIQUETE</v>
          </cell>
          <cell r="K1001" t="str">
            <v>LACTALIS</v>
          </cell>
          <cell r="L1001" t="str">
            <v>PEDRO</v>
          </cell>
          <cell r="M1001" t="str">
            <v>ANA MENIQUETE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  <cell r="H1002" t="str">
            <v>QSR</v>
          </cell>
          <cell r="I1002" t="str">
            <v>FOOD SERVICE</v>
          </cell>
          <cell r="J1002" t="str">
            <v>ANA MENIQUETE</v>
          </cell>
          <cell r="K1002" t="str">
            <v>ITAMBÉ</v>
          </cell>
          <cell r="L1002" t="str">
            <v>PEDRO</v>
          </cell>
          <cell r="M1002" t="str">
            <v>ANA MENIQUETE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  <cell r="H1003" t="str">
            <v>QSR</v>
          </cell>
          <cell r="I1003" t="str">
            <v>FOOD SERVICE</v>
          </cell>
          <cell r="J1003" t="str">
            <v>ANA MENIQUETE</v>
          </cell>
          <cell r="K1003" t="str">
            <v>LACTALIS</v>
          </cell>
          <cell r="L1003" t="str">
            <v>PEDRO</v>
          </cell>
          <cell r="M1003" t="str">
            <v>ANA MENIQUETE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  <cell r="H1004" t="str">
            <v>DISTRIBUIÇÃO</v>
          </cell>
          <cell r="I1004" t="str">
            <v>FOOD SERVICE</v>
          </cell>
          <cell r="J1004" t="str">
            <v>FLAC 6</v>
          </cell>
          <cell r="K1004" t="str">
            <v>LACTALIS</v>
          </cell>
          <cell r="L1004" t="str">
            <v>RODRIGO</v>
          </cell>
          <cell r="M1004" t="str">
            <v>RAQUEL BARBOSA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  <cell r="H1005" t="str">
            <v>DISTRIBUIÇÃO</v>
          </cell>
          <cell r="I1005" t="str">
            <v>FOOD SERVICE</v>
          </cell>
          <cell r="J1005" t="str">
            <v>FLAC 5</v>
          </cell>
          <cell r="K1005" t="str">
            <v>LACTALIS</v>
          </cell>
          <cell r="L1005" t="str">
            <v>RODRIGO</v>
          </cell>
          <cell r="M1005" t="str">
            <v>RAQUEL BARBOSA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  <cell r="H1006" t="str">
            <v>INGREDIENTS</v>
          </cell>
          <cell r="I1006" t="str">
            <v>INGREDIENTS</v>
          </cell>
          <cell r="J1006" t="str">
            <v>JOEL ELEOTÉRIO</v>
          </cell>
          <cell r="K1006" t="str">
            <v>ITAMBÉ</v>
          </cell>
          <cell r="L1006" t="str">
            <v>MAURICIO</v>
          </cell>
          <cell r="M1006" t="str">
            <v>JOEL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  <cell r="H1007" t="str">
            <v>DISTRIBUIÇÃO</v>
          </cell>
          <cell r="I1007" t="str">
            <v>FOOD SERVICE</v>
          </cell>
          <cell r="J1007" t="str">
            <v>LUCIANA MARTINS</v>
          </cell>
          <cell r="K1007" t="str">
            <v>ITAMBÉ</v>
          </cell>
          <cell r="L1007" t="str">
            <v>RODRIGO</v>
          </cell>
          <cell r="M1007" t="str">
            <v>JESSICA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  <cell r="H1008" t="str">
            <v>DISTRIBUIÇÃO</v>
          </cell>
          <cell r="I1008" t="str">
            <v>FOOD SERVICE</v>
          </cell>
          <cell r="J1008" t="str">
            <v>FLAC 2</v>
          </cell>
          <cell r="K1008" t="str">
            <v>LACTALIS</v>
          </cell>
          <cell r="L1008" t="str">
            <v>RODRIGO</v>
          </cell>
          <cell r="M1008" t="str">
            <v>RAQUEL BARBOSA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  <cell r="H1009" t="str">
            <v>INGREDIENTS</v>
          </cell>
          <cell r="I1009" t="str">
            <v>INGREDIENTS</v>
          </cell>
          <cell r="J1009" t="str">
            <v>HENRIQUE FERREIRA</v>
          </cell>
          <cell r="K1009" t="str">
            <v>ITAMBÉ</v>
          </cell>
          <cell r="L1009" t="str">
            <v>MAURICIO</v>
          </cell>
          <cell r="M1009" t="str">
            <v>JOEL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  <cell r="H1010" t="str">
            <v>INGREDIENTS</v>
          </cell>
          <cell r="I1010" t="str">
            <v>INGREDIENTS</v>
          </cell>
          <cell r="J1010" t="str">
            <v>HENRIQUE FERREIRA</v>
          </cell>
          <cell r="K1010" t="str">
            <v>LACTALIS</v>
          </cell>
          <cell r="L1010" t="str">
            <v>MAURICIO</v>
          </cell>
          <cell r="M1010" t="str">
            <v>JOEL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  <cell r="H1011" t="str">
            <v>DISTRIBUIÇÃO</v>
          </cell>
          <cell r="I1011" t="str">
            <v>FOOD SERVICE</v>
          </cell>
          <cell r="J1011" t="str">
            <v>FLAC 6</v>
          </cell>
          <cell r="K1011" t="str">
            <v>LACTALIS</v>
          </cell>
          <cell r="L1011" t="str">
            <v>RODRIGO</v>
          </cell>
          <cell r="M1011" t="str">
            <v>RAQUEL BARBOSA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  <cell r="H1012" t="str">
            <v>INGREDIENTS</v>
          </cell>
          <cell r="I1012" t="str">
            <v>INGREDIENTS</v>
          </cell>
          <cell r="J1012" t="str">
            <v>TATIANA NITTA</v>
          </cell>
          <cell r="K1012" t="str">
            <v>ITAMBÉ</v>
          </cell>
          <cell r="L1012" t="str">
            <v>MAURICIO</v>
          </cell>
          <cell r="M1012" t="str">
            <v>TATIANA NITTA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  <cell r="H1013" t="str">
            <v>DISTRIBUIÇÃO</v>
          </cell>
          <cell r="I1013" t="str">
            <v>FOOD SERVICE</v>
          </cell>
          <cell r="J1013" t="str">
            <v>FLAC 3</v>
          </cell>
          <cell r="K1013" t="str">
            <v>LACTALIS</v>
          </cell>
          <cell r="L1013" t="str">
            <v>RODRIGO</v>
          </cell>
          <cell r="M1013" t="str">
            <v>RAQUEL BARBOSA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  <cell r="H1014" t="str">
            <v>DISTRIBUIÇÃO</v>
          </cell>
          <cell r="I1014" t="str">
            <v>FOOD SERVICE</v>
          </cell>
          <cell r="J1014" t="str">
            <v>RAQUEL BARBOSA</v>
          </cell>
          <cell r="K1014" t="str">
            <v>ITAMBÉ</v>
          </cell>
          <cell r="L1014" t="str">
            <v>RODRIGO</v>
          </cell>
          <cell r="M1014" t="str">
            <v>RAQUEL BARBOSA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  <cell r="H1015" t="str">
            <v>DISTRIBUIÇÃO</v>
          </cell>
          <cell r="I1015" t="str">
            <v>FOOD SERVICE</v>
          </cell>
          <cell r="J1015" t="str">
            <v>RAQUEL BARBOSA</v>
          </cell>
          <cell r="K1015" t="str">
            <v>ITAMBÉ</v>
          </cell>
          <cell r="L1015" t="str">
            <v>RODRIGO</v>
          </cell>
          <cell r="M1015" t="str">
            <v>RAQUEL BARBOSA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  <cell r="H1016" t="str">
            <v>DISTRIBUIÇÃO</v>
          </cell>
          <cell r="I1016" t="str">
            <v>FOOD SERVICE</v>
          </cell>
          <cell r="J1016" t="str">
            <v>RAQUEL BARBOSA</v>
          </cell>
          <cell r="K1016" t="str">
            <v>LACTALIS</v>
          </cell>
          <cell r="L1016" t="str">
            <v>RODRIGO</v>
          </cell>
          <cell r="M1016" t="str">
            <v>RAQUEL BARBOSA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  <cell r="H1017" t="str">
            <v>DISTRIBUIÇÃO</v>
          </cell>
          <cell r="I1017" t="str">
            <v>FOOD SERVICE</v>
          </cell>
          <cell r="J1017" t="str">
            <v>FLAC 2</v>
          </cell>
          <cell r="K1017" t="str">
            <v>LACTALIS</v>
          </cell>
          <cell r="L1017" t="str">
            <v>RODRIGO</v>
          </cell>
          <cell r="M1017" t="str">
            <v>RAQUEL BARBOSA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  <cell r="H1018" t="str">
            <v>DISTRIBUIÇÃO</v>
          </cell>
          <cell r="I1018" t="str">
            <v>FOOD SERVICE</v>
          </cell>
          <cell r="J1018" t="str">
            <v>JULIANA CORDEIRO</v>
          </cell>
          <cell r="K1018" t="str">
            <v>ITAMBÉ</v>
          </cell>
          <cell r="L1018" t="str">
            <v>RODRIGO</v>
          </cell>
          <cell r="M1018" t="str">
            <v>JESSICA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  <cell r="H1019" t="str">
            <v>DISTRIBUIÇÃO</v>
          </cell>
          <cell r="I1019" t="str">
            <v>FOOD SERVICE</v>
          </cell>
          <cell r="J1019" t="str">
            <v>JULIANA CORDEIRO</v>
          </cell>
          <cell r="K1019" t="str">
            <v>ITAMBÉ</v>
          </cell>
          <cell r="L1019" t="str">
            <v>RODRIGO</v>
          </cell>
          <cell r="M1019" t="str">
            <v>JESSICA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  <cell r="H1020" t="str">
            <v>DISTRIBUIÇÃO</v>
          </cell>
          <cell r="I1020" t="str">
            <v>FOOD SERVICE</v>
          </cell>
          <cell r="J1020" t="str">
            <v>JULIANA CORDEIRO</v>
          </cell>
          <cell r="K1020" t="str">
            <v>ITAMBÉ</v>
          </cell>
          <cell r="L1020" t="str">
            <v>RODRIGO</v>
          </cell>
          <cell r="M1020" t="str">
            <v>JESSICA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  <cell r="H1021" t="str">
            <v>DISTRIBUIÇÃO</v>
          </cell>
          <cell r="I1021" t="str">
            <v>FOOD SERVICE</v>
          </cell>
          <cell r="J1021" t="str">
            <v>FLAC 6</v>
          </cell>
          <cell r="K1021" t="str">
            <v>LACTALIS</v>
          </cell>
          <cell r="L1021" t="str">
            <v>RODRIGO</v>
          </cell>
          <cell r="M1021" t="str">
            <v>RAQUEL BARBOSA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  <cell r="H1022" t="str">
            <v>DISTRIBUIÇÃO</v>
          </cell>
          <cell r="I1022" t="str">
            <v>FOOD SERVICE</v>
          </cell>
          <cell r="J1022" t="str">
            <v>FLAC 2</v>
          </cell>
          <cell r="K1022" t="str">
            <v>LACTALIS</v>
          </cell>
          <cell r="L1022" t="str">
            <v>RODRIGO</v>
          </cell>
          <cell r="M1022" t="str">
            <v>RAQUEL BARBOSA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  <cell r="H1023" t="str">
            <v>DISTRIBUIÇÃO</v>
          </cell>
          <cell r="I1023" t="str">
            <v>FOOD SERVICE</v>
          </cell>
          <cell r="J1023" t="str">
            <v>CLAUDIO JORGE</v>
          </cell>
          <cell r="K1023" t="str">
            <v>ITAMBÉ</v>
          </cell>
          <cell r="L1023" t="str">
            <v>RODRIGO</v>
          </cell>
          <cell r="M1023" t="str">
            <v>MARCO AURELIO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  <cell r="H1024" t="str">
            <v>DISTRIBUIÇÃO</v>
          </cell>
          <cell r="I1024" t="str">
            <v>FOOD SERVICE</v>
          </cell>
          <cell r="J1024" t="str">
            <v>FLAC 3</v>
          </cell>
          <cell r="K1024" t="str">
            <v>LACTALIS</v>
          </cell>
          <cell r="L1024" t="str">
            <v>RODRIGO</v>
          </cell>
          <cell r="M1024" t="str">
            <v>RAQUEL BARBOSA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  <cell r="H1025" t="str">
            <v>DISTRIBUIÇÃO</v>
          </cell>
          <cell r="I1025" t="str">
            <v>FOOD SERVICE</v>
          </cell>
          <cell r="J1025" t="str">
            <v>FLAC 3</v>
          </cell>
          <cell r="K1025" t="str">
            <v>LACTALIS</v>
          </cell>
          <cell r="L1025" t="str">
            <v>RODRIGO</v>
          </cell>
          <cell r="M1025" t="str">
            <v>RAQUEL BARBOSA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  <cell r="H1026" t="str">
            <v>DISTRIBUIÇÃO</v>
          </cell>
          <cell r="I1026" t="str">
            <v>FOOD SERVICE</v>
          </cell>
          <cell r="J1026" t="str">
            <v>FLAC 3</v>
          </cell>
          <cell r="K1026" t="str">
            <v>LACTALIS</v>
          </cell>
          <cell r="L1026" t="str">
            <v>RODRIGO</v>
          </cell>
          <cell r="M1026" t="str">
            <v>RAQUEL BARBOSA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  <cell r="H1027" t="str">
            <v>DISTRIBUIÇÃO</v>
          </cell>
          <cell r="I1027" t="str">
            <v>FOOD SERVICE</v>
          </cell>
          <cell r="J1027" t="str">
            <v>MARCELO SILVA</v>
          </cell>
          <cell r="K1027" t="str">
            <v>ITAMBÉ</v>
          </cell>
          <cell r="L1027" t="str">
            <v>RODRIGO</v>
          </cell>
          <cell r="M1027" t="str">
            <v>CELIO MARTINS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  <cell r="H1028" t="str">
            <v>INGREDIENTS</v>
          </cell>
          <cell r="I1028" t="str">
            <v>INGREDIENTS</v>
          </cell>
          <cell r="J1028" t="str">
            <v>MARCELO RODRIGUES</v>
          </cell>
          <cell r="K1028" t="str">
            <v>ITAMBÉ</v>
          </cell>
          <cell r="L1028" t="str">
            <v>MAURICIO</v>
          </cell>
          <cell r="M1028" t="str">
            <v>MARCELO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  <cell r="H1029" t="str">
            <v>INGREDIENTS</v>
          </cell>
          <cell r="I1029" t="str">
            <v>INGREDIENTS</v>
          </cell>
          <cell r="J1029" t="str">
            <v>HENRIQUE FERREIRA</v>
          </cell>
          <cell r="K1029" t="str">
            <v>ITAMBÉ</v>
          </cell>
          <cell r="L1029" t="str">
            <v>MAURICIO</v>
          </cell>
          <cell r="M1029" t="str">
            <v>JOEL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  <cell r="H1030" t="str">
            <v>DISTRIBUIÇÃO</v>
          </cell>
          <cell r="I1030" t="str">
            <v>FOOD SERVICE</v>
          </cell>
          <cell r="J1030" t="str">
            <v>JESSICA CARLA</v>
          </cell>
          <cell r="K1030" t="str">
            <v>ITAMBÉ</v>
          </cell>
          <cell r="L1030" t="str">
            <v>RODRIGO</v>
          </cell>
          <cell r="M1030" t="str">
            <v>JESSICA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  <cell r="H1031" t="str">
            <v>DISTRIBUIÇÃO</v>
          </cell>
          <cell r="I1031" t="str">
            <v>FOOD SERVICE</v>
          </cell>
          <cell r="J1031" t="str">
            <v>FLAC 2</v>
          </cell>
          <cell r="K1031" t="str">
            <v>LACTALIS</v>
          </cell>
          <cell r="L1031" t="str">
            <v>RODRIGO</v>
          </cell>
          <cell r="M1031" t="str">
            <v>RAQUEL BARBOSA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  <cell r="H1032" t="str">
            <v>DISTRIBUIÇÃO</v>
          </cell>
          <cell r="I1032" t="str">
            <v>FOOD SERVICE</v>
          </cell>
          <cell r="J1032" t="str">
            <v>FLAC 5</v>
          </cell>
          <cell r="K1032" t="str">
            <v>LACTALIS</v>
          </cell>
          <cell r="L1032" t="str">
            <v>RODRIGO</v>
          </cell>
          <cell r="M1032" t="str">
            <v>RAQUEL BARBOSA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  <cell r="H1033" t="str">
            <v>DISTRIBUIÇÃO</v>
          </cell>
          <cell r="I1033" t="str">
            <v>FOOD SERVICE</v>
          </cell>
          <cell r="J1033" t="str">
            <v>FLAC 7</v>
          </cell>
          <cell r="K1033" t="str">
            <v>LACTALIS</v>
          </cell>
          <cell r="L1033" t="str">
            <v>RODRIGO</v>
          </cell>
          <cell r="M1033" t="str">
            <v>RAQUEL BARBOSA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  <cell r="H1034" t="str">
            <v>DISTRIBUIÇÃO</v>
          </cell>
          <cell r="I1034" t="str">
            <v>FOOD SERVICE</v>
          </cell>
          <cell r="J1034" t="str">
            <v>CLAUDIO JORGE</v>
          </cell>
          <cell r="K1034" t="str">
            <v>ITAMBÉ</v>
          </cell>
          <cell r="L1034" t="str">
            <v>RODRIGO</v>
          </cell>
          <cell r="M1034" t="str">
            <v>MARIA LOURDES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  <cell r="H1035" t="str">
            <v>DISTRIBUIÇÃO</v>
          </cell>
          <cell r="I1035" t="str">
            <v>FOOD SERVICE</v>
          </cell>
          <cell r="J1035" t="str">
            <v>FLAC 2</v>
          </cell>
          <cell r="K1035" t="str">
            <v>LACTALIS</v>
          </cell>
          <cell r="L1035" t="str">
            <v>RODRIGO</v>
          </cell>
          <cell r="M1035" t="str">
            <v>RAQUEL BARBOSA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  <cell r="H1036" t="str">
            <v>DISTRIBUIÇÃO</v>
          </cell>
          <cell r="I1036" t="str">
            <v>FOOD SERVICE</v>
          </cell>
          <cell r="J1036" t="str">
            <v>FLAC 2</v>
          </cell>
          <cell r="K1036" t="str">
            <v>LACTALIS</v>
          </cell>
          <cell r="L1036" t="str">
            <v>RODRIGO</v>
          </cell>
          <cell r="M1036" t="str">
            <v>RAQUEL BARBOSA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  <cell r="H1037" t="str">
            <v>DISTRIBUIÇÃO</v>
          </cell>
          <cell r="I1037" t="str">
            <v>FOOD SERVICE</v>
          </cell>
          <cell r="J1037" t="str">
            <v>CLAUDIO JORGE/LUIZ</v>
          </cell>
          <cell r="K1037" t="str">
            <v>ITAMBÉ</v>
          </cell>
          <cell r="L1037" t="str">
            <v>RODRIGO</v>
          </cell>
          <cell r="M1037" t="str">
            <v>MARIA LOURDES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  <cell r="H1038" t="str">
            <v>DISTRIBUIÇÃO</v>
          </cell>
          <cell r="I1038" t="str">
            <v>FOOD SERVICE</v>
          </cell>
          <cell r="J1038" t="str">
            <v>CLAUDIO JORGE</v>
          </cell>
          <cell r="K1038" t="str">
            <v>ITAMBÉ</v>
          </cell>
          <cell r="L1038" t="str">
            <v>RODRIGO</v>
          </cell>
          <cell r="M1038" t="str">
            <v>MARCO AURELIO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  <cell r="H1039" t="str">
            <v>DISTRIBUIÇÃO</v>
          </cell>
          <cell r="I1039" t="str">
            <v>FOOD SERVICE</v>
          </cell>
          <cell r="J1039" t="str">
            <v>ANGELICA BATISTELA</v>
          </cell>
          <cell r="K1039" t="str">
            <v>ITAMBÉ</v>
          </cell>
          <cell r="L1039" t="str">
            <v>RODRIGO</v>
          </cell>
          <cell r="M1039" t="str">
            <v>ANGELICA BATISTELA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  <cell r="H1040" t="str">
            <v>DISTRIBUIÇÃO</v>
          </cell>
          <cell r="I1040" t="str">
            <v>FOOD SERVICE</v>
          </cell>
          <cell r="J1040" t="str">
            <v>CELIO/MARANATHA</v>
          </cell>
          <cell r="K1040" t="str">
            <v>ITAMBÉ</v>
          </cell>
          <cell r="L1040" t="str">
            <v>RODRIGO</v>
          </cell>
          <cell r="M1040" t="str">
            <v>CELIO MARTINS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  <cell r="H1041" t="str">
            <v>DISTRIBUIÇÃO</v>
          </cell>
          <cell r="I1041" t="str">
            <v>FOOD SERVICE</v>
          </cell>
          <cell r="J1041" t="str">
            <v>CELIO/MARANATHA</v>
          </cell>
          <cell r="K1041" t="str">
            <v>ITAMBÉ</v>
          </cell>
          <cell r="L1041" t="str">
            <v>RODRIGO</v>
          </cell>
          <cell r="M1041" t="str">
            <v>CELIO MARTINS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  <cell r="H1042" t="str">
            <v>DISTRIBUIÇÃO</v>
          </cell>
          <cell r="I1042" t="str">
            <v>FOOD SERVICE</v>
          </cell>
          <cell r="J1042" t="str">
            <v>ANGELICA BATISTELA</v>
          </cell>
          <cell r="K1042" t="str">
            <v>ITAMBÉ</v>
          </cell>
          <cell r="L1042" t="str">
            <v>RODRIGO</v>
          </cell>
          <cell r="M1042" t="str">
            <v>ANGELICA BATISTELA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  <cell r="H1043" t="str">
            <v>DISTRIBUIÇÃO</v>
          </cell>
          <cell r="I1043" t="str">
            <v>FOOD SERVICE</v>
          </cell>
          <cell r="J1043" t="str">
            <v>VAGO SP</v>
          </cell>
          <cell r="K1043" t="str">
            <v>ITAMBÉ</v>
          </cell>
          <cell r="L1043" t="str">
            <v>RODRIGO</v>
          </cell>
          <cell r="M1043" t="str">
            <v>RAQUEL BARBOSA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  <cell r="H1044" t="str">
            <v>INGREDIENTS</v>
          </cell>
          <cell r="I1044" t="str">
            <v>INGREDIENTS</v>
          </cell>
          <cell r="J1044" t="str">
            <v>HENRIQUE FERREIRA</v>
          </cell>
          <cell r="K1044" t="str">
            <v>ITAMBÉ</v>
          </cell>
          <cell r="L1044" t="str">
            <v>MAURICIO</v>
          </cell>
          <cell r="M1044" t="str">
            <v>JOEL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  <cell r="H1045" t="str">
            <v>DISTRIBUIÇÃO</v>
          </cell>
          <cell r="I1045" t="str">
            <v>FOOD SERVICE</v>
          </cell>
          <cell r="J1045" t="str">
            <v>FLAC 5</v>
          </cell>
          <cell r="K1045" t="str">
            <v>LACTALIS</v>
          </cell>
          <cell r="L1045" t="str">
            <v>RODRIGO</v>
          </cell>
          <cell r="M1045" t="str">
            <v>RAQUEL BARBOSA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  <cell r="H1046" t="str">
            <v>DISTRIBUIÇÃO</v>
          </cell>
          <cell r="I1046" t="str">
            <v>FOOD SERVICE</v>
          </cell>
          <cell r="J1046" t="str">
            <v>FLAC 6</v>
          </cell>
          <cell r="K1046" t="str">
            <v>LACTALIS</v>
          </cell>
          <cell r="L1046" t="str">
            <v>RODRIGO</v>
          </cell>
          <cell r="M1046" t="str">
            <v>RAQUEL BARBOSA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  <cell r="H1047" t="str">
            <v>INGREDIENTS</v>
          </cell>
          <cell r="I1047" t="str">
            <v>INGREDIENTS</v>
          </cell>
          <cell r="J1047" t="str">
            <v>MARCELO RODRIGUES</v>
          </cell>
          <cell r="K1047" t="str">
            <v>ITAMBÉ</v>
          </cell>
          <cell r="L1047" t="str">
            <v>MAURICIO</v>
          </cell>
          <cell r="M1047" t="str">
            <v>MARCELO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  <cell r="H1048" t="str">
            <v>DISTRIBUIÇÃO</v>
          </cell>
          <cell r="I1048" t="str">
            <v>FOOD SERVICE</v>
          </cell>
          <cell r="J1048" t="str">
            <v>ALEXANDRE BONANI</v>
          </cell>
          <cell r="K1048" t="str">
            <v>ITAMBÉ</v>
          </cell>
          <cell r="L1048" t="str">
            <v>RODRIGO</v>
          </cell>
          <cell r="M1048" t="str">
            <v>ALEXANDRE BONANI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  <cell r="H1049" t="str">
            <v>DISTRIBUIÇÃO</v>
          </cell>
          <cell r="I1049" t="str">
            <v>FOOD SERVICE</v>
          </cell>
          <cell r="J1049" t="str">
            <v>WH FOOD SERVICE CE</v>
          </cell>
          <cell r="K1049" t="str">
            <v>ITAMBÉ</v>
          </cell>
          <cell r="L1049" t="str">
            <v>RODRIGO</v>
          </cell>
          <cell r="M1049" t="str">
            <v>MARIA LOURDES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  <cell r="H1050" t="str">
            <v>DISTRIBUIÇÃO</v>
          </cell>
          <cell r="I1050" t="str">
            <v>FOOD SERVICE</v>
          </cell>
          <cell r="J1050" t="str">
            <v>MARCELO SILVA</v>
          </cell>
          <cell r="K1050" t="str">
            <v>ITAMBÉ</v>
          </cell>
          <cell r="L1050" t="str">
            <v>RODRIGO</v>
          </cell>
          <cell r="M1050" t="str">
            <v>CELIO MARTINS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  <cell r="H1051" t="str">
            <v>DISTRIBUIÇÃO</v>
          </cell>
          <cell r="I1051" t="str">
            <v>FOOD SERVICE</v>
          </cell>
          <cell r="J1051" t="str">
            <v>FLAC 6</v>
          </cell>
          <cell r="K1051" t="str">
            <v>LACTALIS</v>
          </cell>
          <cell r="L1051" t="str">
            <v>RODRIGO</v>
          </cell>
          <cell r="M1051" t="str">
            <v>RAQUEL BARBOSA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  <cell r="H1052" t="str">
            <v>DISTRIBUIÇÃO</v>
          </cell>
          <cell r="I1052" t="str">
            <v>FOOD SERVICE</v>
          </cell>
          <cell r="J1052" t="str">
            <v>FLAC 6</v>
          </cell>
          <cell r="K1052" t="str">
            <v>LACTALIS</v>
          </cell>
          <cell r="L1052" t="str">
            <v>RODRIGO</v>
          </cell>
          <cell r="M1052" t="str">
            <v>RAQUEL BARBOSA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  <cell r="H1053" t="str">
            <v>DISTRIBUIÇÃO</v>
          </cell>
          <cell r="I1053" t="str">
            <v>FOOD SERVICE</v>
          </cell>
          <cell r="J1053" t="str">
            <v>FLAC 2</v>
          </cell>
          <cell r="K1053" t="str">
            <v>LACTALIS</v>
          </cell>
          <cell r="L1053" t="str">
            <v>RODRIGO</v>
          </cell>
          <cell r="M1053" t="str">
            <v>RAQUEL BARBOSA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  <cell r="H1054" t="str">
            <v>DISTRIBUIÇÃO</v>
          </cell>
          <cell r="I1054" t="str">
            <v>FOOD SERVICE</v>
          </cell>
          <cell r="J1054" t="str">
            <v>FLAC 1</v>
          </cell>
          <cell r="K1054" t="str">
            <v>LACTALIS</v>
          </cell>
          <cell r="L1054" t="str">
            <v>RODRIGO</v>
          </cell>
          <cell r="M1054" t="str">
            <v>RAQUEL BARBOSA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  <cell r="H1055" t="str">
            <v>DISTRIBUIÇÃO</v>
          </cell>
          <cell r="I1055" t="str">
            <v>FOOD SERVICE</v>
          </cell>
          <cell r="J1055" t="str">
            <v>FLAC 2</v>
          </cell>
          <cell r="K1055" t="str">
            <v>LACTALIS</v>
          </cell>
          <cell r="L1055" t="str">
            <v>RODRIGO</v>
          </cell>
          <cell r="M1055" t="str">
            <v>RAQUEL BARBOSA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  <cell r="H1056" t="str">
            <v>DISTRIBUIÇÃO</v>
          </cell>
          <cell r="I1056" t="str">
            <v>FOOD SERVICE</v>
          </cell>
          <cell r="J1056" t="str">
            <v>FLAC 6</v>
          </cell>
          <cell r="K1056" t="str">
            <v>LACTALIS</v>
          </cell>
          <cell r="L1056" t="str">
            <v>RODRIGO</v>
          </cell>
          <cell r="M1056" t="str">
            <v>RAQUEL BARBOSA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  <cell r="H1057" t="str">
            <v>INGREDIENTS</v>
          </cell>
          <cell r="I1057" t="str">
            <v>INGREDIENTS</v>
          </cell>
          <cell r="J1057" t="str">
            <v>DUAS RODAS</v>
          </cell>
          <cell r="K1057" t="str">
            <v>ITAMBÉ</v>
          </cell>
          <cell r="L1057" t="str">
            <v>MAURICIO</v>
          </cell>
          <cell r="M1057" t="str">
            <v>MARCELO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  <cell r="H1058" t="str">
            <v>DISTRIBUIÇÃO</v>
          </cell>
          <cell r="I1058" t="str">
            <v>FOOD SERVICE</v>
          </cell>
          <cell r="J1058" t="str">
            <v>FLAC 2</v>
          </cell>
          <cell r="K1058" t="str">
            <v>LACTALIS</v>
          </cell>
          <cell r="L1058" t="str">
            <v>RODRIGO</v>
          </cell>
          <cell r="M1058" t="str">
            <v>RAQUEL BARBOSA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  <cell r="H1059" t="str">
            <v>DISTRIBUIÇÃO</v>
          </cell>
          <cell r="I1059" t="str">
            <v>FOOD SERVICE</v>
          </cell>
          <cell r="J1059" t="str">
            <v>FLAC 2</v>
          </cell>
          <cell r="K1059" t="str">
            <v>LACTALIS</v>
          </cell>
          <cell r="L1059" t="str">
            <v>RODRIGO</v>
          </cell>
          <cell r="M1059" t="str">
            <v>RAQUEL BARBOSA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  <cell r="H1060" t="str">
            <v>DISTRIBUIÇÃO</v>
          </cell>
          <cell r="I1060" t="str">
            <v>FOOD SERVICE</v>
          </cell>
          <cell r="J1060" t="str">
            <v>FLAC 2</v>
          </cell>
          <cell r="K1060" t="str">
            <v>LACTALIS</v>
          </cell>
          <cell r="L1060" t="str">
            <v>RODRIGO</v>
          </cell>
          <cell r="M1060" t="str">
            <v>RAQUEL BARBOSA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  <cell r="H1061" t="str">
            <v>DISTRIBUIÇÃO</v>
          </cell>
          <cell r="I1061" t="str">
            <v>FOOD SERVICE</v>
          </cell>
          <cell r="J1061" t="str">
            <v>FLAC 2</v>
          </cell>
          <cell r="K1061" t="str">
            <v>LACTALIS</v>
          </cell>
          <cell r="L1061" t="str">
            <v>RODRIGO</v>
          </cell>
          <cell r="M1061" t="str">
            <v>RAQUEL BARBOSA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  <cell r="H1062" t="str">
            <v>DISTRIBUIÇÃO</v>
          </cell>
          <cell r="I1062" t="str">
            <v>FOOD SERVICE</v>
          </cell>
          <cell r="J1062" t="str">
            <v>FLAC 3</v>
          </cell>
          <cell r="K1062" t="str">
            <v>LACTALIS</v>
          </cell>
          <cell r="L1062" t="str">
            <v>RODRIGO</v>
          </cell>
          <cell r="M1062" t="str">
            <v>RAQUEL BARBOSA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  <cell r="H1063" t="str">
            <v>DISTRIBUIÇÃO</v>
          </cell>
          <cell r="I1063" t="str">
            <v>FOOD SERVICE</v>
          </cell>
          <cell r="J1063" t="str">
            <v>CLAUDIO JORGE/AMANDA SANDS</v>
          </cell>
          <cell r="K1063" t="str">
            <v>ITAMBÉ</v>
          </cell>
          <cell r="L1063" t="str">
            <v>RODRIGO</v>
          </cell>
          <cell r="M1063" t="str">
            <v>MARIA LOURDES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  <cell r="H1064" t="str">
            <v>DISTRIBUIÇÃO</v>
          </cell>
          <cell r="I1064" t="str">
            <v>FOOD SERVICE</v>
          </cell>
          <cell r="J1064" t="str">
            <v>CLAUDIO JORGE/AMANDA SANDS</v>
          </cell>
          <cell r="K1064" t="str">
            <v>LACTALIS</v>
          </cell>
          <cell r="L1064" t="str">
            <v>RODRIGO</v>
          </cell>
          <cell r="M1064" t="str">
            <v>MARIA LOURDES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  <cell r="H1065" t="str">
            <v>DISTRIBUIÇÃO</v>
          </cell>
          <cell r="I1065" t="str">
            <v>FOOD SERVICE</v>
          </cell>
          <cell r="J1065" t="str">
            <v>CLAUDIO JORGE/AMANDA SANDS</v>
          </cell>
          <cell r="K1065" t="str">
            <v>ITAMBÉ</v>
          </cell>
          <cell r="L1065" t="str">
            <v>RODRIGO</v>
          </cell>
          <cell r="M1065" t="str">
            <v>MARIA LOURDES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  <cell r="H1066" t="str">
            <v>DISTRIBUIÇÃO</v>
          </cell>
          <cell r="I1066" t="str">
            <v>FOOD SERVICE</v>
          </cell>
          <cell r="J1066" t="str">
            <v>FLAC 6</v>
          </cell>
          <cell r="K1066" t="str">
            <v>LACTALIS</v>
          </cell>
          <cell r="L1066" t="str">
            <v>RODRIGO</v>
          </cell>
          <cell r="M1066" t="str">
            <v>RAQUEL BARBOSA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  <cell r="H1067" t="str">
            <v>DISTRIBUIÇÃO</v>
          </cell>
          <cell r="I1067" t="str">
            <v>FOOD SERVICE</v>
          </cell>
          <cell r="J1067" t="str">
            <v>FLAC 6</v>
          </cell>
          <cell r="K1067" t="str">
            <v>LACTALIS</v>
          </cell>
          <cell r="L1067" t="str">
            <v>RODRIGO</v>
          </cell>
          <cell r="M1067" t="str">
            <v>RAQUEL BARBOSA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  <cell r="H1068" t="str">
            <v>DISTRIBUIÇÃO</v>
          </cell>
          <cell r="I1068" t="str">
            <v>FOOD SERVICE</v>
          </cell>
          <cell r="J1068" t="str">
            <v>FLAC 3</v>
          </cell>
          <cell r="K1068" t="str">
            <v>LACTALIS</v>
          </cell>
          <cell r="L1068" t="str">
            <v>RODRIGO</v>
          </cell>
          <cell r="M1068" t="str">
            <v>RAQUEL BARBOSA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  <cell r="H1069" t="str">
            <v>DISTRIBUIÇÃO</v>
          </cell>
          <cell r="I1069" t="str">
            <v>FOOD SERVICE</v>
          </cell>
          <cell r="J1069" t="str">
            <v>GUILHERME NASCIMENTO</v>
          </cell>
          <cell r="K1069" t="str">
            <v>LACTALIS</v>
          </cell>
          <cell r="L1069" t="str">
            <v>RODRIGO</v>
          </cell>
          <cell r="M1069" t="str">
            <v>ALEXANDRO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  <cell r="H1070" t="str">
            <v>INGREDIENTS</v>
          </cell>
          <cell r="I1070" t="str">
            <v>INGREDIENTS</v>
          </cell>
          <cell r="J1070" t="str">
            <v>JOEL ELEOTÉRIO</v>
          </cell>
          <cell r="K1070" t="str">
            <v>LACTALIS</v>
          </cell>
          <cell r="L1070" t="str">
            <v>MAURICIO</v>
          </cell>
          <cell r="M1070" t="str">
            <v>JOEL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  <cell r="H1071" t="str">
            <v>DISTRIBUIÇÃO</v>
          </cell>
          <cell r="I1071" t="str">
            <v>FOOD SERVICE</v>
          </cell>
          <cell r="J1071" t="str">
            <v>FLAC 2</v>
          </cell>
          <cell r="K1071" t="str">
            <v>LACTALIS</v>
          </cell>
          <cell r="L1071" t="str">
            <v>RODRIGO</v>
          </cell>
          <cell r="M1071" t="str">
            <v>RAQUEL BARBOSA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  <cell r="H1072" t="str">
            <v>DISTRIBUIÇÃO</v>
          </cell>
          <cell r="I1072" t="str">
            <v>FOOD SERVICE</v>
          </cell>
          <cell r="J1072" t="str">
            <v>CLAUDIO JORGE</v>
          </cell>
          <cell r="K1072" t="str">
            <v>ITAMBÉ</v>
          </cell>
          <cell r="L1072" t="str">
            <v>RODRIGO</v>
          </cell>
          <cell r="M1072" t="str">
            <v>MARIA LOURDES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  <cell r="H1073" t="str">
            <v>DISTRIBUIÇÃO</v>
          </cell>
          <cell r="I1073" t="str">
            <v>FOOD SERVICE</v>
          </cell>
          <cell r="J1073" t="str">
            <v>FLAC 3</v>
          </cell>
          <cell r="K1073" t="str">
            <v>LACTALIS</v>
          </cell>
          <cell r="L1073" t="str">
            <v>RODRIGO</v>
          </cell>
          <cell r="M1073" t="str">
            <v>RAQUEL BARBOSA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  <cell r="H1074" t="str">
            <v>DISTRIBUIÇÃO</v>
          </cell>
          <cell r="I1074" t="str">
            <v>FOOD SERVICE</v>
          </cell>
          <cell r="J1074" t="str">
            <v>FLAC 3</v>
          </cell>
          <cell r="K1074" t="str">
            <v>LACTALIS</v>
          </cell>
          <cell r="L1074" t="str">
            <v>RODRIGO</v>
          </cell>
          <cell r="M1074" t="str">
            <v>RAQUEL BARBOSA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  <cell r="H1075" t="str">
            <v>INGREDIENTS</v>
          </cell>
          <cell r="I1075" t="str">
            <v>INGREDIENTS</v>
          </cell>
          <cell r="J1075" t="str">
            <v>HENRIQUE FERREIRA</v>
          </cell>
          <cell r="K1075" t="str">
            <v>ITAMBÉ</v>
          </cell>
          <cell r="L1075" t="str">
            <v>MAURICIO</v>
          </cell>
          <cell r="M1075" t="str">
            <v>JOEL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  <cell r="H1076" t="str">
            <v>INGREDIENTS</v>
          </cell>
          <cell r="I1076" t="str">
            <v>INGREDIENTS</v>
          </cell>
          <cell r="J1076" t="str">
            <v>JOEL ELEOTÉRIO</v>
          </cell>
          <cell r="K1076" t="str">
            <v>ITAMBÉ</v>
          </cell>
          <cell r="L1076" t="str">
            <v>MAURICIO</v>
          </cell>
          <cell r="M1076" t="str">
            <v>JOEL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  <cell r="H1077" t="str">
            <v>INGREDIENTS</v>
          </cell>
          <cell r="I1077" t="str">
            <v>INGREDIENTS</v>
          </cell>
          <cell r="J1077" t="str">
            <v>JOEL ELEOTÉRIO</v>
          </cell>
          <cell r="K1077" t="str">
            <v>LACTALIS</v>
          </cell>
          <cell r="L1077" t="str">
            <v>MAURICIO</v>
          </cell>
          <cell r="M1077" t="str">
            <v>JOEL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  <cell r="H1078" t="str">
            <v>INGREDIENTS</v>
          </cell>
          <cell r="I1078" t="str">
            <v>INGREDIENTS</v>
          </cell>
          <cell r="J1078" t="str">
            <v>HENRIQUE FERREIRA</v>
          </cell>
          <cell r="K1078" t="str">
            <v>ITAMBÉ</v>
          </cell>
          <cell r="L1078" t="str">
            <v>MAURICIO</v>
          </cell>
          <cell r="M1078" t="str">
            <v>JOEL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  <cell r="H1079" t="str">
            <v>INGREDIENTS</v>
          </cell>
          <cell r="I1079" t="str">
            <v>INGREDIENTS</v>
          </cell>
          <cell r="J1079" t="str">
            <v>HENRIQUE FERREIRA</v>
          </cell>
          <cell r="K1079" t="str">
            <v>LACTALIS</v>
          </cell>
          <cell r="L1079" t="str">
            <v>MAURICIO</v>
          </cell>
          <cell r="M1079" t="str">
            <v>JOEL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  <cell r="H1080" t="str">
            <v>DISTRIBUIÇÃO</v>
          </cell>
          <cell r="I1080" t="str">
            <v>FOOD SERVICE</v>
          </cell>
          <cell r="J1080" t="str">
            <v>FLAC 2</v>
          </cell>
          <cell r="K1080" t="str">
            <v>LACTALIS</v>
          </cell>
          <cell r="L1080" t="str">
            <v>RODRIGO</v>
          </cell>
          <cell r="M1080" t="str">
            <v>RAQUEL BARBOSA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  <cell r="H1081" t="str">
            <v>DISTRIBUIÇÃO</v>
          </cell>
          <cell r="I1081" t="str">
            <v>FOOD SERVICE</v>
          </cell>
          <cell r="J1081" t="str">
            <v>ANGELICA BATISTELA</v>
          </cell>
          <cell r="K1081" t="str">
            <v>ITAMBÉ</v>
          </cell>
          <cell r="L1081" t="str">
            <v>RODRIGO</v>
          </cell>
          <cell r="M1081" t="str">
            <v>ANGELICA BATISTELA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  <cell r="H1082" t="str">
            <v>DISTRIBUIÇÃO</v>
          </cell>
          <cell r="I1082" t="str">
            <v>FOOD SERVICE</v>
          </cell>
          <cell r="J1082" t="str">
            <v>FLAC 5</v>
          </cell>
          <cell r="K1082" t="str">
            <v>LACTALIS</v>
          </cell>
          <cell r="L1082" t="str">
            <v>RODRIGO</v>
          </cell>
          <cell r="M1082" t="str">
            <v>RAQUEL BARBOSA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  <cell r="H1083" t="str">
            <v>DISTRIBUIÇÃO</v>
          </cell>
          <cell r="I1083" t="str">
            <v>FOOD SERVICE</v>
          </cell>
          <cell r="J1083" t="str">
            <v>FLAC 2</v>
          </cell>
          <cell r="K1083" t="str">
            <v>LACTALIS</v>
          </cell>
          <cell r="L1083" t="str">
            <v>RODRIGO</v>
          </cell>
          <cell r="M1083" t="str">
            <v>RAQUEL BARBOSA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  <cell r="H1084" t="str">
            <v>INGREDIENTS</v>
          </cell>
          <cell r="I1084" t="str">
            <v>INGREDIENTS</v>
          </cell>
          <cell r="J1084" t="str">
            <v>HENRIQUE FERREIRA</v>
          </cell>
          <cell r="K1084" t="str">
            <v>ITAMBÉ</v>
          </cell>
          <cell r="L1084" t="str">
            <v>MAURICIO</v>
          </cell>
          <cell r="M1084" t="str">
            <v>JOEL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  <cell r="H1085" t="str">
            <v>DISTRIBUIÇÃO</v>
          </cell>
          <cell r="I1085" t="str">
            <v>FOOD SERVICE</v>
          </cell>
          <cell r="J1085" t="str">
            <v>FLAC 5</v>
          </cell>
          <cell r="K1085" t="str">
            <v>LACTALIS</v>
          </cell>
          <cell r="L1085" t="str">
            <v>RODRIGO</v>
          </cell>
          <cell r="M1085" t="str">
            <v>RAQUEL BARBOSA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  <cell r="H1086" t="str">
            <v>DISTRIBUIÇÃO</v>
          </cell>
          <cell r="I1086" t="str">
            <v>FOOD SERVICE</v>
          </cell>
          <cell r="J1086" t="str">
            <v>FLAC 2</v>
          </cell>
          <cell r="K1086" t="str">
            <v>LACTALIS</v>
          </cell>
          <cell r="L1086" t="str">
            <v>RODRIGO</v>
          </cell>
          <cell r="M1086" t="str">
            <v>RAQUEL BARBOSA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  <cell r="H1087" t="str">
            <v>DISTRIBUIÇÃO</v>
          </cell>
          <cell r="I1087" t="str">
            <v>FOOD SERVICE</v>
          </cell>
          <cell r="J1087" t="str">
            <v>FLAC 2</v>
          </cell>
          <cell r="K1087" t="str">
            <v>LACTALIS</v>
          </cell>
          <cell r="L1087" t="str">
            <v>RODRIGO</v>
          </cell>
          <cell r="M1087" t="str">
            <v>RAQUEL BARBOSA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  <cell r="H1088" t="str">
            <v>DISTRIBUIÇÃO</v>
          </cell>
          <cell r="I1088" t="str">
            <v>FOOD SERVICE</v>
          </cell>
          <cell r="J1088" t="str">
            <v>FLAC 3</v>
          </cell>
          <cell r="K1088" t="str">
            <v>LACTALIS</v>
          </cell>
          <cell r="L1088" t="str">
            <v>RODRIGO</v>
          </cell>
          <cell r="M1088" t="str">
            <v>RAQUEL BARBOSA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  <cell r="H1089" t="str">
            <v>DISTRIBUIÇÃO</v>
          </cell>
          <cell r="I1089" t="str">
            <v>FOOD SERVICE</v>
          </cell>
          <cell r="J1089" t="str">
            <v>ANGELICA BATISTELA</v>
          </cell>
          <cell r="K1089" t="str">
            <v>ITAMBÉ</v>
          </cell>
          <cell r="L1089" t="str">
            <v>RODRIGO</v>
          </cell>
          <cell r="M1089" t="str">
            <v>ANGELICA BATISTELA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  <cell r="H1090" t="str">
            <v>DISTRIBUIÇÃO</v>
          </cell>
          <cell r="I1090" t="str">
            <v>FOOD SERVICE</v>
          </cell>
          <cell r="J1090" t="str">
            <v>ANGELICA BATISTELA</v>
          </cell>
          <cell r="K1090" t="str">
            <v>ITAMBÉ</v>
          </cell>
          <cell r="L1090" t="str">
            <v>RODRIGO</v>
          </cell>
          <cell r="M1090" t="str">
            <v>ANGELICA BATISTELA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  <cell r="H1091" t="str">
            <v>DISTRIBUIÇÃO</v>
          </cell>
          <cell r="I1091" t="str">
            <v>FOOD SERVICE</v>
          </cell>
          <cell r="J1091" t="str">
            <v>ANGELICA BATISTELA</v>
          </cell>
          <cell r="K1091" t="str">
            <v>ITAMBÉ</v>
          </cell>
          <cell r="L1091" t="str">
            <v>RODRIGO</v>
          </cell>
          <cell r="M1091" t="str">
            <v>ANGELICA BATISTELA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  <cell r="H1092" t="str">
            <v>DISTRIBUIÇÃO</v>
          </cell>
          <cell r="I1092" t="str">
            <v>FOOD SERVICE</v>
          </cell>
          <cell r="J1092" t="str">
            <v>FLAC 5</v>
          </cell>
          <cell r="K1092" t="str">
            <v>LACTALIS</v>
          </cell>
          <cell r="L1092" t="str">
            <v>RODRIGO</v>
          </cell>
          <cell r="M1092" t="str">
            <v>RAQUEL BARBOSA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  <cell r="H1093" t="str">
            <v>DISTRIBUIÇÃO</v>
          </cell>
          <cell r="I1093" t="str">
            <v>FOOD SERVICE</v>
          </cell>
          <cell r="J1093" t="str">
            <v>FLAC 4</v>
          </cell>
          <cell r="K1093" t="str">
            <v>LACTALIS</v>
          </cell>
          <cell r="L1093" t="str">
            <v>RODRIGO</v>
          </cell>
          <cell r="M1093" t="str">
            <v>RAQUEL BARBOSA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  <cell r="H1094" t="str">
            <v>INGREDIENTS</v>
          </cell>
          <cell r="I1094" t="str">
            <v>INGREDIENTS</v>
          </cell>
          <cell r="J1094" t="str">
            <v>JOEL ELEOTÉRIO</v>
          </cell>
          <cell r="K1094" t="str">
            <v>LACTALIS</v>
          </cell>
          <cell r="L1094" t="str">
            <v>MAURICIO</v>
          </cell>
          <cell r="M1094" t="str">
            <v>JOEL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  <cell r="H1095" t="str">
            <v>INGREDIENTS</v>
          </cell>
          <cell r="I1095" t="str">
            <v>INGREDIENTS</v>
          </cell>
          <cell r="J1095" t="str">
            <v>DUAS RODAS</v>
          </cell>
          <cell r="K1095" t="str">
            <v>ITAMBÉ</v>
          </cell>
          <cell r="L1095" t="str">
            <v>MAURICIO</v>
          </cell>
          <cell r="M1095" t="str">
            <v>MARCELO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  <cell r="H1096" t="str">
            <v>DISTRIBUIÇÃO</v>
          </cell>
          <cell r="I1096" t="str">
            <v>FOOD SERVICE</v>
          </cell>
          <cell r="J1096" t="str">
            <v>WH FOOD SERVICE CE</v>
          </cell>
          <cell r="K1096" t="str">
            <v>ITAMBÉ</v>
          </cell>
          <cell r="L1096" t="str">
            <v>RODRIGO</v>
          </cell>
          <cell r="M1096" t="str">
            <v>MARIA LOURDES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  <cell r="H1097" t="str">
            <v>DISTRIBUIÇÃO</v>
          </cell>
          <cell r="I1097" t="str">
            <v>FOOD SERVICE</v>
          </cell>
          <cell r="J1097" t="str">
            <v>MARCELO DUARTE</v>
          </cell>
          <cell r="K1097" t="str">
            <v>ITAMBÉ</v>
          </cell>
          <cell r="L1097" t="str">
            <v>RODRIGO</v>
          </cell>
          <cell r="M1097" t="str">
            <v>JESSICA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  <cell r="H1098" t="str">
            <v>DISTRIBUIÇÃO</v>
          </cell>
          <cell r="I1098" t="str">
            <v>FOOD SERVICE</v>
          </cell>
          <cell r="J1098" t="str">
            <v>MARCELO DUARTE</v>
          </cell>
          <cell r="K1098" t="str">
            <v>ITAMBÉ</v>
          </cell>
          <cell r="L1098" t="str">
            <v>RODRIGO</v>
          </cell>
          <cell r="M1098" t="str">
            <v>JESSICA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  <cell r="H1099" t="str">
            <v>QSR</v>
          </cell>
          <cell r="I1099" t="str">
            <v>FOOD SERVICE</v>
          </cell>
          <cell r="J1099" t="str">
            <v>VAGO QSR</v>
          </cell>
          <cell r="K1099" t="str">
            <v>ITAMBÉ</v>
          </cell>
          <cell r="L1099" t="str">
            <v>PEDRO</v>
          </cell>
          <cell r="M1099" t="str">
            <v>VAGO QSR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  <cell r="H1100" t="str">
            <v>QSR</v>
          </cell>
          <cell r="I1100" t="str">
            <v>FOOD SERVICE</v>
          </cell>
          <cell r="J1100" t="str">
            <v>VAGO QSR</v>
          </cell>
          <cell r="K1100" t="str">
            <v>ITAMBÉ</v>
          </cell>
          <cell r="L1100" t="str">
            <v>PEDRO</v>
          </cell>
          <cell r="M1100" t="str">
            <v>VAGO QSR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  <cell r="H1101" t="str">
            <v>DISTRIBUIÇÃO</v>
          </cell>
          <cell r="I1101" t="str">
            <v>FOOD SERVICE</v>
          </cell>
          <cell r="J1101" t="str">
            <v>FLAC 4</v>
          </cell>
          <cell r="K1101" t="str">
            <v>LACTALIS</v>
          </cell>
          <cell r="L1101" t="str">
            <v>RODRIGO</v>
          </cell>
          <cell r="M1101" t="str">
            <v>RAQUEL BARBOSA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  <cell r="H1102" t="str">
            <v>DISTRIBUIÇÃO</v>
          </cell>
          <cell r="I1102" t="str">
            <v>FOOD SERVICE</v>
          </cell>
          <cell r="J1102" t="str">
            <v>FLAC 4</v>
          </cell>
          <cell r="K1102" t="str">
            <v>LACTALIS</v>
          </cell>
          <cell r="L1102" t="str">
            <v>RODRIGO</v>
          </cell>
          <cell r="M1102" t="str">
            <v>RAQUEL BARBOSA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  <cell r="H1103" t="str">
            <v>DISTRIBUIÇÃO</v>
          </cell>
          <cell r="I1103" t="str">
            <v>FOOD SERVICE</v>
          </cell>
          <cell r="J1103" t="str">
            <v>FLAC 3</v>
          </cell>
          <cell r="K1103" t="str">
            <v>LACTALIS</v>
          </cell>
          <cell r="L1103" t="str">
            <v>RODRIGO</v>
          </cell>
          <cell r="M1103" t="str">
            <v>RAQUEL BARBOSA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  <cell r="H1104" t="str">
            <v>DISTRIBUIÇÃO</v>
          </cell>
          <cell r="I1104" t="str">
            <v>FOOD SERVICE</v>
          </cell>
          <cell r="J1104" t="str">
            <v>FLAC 3</v>
          </cell>
          <cell r="K1104" t="str">
            <v>LACTALIS</v>
          </cell>
          <cell r="L1104" t="str">
            <v>RODRIGO</v>
          </cell>
          <cell r="M1104" t="str">
            <v>RAQUEL BARBOSA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  <cell r="H1105" t="str">
            <v>DISTRIBUIÇÃO</v>
          </cell>
          <cell r="I1105" t="str">
            <v>FOOD SERVICE</v>
          </cell>
          <cell r="J1105" t="str">
            <v>FLAC 6</v>
          </cell>
          <cell r="K1105" t="str">
            <v>LACTALIS</v>
          </cell>
          <cell r="L1105" t="str">
            <v>RODRIGO</v>
          </cell>
          <cell r="M1105" t="str">
            <v>RAQUEL BARBOSA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  <cell r="H1106" t="str">
            <v>DISTRIBUIÇÃO</v>
          </cell>
          <cell r="I1106" t="str">
            <v>FOOD SERVICE</v>
          </cell>
          <cell r="J1106" t="str">
            <v>FLAC 6</v>
          </cell>
          <cell r="K1106" t="str">
            <v>LACTALIS</v>
          </cell>
          <cell r="L1106" t="str">
            <v>RODRIGO</v>
          </cell>
          <cell r="M1106" t="str">
            <v>RAQUEL BARBOSA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  <cell r="H1107" t="str">
            <v>DISTRIBUIÇÃO</v>
          </cell>
          <cell r="I1107" t="str">
            <v>FOOD SERVICE</v>
          </cell>
          <cell r="J1107" t="str">
            <v>SP ITB FS FLAC REP.E COMERCIO</v>
          </cell>
          <cell r="K1107" t="str">
            <v>ITAMBÉ</v>
          </cell>
          <cell r="L1107" t="str">
            <v>RODRIGO</v>
          </cell>
          <cell r="M1107" t="str">
            <v>RAQUEL BARBOSA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  <cell r="H1108" t="str">
            <v>INGREDIENTS</v>
          </cell>
          <cell r="I1108" t="str">
            <v>INGREDIENTS</v>
          </cell>
          <cell r="J1108" t="str">
            <v>DUAS RODAS</v>
          </cell>
          <cell r="K1108" t="str">
            <v>ITAMBÉ</v>
          </cell>
          <cell r="L1108" t="str">
            <v>MAURICIO</v>
          </cell>
          <cell r="M1108" t="str">
            <v>JOEL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  <cell r="H1109" t="str">
            <v>DISTRIBUIÇÃO</v>
          </cell>
          <cell r="I1109" t="str">
            <v>FOOD SERVICE</v>
          </cell>
          <cell r="J1109" t="str">
            <v>FLAC 1</v>
          </cell>
          <cell r="K1109" t="str">
            <v>LACTALIS</v>
          </cell>
          <cell r="L1109" t="str">
            <v>RODRIGO</v>
          </cell>
          <cell r="M1109" t="str">
            <v>RAQUEL BARBOSA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  <cell r="H1110" t="str">
            <v>QSR</v>
          </cell>
          <cell r="I1110" t="str">
            <v>FOOD SERVICE</v>
          </cell>
          <cell r="J1110" t="str">
            <v>ANA MENIQUETE</v>
          </cell>
          <cell r="K1110" t="str">
            <v>ITAMBÉ</v>
          </cell>
          <cell r="L1110" t="str">
            <v>PEDRO</v>
          </cell>
          <cell r="M1110" t="str">
            <v>ANA MENIQUETE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  <cell r="H1111" t="str">
            <v>QSR</v>
          </cell>
          <cell r="I1111" t="str">
            <v>FOOD SERVICE</v>
          </cell>
          <cell r="J1111" t="str">
            <v>ANA MENIQUETE</v>
          </cell>
          <cell r="K1111" t="str">
            <v>LACTALIS</v>
          </cell>
          <cell r="L1111" t="str">
            <v>PEDRO</v>
          </cell>
          <cell r="M1111" t="str">
            <v>ANA MENIQUETE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  <cell r="H1112" t="str">
            <v>QSR</v>
          </cell>
          <cell r="I1112" t="str">
            <v>FOOD SERVICE</v>
          </cell>
          <cell r="J1112" t="str">
            <v>ANA MENIQUETE</v>
          </cell>
          <cell r="K1112" t="str">
            <v>ITAMBÉ</v>
          </cell>
          <cell r="L1112" t="str">
            <v>PEDRO</v>
          </cell>
          <cell r="M1112" t="str">
            <v>ANA MENIQUETE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  <cell r="H1113" t="str">
            <v>QSR</v>
          </cell>
          <cell r="I1113" t="str">
            <v>FOOD SERVICE</v>
          </cell>
          <cell r="J1113" t="str">
            <v>ANA MENIQUETE</v>
          </cell>
          <cell r="K1113" t="str">
            <v>LACTALIS</v>
          </cell>
          <cell r="L1113" t="str">
            <v>PEDRO</v>
          </cell>
          <cell r="M1113" t="str">
            <v>ANA MENIQUETE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  <cell r="H1114" t="str">
            <v>DISTRIBUIÇÃO</v>
          </cell>
          <cell r="I1114" t="str">
            <v>FOOD SERVICE</v>
          </cell>
          <cell r="J1114" t="str">
            <v>FLAC 6</v>
          </cell>
          <cell r="K1114" t="str">
            <v>LACTALIS</v>
          </cell>
          <cell r="L1114" t="str">
            <v>RODRIGO</v>
          </cell>
          <cell r="M1114" t="str">
            <v>RAQUEL BARBOSA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  <cell r="H1115" t="str">
            <v>DISTRIBUIÇÃO</v>
          </cell>
          <cell r="I1115" t="str">
            <v>FOOD SERVICE</v>
          </cell>
          <cell r="J1115" t="str">
            <v>FLAC 3</v>
          </cell>
          <cell r="K1115" t="str">
            <v>LACTALIS</v>
          </cell>
          <cell r="L1115" t="str">
            <v>RODRIGO</v>
          </cell>
          <cell r="M1115" t="str">
            <v>RAQUEL BARBOSA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  <cell r="H1116" t="str">
            <v>DISTRIBUIÇÃO</v>
          </cell>
          <cell r="I1116" t="str">
            <v>FOOD SERVICE</v>
          </cell>
          <cell r="J1116" t="str">
            <v>MARCELO SILVA</v>
          </cell>
          <cell r="K1116" t="str">
            <v>ITAMBÉ</v>
          </cell>
          <cell r="L1116" t="str">
            <v>RODRIGO</v>
          </cell>
          <cell r="M1116" t="str">
            <v>CELIO MARTINS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  <cell r="H1117" t="str">
            <v>INGREDIENTS</v>
          </cell>
          <cell r="I1117" t="str">
            <v>INGREDIENTS</v>
          </cell>
          <cell r="J1117" t="str">
            <v>TATIANA NITTA</v>
          </cell>
          <cell r="K1117" t="str">
            <v>ITAMBÉ</v>
          </cell>
          <cell r="L1117" t="str">
            <v>MAURICIO</v>
          </cell>
          <cell r="M1117" t="str">
            <v>TATIANA NITTA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  <cell r="H1118" t="str">
            <v>MC DONALDS</v>
          </cell>
          <cell r="I1118" t="str">
            <v>MC DONALDS</v>
          </cell>
          <cell r="J1118" t="str">
            <v>MAURICIO GALLI</v>
          </cell>
          <cell r="K1118" t="str">
            <v>LACTALIS</v>
          </cell>
          <cell r="L1118" t="str">
            <v>MAURICIO</v>
          </cell>
          <cell r="M1118" t="str">
            <v>MAURICIO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  <cell r="H1119" t="str">
            <v>INGREDIENTS</v>
          </cell>
          <cell r="I1119" t="str">
            <v>INGREDIENTS</v>
          </cell>
          <cell r="J1119" t="str">
            <v>TATIANA NITTA</v>
          </cell>
          <cell r="K1119" t="str">
            <v>LACTALIS</v>
          </cell>
          <cell r="L1119" t="str">
            <v>MAURICIO</v>
          </cell>
          <cell r="M1119" t="str">
            <v>TATIANA NITTA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  <cell r="H1120" t="str">
            <v>INGREDIENTS</v>
          </cell>
          <cell r="I1120" t="str">
            <v>INGREDIENTS</v>
          </cell>
          <cell r="J1120" t="str">
            <v>MARCELO RODRIGUES</v>
          </cell>
          <cell r="K1120" t="str">
            <v>LACTALIS</v>
          </cell>
          <cell r="L1120" t="str">
            <v>MAURICIO</v>
          </cell>
          <cell r="M1120" t="str">
            <v>MARCELO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  <cell r="H1121" t="str">
            <v>DISTRIBUIÇÃO</v>
          </cell>
          <cell r="I1121" t="str">
            <v>FOOD SERVICE</v>
          </cell>
          <cell r="J1121" t="str">
            <v>FLAC 3</v>
          </cell>
          <cell r="K1121" t="str">
            <v>LACTALIS</v>
          </cell>
          <cell r="L1121" t="str">
            <v>RODRIGO</v>
          </cell>
          <cell r="M1121" t="str">
            <v>RAQUEL BARBOSA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  <cell r="H1122" t="str">
            <v>INGREDIENTS</v>
          </cell>
          <cell r="I1122" t="str">
            <v>INGREDIENTS</v>
          </cell>
          <cell r="J1122" t="str">
            <v>DUAS RODAS</v>
          </cell>
          <cell r="K1122" t="str">
            <v>ITAMBÉ</v>
          </cell>
          <cell r="L1122" t="str">
            <v>MAURICIO</v>
          </cell>
          <cell r="M1122" t="str">
            <v>MARCELO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  <cell r="H1123" t="str">
            <v>DISTRIBUIÇÃO</v>
          </cell>
          <cell r="I1123" t="str">
            <v>FOOD SERVICE</v>
          </cell>
          <cell r="J1123" t="str">
            <v>JULIANA CORDEIRO</v>
          </cell>
          <cell r="K1123" t="str">
            <v>ITAMBÉ</v>
          </cell>
          <cell r="L1123" t="str">
            <v>RODRIGO</v>
          </cell>
          <cell r="M1123" t="str">
            <v>JESSICA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  <cell r="H1124" t="str">
            <v>DISTRIBUIÇÃO</v>
          </cell>
          <cell r="I1124" t="str">
            <v>FOOD SERVICE</v>
          </cell>
          <cell r="J1124" t="str">
            <v>ANGELICA BATISTELA</v>
          </cell>
          <cell r="K1124" t="str">
            <v>ITAMBÉ</v>
          </cell>
          <cell r="L1124" t="str">
            <v>RODRIGO</v>
          </cell>
          <cell r="M1124" t="str">
            <v>ANGELICA BATISTELA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  <cell r="H1125" t="str">
            <v>DISTRIBUIÇÃO</v>
          </cell>
          <cell r="I1125" t="str">
            <v>FOOD SERVICE</v>
          </cell>
          <cell r="J1125" t="str">
            <v>MARCELO SILVA</v>
          </cell>
          <cell r="K1125" t="str">
            <v>ITAMBÉ</v>
          </cell>
          <cell r="L1125" t="str">
            <v>RODRIGO</v>
          </cell>
          <cell r="M1125" t="str">
            <v>CELIO MARTINS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  <cell r="H1126" t="str">
            <v>DISTRIBUIÇÃO</v>
          </cell>
          <cell r="I1126" t="str">
            <v>FOOD SERVICE</v>
          </cell>
          <cell r="J1126" t="str">
            <v>FLAC 6</v>
          </cell>
          <cell r="K1126" t="str">
            <v>LACTALIS</v>
          </cell>
          <cell r="L1126" t="str">
            <v>RODRIGO</v>
          </cell>
          <cell r="M1126" t="str">
            <v>RAQUEL BARBOSA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  <cell r="H1127" t="str">
            <v>DISTRIBUIÇÃO</v>
          </cell>
          <cell r="I1127" t="str">
            <v>FOOD SERVICE</v>
          </cell>
          <cell r="J1127" t="str">
            <v>FLAC 3</v>
          </cell>
          <cell r="K1127" t="str">
            <v>LACTALIS</v>
          </cell>
          <cell r="L1127" t="str">
            <v>RODRIGO</v>
          </cell>
          <cell r="M1127" t="str">
            <v>RAQUEL BARBOSA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  <cell r="H1128" t="str">
            <v>DISTRIBUIÇÃO</v>
          </cell>
          <cell r="I1128" t="str">
            <v>FOOD SERVICE</v>
          </cell>
          <cell r="J1128" t="str">
            <v>FLAC 6</v>
          </cell>
          <cell r="K1128" t="str">
            <v>LACTALIS</v>
          </cell>
          <cell r="L1128" t="str">
            <v>RODRIGO</v>
          </cell>
          <cell r="M1128" t="str">
            <v>RAQUEL BARBOSA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  <cell r="H1129" t="str">
            <v>DISTRIBUIÇÃO</v>
          </cell>
          <cell r="I1129" t="str">
            <v>FOOD SERVICE</v>
          </cell>
          <cell r="J1129" t="str">
            <v>FLAC 6</v>
          </cell>
          <cell r="K1129" t="str">
            <v>LACTALIS</v>
          </cell>
          <cell r="L1129" t="str">
            <v>RODRIGO</v>
          </cell>
          <cell r="M1129" t="str">
            <v>RAQUEL BARBOSA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  <cell r="H1130" t="str">
            <v>DISTRIBUIÇÃO</v>
          </cell>
          <cell r="I1130" t="str">
            <v>FOOD SERVICE</v>
          </cell>
          <cell r="J1130" t="str">
            <v>FLAC 6</v>
          </cell>
          <cell r="K1130" t="str">
            <v>LACTALIS</v>
          </cell>
          <cell r="L1130" t="str">
            <v>RODRIGO</v>
          </cell>
          <cell r="M1130" t="str">
            <v>RAQUEL BARBOSA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  <cell r="H1131" t="str">
            <v>DISTRIBUIÇÃO</v>
          </cell>
          <cell r="I1131" t="str">
            <v>FOOD SERVICE</v>
          </cell>
          <cell r="J1131" t="str">
            <v>FLAC 6</v>
          </cell>
          <cell r="K1131" t="str">
            <v>LACTALIS</v>
          </cell>
          <cell r="L1131" t="str">
            <v>RODRIGO</v>
          </cell>
          <cell r="M1131" t="str">
            <v>RAQUEL BARBOSA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  <cell r="H1132" t="str">
            <v>DISTRIBUIÇÃO</v>
          </cell>
          <cell r="I1132" t="str">
            <v>FOOD SERVICE</v>
          </cell>
          <cell r="J1132" t="str">
            <v>FLAC 6</v>
          </cell>
          <cell r="K1132" t="str">
            <v>LACTALIS</v>
          </cell>
          <cell r="L1132" t="str">
            <v>RODRIGO</v>
          </cell>
          <cell r="M1132" t="str">
            <v>RAQUEL BARBOSA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  <cell r="H1133" t="str">
            <v>DISTRIBUIÇÃO</v>
          </cell>
          <cell r="I1133" t="str">
            <v>FOOD SERVICE</v>
          </cell>
          <cell r="J1133" t="str">
            <v>FLAC 6</v>
          </cell>
          <cell r="K1133" t="str">
            <v>LACTALIS</v>
          </cell>
          <cell r="L1133" t="str">
            <v>RODRIGO</v>
          </cell>
          <cell r="M1133" t="str">
            <v>RAQUEL BARBOSA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  <cell r="H1134" t="str">
            <v>INGREDIENTS</v>
          </cell>
          <cell r="I1134" t="str">
            <v>INGREDIENTS</v>
          </cell>
          <cell r="J1134" t="str">
            <v>HENRIQUE FERREIRA</v>
          </cell>
          <cell r="K1134" t="str">
            <v>ITAMBÉ</v>
          </cell>
          <cell r="L1134" t="str">
            <v>MAURICIO</v>
          </cell>
          <cell r="M1134" t="str">
            <v>JOEL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  <cell r="H1135" t="str">
            <v>DISTRIBUIÇÃO</v>
          </cell>
          <cell r="I1135" t="str">
            <v>FOOD SERVICE</v>
          </cell>
          <cell r="J1135" t="str">
            <v>FLAC 6</v>
          </cell>
          <cell r="K1135" t="str">
            <v>LACTALIS</v>
          </cell>
          <cell r="L1135" t="str">
            <v>RODRIGO</v>
          </cell>
          <cell r="M1135" t="str">
            <v>RAQUEL BARBOSA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  <cell r="H1136" t="str">
            <v>DISTRIBUIÇÃO</v>
          </cell>
          <cell r="I1136" t="str">
            <v>FOOD SERVICE</v>
          </cell>
          <cell r="J1136" t="str">
            <v>FLAC 4</v>
          </cell>
          <cell r="K1136" t="str">
            <v>LACTALIS</v>
          </cell>
          <cell r="L1136" t="str">
            <v>RODRIGO</v>
          </cell>
          <cell r="M1136" t="str">
            <v>RAQUEL BARBOSA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  <cell r="H1137" t="str">
            <v>DISTRIBUIÇÃO</v>
          </cell>
          <cell r="I1137" t="str">
            <v>FOOD SERVICE</v>
          </cell>
          <cell r="J1137" t="str">
            <v>FLAC 6</v>
          </cell>
          <cell r="K1137" t="str">
            <v>LACTALIS</v>
          </cell>
          <cell r="L1137" t="str">
            <v>RODRIGO</v>
          </cell>
          <cell r="M1137" t="str">
            <v>RAQUEL BARBOSA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  <cell r="H1138" t="str">
            <v>DISTRIBUIÇÃO</v>
          </cell>
          <cell r="I1138" t="str">
            <v>FOOD SERVICE</v>
          </cell>
          <cell r="J1138" t="str">
            <v>FLAC 5</v>
          </cell>
          <cell r="K1138" t="str">
            <v>LACTALIS</v>
          </cell>
          <cell r="L1138" t="str">
            <v>RODRIGO</v>
          </cell>
          <cell r="M1138" t="str">
            <v>RAQUEL BARBOSA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  <cell r="H1139" t="str">
            <v>DISTRIBUIÇÃO</v>
          </cell>
          <cell r="I1139" t="str">
            <v>FOOD SERVICE</v>
          </cell>
          <cell r="J1139" t="str">
            <v>FLAC 3</v>
          </cell>
          <cell r="K1139" t="str">
            <v>LACTALIS</v>
          </cell>
          <cell r="L1139" t="str">
            <v>RODRIGO</v>
          </cell>
          <cell r="M1139" t="str">
            <v>RAQUEL BARBOSA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  <cell r="H1140" t="str">
            <v>DISTRIBUIÇÃO</v>
          </cell>
          <cell r="I1140" t="str">
            <v>FOOD SERVICE</v>
          </cell>
          <cell r="J1140" t="str">
            <v>FLAC 7</v>
          </cell>
          <cell r="K1140" t="str">
            <v>LACTALIS</v>
          </cell>
          <cell r="L1140" t="str">
            <v>RODRIGO</v>
          </cell>
          <cell r="M1140" t="str">
            <v>RAQUEL BARBOSA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  <cell r="H1141" t="str">
            <v>INGREDIENTS</v>
          </cell>
          <cell r="I1141" t="str">
            <v>INGREDIENTS</v>
          </cell>
          <cell r="J1141" t="str">
            <v>DUAS RODAS</v>
          </cell>
          <cell r="K1141" t="str">
            <v>ITAMBÉ</v>
          </cell>
          <cell r="L1141" t="str">
            <v>MAURICIO</v>
          </cell>
          <cell r="M1141" t="str">
            <v>TATIANA NITTA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  <cell r="H1142" t="str">
            <v>DISTRIBUIÇÃO</v>
          </cell>
          <cell r="I1142" t="str">
            <v>FOOD SERVICE</v>
          </cell>
          <cell r="J1142" t="str">
            <v>MARCELO SILVA</v>
          </cell>
          <cell r="K1142" t="str">
            <v>ITAMBÉ</v>
          </cell>
          <cell r="L1142" t="str">
            <v>RODRIGO</v>
          </cell>
          <cell r="M1142" t="str">
            <v>CELIO MARTINS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  <cell r="H1143" t="str">
            <v>QSR</v>
          </cell>
          <cell r="I1143" t="str">
            <v>FOOD SERVICE</v>
          </cell>
          <cell r="J1143" t="str">
            <v>VAGO QSR</v>
          </cell>
          <cell r="K1143" t="str">
            <v>LACTALIS</v>
          </cell>
          <cell r="L1143" t="str">
            <v>PEDRO</v>
          </cell>
          <cell r="M1143" t="str">
            <v>VAGO QSR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  <cell r="H1144" t="str">
            <v>DISTRIBUIÇÃO</v>
          </cell>
          <cell r="I1144" t="str">
            <v>FOOD SERVICE</v>
          </cell>
          <cell r="J1144" t="str">
            <v>FLAC 2</v>
          </cell>
          <cell r="K1144" t="str">
            <v>LACTALIS</v>
          </cell>
          <cell r="L1144" t="str">
            <v>RODRIGO</v>
          </cell>
          <cell r="M1144" t="str">
            <v>RAQUEL BARBOSA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  <cell r="H1145" t="str">
            <v>INGREDIENTS</v>
          </cell>
          <cell r="I1145" t="str">
            <v>INGREDIENTS</v>
          </cell>
          <cell r="J1145" t="str">
            <v>HENRIQUE FERREIRA</v>
          </cell>
          <cell r="K1145" t="str">
            <v>ITAMBÉ</v>
          </cell>
          <cell r="L1145" t="str">
            <v>MAURICIO</v>
          </cell>
          <cell r="M1145" t="str">
            <v>JOEL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  <cell r="H1146" t="str">
            <v>DISTRIBUIÇÃO</v>
          </cell>
          <cell r="I1146" t="str">
            <v>FOOD SERVICE</v>
          </cell>
          <cell r="J1146" t="str">
            <v>MARCELO SILVA</v>
          </cell>
          <cell r="K1146" t="str">
            <v>ITAMBÉ</v>
          </cell>
          <cell r="L1146" t="str">
            <v>RODRIGO</v>
          </cell>
          <cell r="M1146" t="str">
            <v>CELIO MARTINS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  <cell r="H1147" t="str">
            <v>INGREDIENTS</v>
          </cell>
          <cell r="I1147" t="str">
            <v>INGREDIENTS</v>
          </cell>
          <cell r="J1147" t="str">
            <v>DUAS RODAS</v>
          </cell>
          <cell r="K1147" t="str">
            <v>ITAMBÉ</v>
          </cell>
          <cell r="L1147" t="str">
            <v>MAURICIO</v>
          </cell>
          <cell r="M1147" t="str">
            <v>JOEL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  <cell r="H1148" t="str">
            <v>DISTRIBUIÇÃO</v>
          </cell>
          <cell r="I1148" t="str">
            <v>FOOD SERVICE</v>
          </cell>
          <cell r="J1148" t="str">
            <v>FLAC 2</v>
          </cell>
          <cell r="K1148" t="str">
            <v>LACTALIS</v>
          </cell>
          <cell r="L1148" t="str">
            <v>RODRIGO</v>
          </cell>
          <cell r="M1148" t="str">
            <v>RAQUEL BARBOSA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  <cell r="H1149" t="str">
            <v>DISTRIBUIÇÃO</v>
          </cell>
          <cell r="I1149" t="str">
            <v>FOOD SERVICE</v>
          </cell>
          <cell r="J1149" t="str">
            <v>FLAC 3</v>
          </cell>
          <cell r="K1149" t="str">
            <v>LACTALIS</v>
          </cell>
          <cell r="L1149" t="str">
            <v>RODRIGO</v>
          </cell>
          <cell r="M1149" t="str">
            <v>RAQUEL BARBOSA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  <cell r="H1150" t="str">
            <v>DISTRIBUIÇÃO</v>
          </cell>
          <cell r="I1150" t="str">
            <v>FOOD SERVICE</v>
          </cell>
          <cell r="J1150" t="str">
            <v>FLAC 3</v>
          </cell>
          <cell r="K1150" t="str">
            <v>LACTALIS</v>
          </cell>
          <cell r="L1150" t="str">
            <v>RODRIGO</v>
          </cell>
          <cell r="M1150" t="str">
            <v>RAQUEL BARBOSA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  <cell r="H1151" t="str">
            <v>DISTRIBUIÇÃO</v>
          </cell>
          <cell r="I1151" t="str">
            <v>FOOD SERVICE</v>
          </cell>
          <cell r="J1151" t="str">
            <v>FLAC 3</v>
          </cell>
          <cell r="K1151" t="str">
            <v>LACTALIS</v>
          </cell>
          <cell r="L1151" t="str">
            <v>RODRIGO</v>
          </cell>
          <cell r="M1151" t="str">
            <v>RAQUEL BARBOSA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  <cell r="H1152" t="str">
            <v>DISTRIBUIÇÃO</v>
          </cell>
          <cell r="I1152" t="str">
            <v>FOOD SERVICE</v>
          </cell>
          <cell r="J1152" t="str">
            <v>FLAC 7</v>
          </cell>
          <cell r="K1152" t="str">
            <v>LACTALIS</v>
          </cell>
          <cell r="L1152" t="str">
            <v>RODRIGO</v>
          </cell>
          <cell r="M1152" t="str">
            <v>RAQUEL BARBOSA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  <cell r="H1153" t="str">
            <v>DISTRIBUIÇÃO</v>
          </cell>
          <cell r="I1153" t="str">
            <v>FOOD SERVICE</v>
          </cell>
          <cell r="J1153" t="str">
            <v>FLAC 7</v>
          </cell>
          <cell r="K1153" t="str">
            <v>LACTALIS</v>
          </cell>
          <cell r="L1153" t="str">
            <v>RODRIGO</v>
          </cell>
          <cell r="M1153" t="str">
            <v>RAQUEL BARBOSA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  <cell r="H1154" t="str">
            <v>DISTRIBUIÇÃO</v>
          </cell>
          <cell r="I1154" t="str">
            <v>FOOD SERVICE</v>
          </cell>
          <cell r="J1154" t="str">
            <v>FLAC 3</v>
          </cell>
          <cell r="K1154" t="str">
            <v>LACTALIS</v>
          </cell>
          <cell r="L1154" t="str">
            <v>RODRIGO</v>
          </cell>
          <cell r="M1154" t="str">
            <v>RAQUEL BARBOSA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  <cell r="H1155" t="str">
            <v>DISTRIBUIÇÃO</v>
          </cell>
          <cell r="I1155" t="str">
            <v>FOOD SERVICE</v>
          </cell>
          <cell r="J1155" t="str">
            <v>VAGO SP</v>
          </cell>
          <cell r="K1155" t="str">
            <v>ITAMBÉ</v>
          </cell>
          <cell r="L1155" t="str">
            <v>RODRIGO</v>
          </cell>
          <cell r="M1155" t="str">
            <v>RAQUEL BARBOSA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  <cell r="H1156" t="str">
            <v>DISTRIBUIÇÃO</v>
          </cell>
          <cell r="I1156" t="str">
            <v>FOOD SERVICE</v>
          </cell>
          <cell r="J1156" t="str">
            <v>VAGO SP</v>
          </cell>
          <cell r="K1156" t="str">
            <v>ITAMBÉ</v>
          </cell>
          <cell r="L1156" t="str">
            <v>RODRIGO</v>
          </cell>
          <cell r="M1156" t="str">
            <v>RAQUEL BARBOSA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  <cell r="H1157" t="str">
            <v>INGREDIENTS</v>
          </cell>
          <cell r="I1157" t="str">
            <v>INGREDIENTS</v>
          </cell>
          <cell r="J1157" t="str">
            <v>HENRIQUE FERREIRA</v>
          </cell>
          <cell r="K1157" t="str">
            <v>ITAMBÉ</v>
          </cell>
          <cell r="L1157" t="str">
            <v>MAURICIO</v>
          </cell>
          <cell r="M1157" t="str">
            <v>JOEL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  <cell r="H1158" t="str">
            <v>INGREDIENTS</v>
          </cell>
          <cell r="I1158" t="str">
            <v>INGREDIENTS</v>
          </cell>
          <cell r="J1158" t="str">
            <v>HENRIQUE FERREIRA</v>
          </cell>
          <cell r="K1158" t="str">
            <v>LACTALIS</v>
          </cell>
          <cell r="L1158" t="str">
            <v>MAURICIO</v>
          </cell>
          <cell r="M1158" t="str">
            <v>JOEL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  <cell r="H1159" t="str">
            <v>DISTRIBUIÇÃO</v>
          </cell>
          <cell r="I1159" t="str">
            <v>FOOD SERVICE</v>
          </cell>
          <cell r="J1159" t="str">
            <v>CLAUDIO JORGE</v>
          </cell>
          <cell r="K1159" t="str">
            <v>ITAMBÉ</v>
          </cell>
          <cell r="L1159" t="str">
            <v>RODRIGO</v>
          </cell>
          <cell r="M1159" t="str">
            <v>MARIA LOURDES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  <cell r="H1160" t="str">
            <v>DISTRIBUIÇÃO</v>
          </cell>
          <cell r="I1160" t="str">
            <v>FOOD SERVICE</v>
          </cell>
          <cell r="J1160" t="str">
            <v>FLAC 6</v>
          </cell>
          <cell r="K1160" t="str">
            <v>LACTALIS</v>
          </cell>
          <cell r="L1160" t="str">
            <v>RODRIGO</v>
          </cell>
          <cell r="M1160" t="str">
            <v>RAQUEL BARBOSA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  <cell r="H1161" t="str">
            <v>DISTRIBUIÇÃO</v>
          </cell>
          <cell r="I1161" t="str">
            <v>FOOD SERVICE</v>
          </cell>
          <cell r="J1161" t="str">
            <v>FLAC 3</v>
          </cell>
          <cell r="K1161" t="str">
            <v>LACTALIS</v>
          </cell>
          <cell r="L1161" t="str">
            <v>RODRIGO</v>
          </cell>
          <cell r="M1161" t="str">
            <v>RAQUEL BARBOSA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  <cell r="H1162" t="str">
            <v>DISTRIBUIÇÃO</v>
          </cell>
          <cell r="I1162" t="str">
            <v>FOOD SERVICE</v>
          </cell>
          <cell r="J1162" t="str">
            <v>FLAC 3</v>
          </cell>
          <cell r="K1162" t="str">
            <v>LACTALIS</v>
          </cell>
          <cell r="L1162" t="str">
            <v>RODRIGO</v>
          </cell>
          <cell r="M1162" t="str">
            <v>RAQUEL BARBOSA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  <cell r="H1163" t="str">
            <v>DISTRIBUIÇÃO</v>
          </cell>
          <cell r="I1163" t="str">
            <v>FOOD SERVICE</v>
          </cell>
          <cell r="J1163" t="str">
            <v>FLAC 6</v>
          </cell>
          <cell r="K1163" t="str">
            <v>LACTALIS</v>
          </cell>
          <cell r="L1163" t="str">
            <v>RODRIGO</v>
          </cell>
          <cell r="M1163" t="str">
            <v>RAQUEL BARBOSA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  <cell r="H1164" t="str">
            <v>DISTRIBUIÇÃO</v>
          </cell>
          <cell r="I1164" t="str">
            <v>FOOD SERVICE</v>
          </cell>
          <cell r="J1164" t="str">
            <v>FLAC 2</v>
          </cell>
          <cell r="K1164" t="str">
            <v>LACTALIS</v>
          </cell>
          <cell r="L1164" t="str">
            <v>RODRIGO</v>
          </cell>
          <cell r="M1164" t="str">
            <v>RAQUEL BARBOSA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  <cell r="H1165" t="str">
            <v>DISTRIBUIÇÃO</v>
          </cell>
          <cell r="I1165" t="str">
            <v>FOOD SERVICE</v>
          </cell>
          <cell r="J1165" t="str">
            <v>FLAC 6</v>
          </cell>
          <cell r="K1165" t="str">
            <v>LACTALIS</v>
          </cell>
          <cell r="L1165" t="str">
            <v>RODRIGO</v>
          </cell>
          <cell r="M1165" t="str">
            <v>RAQUEL BARBOSA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  <cell r="H1166" t="str">
            <v>DISTRIBUIÇÃO</v>
          </cell>
          <cell r="I1166" t="str">
            <v>FOOD SERVICE</v>
          </cell>
          <cell r="J1166" t="str">
            <v>FLAC 6</v>
          </cell>
          <cell r="K1166" t="str">
            <v>LACTALIS</v>
          </cell>
          <cell r="L1166" t="str">
            <v>RODRIGO</v>
          </cell>
          <cell r="M1166" t="str">
            <v>RAQUEL BARBOSA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  <cell r="H1167" t="str">
            <v>DISTRIBUIÇÃO</v>
          </cell>
          <cell r="I1167" t="str">
            <v>FOOD SERVICE</v>
          </cell>
          <cell r="J1167" t="str">
            <v>FLAC 2</v>
          </cell>
          <cell r="K1167" t="str">
            <v>LACTALIS</v>
          </cell>
          <cell r="L1167" t="str">
            <v>RODRIGO</v>
          </cell>
          <cell r="M1167" t="str">
            <v>RAQUEL BARBOSA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  <cell r="H1168" t="str">
            <v>DISTRIBUIÇÃO</v>
          </cell>
          <cell r="I1168" t="str">
            <v>FOOD SERVICE</v>
          </cell>
          <cell r="J1168" t="str">
            <v>FLAC 2</v>
          </cell>
          <cell r="K1168" t="str">
            <v>LACTALIS</v>
          </cell>
          <cell r="L1168" t="str">
            <v>RODRIGO</v>
          </cell>
          <cell r="M1168" t="str">
            <v>RAQUEL BARBOSA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  <cell r="H1169" t="str">
            <v>DISTRIBUIÇÃO</v>
          </cell>
          <cell r="I1169" t="str">
            <v>FOOD SERVICE</v>
          </cell>
          <cell r="J1169" t="str">
            <v>FLAC 3</v>
          </cell>
          <cell r="K1169" t="str">
            <v>LACTALIS</v>
          </cell>
          <cell r="L1169" t="str">
            <v>RODRIGO</v>
          </cell>
          <cell r="M1169" t="str">
            <v>RAQUEL BARBOSA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  <cell r="H1170" t="str">
            <v>INGREDIENTS</v>
          </cell>
          <cell r="I1170" t="str">
            <v>INGREDIENTS</v>
          </cell>
          <cell r="J1170" t="str">
            <v>JOEL ELEOTÉRIO</v>
          </cell>
          <cell r="K1170" t="str">
            <v>LACTALIS</v>
          </cell>
          <cell r="L1170" t="str">
            <v>MAURICIO</v>
          </cell>
          <cell r="M1170" t="str">
            <v>JOEL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  <cell r="H1171" t="str">
            <v>DISTRIBUIÇÃO</v>
          </cell>
          <cell r="I1171" t="str">
            <v>FOOD SERVICE</v>
          </cell>
          <cell r="J1171" t="str">
            <v>FLAC 6</v>
          </cell>
          <cell r="K1171" t="str">
            <v>LACTALIS</v>
          </cell>
          <cell r="L1171" t="str">
            <v>RODRIGO</v>
          </cell>
          <cell r="M1171" t="str">
            <v>RAQUEL BARBOSA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  <cell r="H1172" t="str">
            <v>DISTRIBUIÇÃO</v>
          </cell>
          <cell r="I1172" t="str">
            <v>FOOD SERVICE</v>
          </cell>
          <cell r="J1172" t="str">
            <v>FLAC 6</v>
          </cell>
          <cell r="K1172" t="str">
            <v>LACTALIS</v>
          </cell>
          <cell r="L1172" t="str">
            <v>RODRIGO</v>
          </cell>
          <cell r="M1172" t="str">
            <v>RAQUEL BARBOSA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  <cell r="H1173" t="str">
            <v>DISTRIBUIÇÃO</v>
          </cell>
          <cell r="I1173" t="str">
            <v>FOOD SERVICE</v>
          </cell>
          <cell r="J1173" t="str">
            <v>FLAC 3</v>
          </cell>
          <cell r="K1173" t="str">
            <v>LACTALIS</v>
          </cell>
          <cell r="L1173" t="str">
            <v>RODRIGO</v>
          </cell>
          <cell r="M1173" t="str">
            <v>RAQUEL BARBOSA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  <cell r="H1174" t="str">
            <v>DISTRIBUIÇÃO</v>
          </cell>
          <cell r="I1174" t="str">
            <v>FOOD SERVICE</v>
          </cell>
          <cell r="J1174" t="str">
            <v>FLAC 4</v>
          </cell>
          <cell r="K1174" t="str">
            <v>LACTALIS</v>
          </cell>
          <cell r="L1174" t="str">
            <v>RODRIGO</v>
          </cell>
          <cell r="M1174" t="str">
            <v>RAQUEL BARBOSA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  <cell r="H1175" t="str">
            <v>DISTRIBUIÇÃO</v>
          </cell>
          <cell r="I1175" t="str">
            <v>FOOD SERVICE</v>
          </cell>
          <cell r="J1175" t="str">
            <v>FLAC 2</v>
          </cell>
          <cell r="K1175" t="str">
            <v>LACTALIS</v>
          </cell>
          <cell r="L1175" t="str">
            <v>RODRIGO</v>
          </cell>
          <cell r="M1175" t="str">
            <v>RAQUEL BARBOSA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  <cell r="H1176" t="str">
            <v>DISTRIBUIÇÃO</v>
          </cell>
          <cell r="I1176" t="str">
            <v>FOOD SERVICE</v>
          </cell>
          <cell r="J1176" t="str">
            <v>FLAC 3</v>
          </cell>
          <cell r="K1176" t="str">
            <v>LACTALIS</v>
          </cell>
          <cell r="L1176" t="str">
            <v>RODRIGO</v>
          </cell>
          <cell r="M1176" t="str">
            <v>RAQUEL BARBOSA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  <cell r="H1177" t="str">
            <v>DISTRIBUIÇÃO</v>
          </cell>
          <cell r="I1177" t="str">
            <v>FOOD SERVICE</v>
          </cell>
          <cell r="J1177" t="str">
            <v>FLAC 2</v>
          </cell>
          <cell r="K1177" t="str">
            <v>LACTALIS</v>
          </cell>
          <cell r="L1177" t="str">
            <v>RODRIGO</v>
          </cell>
          <cell r="M1177" t="str">
            <v>RAQUEL BARBOSA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  <cell r="H1178" t="str">
            <v>MC DONALDS</v>
          </cell>
          <cell r="I1178" t="str">
            <v>MC DONALDS</v>
          </cell>
          <cell r="J1178" t="str">
            <v>MAURICIO GALLI</v>
          </cell>
          <cell r="K1178" t="str">
            <v>LACTALIS</v>
          </cell>
          <cell r="L1178" t="str">
            <v>MAURICIO</v>
          </cell>
          <cell r="M1178" t="str">
            <v>MAURICIO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  <cell r="H1179" t="str">
            <v>MC DONALDS</v>
          </cell>
          <cell r="I1179" t="str">
            <v>MC DONALDS</v>
          </cell>
          <cell r="J1179" t="str">
            <v>MAURICIO GALLI</v>
          </cell>
          <cell r="K1179" t="str">
            <v>LACTALIS</v>
          </cell>
          <cell r="L1179" t="str">
            <v>MAURICIO</v>
          </cell>
          <cell r="M1179" t="str">
            <v>MAURICIO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  <cell r="H1180" t="str">
            <v>MC DONALDS</v>
          </cell>
          <cell r="I1180" t="str">
            <v>MC DONALDS</v>
          </cell>
          <cell r="J1180" t="str">
            <v>MAURICIO GALLI</v>
          </cell>
          <cell r="K1180" t="str">
            <v>LACTALIS</v>
          </cell>
          <cell r="L1180" t="str">
            <v>MAURICIO</v>
          </cell>
          <cell r="M1180" t="str">
            <v>MAURICIO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  <cell r="H1181" t="str">
            <v>MC DONALDS</v>
          </cell>
          <cell r="I1181" t="str">
            <v>MC DONALDS</v>
          </cell>
          <cell r="J1181" t="str">
            <v>MAURICIO GALLI</v>
          </cell>
          <cell r="K1181" t="str">
            <v>LACTALIS</v>
          </cell>
          <cell r="L1181" t="str">
            <v>MAURICIO</v>
          </cell>
          <cell r="M1181" t="str">
            <v>MAURICIO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  <cell r="H1182" t="str">
            <v>MC DONALDS</v>
          </cell>
          <cell r="I1182" t="str">
            <v>MC DONALDS</v>
          </cell>
          <cell r="J1182" t="str">
            <v>MAURICIO GALLI</v>
          </cell>
          <cell r="K1182" t="str">
            <v>LACTALIS</v>
          </cell>
          <cell r="L1182" t="str">
            <v>MAURICIO</v>
          </cell>
          <cell r="M1182" t="str">
            <v>MAURICIO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  <cell r="H1183" t="str">
            <v>DISTRIBUIÇÃO</v>
          </cell>
          <cell r="I1183" t="str">
            <v>FOOD SERVICE</v>
          </cell>
          <cell r="J1183" t="str">
            <v>FLAC 8</v>
          </cell>
          <cell r="K1183" t="str">
            <v>LACTALIS</v>
          </cell>
          <cell r="L1183" t="str">
            <v>RODRIGO</v>
          </cell>
          <cell r="M1183" t="str">
            <v>RAQUEL BARBOSA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  <cell r="H1184" t="str">
            <v>INGREDIENTS</v>
          </cell>
          <cell r="I1184" t="str">
            <v>INGREDIENTS</v>
          </cell>
          <cell r="J1184" t="str">
            <v>HENRIQUE FERREIRA</v>
          </cell>
          <cell r="K1184" t="str">
            <v>ITAMBÉ</v>
          </cell>
          <cell r="L1184" t="str">
            <v>MAURICIO</v>
          </cell>
          <cell r="M1184" t="str">
            <v>JOEL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  <cell r="H1185" t="str">
            <v>DISTRIBUIÇÃO</v>
          </cell>
          <cell r="I1185" t="str">
            <v>FOOD SERVICE</v>
          </cell>
          <cell r="J1185" t="str">
            <v>CLAUDIO JORGE</v>
          </cell>
          <cell r="K1185" t="str">
            <v>ITAMBÉ</v>
          </cell>
          <cell r="L1185" t="str">
            <v>RODRIGO</v>
          </cell>
          <cell r="M1185" t="str">
            <v>MARIA LOURDES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  <cell r="H1186" t="str">
            <v>DISTRIBUIÇÃO</v>
          </cell>
          <cell r="I1186" t="str">
            <v>FOOD SERVICE</v>
          </cell>
          <cell r="J1186" t="str">
            <v>ALEXANDRE BONANI</v>
          </cell>
          <cell r="K1186" t="str">
            <v>ITAMBÉ</v>
          </cell>
          <cell r="L1186" t="str">
            <v>RODRIGO</v>
          </cell>
          <cell r="M1186" t="str">
            <v>ALEXANDRE BONANI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  <cell r="H1187" t="str">
            <v>DISTRIBUIÇÃO</v>
          </cell>
          <cell r="I1187" t="str">
            <v>FOOD SERVICE</v>
          </cell>
          <cell r="J1187" t="str">
            <v>ALEXANDRE BONANI</v>
          </cell>
          <cell r="K1187" t="str">
            <v>ITAMBÉ</v>
          </cell>
          <cell r="L1187" t="str">
            <v>RODRIGO</v>
          </cell>
          <cell r="M1187" t="str">
            <v>ALEXANDRE BONANI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  <cell r="H1188" t="str">
            <v>DISTRIBUIÇÃO</v>
          </cell>
          <cell r="I1188" t="str">
            <v>FOOD SERVICE</v>
          </cell>
          <cell r="J1188" t="str">
            <v>ALEXANDRE BONANI</v>
          </cell>
          <cell r="K1188" t="str">
            <v>LACTALIS</v>
          </cell>
          <cell r="L1188" t="str">
            <v>RODRIGO</v>
          </cell>
          <cell r="M1188" t="str">
            <v>ALEXANDRE BONANI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  <cell r="H1189" t="str">
            <v>DISTRIBUIÇÃO</v>
          </cell>
          <cell r="I1189" t="str">
            <v>FOOD SERVICE</v>
          </cell>
          <cell r="J1189" t="str">
            <v>ANGELICA BATISTELA</v>
          </cell>
          <cell r="K1189" t="str">
            <v>ITAMBÉ</v>
          </cell>
          <cell r="L1189" t="str">
            <v>RODRIGO</v>
          </cell>
          <cell r="M1189" t="str">
            <v>ANGELICA BATISTELA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  <cell r="H1190" t="str">
            <v>DISTRIBUIÇÃO</v>
          </cell>
          <cell r="I1190" t="str">
            <v>FOOD SERVICE</v>
          </cell>
          <cell r="J1190" t="str">
            <v>JESSICA CARLA</v>
          </cell>
          <cell r="K1190" t="str">
            <v>ITAMBÉ</v>
          </cell>
          <cell r="L1190" t="str">
            <v>RODRIGO</v>
          </cell>
          <cell r="M1190" t="str">
            <v>JESSICA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  <cell r="H1191" t="str">
            <v>DISTRIBUIÇÃO</v>
          </cell>
          <cell r="I1191" t="str">
            <v>FOOD SERVICE</v>
          </cell>
          <cell r="J1191" t="str">
            <v>JESSICA CARLA</v>
          </cell>
          <cell r="K1191" t="str">
            <v>LACTALIS</v>
          </cell>
          <cell r="L1191" t="str">
            <v>RODRIGO</v>
          </cell>
          <cell r="M1191" t="str">
            <v>JESSICA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  <cell r="H1192" t="str">
            <v>DISTRIBUIÇÃO</v>
          </cell>
          <cell r="I1192" t="str">
            <v>FOOD SERVICE</v>
          </cell>
          <cell r="J1192" t="str">
            <v>FLAC 2</v>
          </cell>
          <cell r="K1192" t="str">
            <v>LACTALIS</v>
          </cell>
          <cell r="L1192" t="str">
            <v>RODRIGO</v>
          </cell>
          <cell r="M1192" t="str">
            <v>RAQUEL BARBOSA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  <cell r="H1193" t="str">
            <v>DISTRIBUIÇÃO</v>
          </cell>
          <cell r="I1193" t="str">
            <v>FOOD SERVICE</v>
          </cell>
          <cell r="J1193" t="str">
            <v>FLAC 2</v>
          </cell>
          <cell r="K1193" t="str">
            <v>LACTALIS</v>
          </cell>
          <cell r="L1193" t="str">
            <v>RODRIGO</v>
          </cell>
          <cell r="M1193" t="str">
            <v>RAQUEL BARBOSA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  <cell r="H1194" t="str">
            <v>DISTRIBUIÇÃO</v>
          </cell>
          <cell r="I1194" t="str">
            <v>FOOD SERVICE</v>
          </cell>
          <cell r="J1194" t="str">
            <v>SP ITB FS FLAC REP.E COMERCIO</v>
          </cell>
          <cell r="K1194" t="str">
            <v>ITAMBÉ</v>
          </cell>
          <cell r="L1194" t="str">
            <v>RODRIGO</v>
          </cell>
          <cell r="M1194" t="str">
            <v>RAQUEL BARBOSA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  <cell r="H1195" t="str">
            <v>DISTRIBUIÇÃO</v>
          </cell>
          <cell r="I1195" t="str">
            <v>FOOD SERVICE</v>
          </cell>
          <cell r="J1195" t="str">
            <v>FLAC 2</v>
          </cell>
          <cell r="K1195" t="str">
            <v>LACTALIS</v>
          </cell>
          <cell r="L1195" t="str">
            <v>RODRIGO</v>
          </cell>
          <cell r="M1195" t="str">
            <v>RAQUEL BARBOSA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  <cell r="H1196" t="str">
            <v>DISTRIBUIÇÃO</v>
          </cell>
          <cell r="I1196" t="str">
            <v>FOOD SERVICE</v>
          </cell>
          <cell r="J1196" t="str">
            <v>FLAC 2</v>
          </cell>
          <cell r="K1196" t="str">
            <v>LACTALIS</v>
          </cell>
          <cell r="L1196" t="str">
            <v>RODRIGO</v>
          </cell>
          <cell r="M1196" t="str">
            <v>RAQUEL BARBOSA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  <cell r="H1197" t="str">
            <v>DISTRIBUIÇÃO</v>
          </cell>
          <cell r="I1197" t="str">
            <v>FOOD SERVICE</v>
          </cell>
          <cell r="J1197" t="str">
            <v>FLAC 6</v>
          </cell>
          <cell r="K1197" t="str">
            <v>LACTALIS</v>
          </cell>
          <cell r="L1197" t="str">
            <v>RODRIGO</v>
          </cell>
          <cell r="M1197" t="str">
            <v>RAQUEL BARBOSA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  <cell r="H1198" t="str">
            <v>DISTRIBUIÇÃO</v>
          </cell>
          <cell r="I1198" t="str">
            <v>FOOD SERVICE</v>
          </cell>
          <cell r="J1198" t="str">
            <v>FLAC 6</v>
          </cell>
          <cell r="K1198" t="str">
            <v>LACTALIS</v>
          </cell>
          <cell r="L1198" t="str">
            <v>RODRIGO</v>
          </cell>
          <cell r="M1198" t="str">
            <v>RAQUEL BARBOSA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  <cell r="H1199" t="str">
            <v>DISTRIBUIÇÃO</v>
          </cell>
          <cell r="I1199" t="str">
            <v>FOOD SERVICE</v>
          </cell>
          <cell r="J1199" t="str">
            <v>FLAC 2</v>
          </cell>
          <cell r="K1199" t="str">
            <v>LACTALIS</v>
          </cell>
          <cell r="L1199" t="str">
            <v>RODRIGO</v>
          </cell>
          <cell r="M1199" t="str">
            <v>RAQUEL BARBOSA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  <cell r="H1200" t="str">
            <v>DISTRIBUIÇÃO</v>
          </cell>
          <cell r="I1200" t="str">
            <v>FOOD SERVICE</v>
          </cell>
          <cell r="J1200" t="str">
            <v>FLAC 4</v>
          </cell>
          <cell r="K1200" t="str">
            <v>LACTALIS</v>
          </cell>
          <cell r="L1200" t="str">
            <v>RODRIGO</v>
          </cell>
          <cell r="M1200" t="str">
            <v>RAQUEL BARBOSA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  <cell r="H1201" t="str">
            <v>DISTRIBUIÇÃO</v>
          </cell>
          <cell r="I1201" t="str">
            <v>FOOD SERVICE</v>
          </cell>
          <cell r="J1201" t="str">
            <v>VAGO SP</v>
          </cell>
          <cell r="K1201" t="str">
            <v>ITAMBÉ</v>
          </cell>
          <cell r="L1201" t="str">
            <v>RODRIGO</v>
          </cell>
          <cell r="M1201" t="str">
            <v>RAQUEL BARBOSA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  <cell r="H1202" t="str">
            <v>DISTRIBUIÇÃO</v>
          </cell>
          <cell r="I1202" t="str">
            <v>FOOD SERVICE</v>
          </cell>
          <cell r="J1202" t="str">
            <v>VAGO SP</v>
          </cell>
          <cell r="K1202" t="str">
            <v>LACTALIS</v>
          </cell>
          <cell r="L1202" t="str">
            <v>RODRIGO</v>
          </cell>
          <cell r="M1202" t="str">
            <v>RAQUEL BARBOSA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  <cell r="H1203" t="str">
            <v>DISTRIBUIÇÃO</v>
          </cell>
          <cell r="I1203" t="str">
            <v>FOOD SERVICE</v>
          </cell>
          <cell r="J1203" t="str">
            <v>FLAC 6</v>
          </cell>
          <cell r="K1203" t="str">
            <v>LACTALIS</v>
          </cell>
          <cell r="L1203" t="str">
            <v>RODRIGO</v>
          </cell>
          <cell r="M1203" t="str">
            <v>RAQUEL BARBOSA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  <cell r="H1204" t="str">
            <v>DISTRIBUIÇÃO</v>
          </cell>
          <cell r="I1204" t="str">
            <v>FOOD SERVICE</v>
          </cell>
          <cell r="J1204" t="str">
            <v>FLAC 6</v>
          </cell>
          <cell r="K1204" t="str">
            <v>LACTALIS</v>
          </cell>
          <cell r="L1204" t="str">
            <v>RODRIGO</v>
          </cell>
          <cell r="M1204" t="str">
            <v>RAQUEL BARBOSA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  <cell r="H1205" t="str">
            <v>QSR</v>
          </cell>
          <cell r="I1205" t="str">
            <v>FOOD SERVICE</v>
          </cell>
          <cell r="J1205" t="str">
            <v>ANA MENIQUETE</v>
          </cell>
          <cell r="K1205" t="str">
            <v>ITAMBÉ</v>
          </cell>
          <cell r="L1205" t="str">
            <v>PEDRO</v>
          </cell>
          <cell r="M1205" t="str">
            <v>ANA MENIQUETE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  <cell r="H1206" t="str">
            <v>DISTRIBUIÇÃO</v>
          </cell>
          <cell r="I1206" t="str">
            <v>FOOD SERVICE</v>
          </cell>
          <cell r="J1206" t="str">
            <v>ALEXANDRE BONANI</v>
          </cell>
          <cell r="K1206" t="str">
            <v>ITAMBÉ</v>
          </cell>
          <cell r="L1206" t="str">
            <v>RODRIGO</v>
          </cell>
          <cell r="M1206" t="str">
            <v>ALEXANDRE BONANI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  <cell r="H1207" t="str">
            <v>DISTRIBUIÇÃO</v>
          </cell>
          <cell r="I1207" t="str">
            <v>FOOD SERVICE</v>
          </cell>
          <cell r="J1207" t="str">
            <v>ALEXANDRE BONANI</v>
          </cell>
          <cell r="K1207" t="str">
            <v>LACTALIS</v>
          </cell>
          <cell r="L1207" t="str">
            <v>RODRIGO</v>
          </cell>
          <cell r="M1207" t="str">
            <v>ALEXANDRE BONANI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  <cell r="H1208" t="str">
            <v>DISTRIBUIÇÃO</v>
          </cell>
          <cell r="I1208" t="str">
            <v>FOOD SERVICE</v>
          </cell>
          <cell r="J1208" t="str">
            <v>FLAC 2</v>
          </cell>
          <cell r="K1208" t="str">
            <v>LACTALIS</v>
          </cell>
          <cell r="L1208" t="str">
            <v>RODRIGO</v>
          </cell>
          <cell r="M1208" t="str">
            <v>RAQUEL BARBOSA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  <cell r="H1209" t="str">
            <v>DISTRIBUIÇÃO</v>
          </cell>
          <cell r="I1209" t="str">
            <v>FOOD SERVICE</v>
          </cell>
          <cell r="J1209" t="str">
            <v>ALEXANDRE BONANI</v>
          </cell>
          <cell r="K1209" t="str">
            <v>ITAMBÉ</v>
          </cell>
          <cell r="L1209" t="str">
            <v>RODRIGO</v>
          </cell>
          <cell r="M1209" t="str">
            <v>ALEXANDRE BONANI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  <cell r="H1210" t="str">
            <v>DISTRIBUIÇÃO</v>
          </cell>
          <cell r="I1210" t="str">
            <v>FOOD SERVICE</v>
          </cell>
          <cell r="J1210" t="str">
            <v>FLAC 8</v>
          </cell>
          <cell r="K1210" t="str">
            <v>LACTALIS</v>
          </cell>
          <cell r="L1210" t="str">
            <v>RODRIGO</v>
          </cell>
          <cell r="M1210" t="str">
            <v>RAQUEL BARBOSA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  <cell r="H1211" t="str">
            <v>DISTRIBUIÇÃO</v>
          </cell>
          <cell r="I1211" t="str">
            <v>FOOD SERVICE</v>
          </cell>
          <cell r="J1211" t="str">
            <v>FLAC 6</v>
          </cell>
          <cell r="K1211" t="str">
            <v>LACTALIS</v>
          </cell>
          <cell r="L1211" t="str">
            <v>RODRIGO</v>
          </cell>
          <cell r="M1211" t="str">
            <v>RAQUEL BARBOSA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  <cell r="H1212" t="str">
            <v>DISTRIBUIÇÃO</v>
          </cell>
          <cell r="I1212" t="str">
            <v>FOOD SERVICE</v>
          </cell>
          <cell r="J1212" t="str">
            <v>CLAUDIO JORGE</v>
          </cell>
          <cell r="K1212" t="str">
            <v>ITAMBÉ</v>
          </cell>
          <cell r="L1212" t="str">
            <v>RODRIGO</v>
          </cell>
          <cell r="M1212" t="str">
            <v>MARCO AURELIO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  <cell r="H1213" t="str">
            <v>DISTRIBUIÇÃO</v>
          </cell>
          <cell r="I1213" t="str">
            <v>FOOD SERVICE</v>
          </cell>
          <cell r="J1213" t="str">
            <v>FLAC 3</v>
          </cell>
          <cell r="K1213" t="str">
            <v>LACTALIS</v>
          </cell>
          <cell r="L1213" t="str">
            <v>RODRIGO</v>
          </cell>
          <cell r="M1213" t="str">
            <v>RAQUEL BARBOSA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  <cell r="H1214" t="str">
            <v>DISTRIBUIÇÃO</v>
          </cell>
          <cell r="I1214" t="str">
            <v>FOOD SERVICE</v>
          </cell>
          <cell r="J1214" t="str">
            <v>ALEXANDRE BONANI</v>
          </cell>
          <cell r="K1214" t="str">
            <v>ITAMBÉ</v>
          </cell>
          <cell r="L1214" t="str">
            <v>RODRIGO</v>
          </cell>
          <cell r="M1214" t="str">
            <v>ALEXANDRE BONANI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  <cell r="H1215" t="str">
            <v>DISTRIBUIÇÃO</v>
          </cell>
          <cell r="I1215" t="str">
            <v>FOOD SERVICE</v>
          </cell>
          <cell r="J1215" t="str">
            <v>FLAC 8</v>
          </cell>
          <cell r="K1215" t="str">
            <v>LACTALIS</v>
          </cell>
          <cell r="L1215" t="str">
            <v>RODRIGO</v>
          </cell>
          <cell r="M1215" t="str">
            <v>RAQUEL BARBOSA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  <cell r="H1216" t="str">
            <v>DISTRIBUIÇÃO</v>
          </cell>
          <cell r="I1216" t="str">
            <v>FOOD SERVICE</v>
          </cell>
          <cell r="J1216" t="str">
            <v>FLAC 2</v>
          </cell>
          <cell r="K1216" t="str">
            <v>LACTALIS</v>
          </cell>
          <cell r="L1216" t="str">
            <v>RODRIGO</v>
          </cell>
          <cell r="M1216" t="str">
            <v>RAQUEL BARBOSA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  <cell r="H1217" t="str">
            <v>DISTRIBUIÇÃO</v>
          </cell>
          <cell r="I1217" t="str">
            <v>FOOD SERVICE</v>
          </cell>
          <cell r="J1217" t="str">
            <v>ANGELICA BATISTELA</v>
          </cell>
          <cell r="K1217" t="str">
            <v>ITAMBÉ</v>
          </cell>
          <cell r="L1217" t="str">
            <v>RODRIGO</v>
          </cell>
          <cell r="M1217" t="str">
            <v>ANGELICA BATISTELA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  <cell r="H1218" t="str">
            <v>DISTRIBUIÇÃO</v>
          </cell>
          <cell r="I1218" t="str">
            <v>FOOD SERVICE</v>
          </cell>
          <cell r="J1218" t="str">
            <v>ANGELICA BATISTELA</v>
          </cell>
          <cell r="K1218" t="str">
            <v>LACTALIS</v>
          </cell>
          <cell r="L1218" t="str">
            <v>RODRIGO</v>
          </cell>
          <cell r="M1218" t="str">
            <v>ANGELICA BATISTELA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  <cell r="H1219" t="str">
            <v>DISTRIBUIÇÃO</v>
          </cell>
          <cell r="I1219" t="str">
            <v>FOOD SERVICE</v>
          </cell>
          <cell r="J1219" t="str">
            <v>ANGELICA BATISTELA</v>
          </cell>
          <cell r="K1219" t="str">
            <v>LACTALIS</v>
          </cell>
          <cell r="L1219" t="str">
            <v>RODRIGO</v>
          </cell>
          <cell r="M1219" t="str">
            <v>ANGELICA BATISTELA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  <cell r="H1220" t="str">
            <v>DISTRIBUIÇÃO</v>
          </cell>
          <cell r="I1220" t="str">
            <v>FOOD SERVICE</v>
          </cell>
          <cell r="J1220" t="str">
            <v>FLAC 5</v>
          </cell>
          <cell r="K1220" t="str">
            <v>LACTALIS</v>
          </cell>
          <cell r="L1220" t="str">
            <v>RODRIGO</v>
          </cell>
          <cell r="M1220" t="str">
            <v>RAQUEL BARBOSA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  <cell r="H1221" t="str">
            <v>DISTRIBUIÇÃO</v>
          </cell>
          <cell r="I1221" t="str">
            <v>FOOD SERVICE</v>
          </cell>
          <cell r="J1221" t="str">
            <v>MARCELO DUARTE</v>
          </cell>
          <cell r="K1221" t="str">
            <v>ITAMBÉ</v>
          </cell>
          <cell r="L1221" t="str">
            <v>RODRIGO</v>
          </cell>
          <cell r="M1221" t="str">
            <v>JESSICA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  <cell r="H1222" t="str">
            <v>DISTRIBUIÇÃO</v>
          </cell>
          <cell r="I1222" t="str">
            <v>FOOD SERVICE</v>
          </cell>
          <cell r="J1222" t="str">
            <v>MARCELO DUARTE</v>
          </cell>
          <cell r="K1222" t="str">
            <v>ITAMBÉ</v>
          </cell>
          <cell r="L1222" t="str">
            <v>RODRIGO</v>
          </cell>
          <cell r="M1222" t="str">
            <v>JESSICA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  <cell r="H1223" t="str">
            <v>DISTRIBUIÇÃO</v>
          </cell>
          <cell r="I1223" t="str">
            <v>FOOD SERVICE</v>
          </cell>
          <cell r="J1223" t="str">
            <v>FLAC 3</v>
          </cell>
          <cell r="K1223" t="str">
            <v>LACTALIS</v>
          </cell>
          <cell r="L1223" t="str">
            <v>RODRIGO</v>
          </cell>
          <cell r="M1223" t="str">
            <v>RAQUEL BARBOSA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  <cell r="H1224" t="str">
            <v>DISTRIBUIÇÃO</v>
          </cell>
          <cell r="I1224" t="str">
            <v>FOOD SERVICE</v>
          </cell>
          <cell r="J1224" t="str">
            <v>SP ITB FS FLAC REP.E COMERCIO</v>
          </cell>
          <cell r="K1224" t="str">
            <v>ITAMBÉ</v>
          </cell>
          <cell r="L1224" t="str">
            <v>RODRIGO</v>
          </cell>
          <cell r="M1224" t="str">
            <v>RAQUEL BARBOSA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  <cell r="H1225" t="str">
            <v>DISTRIBUIÇÃO</v>
          </cell>
          <cell r="I1225" t="str">
            <v>FOOD SERVICE</v>
          </cell>
          <cell r="J1225" t="str">
            <v>FLAC 3</v>
          </cell>
          <cell r="K1225" t="str">
            <v>LACTALIS</v>
          </cell>
          <cell r="L1225" t="str">
            <v>RODRIGO</v>
          </cell>
          <cell r="M1225" t="str">
            <v>RAQUEL BARBOSA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  <cell r="H1226" t="str">
            <v>DISTRIBUIÇÃO</v>
          </cell>
          <cell r="I1226" t="str">
            <v>FOOD SERVICE</v>
          </cell>
          <cell r="J1226" t="str">
            <v>FLAC 3</v>
          </cell>
          <cell r="K1226" t="str">
            <v>LACTALIS</v>
          </cell>
          <cell r="L1226" t="str">
            <v>RODRIGO</v>
          </cell>
          <cell r="M1226" t="str">
            <v>RAQUEL BARBOSA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  <cell r="H1227" t="str">
            <v>DISTRIBUIÇÃO</v>
          </cell>
          <cell r="I1227" t="str">
            <v>FOOD SERVICE</v>
          </cell>
          <cell r="J1227" t="str">
            <v>WH FOOD SERVICE CE</v>
          </cell>
          <cell r="K1227" t="str">
            <v>ITAMBÉ</v>
          </cell>
          <cell r="L1227" t="str">
            <v>RODRIGO</v>
          </cell>
          <cell r="M1227" t="str">
            <v>MARIA LOURDES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  <cell r="H1228" t="str">
            <v>INGREDIENTS</v>
          </cell>
          <cell r="I1228" t="str">
            <v>INGREDIENTS</v>
          </cell>
          <cell r="J1228" t="str">
            <v>HENRIQUE FERREIRA</v>
          </cell>
          <cell r="K1228" t="str">
            <v>ITAMBÉ</v>
          </cell>
          <cell r="L1228" t="str">
            <v>MAURICIO</v>
          </cell>
          <cell r="M1228" t="str">
            <v>JOEL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  <cell r="H1229" t="str">
            <v>DISTRIBUIÇÃO</v>
          </cell>
          <cell r="I1229" t="str">
            <v>FOOD SERVICE</v>
          </cell>
          <cell r="J1229" t="str">
            <v>FLAC 6</v>
          </cell>
          <cell r="K1229" t="str">
            <v>LACTALIS</v>
          </cell>
          <cell r="L1229" t="str">
            <v>RODRIGO</v>
          </cell>
          <cell r="M1229" t="str">
            <v>RAQUEL BARBOSA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  <cell r="H1230" t="str">
            <v>DISTRIBUIÇÃO</v>
          </cell>
          <cell r="I1230" t="str">
            <v>FOOD SERVICE</v>
          </cell>
          <cell r="J1230" t="str">
            <v>FLAC 5</v>
          </cell>
          <cell r="K1230" t="str">
            <v>LACTALIS</v>
          </cell>
          <cell r="L1230" t="str">
            <v>RODRIGO</v>
          </cell>
          <cell r="M1230" t="str">
            <v>RAQUEL BARBOSA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  <cell r="H1231" t="str">
            <v>DISTRIBUIÇÃO</v>
          </cell>
          <cell r="I1231" t="str">
            <v>FOOD SERVICE</v>
          </cell>
          <cell r="J1231" t="str">
            <v>FLAC 2</v>
          </cell>
          <cell r="K1231" t="str">
            <v>LACTALIS</v>
          </cell>
          <cell r="L1231" t="str">
            <v>RODRIGO</v>
          </cell>
          <cell r="M1231" t="str">
            <v>RAQUEL BARBOSA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  <cell r="H1232" t="str">
            <v>DISTRIBUIÇÃO</v>
          </cell>
          <cell r="I1232" t="str">
            <v>FOOD SERVICE</v>
          </cell>
          <cell r="J1232" t="str">
            <v>FLAC 2</v>
          </cell>
          <cell r="K1232" t="str">
            <v>LACTALIS</v>
          </cell>
          <cell r="L1232" t="str">
            <v>RODRIGO</v>
          </cell>
          <cell r="M1232" t="str">
            <v>RAQUEL BARBOSA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  <cell r="H1233" t="str">
            <v>INGREDIENTS</v>
          </cell>
          <cell r="I1233" t="str">
            <v>INGREDIENTS</v>
          </cell>
          <cell r="J1233" t="str">
            <v>HENRIQUE FERREIRA</v>
          </cell>
          <cell r="K1233" t="str">
            <v>ITAMBÉ</v>
          </cell>
          <cell r="L1233" t="str">
            <v>MAURICIO</v>
          </cell>
          <cell r="M1233" t="str">
            <v>JOEL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  <cell r="H1234" t="str">
            <v>DISTRIBUIÇÃO</v>
          </cell>
          <cell r="I1234" t="str">
            <v>FOOD SERVICE</v>
          </cell>
          <cell r="J1234" t="str">
            <v>FLAC 5</v>
          </cell>
          <cell r="K1234" t="str">
            <v>LACTALIS</v>
          </cell>
          <cell r="L1234" t="str">
            <v>RODRIGO</v>
          </cell>
          <cell r="M1234" t="str">
            <v>RAQUEL BARBOSA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  <cell r="H1235" t="str">
            <v>DISTRIBUIÇÃO</v>
          </cell>
          <cell r="I1235" t="str">
            <v>FOOD SERVICE</v>
          </cell>
          <cell r="J1235" t="str">
            <v>FLAC 2</v>
          </cell>
          <cell r="K1235" t="str">
            <v>LACTALIS</v>
          </cell>
          <cell r="L1235" t="str">
            <v>RODRIGO</v>
          </cell>
          <cell r="M1235" t="str">
            <v>RAQUEL BARBOSA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  <cell r="H1236" t="str">
            <v>DISTRIBUIÇÃO</v>
          </cell>
          <cell r="I1236" t="str">
            <v>FOOD SERVICE</v>
          </cell>
          <cell r="J1236" t="str">
            <v>FLAC 6</v>
          </cell>
          <cell r="K1236" t="str">
            <v>LACTALIS</v>
          </cell>
          <cell r="L1236" t="str">
            <v>RODRIGO</v>
          </cell>
          <cell r="M1236" t="str">
            <v>RAQUEL BARBOSA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  <cell r="H1237" t="str">
            <v>DISTRIBUIÇÃO</v>
          </cell>
          <cell r="I1237" t="str">
            <v>FOOD SERVICE</v>
          </cell>
          <cell r="J1237" t="str">
            <v>FLAC 6</v>
          </cell>
          <cell r="K1237" t="str">
            <v>LACTALIS</v>
          </cell>
          <cell r="L1237" t="str">
            <v>RODRIGO</v>
          </cell>
          <cell r="M1237" t="str">
            <v>RAQUEL BARBOSA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  <cell r="H1238" t="str">
            <v>DISTRIBUIÇÃO</v>
          </cell>
          <cell r="I1238" t="str">
            <v>FOOD SERVICE</v>
          </cell>
          <cell r="J1238" t="str">
            <v>FLAC 3</v>
          </cell>
          <cell r="K1238" t="str">
            <v>LACTALIS</v>
          </cell>
          <cell r="L1238" t="str">
            <v>RODRIGO</v>
          </cell>
          <cell r="M1238" t="str">
            <v>RAQUEL BARBOSA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  <cell r="H1239" t="str">
            <v>DISTRIBUIÇÃO</v>
          </cell>
          <cell r="I1239" t="str">
            <v>FOOD SERVICE</v>
          </cell>
          <cell r="J1239" t="str">
            <v>FLAC 6</v>
          </cell>
          <cell r="K1239" t="str">
            <v>LACTALIS</v>
          </cell>
          <cell r="L1239" t="str">
            <v>RODRIGO</v>
          </cell>
          <cell r="M1239" t="str">
            <v>RAQUEL BARBOSA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  <cell r="H1240" t="str">
            <v>QSR</v>
          </cell>
          <cell r="I1240" t="str">
            <v>FOOD SERVICE</v>
          </cell>
          <cell r="J1240" t="str">
            <v>NUTRI</v>
          </cell>
          <cell r="K1240" t="str">
            <v>ITAMBÉ</v>
          </cell>
          <cell r="L1240" t="str">
            <v>PEDRO</v>
          </cell>
          <cell r="M1240" t="str">
            <v>VAGO QSR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  <cell r="H1241" t="str">
            <v>QSR</v>
          </cell>
          <cell r="I1241" t="str">
            <v>FOOD SERVICE</v>
          </cell>
          <cell r="J1241" t="str">
            <v>NUTRI</v>
          </cell>
          <cell r="K1241" t="str">
            <v>ITAMBÉ</v>
          </cell>
          <cell r="L1241" t="str">
            <v>PEDRO</v>
          </cell>
          <cell r="M1241" t="str">
            <v>VAGO QSR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  <cell r="H1242" t="str">
            <v>QSR</v>
          </cell>
          <cell r="I1242" t="str">
            <v>FOOD SERVICE</v>
          </cell>
          <cell r="J1242" t="str">
            <v>NUTRI</v>
          </cell>
          <cell r="K1242" t="str">
            <v>LACTALIS</v>
          </cell>
          <cell r="L1242" t="str">
            <v>PEDRO</v>
          </cell>
          <cell r="M1242" t="str">
            <v>VAGO QSR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  <cell r="H1243" t="str">
            <v>QSR</v>
          </cell>
          <cell r="I1243" t="str">
            <v>FOOD SERVICE</v>
          </cell>
          <cell r="J1243" t="str">
            <v>NUTRI</v>
          </cell>
          <cell r="K1243" t="str">
            <v>ITAMBÉ</v>
          </cell>
          <cell r="L1243" t="str">
            <v>PEDRO</v>
          </cell>
          <cell r="M1243" t="str">
            <v>VAGO QSR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  <cell r="H1244" t="str">
            <v>QSR</v>
          </cell>
          <cell r="I1244" t="str">
            <v>FOOD SERVICE</v>
          </cell>
          <cell r="J1244" t="str">
            <v>NUTRI</v>
          </cell>
          <cell r="K1244" t="str">
            <v>LACTALIS</v>
          </cell>
          <cell r="L1244" t="str">
            <v>PEDRO</v>
          </cell>
          <cell r="M1244" t="str">
            <v>VAGO QSR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  <cell r="H1245" t="str">
            <v>DISTRIBUIÇÃO</v>
          </cell>
          <cell r="I1245" t="str">
            <v>FOOD SERVICE</v>
          </cell>
          <cell r="J1245" t="str">
            <v>FLAC 6</v>
          </cell>
          <cell r="K1245" t="str">
            <v>LACTALIS</v>
          </cell>
          <cell r="L1245" t="str">
            <v>RODRIGO</v>
          </cell>
          <cell r="M1245" t="str">
            <v>RAQUEL BARBOSA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  <cell r="H1246" t="str">
            <v>DISTRIBUIÇÃO</v>
          </cell>
          <cell r="I1246" t="str">
            <v>FOOD SERVICE</v>
          </cell>
          <cell r="J1246" t="str">
            <v>CLAUDIO JORGE/LUIZ</v>
          </cell>
          <cell r="K1246" t="str">
            <v>ITAMBÉ</v>
          </cell>
          <cell r="L1246" t="str">
            <v>RODRIGO</v>
          </cell>
          <cell r="M1246" t="str">
            <v>MARIA LOURDES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  <cell r="H1247" t="str">
            <v>DISTRIBUIÇÃO</v>
          </cell>
          <cell r="I1247" t="str">
            <v>FOOD SERVICE</v>
          </cell>
          <cell r="J1247" t="str">
            <v>FLAC 2</v>
          </cell>
          <cell r="K1247" t="str">
            <v>LACTALIS</v>
          </cell>
          <cell r="L1247" t="str">
            <v>RODRIGO</v>
          </cell>
          <cell r="M1247" t="str">
            <v>RAQUEL BARBOSA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  <cell r="H1248" t="str">
            <v>INGREDIENTS</v>
          </cell>
          <cell r="I1248" t="str">
            <v>INGREDIENTS</v>
          </cell>
          <cell r="J1248" t="str">
            <v>JOEL ELEOTÉRIO</v>
          </cell>
          <cell r="K1248" t="str">
            <v>LACTALIS</v>
          </cell>
          <cell r="L1248" t="str">
            <v>MAURICIO</v>
          </cell>
          <cell r="M1248" t="str">
            <v>JOEL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  <cell r="H1249" t="str">
            <v>INGREDIENTS</v>
          </cell>
          <cell r="I1249" t="str">
            <v>INGREDIENTS</v>
          </cell>
          <cell r="J1249" t="str">
            <v>JOEL ELEOTÉRIO</v>
          </cell>
          <cell r="K1249" t="str">
            <v>LACTALIS</v>
          </cell>
          <cell r="L1249" t="str">
            <v>MAURICIO</v>
          </cell>
          <cell r="M1249" t="str">
            <v>JOEL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  <cell r="H1250" t="str">
            <v>DISTRIBUIÇÃO</v>
          </cell>
          <cell r="I1250" t="str">
            <v>FOOD SERVICE</v>
          </cell>
          <cell r="J1250" t="str">
            <v>CLAUDIO JORGE/LUIZ</v>
          </cell>
          <cell r="K1250" t="str">
            <v>ITAMBÉ</v>
          </cell>
          <cell r="L1250" t="str">
            <v>RODRIGO</v>
          </cell>
          <cell r="M1250" t="str">
            <v>MARIA LOURDES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  <cell r="H1251" t="str">
            <v>DISTRIBUIÇÃO</v>
          </cell>
          <cell r="I1251" t="str">
            <v>FOOD SERVICE</v>
          </cell>
          <cell r="J1251" t="str">
            <v>FLAC 6</v>
          </cell>
          <cell r="K1251" t="str">
            <v>LACTALIS</v>
          </cell>
          <cell r="L1251" t="str">
            <v>RODRIGO</v>
          </cell>
          <cell r="M1251" t="str">
            <v>RAQUEL BARBOSA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  <cell r="H1252" t="str">
            <v>MC DONALDS</v>
          </cell>
          <cell r="I1252" t="str">
            <v>MC DONALDS</v>
          </cell>
          <cell r="J1252" t="str">
            <v>MAURICIO GALLI</v>
          </cell>
          <cell r="K1252" t="str">
            <v>LACTALIS</v>
          </cell>
          <cell r="L1252" t="str">
            <v>MAURICIO</v>
          </cell>
          <cell r="M1252" t="str">
            <v>MAURICIO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  <cell r="H1253" t="str">
            <v>INGREDIENTS</v>
          </cell>
          <cell r="I1253" t="str">
            <v>INGREDIENTS</v>
          </cell>
          <cell r="J1253" t="str">
            <v>MARCELO RODRIGUES</v>
          </cell>
          <cell r="K1253" t="str">
            <v>ITAMBÉ</v>
          </cell>
          <cell r="L1253" t="str">
            <v>MAURICIO</v>
          </cell>
          <cell r="M1253" t="str">
            <v>MARCELO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  <cell r="H1254" t="str">
            <v>INGREDIENTS</v>
          </cell>
          <cell r="I1254" t="str">
            <v>INGREDIENTS</v>
          </cell>
          <cell r="J1254" t="str">
            <v>JOEL ELEOTÉRIO</v>
          </cell>
          <cell r="K1254" t="str">
            <v>LACTALIS</v>
          </cell>
          <cell r="L1254" t="str">
            <v>MAURICIO</v>
          </cell>
          <cell r="M1254" t="str">
            <v>JOEL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  <cell r="H1255" t="str">
            <v>INGREDIENTS</v>
          </cell>
          <cell r="I1255" t="str">
            <v>INGREDIENTS</v>
          </cell>
          <cell r="J1255" t="str">
            <v>JOEL ELEOTÉRIO</v>
          </cell>
          <cell r="K1255" t="str">
            <v>LACTALIS</v>
          </cell>
          <cell r="L1255" t="str">
            <v>MAURICIO</v>
          </cell>
          <cell r="M1255" t="str">
            <v>JOEL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  <cell r="H1256" t="str">
            <v>DISTRIBUIÇÃO</v>
          </cell>
          <cell r="I1256" t="str">
            <v>FOOD SERVICE</v>
          </cell>
          <cell r="J1256" t="str">
            <v>FLAC 2</v>
          </cell>
          <cell r="K1256" t="str">
            <v>LACTALIS</v>
          </cell>
          <cell r="L1256" t="str">
            <v>RODRIGO</v>
          </cell>
          <cell r="M1256" t="str">
            <v>RAQUEL BARBOSA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  <cell r="H1257" t="str">
            <v>DISTRIBUIÇÃO</v>
          </cell>
          <cell r="I1257" t="str">
            <v>FOOD SERVICE</v>
          </cell>
          <cell r="J1257" t="str">
            <v>CLAUDIO JORGE</v>
          </cell>
          <cell r="K1257" t="str">
            <v>ITAMBÉ</v>
          </cell>
          <cell r="L1257" t="str">
            <v>RODRIGO</v>
          </cell>
          <cell r="M1257" t="str">
            <v>MARCO AURELIO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  <cell r="H1258" t="str">
            <v>INGREDIENTS</v>
          </cell>
          <cell r="I1258" t="str">
            <v>INGREDIENTS</v>
          </cell>
          <cell r="J1258" t="str">
            <v>HENRIQUE FERREIRA</v>
          </cell>
          <cell r="K1258" t="str">
            <v>ITAMBÉ</v>
          </cell>
          <cell r="L1258" t="str">
            <v>MAURICIO</v>
          </cell>
          <cell r="M1258" t="str">
            <v>JOEL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  <cell r="H1259" t="str">
            <v>INGREDIENTS</v>
          </cell>
          <cell r="I1259" t="str">
            <v>INGREDIENTS</v>
          </cell>
          <cell r="J1259" t="str">
            <v>HENRIQUE FERREIRA</v>
          </cell>
          <cell r="K1259" t="str">
            <v>ITAMBÉ</v>
          </cell>
          <cell r="L1259" t="str">
            <v>MAURICIO</v>
          </cell>
          <cell r="M1259" t="str">
            <v>JOEL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  <cell r="H1260" t="str">
            <v>DISTRIBUIÇÃO</v>
          </cell>
          <cell r="I1260" t="str">
            <v>FOOD SERVICE</v>
          </cell>
          <cell r="J1260" t="str">
            <v>WH FOOD SERVICE CE</v>
          </cell>
          <cell r="K1260" t="str">
            <v>ITAMBÉ</v>
          </cell>
          <cell r="L1260" t="str">
            <v>RODRIGO</v>
          </cell>
          <cell r="M1260" t="str">
            <v>MARIA LOURDES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  <cell r="H1261" t="str">
            <v>INGREDIENTS</v>
          </cell>
          <cell r="I1261" t="str">
            <v>INGREDIENTS</v>
          </cell>
          <cell r="J1261" t="str">
            <v>HENRIQUE FERREIRA</v>
          </cell>
          <cell r="K1261" t="str">
            <v>ITAMBÉ</v>
          </cell>
          <cell r="L1261" t="str">
            <v>MAURICIO</v>
          </cell>
          <cell r="M1261" t="str">
            <v>JOEL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  <cell r="H1262" t="str">
            <v>DISTRIBUIÇÃO</v>
          </cell>
          <cell r="I1262" t="str">
            <v>FOOD SERVICE</v>
          </cell>
          <cell r="J1262" t="str">
            <v>FLAC 5</v>
          </cell>
          <cell r="K1262" t="str">
            <v>LACTALIS</v>
          </cell>
          <cell r="L1262" t="str">
            <v>RODRIGO</v>
          </cell>
          <cell r="M1262" t="str">
            <v>RAQUEL BARBOSA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  <cell r="H1263" t="str">
            <v>INGREDIENTS</v>
          </cell>
          <cell r="I1263" t="str">
            <v>INGREDIENTS</v>
          </cell>
          <cell r="J1263" t="str">
            <v>AM - DUAS RODAS</v>
          </cell>
          <cell r="K1263" t="str">
            <v>ITAMBÉ</v>
          </cell>
          <cell r="L1263" t="str">
            <v>MAURICIO</v>
          </cell>
          <cell r="M1263" t="str">
            <v>JOEL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  <cell r="H1264" t="str">
            <v>DISTRIBUIÇÃO</v>
          </cell>
          <cell r="I1264" t="str">
            <v>FOOD SERVICE</v>
          </cell>
          <cell r="J1264" t="str">
            <v>FLAC 3</v>
          </cell>
          <cell r="K1264" t="str">
            <v>LACTALIS</v>
          </cell>
          <cell r="L1264" t="str">
            <v>RODRIGO</v>
          </cell>
          <cell r="M1264" t="str">
            <v>RAQUEL BARBOSA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  <cell r="H1265" t="str">
            <v>DISTRIBUIÇÃO</v>
          </cell>
          <cell r="I1265" t="str">
            <v>FOOD SERVICE</v>
          </cell>
          <cell r="J1265" t="str">
            <v>FLAC 3</v>
          </cell>
          <cell r="K1265" t="str">
            <v>LACTALIS</v>
          </cell>
          <cell r="L1265" t="str">
            <v>RODRIGO</v>
          </cell>
          <cell r="M1265" t="str">
            <v>RAQUEL BARBOSA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  <cell r="H1266" t="str">
            <v>INGREDIENTS</v>
          </cell>
          <cell r="I1266" t="str">
            <v>INGREDIENTS</v>
          </cell>
          <cell r="J1266" t="str">
            <v>MARCELO RODRIGUES</v>
          </cell>
          <cell r="K1266" t="str">
            <v>ITAMBÉ</v>
          </cell>
          <cell r="L1266" t="str">
            <v>MAURICIO</v>
          </cell>
          <cell r="M1266" t="str">
            <v>MARCELO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  <cell r="H1267" t="str">
            <v>QSR</v>
          </cell>
          <cell r="I1267" t="str">
            <v>FOOD SERVICE</v>
          </cell>
          <cell r="J1267" t="str">
            <v>ANA MENIQUETE</v>
          </cell>
          <cell r="K1267" t="str">
            <v>LACTALIS</v>
          </cell>
          <cell r="L1267" t="str">
            <v>PEDRO</v>
          </cell>
          <cell r="M1267" t="str">
            <v>ANA MENIQUETE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  <cell r="H1268" t="str">
            <v>QSR</v>
          </cell>
          <cell r="I1268" t="str">
            <v>FOOD SERVICE</v>
          </cell>
          <cell r="J1268" t="str">
            <v>ANA MENIQUETE</v>
          </cell>
          <cell r="K1268" t="str">
            <v>ITAMBÉ</v>
          </cell>
          <cell r="L1268" t="str">
            <v>PEDRO</v>
          </cell>
          <cell r="M1268" t="str">
            <v>ANA MENIQUETE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  <cell r="H1269" t="str">
            <v>QSR</v>
          </cell>
          <cell r="I1269" t="str">
            <v>FOOD SERVICE</v>
          </cell>
          <cell r="J1269" t="str">
            <v>ANA MENIQUETE</v>
          </cell>
          <cell r="K1269" t="str">
            <v>ITAMBÉ</v>
          </cell>
          <cell r="L1269" t="str">
            <v>PEDRO</v>
          </cell>
          <cell r="M1269" t="str">
            <v>ANA MENIQUETE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  <cell r="H1270" t="str">
            <v>DISTRIBUIÇÃO</v>
          </cell>
          <cell r="I1270" t="str">
            <v>FOOD SERVICE</v>
          </cell>
          <cell r="J1270" t="str">
            <v>FLAC 6</v>
          </cell>
          <cell r="K1270" t="str">
            <v>LACTALIS</v>
          </cell>
          <cell r="L1270" t="str">
            <v>RODRIGO</v>
          </cell>
          <cell r="M1270" t="str">
            <v>RAQUEL BARBOSA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  <cell r="H1271" t="str">
            <v>DISTRIBUIÇÃO</v>
          </cell>
          <cell r="I1271" t="str">
            <v>FOOD SERVICE</v>
          </cell>
          <cell r="J1271" t="str">
            <v>ALEXANDRE BONANI</v>
          </cell>
          <cell r="K1271" t="str">
            <v>LACTALIS</v>
          </cell>
          <cell r="L1271" t="str">
            <v>RODRIGO</v>
          </cell>
          <cell r="M1271" t="str">
            <v>ALEXANDRE BONANI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  <cell r="H1272" t="str">
            <v>DISTRIBUIÇÃO</v>
          </cell>
          <cell r="I1272" t="str">
            <v>FOOD SERVICE</v>
          </cell>
          <cell r="J1272" t="str">
            <v>ALEXANDRE BONANI</v>
          </cell>
          <cell r="K1272" t="str">
            <v>ITAMBÉ</v>
          </cell>
          <cell r="L1272" t="str">
            <v>RODRIGO</v>
          </cell>
          <cell r="M1272" t="str">
            <v>ALEXANDRE BONANI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  <cell r="H1273" t="str">
            <v>INGREDIENTS</v>
          </cell>
          <cell r="I1273" t="str">
            <v>INGREDIENTS</v>
          </cell>
          <cell r="J1273" t="str">
            <v>HENRIQUE FERREIRA</v>
          </cell>
          <cell r="K1273" t="str">
            <v>LACTALIS</v>
          </cell>
          <cell r="L1273" t="str">
            <v>MAURICIO</v>
          </cell>
          <cell r="M1273" t="str">
            <v>JOEL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  <cell r="H1274" t="str">
            <v>INGREDIENTS</v>
          </cell>
          <cell r="I1274" t="str">
            <v>INGREDIENTS</v>
          </cell>
          <cell r="J1274" t="str">
            <v>HENRIQUE FERREIRA</v>
          </cell>
          <cell r="K1274" t="str">
            <v>LACTALIS</v>
          </cell>
          <cell r="L1274" t="str">
            <v>MAURICIO</v>
          </cell>
          <cell r="M1274" t="str">
            <v>JOEL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  <cell r="H1275" t="str">
            <v>DISTRIBUIÇÃO</v>
          </cell>
          <cell r="I1275" t="str">
            <v>FOOD SERVICE</v>
          </cell>
          <cell r="J1275" t="str">
            <v>FLAC 6</v>
          </cell>
          <cell r="K1275" t="str">
            <v>LACTALIS</v>
          </cell>
          <cell r="L1275" t="str">
            <v>RODRIGO</v>
          </cell>
          <cell r="M1275" t="str">
            <v>RAQUEL BARBOSA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  <cell r="H1276" t="str">
            <v>DISTRIBUIÇÃO</v>
          </cell>
          <cell r="I1276" t="str">
            <v>FOOD SERVICE</v>
          </cell>
          <cell r="J1276" t="str">
            <v>FLAC 6</v>
          </cell>
          <cell r="K1276" t="str">
            <v>LACTALIS</v>
          </cell>
          <cell r="L1276" t="str">
            <v>RODRIGO</v>
          </cell>
          <cell r="M1276" t="str">
            <v>RAQUEL BARBOSA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  <cell r="H1277" t="str">
            <v>DISTRIBUIÇÃO</v>
          </cell>
          <cell r="I1277" t="str">
            <v>FOOD SERVICE</v>
          </cell>
          <cell r="J1277" t="str">
            <v>SP ITB FS FLAC REP.E COMERCIO</v>
          </cell>
          <cell r="K1277" t="str">
            <v>ITAMBÉ</v>
          </cell>
          <cell r="L1277" t="str">
            <v>RODRIGO</v>
          </cell>
          <cell r="M1277" t="str">
            <v>RAQUEL BARBOSA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  <cell r="H1278" t="str">
            <v>DISTRIBUIÇÃO</v>
          </cell>
          <cell r="I1278" t="str">
            <v>FOOD SERVICE</v>
          </cell>
          <cell r="J1278" t="str">
            <v>FLAC 3</v>
          </cell>
          <cell r="K1278" t="str">
            <v>LACTALIS</v>
          </cell>
          <cell r="L1278" t="str">
            <v>RODRIGO</v>
          </cell>
          <cell r="M1278" t="str">
            <v>RAQUEL BARBOSA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  <cell r="H1279" t="str">
            <v>INGREDIENTS</v>
          </cell>
          <cell r="I1279" t="str">
            <v>INGREDIENTS</v>
          </cell>
          <cell r="J1279" t="str">
            <v>RJ ITB FS L T MARTINS</v>
          </cell>
          <cell r="K1279" t="str">
            <v>ITAMBÉ</v>
          </cell>
          <cell r="L1279" t="str">
            <v>MAURICIO</v>
          </cell>
          <cell r="M1279" t="str">
            <v>TATIANA NITTA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  <cell r="H1280" t="str">
            <v>DISTRIBUIÇÃO</v>
          </cell>
          <cell r="I1280" t="str">
            <v>FOOD SERVICE</v>
          </cell>
          <cell r="J1280" t="str">
            <v>FLAC 8</v>
          </cell>
          <cell r="K1280" t="str">
            <v>LACTALIS</v>
          </cell>
          <cell r="L1280" t="str">
            <v>RODRIGO</v>
          </cell>
          <cell r="M1280" t="str">
            <v>RAQUEL BARBOSA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  <cell r="H1281" t="str">
            <v>DISTRIBUIÇÃO</v>
          </cell>
          <cell r="I1281" t="str">
            <v>FOOD SERVICE</v>
          </cell>
          <cell r="J1281" t="str">
            <v>FLAC 5</v>
          </cell>
          <cell r="K1281" t="str">
            <v>LACTALIS</v>
          </cell>
          <cell r="L1281" t="str">
            <v>RODRIGO</v>
          </cell>
          <cell r="M1281" t="str">
            <v>RAQUEL BARBOSA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  <cell r="H1282" t="str">
            <v>QSR</v>
          </cell>
          <cell r="I1282" t="str">
            <v>FOOD SERVICE</v>
          </cell>
          <cell r="J1282" t="str">
            <v>NUTRI</v>
          </cell>
          <cell r="K1282" t="str">
            <v>LACTALIS</v>
          </cell>
          <cell r="L1282" t="str">
            <v>PEDRO</v>
          </cell>
          <cell r="M1282" t="str">
            <v>VAGO QSR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  <cell r="H1283" t="str">
            <v>QSR</v>
          </cell>
          <cell r="I1283" t="str">
            <v>FOOD SERVICE</v>
          </cell>
          <cell r="J1283" t="str">
            <v>NUTRI</v>
          </cell>
          <cell r="K1283" t="str">
            <v>LACTALIS</v>
          </cell>
          <cell r="L1283" t="str">
            <v>PEDRO</v>
          </cell>
          <cell r="M1283" t="str">
            <v>VAGO QSR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  <cell r="H1284" t="str">
            <v>QSR</v>
          </cell>
          <cell r="I1284" t="str">
            <v>FOOD SERVICE</v>
          </cell>
          <cell r="J1284" t="str">
            <v>NUTRI</v>
          </cell>
          <cell r="K1284" t="str">
            <v>LACTALIS</v>
          </cell>
          <cell r="L1284" t="str">
            <v>PEDRO</v>
          </cell>
          <cell r="M1284" t="str">
            <v>VAGO QSR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  <cell r="H1285" t="str">
            <v>DISTRIBUIÇÃO</v>
          </cell>
          <cell r="I1285" t="str">
            <v>FOOD SERVICE</v>
          </cell>
          <cell r="J1285" t="str">
            <v>MARCELO SILVA</v>
          </cell>
          <cell r="K1285" t="str">
            <v>ITAMBÉ</v>
          </cell>
          <cell r="L1285" t="str">
            <v>RODRIGO</v>
          </cell>
          <cell r="M1285" t="str">
            <v>CELIO MARTINS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  <cell r="H1286" t="str">
            <v>DISTRIBUIÇÃO</v>
          </cell>
          <cell r="I1286" t="str">
            <v>FOOD SERVICE</v>
          </cell>
          <cell r="J1286" t="str">
            <v>WH FOOD SERVICE CE</v>
          </cell>
          <cell r="K1286" t="str">
            <v>ITAMBÉ</v>
          </cell>
          <cell r="L1286" t="str">
            <v>RODRIGO</v>
          </cell>
          <cell r="M1286" t="str">
            <v>MARIA LOURDES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  <cell r="H1287" t="str">
            <v>DISTRIBUIÇÃO</v>
          </cell>
          <cell r="I1287" t="str">
            <v>FOOD SERVICE</v>
          </cell>
          <cell r="J1287" t="str">
            <v>FLAC 2</v>
          </cell>
          <cell r="K1287" t="str">
            <v>LACTALIS</v>
          </cell>
          <cell r="L1287" t="str">
            <v>RODRIGO</v>
          </cell>
          <cell r="M1287" t="str">
            <v>RAQUEL BARBOSA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  <cell r="H1288" t="str">
            <v>INGREDIENTS</v>
          </cell>
          <cell r="I1288" t="str">
            <v>INGREDIENTS</v>
          </cell>
          <cell r="J1288" t="str">
            <v>DUAS RODAS</v>
          </cell>
          <cell r="K1288" t="str">
            <v>ITAMBÉ</v>
          </cell>
          <cell r="L1288" t="str">
            <v>MAURICIO</v>
          </cell>
          <cell r="M1288" t="str">
            <v>MARCELO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  <cell r="H1289" t="str">
            <v>DISTRIBUIÇÃO</v>
          </cell>
          <cell r="I1289" t="str">
            <v>FOOD SERVICE</v>
          </cell>
          <cell r="J1289" t="str">
            <v>FLAC 2</v>
          </cell>
          <cell r="K1289" t="str">
            <v>LACTALIS</v>
          </cell>
          <cell r="L1289" t="str">
            <v>RODRIGO</v>
          </cell>
          <cell r="M1289" t="str">
            <v>RAQUEL BARBOSA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  <cell r="H1290" t="str">
            <v>DISTRIBUIÇÃO</v>
          </cell>
          <cell r="I1290" t="str">
            <v>FOOD SERVICE</v>
          </cell>
          <cell r="J1290" t="str">
            <v>FLAC 2</v>
          </cell>
          <cell r="K1290" t="str">
            <v>LACTALIS</v>
          </cell>
          <cell r="L1290" t="str">
            <v>RODRIGO</v>
          </cell>
          <cell r="M1290" t="str">
            <v>RAQUEL BARBOSA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  <cell r="H1291" t="str">
            <v>DISTRIBUIÇÃO</v>
          </cell>
          <cell r="I1291" t="str">
            <v>FOOD SERVICE</v>
          </cell>
          <cell r="J1291" t="str">
            <v>FLAC 4</v>
          </cell>
          <cell r="K1291" t="str">
            <v>LACTALIS</v>
          </cell>
          <cell r="L1291" t="str">
            <v>RODRIGO</v>
          </cell>
          <cell r="M1291" t="str">
            <v>RAQUEL BARBOSA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  <cell r="H1292" t="str">
            <v>QSR</v>
          </cell>
          <cell r="I1292" t="str">
            <v>FOOD SERVICE</v>
          </cell>
          <cell r="J1292" t="str">
            <v>NUTRI</v>
          </cell>
          <cell r="K1292" t="str">
            <v>LACTALIS</v>
          </cell>
          <cell r="L1292" t="str">
            <v>PEDRO</v>
          </cell>
          <cell r="M1292" t="str">
            <v>VAGO QSR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  <cell r="H1293" t="str">
            <v>DISTRIBUIÇÃO</v>
          </cell>
          <cell r="I1293" t="str">
            <v>FOOD SERVICE</v>
          </cell>
          <cell r="J1293" t="str">
            <v>MARCELO DUARTE</v>
          </cell>
          <cell r="K1293" t="str">
            <v>ITAMBÉ</v>
          </cell>
          <cell r="L1293" t="str">
            <v>RODRIGO</v>
          </cell>
          <cell r="M1293" t="str">
            <v>JESSICA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  <cell r="H1294" t="str">
            <v>INGREDIENTS</v>
          </cell>
          <cell r="I1294" t="str">
            <v>INGREDIENTS</v>
          </cell>
          <cell r="J1294" t="str">
            <v>MARCELO RODRIGUES</v>
          </cell>
          <cell r="K1294" t="str">
            <v>ITAMBÉ</v>
          </cell>
          <cell r="L1294" t="str">
            <v>MAURICIO</v>
          </cell>
          <cell r="M1294" t="str">
            <v>MARCELO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  <cell r="H1295" t="str">
            <v>INGREDIENTS</v>
          </cell>
          <cell r="I1295" t="str">
            <v>INGREDIENTS</v>
          </cell>
          <cell r="J1295" t="str">
            <v>DUAS RODAS</v>
          </cell>
          <cell r="K1295" t="str">
            <v>ITAMBÉ</v>
          </cell>
          <cell r="L1295" t="str">
            <v>MAURICIO</v>
          </cell>
          <cell r="M1295" t="str">
            <v>MARCELO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  <cell r="H1296" t="str">
            <v>INGREDIENTS</v>
          </cell>
          <cell r="I1296" t="str">
            <v>INGREDIENTS</v>
          </cell>
          <cell r="J1296" t="str">
            <v>DUAS RODAS</v>
          </cell>
          <cell r="K1296" t="str">
            <v>ITAMBÉ</v>
          </cell>
          <cell r="L1296" t="str">
            <v>MAURICIO</v>
          </cell>
          <cell r="M1296" t="str">
            <v>MARCELO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  <cell r="H1297" t="str">
            <v>DISTRIBUIÇÃO</v>
          </cell>
          <cell r="I1297" t="str">
            <v>FOOD SERVICE</v>
          </cell>
          <cell r="J1297" t="str">
            <v>CLAUDIO JORGE</v>
          </cell>
          <cell r="K1297" t="str">
            <v>ITAMBÉ</v>
          </cell>
          <cell r="L1297" t="str">
            <v>RODRIGO</v>
          </cell>
          <cell r="M1297" t="str">
            <v>MARCO AURELIO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  <cell r="H1298" t="str">
            <v>INGREDIENTS</v>
          </cell>
          <cell r="I1298" t="str">
            <v>INGREDIENTS</v>
          </cell>
          <cell r="J1298" t="str">
            <v>MG ITB FS HENRIQUE WAGNER</v>
          </cell>
          <cell r="K1298" t="str">
            <v>ITAMBÉ</v>
          </cell>
          <cell r="L1298" t="str">
            <v>MAURICIO</v>
          </cell>
          <cell r="M1298" t="str">
            <v>TATIANA NITTA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  <cell r="H1299" t="str">
            <v>INGREDIENTS</v>
          </cell>
          <cell r="I1299" t="str">
            <v>INGREDIENTS</v>
          </cell>
          <cell r="J1299" t="str">
            <v>MG ITB FS HENRIQUE WAGNER</v>
          </cell>
          <cell r="K1299" t="str">
            <v>ITAMBÉ</v>
          </cell>
          <cell r="L1299" t="str">
            <v>MAURICIO</v>
          </cell>
          <cell r="M1299" t="str">
            <v>TATIANA NITTA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  <cell r="H1300" t="str">
            <v>INGREDIENTS</v>
          </cell>
          <cell r="I1300" t="str">
            <v>INGREDIENTS</v>
          </cell>
          <cell r="J1300" t="str">
            <v>DUAS RODAS</v>
          </cell>
          <cell r="K1300" t="str">
            <v>ITAMBÉ</v>
          </cell>
          <cell r="L1300" t="str">
            <v>MAURICIO</v>
          </cell>
          <cell r="M1300" t="str">
            <v>MARCELO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  <cell r="H1301" t="str">
            <v>DISTRIBUIÇÃO</v>
          </cell>
          <cell r="I1301" t="str">
            <v>FOOD SERVICE</v>
          </cell>
          <cell r="J1301" t="str">
            <v>JULIANA CORDEIRO</v>
          </cell>
          <cell r="K1301" t="str">
            <v>ITAMBÉ</v>
          </cell>
          <cell r="L1301" t="str">
            <v>RODRIGO</v>
          </cell>
          <cell r="M1301" t="str">
            <v>JESSICA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  <cell r="H1302" t="str">
            <v>DISTRIBUIÇÃO</v>
          </cell>
          <cell r="I1302" t="str">
            <v>FOOD SERVICE</v>
          </cell>
          <cell r="J1302" t="str">
            <v>FLAC 3</v>
          </cell>
          <cell r="K1302" t="str">
            <v>LACTALIS</v>
          </cell>
          <cell r="L1302" t="str">
            <v>RODRIGO</v>
          </cell>
          <cell r="M1302" t="str">
            <v>RAQUEL BARBOSA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  <cell r="H1303" t="str">
            <v>DISTRIBUIÇÃO</v>
          </cell>
          <cell r="I1303" t="str">
            <v>FOOD SERVICE</v>
          </cell>
          <cell r="J1303" t="str">
            <v>FLAC 3</v>
          </cell>
          <cell r="K1303" t="str">
            <v>LACTALIS</v>
          </cell>
          <cell r="L1303" t="str">
            <v>RODRIGO</v>
          </cell>
          <cell r="M1303" t="str">
            <v>RAQUEL BARBOSA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  <cell r="H1304" t="str">
            <v>INGREDIENTS</v>
          </cell>
          <cell r="I1304" t="str">
            <v>INGREDIENTS</v>
          </cell>
          <cell r="J1304" t="str">
            <v>DUAS RODAS</v>
          </cell>
          <cell r="K1304" t="str">
            <v>ITAMBÉ</v>
          </cell>
          <cell r="L1304" t="str">
            <v>MAURICIO</v>
          </cell>
          <cell r="M1304" t="str">
            <v>MARCELO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  <cell r="H1305" t="str">
            <v>DISTRIBUIÇÃO</v>
          </cell>
          <cell r="I1305" t="str">
            <v>FOOD SERVICE</v>
          </cell>
          <cell r="J1305" t="str">
            <v>FLAC 7</v>
          </cell>
          <cell r="K1305" t="str">
            <v>LACTALIS</v>
          </cell>
          <cell r="L1305" t="str">
            <v>RODRIGO</v>
          </cell>
          <cell r="M1305" t="str">
            <v>RAQUEL BARBOSA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  <cell r="H1306" t="str">
            <v>DISTRIBUIÇÃO</v>
          </cell>
          <cell r="I1306" t="str">
            <v>FOOD SERVICE</v>
          </cell>
          <cell r="J1306" t="str">
            <v>CLAUDIO JORGE/LUIZ</v>
          </cell>
          <cell r="K1306" t="str">
            <v>ITAMBÉ</v>
          </cell>
          <cell r="L1306" t="str">
            <v>RODRIGO</v>
          </cell>
          <cell r="M1306" t="str">
            <v>MARIA LOURDES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  <cell r="H1307" t="str">
            <v>INGREDIENTS</v>
          </cell>
          <cell r="I1307" t="str">
            <v>INGREDIENTS</v>
          </cell>
          <cell r="J1307" t="str">
            <v>JOEL ELEOTÉRIO</v>
          </cell>
          <cell r="K1307" t="str">
            <v>LACTALIS</v>
          </cell>
          <cell r="L1307" t="str">
            <v>MAURICIO</v>
          </cell>
          <cell r="M1307" t="str">
            <v>JOEL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  <cell r="H1308" t="str">
            <v>INGREDIENTS</v>
          </cell>
          <cell r="I1308" t="str">
            <v>INGREDIENTS</v>
          </cell>
          <cell r="J1308" t="str">
            <v>JOEL ELEOTÉRIO</v>
          </cell>
          <cell r="K1308" t="str">
            <v>ITAMBÉ</v>
          </cell>
          <cell r="L1308" t="str">
            <v>MAURICIO</v>
          </cell>
          <cell r="M1308" t="str">
            <v>JOEL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  <cell r="H1309" t="str">
            <v>INGREDIENTS</v>
          </cell>
          <cell r="I1309" t="str">
            <v>INGREDIENTS</v>
          </cell>
          <cell r="J1309" t="str">
            <v>DUAS RODAS</v>
          </cell>
          <cell r="K1309" t="str">
            <v>ITAMBÉ</v>
          </cell>
          <cell r="L1309" t="str">
            <v>MAURICIO</v>
          </cell>
          <cell r="M1309" t="str">
            <v>MARCELO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  <cell r="H1310" t="str">
            <v>INGREDIENTS</v>
          </cell>
          <cell r="I1310" t="str">
            <v>INGREDIENTS</v>
          </cell>
          <cell r="J1310" t="str">
            <v>DUAS RODAS</v>
          </cell>
          <cell r="K1310" t="str">
            <v>ITAMBÉ</v>
          </cell>
          <cell r="L1310" t="str">
            <v>MAURICIO</v>
          </cell>
          <cell r="M1310" t="str">
            <v>MARCELO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  <cell r="H1311" t="str">
            <v>INGREDIENTS</v>
          </cell>
          <cell r="I1311" t="str">
            <v>INGREDIENTS</v>
          </cell>
          <cell r="J1311" t="str">
            <v>TATIANA NITTA</v>
          </cell>
          <cell r="K1311" t="str">
            <v>LACTALIS</v>
          </cell>
          <cell r="L1311" t="str">
            <v>MAURICIO</v>
          </cell>
          <cell r="M1311" t="str">
            <v>TATIANA NITTA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  <cell r="H1312" t="str">
            <v>DISTRIBUIÇÃO</v>
          </cell>
          <cell r="I1312" t="str">
            <v>FOOD SERVICE</v>
          </cell>
          <cell r="J1312" t="str">
            <v>MARCELO DUARTE</v>
          </cell>
          <cell r="K1312" t="str">
            <v>ITAMBÉ</v>
          </cell>
          <cell r="L1312" t="str">
            <v>RODRIGO</v>
          </cell>
          <cell r="M1312" t="str">
            <v>JESSICA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  <cell r="H1313" t="str">
            <v>DISTRIBUIÇÃO</v>
          </cell>
          <cell r="I1313" t="str">
            <v>FOOD SERVICE</v>
          </cell>
          <cell r="J1313" t="str">
            <v>MARCELO DUARTE</v>
          </cell>
          <cell r="K1313" t="str">
            <v>ITAMBÉ</v>
          </cell>
          <cell r="L1313" t="str">
            <v>RODRIGO</v>
          </cell>
          <cell r="M1313" t="str">
            <v>JESSICA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  <cell r="H1314" t="str">
            <v>DISTRIBUIÇÃO</v>
          </cell>
          <cell r="I1314" t="str">
            <v>FOOD SERVICE</v>
          </cell>
          <cell r="J1314" t="str">
            <v>ANGELICA BATISTELA</v>
          </cell>
          <cell r="K1314" t="str">
            <v>ITAMBÉ</v>
          </cell>
          <cell r="L1314" t="str">
            <v>RODRIGO</v>
          </cell>
          <cell r="M1314" t="str">
            <v>ANGELICA BATISTELA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  <cell r="H1315" t="str">
            <v>DISTRIBUIÇÃO</v>
          </cell>
          <cell r="I1315" t="str">
            <v>FOOD SERVICE</v>
          </cell>
          <cell r="J1315" t="str">
            <v>ANGELICA BATISTELA</v>
          </cell>
          <cell r="K1315" t="str">
            <v>LACTALIS</v>
          </cell>
          <cell r="L1315" t="str">
            <v>RODRIGO</v>
          </cell>
          <cell r="M1315" t="str">
            <v>ANGELICA BATISTELA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  <cell r="H1316" t="str">
            <v>DISTRIBUIÇÃO</v>
          </cell>
          <cell r="I1316" t="str">
            <v>FOOD SERVICE</v>
          </cell>
          <cell r="J1316" t="str">
            <v>CLAUDIO JORGE/LUIZ</v>
          </cell>
          <cell r="K1316" t="str">
            <v>ITAMBÉ</v>
          </cell>
          <cell r="L1316" t="str">
            <v>RODRIGO</v>
          </cell>
          <cell r="M1316" t="str">
            <v>MARIA LOURDES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  <cell r="H1317" t="str">
            <v>DISTRIBUIÇÃO</v>
          </cell>
          <cell r="I1317" t="str">
            <v>FOOD SERVICE</v>
          </cell>
          <cell r="J1317" t="str">
            <v>FLAC 2</v>
          </cell>
          <cell r="K1317" t="str">
            <v>LACTALIS</v>
          </cell>
          <cell r="L1317" t="str">
            <v>RODRIGO</v>
          </cell>
          <cell r="M1317" t="str">
            <v>RAQUEL BARBOSA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  <cell r="H1318" t="str">
            <v>DISTRIBUIÇÃO</v>
          </cell>
          <cell r="I1318" t="str">
            <v>FOOD SERVICE</v>
          </cell>
          <cell r="J1318" t="str">
            <v>FLAC 6</v>
          </cell>
          <cell r="K1318" t="str">
            <v>LACTALIS</v>
          </cell>
          <cell r="L1318" t="str">
            <v>RODRIGO</v>
          </cell>
          <cell r="M1318" t="str">
            <v>RAQUEL BARBOSA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  <cell r="H1319" t="str">
            <v>DISTRIBUIÇÃO</v>
          </cell>
          <cell r="I1319" t="str">
            <v>FOOD SERVICE</v>
          </cell>
          <cell r="J1319" t="str">
            <v>GUILHERME NASCIMENTO</v>
          </cell>
          <cell r="K1319" t="str">
            <v>ITAMBÉ</v>
          </cell>
          <cell r="L1319" t="str">
            <v>RODRIGO</v>
          </cell>
          <cell r="M1319" t="str">
            <v>ALEXANDRO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  <cell r="H1320" t="str">
            <v>DISTRIBUIÇÃO</v>
          </cell>
          <cell r="I1320" t="str">
            <v>FOOD SERVICE</v>
          </cell>
          <cell r="J1320" t="str">
            <v>GUILHERME NASCIMENTO</v>
          </cell>
          <cell r="K1320" t="str">
            <v>LACTALIS</v>
          </cell>
          <cell r="L1320" t="str">
            <v>RODRIGO</v>
          </cell>
          <cell r="M1320" t="str">
            <v>ALEXANDRO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  <cell r="H1321" t="str">
            <v>DISTRIBUIÇÃO</v>
          </cell>
          <cell r="I1321" t="str">
            <v>FOOD SERVICE</v>
          </cell>
          <cell r="J1321" t="str">
            <v>MARCELO SILVA</v>
          </cell>
          <cell r="K1321" t="str">
            <v>ITAMBÉ</v>
          </cell>
          <cell r="L1321" t="str">
            <v>RODRIGO</v>
          </cell>
          <cell r="M1321" t="str">
            <v>CELIO MARTINS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  <cell r="H1322" t="str">
            <v>DISTRIBUIÇÃO</v>
          </cell>
          <cell r="I1322" t="str">
            <v>FOOD SERVICE</v>
          </cell>
          <cell r="J1322" t="str">
            <v>FLAC 6</v>
          </cell>
          <cell r="K1322" t="str">
            <v>LACTALIS</v>
          </cell>
          <cell r="L1322" t="str">
            <v>RODRIGO</v>
          </cell>
          <cell r="M1322" t="str">
            <v>RAQUEL BARBOSA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  <cell r="H1323" t="str">
            <v>DISTRIBUIÇÃO</v>
          </cell>
          <cell r="I1323" t="str">
            <v>FOOD SERVICE</v>
          </cell>
          <cell r="J1323" t="str">
            <v>CLAUDIO JORGE</v>
          </cell>
          <cell r="K1323" t="str">
            <v>ITAMBÉ</v>
          </cell>
          <cell r="L1323" t="str">
            <v>RODRIGO</v>
          </cell>
          <cell r="M1323" t="str">
            <v>MARIA LOURDES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  <cell r="H1324" t="str">
            <v>INGREDIENTS</v>
          </cell>
          <cell r="I1324" t="str">
            <v>INGREDIENTS</v>
          </cell>
          <cell r="J1324" t="str">
            <v>MARCELO RODRIGUES</v>
          </cell>
          <cell r="K1324" t="str">
            <v>ITAMBÉ</v>
          </cell>
          <cell r="L1324" t="str">
            <v>MAURICIO</v>
          </cell>
          <cell r="M1324" t="str">
            <v>MARCELO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  <cell r="H1325" t="str">
            <v>DISTRIBUIÇÃO</v>
          </cell>
          <cell r="I1325" t="str">
            <v>FOOD SERVICE</v>
          </cell>
          <cell r="J1325" t="str">
            <v>FLAC 6</v>
          </cell>
          <cell r="K1325" t="str">
            <v>LACTALIS</v>
          </cell>
          <cell r="L1325" t="str">
            <v>RODRIGO</v>
          </cell>
          <cell r="M1325" t="str">
            <v>RAQUEL BARBOSA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  <cell r="H1326" t="str">
            <v>DISTRIBUIÇÃO</v>
          </cell>
          <cell r="I1326" t="str">
            <v>FOOD SERVICE</v>
          </cell>
          <cell r="J1326" t="str">
            <v>CLAUDIO JORGE/MARIA LAURA</v>
          </cell>
          <cell r="K1326" t="str">
            <v>ITAMBÉ</v>
          </cell>
          <cell r="L1326" t="str">
            <v>RODRIGO</v>
          </cell>
          <cell r="M1326" t="str">
            <v>MARCO AURELIO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  <cell r="H1327" t="str">
            <v>DISTRIBUIÇÃO</v>
          </cell>
          <cell r="I1327" t="str">
            <v>FOOD SERVICE</v>
          </cell>
          <cell r="J1327" t="str">
            <v>FLAC 3</v>
          </cell>
          <cell r="K1327" t="str">
            <v>LACTALIS</v>
          </cell>
          <cell r="L1327" t="str">
            <v>RODRIGO</v>
          </cell>
          <cell r="M1327" t="str">
            <v>RAQUEL BARBOSA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  <cell r="H1328" t="str">
            <v>DISTRIBUIÇÃO</v>
          </cell>
          <cell r="I1328" t="str">
            <v>FOOD SERVICE</v>
          </cell>
          <cell r="J1328" t="str">
            <v>ANGELICA BATISTELA</v>
          </cell>
          <cell r="K1328" t="str">
            <v>ITAMBÉ</v>
          </cell>
          <cell r="L1328" t="str">
            <v>RODRIGO</v>
          </cell>
          <cell r="M1328" t="str">
            <v>ANGELICA BATISTELA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  <cell r="H1329" t="str">
            <v>DISTRIBUIÇÃO</v>
          </cell>
          <cell r="I1329" t="str">
            <v>FOOD SERVICE</v>
          </cell>
          <cell r="J1329" t="str">
            <v>ANGELICA BATISTELA</v>
          </cell>
          <cell r="K1329" t="str">
            <v>LACTALIS</v>
          </cell>
          <cell r="L1329" t="str">
            <v>RODRIGO</v>
          </cell>
          <cell r="M1329" t="str">
            <v>ANGELICA BATISTELA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  <cell r="H1330" t="str">
            <v>DISTRIBUIÇÃO</v>
          </cell>
          <cell r="I1330" t="str">
            <v>FOOD SERVICE</v>
          </cell>
          <cell r="J1330" t="str">
            <v>ANGELICA BATISTELA</v>
          </cell>
          <cell r="K1330" t="str">
            <v>LACTALIS</v>
          </cell>
          <cell r="L1330" t="str">
            <v>RODRIGO</v>
          </cell>
          <cell r="M1330" t="str">
            <v>ANGELICA BATISTELA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  <cell r="H1331" t="str">
            <v>DISTRIBUIÇÃO</v>
          </cell>
          <cell r="I1331" t="str">
            <v>FOOD SERVICE</v>
          </cell>
          <cell r="J1331" t="str">
            <v>FLAC 1</v>
          </cell>
          <cell r="K1331" t="str">
            <v>LACTALIS</v>
          </cell>
          <cell r="L1331" t="str">
            <v>RODRIGO</v>
          </cell>
          <cell r="M1331" t="str">
            <v>RAQUEL BARBOSA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  <cell r="H1332" t="str">
            <v>DISTRIBUIÇÃO</v>
          </cell>
          <cell r="I1332" t="str">
            <v>FOOD SERVICE</v>
          </cell>
          <cell r="J1332" t="str">
            <v>FLAC 2</v>
          </cell>
          <cell r="K1332" t="str">
            <v>LACTALIS</v>
          </cell>
          <cell r="L1332" t="str">
            <v>RODRIGO</v>
          </cell>
          <cell r="M1332" t="str">
            <v>RAQUEL BARBOSA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  <cell r="H1333" t="str">
            <v>DISTRIBUIÇÃO</v>
          </cell>
          <cell r="I1333" t="str">
            <v>FOOD SERVICE</v>
          </cell>
          <cell r="J1333" t="str">
            <v>FLAC 2</v>
          </cell>
          <cell r="K1333" t="str">
            <v>LACTALIS</v>
          </cell>
          <cell r="L1333" t="str">
            <v>RODRIGO</v>
          </cell>
          <cell r="M1333" t="str">
            <v>RAQUEL BARBOSA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  <cell r="H1334" t="str">
            <v>DISTRIBUIÇÃO</v>
          </cell>
          <cell r="I1334" t="str">
            <v>FOOD SERVICE</v>
          </cell>
          <cell r="J1334" t="str">
            <v>FLAC 2</v>
          </cell>
          <cell r="K1334" t="str">
            <v>LACTALIS</v>
          </cell>
          <cell r="L1334" t="str">
            <v>RODRIGO</v>
          </cell>
          <cell r="M1334" t="str">
            <v>RAQUEL BARBOSA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  <cell r="H1335" t="str">
            <v>DISTRIBUIÇÃO</v>
          </cell>
          <cell r="I1335" t="str">
            <v>FOOD SERVICE</v>
          </cell>
          <cell r="J1335" t="str">
            <v>LUCIANA MARTINS</v>
          </cell>
          <cell r="K1335" t="str">
            <v>ITAMBÉ</v>
          </cell>
          <cell r="L1335" t="str">
            <v>RODRIGO</v>
          </cell>
          <cell r="M1335" t="str">
            <v>JESSICA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  <cell r="H1336" t="str">
            <v>DISTRIBUIÇÃO</v>
          </cell>
          <cell r="I1336" t="str">
            <v>FOOD SERVICE</v>
          </cell>
          <cell r="J1336" t="str">
            <v>LUCIANA MARTINS</v>
          </cell>
          <cell r="K1336" t="str">
            <v>LACTALIS</v>
          </cell>
          <cell r="L1336" t="str">
            <v>RODRIGO</v>
          </cell>
          <cell r="M1336" t="str">
            <v>JESSICA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  <cell r="H1337" t="str">
            <v>DISTRIBUIÇÃO</v>
          </cell>
          <cell r="I1337" t="str">
            <v>FOOD SERVICE</v>
          </cell>
          <cell r="J1337" t="str">
            <v>FLAC 2</v>
          </cell>
          <cell r="K1337" t="str">
            <v>LACTALIS</v>
          </cell>
          <cell r="L1337" t="str">
            <v>RODRIGO</v>
          </cell>
          <cell r="M1337" t="str">
            <v>RAQUEL BARBOSA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  <cell r="H1338" t="str">
            <v>DISTRIBUIÇÃO</v>
          </cell>
          <cell r="I1338" t="str">
            <v>FOOD SERVICE</v>
          </cell>
          <cell r="J1338" t="str">
            <v>FLAC 2</v>
          </cell>
          <cell r="K1338" t="str">
            <v>LACTALIS</v>
          </cell>
          <cell r="L1338" t="str">
            <v>RODRIGO</v>
          </cell>
          <cell r="M1338" t="str">
            <v>RAQUEL BARBOSA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  <cell r="H1339" t="str">
            <v>DISTRIBUIÇÃO</v>
          </cell>
          <cell r="I1339" t="str">
            <v>FOOD SERVICE</v>
          </cell>
          <cell r="J1339" t="str">
            <v>FLAC 2</v>
          </cell>
          <cell r="K1339" t="str">
            <v>LACTALIS</v>
          </cell>
          <cell r="L1339" t="str">
            <v>RODRIGO</v>
          </cell>
          <cell r="M1339" t="str">
            <v>RAQUEL BARBOSA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  <cell r="H1340" t="str">
            <v>INGREDIENTS</v>
          </cell>
          <cell r="I1340" t="str">
            <v>INGREDIENTS</v>
          </cell>
          <cell r="J1340" t="str">
            <v>BA ITB FS ML FLAVORS</v>
          </cell>
          <cell r="K1340" t="str">
            <v>ITAMBÉ</v>
          </cell>
          <cell r="L1340" t="str">
            <v>MAURICIO</v>
          </cell>
          <cell r="M1340" t="str">
            <v>JOEL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  <cell r="H1341" t="str">
            <v>DISTRIBUIÇÃO</v>
          </cell>
          <cell r="I1341" t="str">
            <v>FOOD SERVICE</v>
          </cell>
          <cell r="J1341" t="str">
            <v>GUILHERME NASCIMENTO</v>
          </cell>
          <cell r="K1341" t="str">
            <v>ITAMBÉ</v>
          </cell>
          <cell r="L1341" t="str">
            <v>RODRIGO</v>
          </cell>
          <cell r="M1341" t="str">
            <v>ALEXANDRO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  <cell r="H1342" t="str">
            <v>DISTRIBUIÇÃO</v>
          </cell>
          <cell r="I1342" t="str">
            <v>FOOD SERVICE</v>
          </cell>
          <cell r="J1342" t="str">
            <v>GUILHERME NASCIMENTO</v>
          </cell>
          <cell r="K1342" t="str">
            <v>LACTALIS</v>
          </cell>
          <cell r="L1342" t="str">
            <v>RODRIGO</v>
          </cell>
          <cell r="M1342" t="str">
            <v>ALEXANDRO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  <cell r="H1343" t="str">
            <v>DISTRIBUIÇÃO</v>
          </cell>
          <cell r="I1343" t="str">
            <v>FOOD SERVICE</v>
          </cell>
          <cell r="J1343" t="str">
            <v>FLAC 6</v>
          </cell>
          <cell r="K1343" t="str">
            <v>LACTALIS</v>
          </cell>
          <cell r="L1343" t="str">
            <v>RODRIGO</v>
          </cell>
          <cell r="M1343" t="str">
            <v>RAQUEL BARBOSA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  <cell r="H1344" t="str">
            <v>INGREDIENTS</v>
          </cell>
          <cell r="I1344" t="str">
            <v>INGREDIENTS</v>
          </cell>
          <cell r="J1344" t="str">
            <v>HENRIQUE FERREIRA</v>
          </cell>
          <cell r="K1344" t="str">
            <v>ITAMBÉ</v>
          </cell>
          <cell r="L1344" t="str">
            <v>MAURICIO</v>
          </cell>
          <cell r="M1344" t="str">
            <v>JOEL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  <cell r="H1345" t="str">
            <v>DISTRIBUIÇÃO</v>
          </cell>
          <cell r="I1345" t="str">
            <v>FOOD SERVICE</v>
          </cell>
          <cell r="J1345" t="str">
            <v>FLAC 3</v>
          </cell>
          <cell r="K1345" t="str">
            <v>LACTALIS</v>
          </cell>
          <cell r="L1345" t="str">
            <v>RODRIGO</v>
          </cell>
          <cell r="M1345" t="str">
            <v>RAQUEL BARBOSA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  <cell r="H1346" t="str">
            <v>DISTRIBUIÇÃO</v>
          </cell>
          <cell r="I1346" t="str">
            <v>FOOD SERVICE</v>
          </cell>
          <cell r="J1346" t="str">
            <v>FLAC 2</v>
          </cell>
          <cell r="K1346" t="str">
            <v>LACTALIS</v>
          </cell>
          <cell r="L1346" t="str">
            <v>RODRIGO</v>
          </cell>
          <cell r="M1346" t="str">
            <v>RAQUEL BARBOSA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  <cell r="H1347" t="str">
            <v>INGREDIENTS</v>
          </cell>
          <cell r="I1347" t="str">
            <v>INGREDIENTS</v>
          </cell>
          <cell r="J1347" t="str">
            <v>AM - DUAS RODAS</v>
          </cell>
          <cell r="K1347" t="str">
            <v>ITAMBÉ</v>
          </cell>
          <cell r="L1347" t="str">
            <v>MAURICIO</v>
          </cell>
          <cell r="M1347" t="str">
            <v>JOEL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  <cell r="H1348" t="str">
            <v>INGREDIENTS</v>
          </cell>
          <cell r="I1348" t="str">
            <v>INGREDIENTS</v>
          </cell>
          <cell r="J1348" t="str">
            <v>JOEL ELEOTÉRIO</v>
          </cell>
          <cell r="K1348" t="str">
            <v>LACTALIS</v>
          </cell>
          <cell r="L1348" t="str">
            <v>MAURICIO</v>
          </cell>
          <cell r="M1348" t="str">
            <v>JOEL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  <cell r="H1349" t="str">
            <v>INGREDIENTS</v>
          </cell>
          <cell r="I1349" t="str">
            <v>INGREDIENTS</v>
          </cell>
          <cell r="J1349" t="str">
            <v>JOEL ELEOTÉRIO</v>
          </cell>
          <cell r="K1349" t="str">
            <v>LACTALIS</v>
          </cell>
          <cell r="L1349" t="str">
            <v>MAURICIO</v>
          </cell>
          <cell r="M1349" t="str">
            <v>JOEL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  <cell r="H1350" t="str">
            <v>DISTRIBUIÇÃO</v>
          </cell>
          <cell r="I1350" t="str">
            <v>FOOD SERVICE</v>
          </cell>
          <cell r="J1350" t="str">
            <v>VAGO SP</v>
          </cell>
          <cell r="K1350" t="str">
            <v>ITAMBÉ</v>
          </cell>
          <cell r="L1350" t="str">
            <v>RODRIGO</v>
          </cell>
          <cell r="M1350" t="str">
            <v>RAQUEL BARBOSA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  <cell r="H1351" t="str">
            <v>DISTRIBUIÇÃO</v>
          </cell>
          <cell r="I1351" t="str">
            <v>FOOD SERVICE</v>
          </cell>
          <cell r="J1351" t="str">
            <v>FLAC 2</v>
          </cell>
          <cell r="K1351" t="str">
            <v>LACTALIS</v>
          </cell>
          <cell r="L1351" t="str">
            <v>RODRIGO</v>
          </cell>
          <cell r="M1351" t="str">
            <v>RAQUEL BARBOSA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  <cell r="H1352" t="str">
            <v>DISTRIBUIÇÃO</v>
          </cell>
          <cell r="I1352" t="str">
            <v>FOOD SERVICE</v>
          </cell>
          <cell r="J1352" t="str">
            <v>CLAUDIO JORGE/LUIZ</v>
          </cell>
          <cell r="K1352" t="str">
            <v>ITAMBÉ</v>
          </cell>
          <cell r="L1352" t="str">
            <v>RODRIGO</v>
          </cell>
          <cell r="M1352" t="str">
            <v>MARIA LOURDES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  <cell r="H1353" t="str">
            <v>DISTRIBUIÇÃO</v>
          </cell>
          <cell r="I1353" t="str">
            <v>FOOD SERVICE</v>
          </cell>
          <cell r="J1353" t="str">
            <v>DIGMA REPR LTDA</v>
          </cell>
          <cell r="K1353" t="str">
            <v>ITAMBÉ</v>
          </cell>
          <cell r="L1353" t="str">
            <v>RODRIGO</v>
          </cell>
          <cell r="M1353" t="str">
            <v>MARIA LOURDES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  <cell r="H1354" t="str">
            <v>DISTRIBUIÇÃO</v>
          </cell>
          <cell r="I1354" t="str">
            <v>FOOD SERVICE</v>
          </cell>
          <cell r="J1354" t="str">
            <v>FLAC 6</v>
          </cell>
          <cell r="K1354" t="str">
            <v>LACTALIS</v>
          </cell>
          <cell r="L1354" t="str">
            <v>RODRIGO</v>
          </cell>
          <cell r="M1354" t="str">
            <v>RAQUEL BARBOSA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  <cell r="H1355" t="str">
            <v>DISTRIBUIÇÃO</v>
          </cell>
          <cell r="I1355" t="str">
            <v>FOOD SERVICE</v>
          </cell>
          <cell r="J1355" t="str">
            <v>FLAC 3</v>
          </cell>
          <cell r="K1355" t="str">
            <v>LACTALIS</v>
          </cell>
          <cell r="L1355" t="str">
            <v>RODRIGO</v>
          </cell>
          <cell r="M1355" t="str">
            <v>RAQUEL BARBOSA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  <cell r="H1356" t="str">
            <v>DISTRIBUIÇÃO</v>
          </cell>
          <cell r="I1356" t="str">
            <v>FOOD SERVICE</v>
          </cell>
          <cell r="J1356" t="str">
            <v>FLAC 2</v>
          </cell>
          <cell r="K1356" t="str">
            <v>LACTALIS</v>
          </cell>
          <cell r="L1356" t="str">
            <v>RODRIGO</v>
          </cell>
          <cell r="M1356" t="str">
            <v>RAQUEL BARBOSA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  <cell r="H1357" t="str">
            <v>DISTRIBUIÇÃO</v>
          </cell>
          <cell r="I1357" t="str">
            <v>FOOD SERVICE</v>
          </cell>
          <cell r="J1357" t="str">
            <v>FLAC 6</v>
          </cell>
          <cell r="K1357" t="str">
            <v>LACTALIS</v>
          </cell>
          <cell r="L1357" t="str">
            <v>RODRIGO</v>
          </cell>
          <cell r="M1357" t="str">
            <v>RAQUEL BARBOSA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  <cell r="H1358" t="str">
            <v>DISTRIBUIÇÃO</v>
          </cell>
          <cell r="I1358" t="str">
            <v>FOOD SERVICE</v>
          </cell>
          <cell r="J1358" t="str">
            <v>FLAC 6</v>
          </cell>
          <cell r="K1358" t="str">
            <v>LACTALIS</v>
          </cell>
          <cell r="L1358" t="str">
            <v>RODRIGO</v>
          </cell>
          <cell r="M1358" t="str">
            <v>RAQUEL BARBOSA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  <cell r="H1359" t="str">
            <v>DISTRIBUIÇÃO</v>
          </cell>
          <cell r="I1359" t="str">
            <v>FOOD SERVICE</v>
          </cell>
          <cell r="J1359" t="str">
            <v>FLAC 6</v>
          </cell>
          <cell r="K1359" t="str">
            <v>LACTALIS</v>
          </cell>
          <cell r="L1359" t="str">
            <v>RODRIGO</v>
          </cell>
          <cell r="M1359" t="str">
            <v>RAQUEL BARBOSA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  <cell r="H1360" t="str">
            <v>DISTRIBUIÇÃO</v>
          </cell>
          <cell r="I1360" t="str">
            <v>FOOD SERVICE</v>
          </cell>
          <cell r="J1360" t="str">
            <v>VAGO SP</v>
          </cell>
          <cell r="K1360" t="str">
            <v>ITAMBÉ</v>
          </cell>
          <cell r="L1360" t="str">
            <v>RODRIGO</v>
          </cell>
          <cell r="M1360" t="str">
            <v>RAQUEL BARBOSA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  <cell r="H1361" t="str">
            <v>DISTRIBUIÇÃO</v>
          </cell>
          <cell r="I1361" t="str">
            <v>FOOD SERVICE</v>
          </cell>
          <cell r="J1361" t="str">
            <v>FLAC 7</v>
          </cell>
          <cell r="K1361" t="str">
            <v>LACTALIS</v>
          </cell>
          <cell r="L1361" t="str">
            <v>RODRIGO</v>
          </cell>
          <cell r="M1361" t="str">
            <v>RAQUEL BARBOSA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  <cell r="H1362" t="str">
            <v>DISTRIBUIÇÃO</v>
          </cell>
          <cell r="I1362" t="str">
            <v>FOOD SERVICE</v>
          </cell>
          <cell r="J1362" t="str">
            <v>FLAC 2</v>
          </cell>
          <cell r="K1362" t="str">
            <v>LACTALIS</v>
          </cell>
          <cell r="L1362" t="str">
            <v>RODRIGO</v>
          </cell>
          <cell r="M1362" t="str">
            <v>RAQUEL BARBOSA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  <cell r="H1363" t="str">
            <v>DISTRIBUIÇÃO</v>
          </cell>
          <cell r="I1363" t="str">
            <v>FOOD SERVICE</v>
          </cell>
          <cell r="J1363" t="str">
            <v>FLAC 2</v>
          </cell>
          <cell r="K1363" t="str">
            <v>LACTALIS</v>
          </cell>
          <cell r="L1363" t="str">
            <v>RODRIGO</v>
          </cell>
          <cell r="M1363" t="str">
            <v>RAQUEL BARBOSA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  <cell r="H1364" t="str">
            <v>DISTRIBUIÇÃO</v>
          </cell>
          <cell r="I1364" t="str">
            <v>FOOD SERVICE</v>
          </cell>
          <cell r="J1364" t="str">
            <v>FLAC 3</v>
          </cell>
          <cell r="K1364" t="str">
            <v>LACTALIS</v>
          </cell>
          <cell r="L1364" t="str">
            <v>RODRIGO</v>
          </cell>
          <cell r="M1364" t="str">
            <v>RAQUEL BARBOSA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  <cell r="H1365" t="str">
            <v>DISTRIBUIÇÃO</v>
          </cell>
          <cell r="I1365" t="str">
            <v>FOOD SERVICE</v>
          </cell>
          <cell r="J1365" t="str">
            <v>FLAC 5</v>
          </cell>
          <cell r="K1365" t="str">
            <v>LACTALIS</v>
          </cell>
          <cell r="L1365" t="str">
            <v>RODRIGO</v>
          </cell>
          <cell r="M1365" t="str">
            <v>RAQUEL BARBOSA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  <cell r="H1366" t="str">
            <v>DISTRIBUIÇÃO</v>
          </cell>
          <cell r="I1366" t="str">
            <v>FOOD SERVICE</v>
          </cell>
          <cell r="J1366" t="str">
            <v>FLAC 2</v>
          </cell>
          <cell r="K1366" t="str">
            <v>LACTALIS</v>
          </cell>
          <cell r="L1366" t="str">
            <v>RODRIGO</v>
          </cell>
          <cell r="M1366" t="str">
            <v>RAQUEL BARBOSA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  <cell r="H1367" t="str">
            <v>DISTRIBUIÇÃO</v>
          </cell>
          <cell r="I1367" t="str">
            <v>FOOD SERVICE</v>
          </cell>
          <cell r="J1367" t="str">
            <v>FLAC 2</v>
          </cell>
          <cell r="K1367" t="str">
            <v>LACTALIS</v>
          </cell>
          <cell r="L1367" t="str">
            <v>RODRIGO</v>
          </cell>
          <cell r="M1367" t="str">
            <v>RAQUEL BARBOSA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  <cell r="H1368" t="str">
            <v>DISTRIBUIÇÃO</v>
          </cell>
          <cell r="I1368" t="str">
            <v>FOOD SERVICE</v>
          </cell>
          <cell r="J1368" t="str">
            <v>FLAC 2</v>
          </cell>
          <cell r="K1368" t="str">
            <v>LACTALIS</v>
          </cell>
          <cell r="L1368" t="str">
            <v>RODRIGO</v>
          </cell>
          <cell r="M1368" t="str">
            <v>RAQUEL BARBOSA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  <cell r="H1369" t="str">
            <v>DISTRIBUIÇÃO</v>
          </cell>
          <cell r="I1369" t="str">
            <v>FOOD SERVICE</v>
          </cell>
          <cell r="J1369" t="str">
            <v>FLAC 6</v>
          </cell>
          <cell r="K1369" t="str">
            <v>LACTALIS</v>
          </cell>
          <cell r="L1369" t="str">
            <v>RODRIGO</v>
          </cell>
          <cell r="M1369" t="str">
            <v>RAQUEL BARBOSA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  <cell r="H1370" t="str">
            <v>DISTRIBUIÇÃO</v>
          </cell>
          <cell r="I1370" t="str">
            <v>FOOD SERVICE</v>
          </cell>
          <cell r="J1370" t="str">
            <v>WH FOOD SERVICE CE</v>
          </cell>
          <cell r="K1370" t="str">
            <v>ITAMBÉ</v>
          </cell>
          <cell r="L1370" t="str">
            <v>RODRIGO</v>
          </cell>
          <cell r="M1370" t="str">
            <v>MARIA LOURDES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  <cell r="H1371" t="str">
            <v>DISTRIBUIÇÃO</v>
          </cell>
          <cell r="I1371" t="str">
            <v>FOOD SERVICE</v>
          </cell>
          <cell r="J1371" t="str">
            <v>FLAC 5</v>
          </cell>
          <cell r="K1371" t="str">
            <v>LACTALIS</v>
          </cell>
          <cell r="L1371" t="str">
            <v>RODRIGO</v>
          </cell>
          <cell r="M1371" t="str">
            <v>RAQUEL BARBOSA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  <cell r="H1372" t="str">
            <v>DISTRIBUIÇÃO</v>
          </cell>
          <cell r="I1372" t="str">
            <v>FOOD SERVICE</v>
          </cell>
          <cell r="J1372" t="str">
            <v>FLAC 3</v>
          </cell>
          <cell r="K1372" t="str">
            <v>LACTALIS</v>
          </cell>
          <cell r="L1372" t="str">
            <v>RODRIGO</v>
          </cell>
          <cell r="M1372" t="str">
            <v>RAQUEL BARBOSA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  <cell r="H1373" t="str">
            <v>DISTRIBUIÇÃO</v>
          </cell>
          <cell r="I1373" t="str">
            <v>FOOD SERVICE</v>
          </cell>
          <cell r="J1373" t="str">
            <v>FLAC 3</v>
          </cell>
          <cell r="K1373" t="str">
            <v>LACTALIS</v>
          </cell>
          <cell r="L1373" t="str">
            <v>RODRIGO</v>
          </cell>
          <cell r="M1373" t="str">
            <v>RAQUEL BARBOSA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  <cell r="H1374" t="str">
            <v>DISTRIBUIÇÃO</v>
          </cell>
          <cell r="I1374" t="str">
            <v>FOOD SERVICE</v>
          </cell>
          <cell r="J1374" t="str">
            <v>FLAC 3</v>
          </cell>
          <cell r="K1374" t="str">
            <v>LACTALIS</v>
          </cell>
          <cell r="L1374" t="str">
            <v>RODRIGO</v>
          </cell>
          <cell r="M1374" t="str">
            <v>RAQUEL BARBOSA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  <cell r="H1375" t="str">
            <v>DISTRIBUIÇÃO</v>
          </cell>
          <cell r="I1375" t="str">
            <v>FOOD SERVICE</v>
          </cell>
          <cell r="J1375" t="str">
            <v>FLAC 6</v>
          </cell>
          <cell r="K1375" t="str">
            <v>LACTALIS</v>
          </cell>
          <cell r="L1375" t="str">
            <v>RODRIGO</v>
          </cell>
          <cell r="M1375" t="str">
            <v>RAQUEL BARBOSA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  <cell r="H1376" t="str">
            <v>DISTRIBUIÇÃO</v>
          </cell>
          <cell r="I1376" t="str">
            <v>FOOD SERVICE</v>
          </cell>
          <cell r="J1376" t="str">
            <v>FLAC 6</v>
          </cell>
          <cell r="K1376" t="str">
            <v>LACTALIS</v>
          </cell>
          <cell r="L1376" t="str">
            <v>RODRIGO</v>
          </cell>
          <cell r="M1376" t="str">
            <v>RAQUEL BARBOSA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  <cell r="H1377" t="str">
            <v>DISTRIBUIÇÃO</v>
          </cell>
          <cell r="I1377" t="str">
            <v>FOOD SERVICE</v>
          </cell>
          <cell r="J1377" t="str">
            <v>FLAC 2</v>
          </cell>
          <cell r="K1377" t="str">
            <v>LACTALIS</v>
          </cell>
          <cell r="L1377" t="str">
            <v>RODRIGO</v>
          </cell>
          <cell r="M1377" t="str">
            <v>RAQUEL BARBOSA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  <cell r="H1378" t="str">
            <v>INGREDIENTS</v>
          </cell>
          <cell r="I1378" t="str">
            <v>INGREDIENTS</v>
          </cell>
          <cell r="J1378" t="str">
            <v>MARCELO RODRIGUES</v>
          </cell>
          <cell r="K1378" t="str">
            <v>LACTALIS</v>
          </cell>
          <cell r="L1378" t="str">
            <v>MAURICIO</v>
          </cell>
          <cell r="M1378" t="str">
            <v>MARCELO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  <cell r="H1379" t="str">
            <v>INGREDIENTS</v>
          </cell>
          <cell r="I1379" t="str">
            <v>INGREDIENTS</v>
          </cell>
          <cell r="J1379" t="str">
            <v>MARCELO RODRIGUES</v>
          </cell>
          <cell r="K1379" t="str">
            <v>LACTALIS</v>
          </cell>
          <cell r="L1379" t="str">
            <v>MAURICIO</v>
          </cell>
          <cell r="M1379" t="str">
            <v>MARCELO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  <cell r="H1380" t="str">
            <v>DISTRIBUIÇÃO</v>
          </cell>
          <cell r="I1380" t="str">
            <v>FOOD SERVICE</v>
          </cell>
          <cell r="J1380" t="str">
            <v>JESSICA CARLA</v>
          </cell>
          <cell r="K1380" t="str">
            <v>ITAMBÉ</v>
          </cell>
          <cell r="L1380" t="str">
            <v>RODRIGO</v>
          </cell>
          <cell r="M1380" t="str">
            <v>JESSICA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  <cell r="H1381" t="str">
            <v>DISTRIBUIÇÃO</v>
          </cell>
          <cell r="I1381" t="str">
            <v>FOOD SERVICE</v>
          </cell>
          <cell r="J1381" t="str">
            <v>FLAC 3</v>
          </cell>
          <cell r="K1381" t="str">
            <v>LACTALIS</v>
          </cell>
          <cell r="L1381" t="str">
            <v>RODRIGO</v>
          </cell>
          <cell r="M1381" t="str">
            <v>RAQUEL BARBOSA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  <cell r="H1382" t="str">
            <v>DISTRIBUIÇÃO</v>
          </cell>
          <cell r="I1382" t="str">
            <v>FOOD SERVICE</v>
          </cell>
          <cell r="J1382" t="str">
            <v>MARCELO SILVA</v>
          </cell>
          <cell r="K1382" t="str">
            <v>ITAMBÉ</v>
          </cell>
          <cell r="L1382" t="str">
            <v>RODRIGO</v>
          </cell>
          <cell r="M1382" t="str">
            <v>CELIO MARTINS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  <cell r="H1383" t="str">
            <v>DISTRIBUIÇÃO</v>
          </cell>
          <cell r="I1383" t="str">
            <v>FOOD SERVICE</v>
          </cell>
          <cell r="J1383" t="str">
            <v>FLAC 6</v>
          </cell>
          <cell r="K1383" t="str">
            <v>LACTALIS</v>
          </cell>
          <cell r="L1383" t="str">
            <v>RODRIGO</v>
          </cell>
          <cell r="M1383" t="str">
            <v>RAQUEL BARBOSA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  <cell r="H1384" t="str">
            <v>DISTRIBUIÇÃO</v>
          </cell>
          <cell r="I1384" t="str">
            <v>FOOD SERVICE</v>
          </cell>
          <cell r="J1384" t="str">
            <v>FLAC 3</v>
          </cell>
          <cell r="K1384" t="str">
            <v>LACTALIS</v>
          </cell>
          <cell r="L1384" t="str">
            <v>RODRIGO</v>
          </cell>
          <cell r="M1384" t="str">
            <v>RAQUEL BARBOSA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  <cell r="H1385" t="str">
            <v>DISTRIBUIÇÃO</v>
          </cell>
          <cell r="I1385" t="str">
            <v>FOOD SERVICE</v>
          </cell>
          <cell r="J1385" t="str">
            <v>FLAC 6</v>
          </cell>
          <cell r="K1385" t="str">
            <v>LACTALIS</v>
          </cell>
          <cell r="L1385" t="str">
            <v>RODRIGO</v>
          </cell>
          <cell r="M1385" t="str">
            <v>RAQUEL BARBOSA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  <cell r="H1386" t="str">
            <v>DISTRIBUIÇÃO</v>
          </cell>
          <cell r="I1386" t="str">
            <v>FOOD SERVICE</v>
          </cell>
          <cell r="J1386" t="str">
            <v>FLAC 2</v>
          </cell>
          <cell r="K1386" t="str">
            <v>LACTALIS</v>
          </cell>
          <cell r="L1386" t="str">
            <v>RODRIGO</v>
          </cell>
          <cell r="M1386" t="str">
            <v>RAQUEL BARBOSA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  <cell r="H1387" t="str">
            <v>INGREDIENTS</v>
          </cell>
          <cell r="I1387" t="str">
            <v>INGREDIENTS</v>
          </cell>
          <cell r="J1387" t="str">
            <v>JOEL ELEOTÉRIO</v>
          </cell>
          <cell r="K1387" t="str">
            <v>ITAMBÉ</v>
          </cell>
          <cell r="L1387" t="str">
            <v>MAURICIO</v>
          </cell>
          <cell r="M1387" t="str">
            <v>JOEL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  <cell r="H1388" t="str">
            <v>INGREDIENTS</v>
          </cell>
          <cell r="I1388" t="str">
            <v>INGREDIENTS</v>
          </cell>
          <cell r="J1388" t="str">
            <v>JOEL ELEOTÉRIO</v>
          </cell>
          <cell r="K1388" t="str">
            <v>ITAMBÉ</v>
          </cell>
          <cell r="L1388" t="str">
            <v>MAURICIO</v>
          </cell>
          <cell r="M1388" t="str">
            <v>JOEL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  <cell r="H1389" t="str">
            <v>DISTRIBUIÇÃO</v>
          </cell>
          <cell r="I1389" t="str">
            <v>FOOD SERVICE</v>
          </cell>
          <cell r="J1389" t="str">
            <v>FLAC 6</v>
          </cell>
          <cell r="K1389" t="str">
            <v>LACTALIS</v>
          </cell>
          <cell r="L1389" t="str">
            <v>RODRIGO</v>
          </cell>
          <cell r="M1389" t="str">
            <v>RAQUEL BARBOSA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  <cell r="H1390" t="str">
            <v>DISTRIBUIÇÃO</v>
          </cell>
          <cell r="I1390" t="str">
            <v>FOOD SERVICE</v>
          </cell>
          <cell r="J1390" t="str">
            <v>CLAUDIO JORGE/LUIZ</v>
          </cell>
          <cell r="K1390" t="str">
            <v>ITAMBÉ</v>
          </cell>
          <cell r="L1390" t="str">
            <v>RODRIGO</v>
          </cell>
          <cell r="M1390" t="str">
            <v>MARIA LOURDES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  <cell r="H1391" t="str">
            <v>DISTRIBUIÇÃO</v>
          </cell>
          <cell r="I1391" t="str">
            <v>FOOD SERVICE</v>
          </cell>
          <cell r="J1391" t="str">
            <v>FLAC 5</v>
          </cell>
          <cell r="K1391" t="str">
            <v>LACTALIS</v>
          </cell>
          <cell r="L1391" t="str">
            <v>RODRIGO</v>
          </cell>
          <cell r="M1391" t="str">
            <v>RAQUEL BARBOSA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  <cell r="H1392" t="str">
            <v>OUTROS</v>
          </cell>
          <cell r="I1392" t="str">
            <v>OUTROS</v>
          </cell>
          <cell r="J1392" t="str">
            <v>ITAMBE - EXPORTACAO</v>
          </cell>
          <cell r="K1392" t="str">
            <v>OUTROS</v>
          </cell>
          <cell r="L1392" t="str">
            <v>OUTROS</v>
          </cell>
          <cell r="M1392" t="str">
            <v>EXPORTAÇÃO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  <cell r="H1393" t="str">
            <v>OUTROS</v>
          </cell>
          <cell r="I1393" t="str">
            <v>OUTROS</v>
          </cell>
          <cell r="J1393" t="str">
            <v>ITAMBE - EXPORTACAO</v>
          </cell>
          <cell r="K1393" t="str">
            <v>OUTROS</v>
          </cell>
          <cell r="L1393" t="str">
            <v>OUTROS</v>
          </cell>
          <cell r="M1393" t="str">
            <v>EXPORTAÇÃO</v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  <cell r="H1394" t="str">
            <v>DISTRIBUIÇÃO</v>
          </cell>
          <cell r="I1394" t="str">
            <v>FOOD SERVICE</v>
          </cell>
          <cell r="J1394" t="str">
            <v>FLAC 6</v>
          </cell>
          <cell r="K1394" t="str">
            <v>LACTALIS</v>
          </cell>
          <cell r="L1394" t="str">
            <v>RODRIGO</v>
          </cell>
          <cell r="M1394" t="str">
            <v>RAQUEL BARBOSA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  <cell r="H1395" t="str">
            <v>DISTRIBUIÇÃO</v>
          </cell>
          <cell r="I1395" t="str">
            <v>FOOD SERVICE</v>
          </cell>
          <cell r="J1395" t="str">
            <v>FLAC 6</v>
          </cell>
          <cell r="K1395" t="str">
            <v>LACTALIS</v>
          </cell>
          <cell r="L1395" t="str">
            <v>RODRIGO</v>
          </cell>
          <cell r="M1395" t="str">
            <v>RAQUEL BARBOSA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  <cell r="H1396" t="str">
            <v>DISTRIBUIÇÃO</v>
          </cell>
          <cell r="I1396" t="str">
            <v>FOOD SERVICE</v>
          </cell>
          <cell r="J1396" t="str">
            <v>FLAC 6</v>
          </cell>
          <cell r="K1396" t="str">
            <v>LACTALIS</v>
          </cell>
          <cell r="L1396" t="str">
            <v>RODRIGO</v>
          </cell>
          <cell r="M1396" t="str">
            <v>RAQUEL BARBOSA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  <cell r="H1397" t="str">
            <v>DISTRIBUIÇÃO</v>
          </cell>
          <cell r="I1397" t="str">
            <v>FOOD SERVICE</v>
          </cell>
          <cell r="J1397" t="str">
            <v>FLAC 6</v>
          </cell>
          <cell r="K1397" t="str">
            <v>LACTALIS</v>
          </cell>
          <cell r="L1397" t="str">
            <v>RODRIGO</v>
          </cell>
          <cell r="M1397" t="str">
            <v>RAQUEL BARBOSA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  <cell r="H1398" t="str">
            <v>DISTRIBUIÇÃO</v>
          </cell>
          <cell r="I1398" t="str">
            <v>FOOD SERVICE</v>
          </cell>
          <cell r="J1398" t="str">
            <v>WH FOOD SERVICE CE</v>
          </cell>
          <cell r="K1398" t="str">
            <v>ITAMBÉ</v>
          </cell>
          <cell r="L1398" t="str">
            <v>RODRIGO</v>
          </cell>
          <cell r="M1398" t="str">
            <v>MARIA LOURDES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  <cell r="H1399" t="str">
            <v>DISTRIBUIÇÃO</v>
          </cell>
          <cell r="I1399" t="str">
            <v>FOOD SERVICE</v>
          </cell>
          <cell r="J1399" t="str">
            <v>FLAC 7</v>
          </cell>
          <cell r="K1399" t="str">
            <v>LACTALIS</v>
          </cell>
          <cell r="L1399" t="str">
            <v>RODRIGO</v>
          </cell>
          <cell r="M1399" t="str">
            <v>RAQUEL BARBOSA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  <cell r="H1400" t="str">
            <v>DISTRIBUIÇÃO</v>
          </cell>
          <cell r="I1400" t="str">
            <v>FOOD SERVICE</v>
          </cell>
          <cell r="J1400" t="str">
            <v>FLAC 5</v>
          </cell>
          <cell r="K1400" t="str">
            <v>LACTALIS</v>
          </cell>
          <cell r="L1400" t="str">
            <v>RODRIGO</v>
          </cell>
          <cell r="M1400" t="str">
            <v>RAQUEL BARBOSA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  <cell r="H1401" t="str">
            <v>DISTRIBUIÇÃO</v>
          </cell>
          <cell r="I1401" t="str">
            <v>FOOD SERVICE</v>
          </cell>
          <cell r="J1401" t="str">
            <v>CLAUDIO JORGE/LUIZ</v>
          </cell>
          <cell r="K1401" t="str">
            <v>ITAMBÉ</v>
          </cell>
          <cell r="L1401" t="str">
            <v>RODRIGO</v>
          </cell>
          <cell r="M1401" t="str">
            <v>MARIA LOURDES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  <cell r="H1402" t="str">
            <v>DISTRIBUIÇÃO</v>
          </cell>
          <cell r="I1402" t="str">
            <v>FOOD SERVICE</v>
          </cell>
          <cell r="J1402" t="str">
            <v>TC REPRESENTAÇÕES</v>
          </cell>
          <cell r="K1402" t="str">
            <v>ITAMBÉ</v>
          </cell>
          <cell r="L1402" t="str">
            <v>RODRIGO</v>
          </cell>
          <cell r="M1402" t="str">
            <v>MARCO AURELIO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  <cell r="H1403" t="str">
            <v>DISTRIBUIÇÃO</v>
          </cell>
          <cell r="I1403" t="str">
            <v>FOOD SERVICE</v>
          </cell>
          <cell r="J1403" t="str">
            <v>FLAC 3</v>
          </cell>
          <cell r="K1403" t="str">
            <v>LACTALIS</v>
          </cell>
          <cell r="L1403" t="str">
            <v>RODRIGO</v>
          </cell>
          <cell r="M1403" t="str">
            <v>RAQUEL BARBOSA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  <cell r="H1404" t="str">
            <v>INGREDIENTS</v>
          </cell>
          <cell r="I1404" t="str">
            <v>INGREDIENTS</v>
          </cell>
          <cell r="J1404" t="str">
            <v>MARCELO RODRIGUES</v>
          </cell>
          <cell r="K1404" t="str">
            <v>LACTALIS</v>
          </cell>
          <cell r="L1404" t="str">
            <v>MAURICIO</v>
          </cell>
          <cell r="M1404" t="str">
            <v>MARCELO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  <cell r="H1405" t="str">
            <v>INGREDIENTS</v>
          </cell>
          <cell r="I1405" t="str">
            <v>INGREDIENTS</v>
          </cell>
          <cell r="J1405" t="str">
            <v>MARCELO RODRIGUES</v>
          </cell>
          <cell r="K1405" t="str">
            <v>ITAMBÉ</v>
          </cell>
          <cell r="L1405" t="str">
            <v>MAURICIO</v>
          </cell>
          <cell r="M1405" t="str">
            <v>MARCELO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  <cell r="H1406" t="str">
            <v>OUTROS</v>
          </cell>
          <cell r="I1406" t="str">
            <v>OUTROS</v>
          </cell>
          <cell r="J1406" t="str">
            <v>ITAMBE - EXPORTACAO</v>
          </cell>
          <cell r="K1406" t="str">
            <v>OUTROS</v>
          </cell>
          <cell r="L1406" t="str">
            <v>OUTROS</v>
          </cell>
          <cell r="M1406" t="str">
            <v>EXPORTAÇÃO</v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  <cell r="H1407" t="str">
            <v>DISTRIBUIÇÃO</v>
          </cell>
          <cell r="I1407" t="str">
            <v>FOOD SERVICE</v>
          </cell>
          <cell r="J1407" t="str">
            <v>FLAC 6</v>
          </cell>
          <cell r="K1407" t="str">
            <v>LACTALIS</v>
          </cell>
          <cell r="L1407" t="str">
            <v>RODRIGO</v>
          </cell>
          <cell r="M1407" t="str">
            <v>RAQUEL BARBOSA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  <cell r="H1408" t="str">
            <v>INGREDIENTS</v>
          </cell>
          <cell r="I1408" t="str">
            <v>INGREDIENTS</v>
          </cell>
          <cell r="J1408" t="str">
            <v>TATIANA NITTA</v>
          </cell>
          <cell r="K1408" t="str">
            <v>ITAMBÉ</v>
          </cell>
          <cell r="L1408" t="str">
            <v>MAURICIO</v>
          </cell>
          <cell r="M1408" t="str">
            <v>TATIANA NITTA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  <cell r="H1409" t="str">
            <v>INGREDIENTS</v>
          </cell>
          <cell r="I1409" t="str">
            <v>INGREDIENTS</v>
          </cell>
          <cell r="J1409" t="str">
            <v>TATIANA NITTA</v>
          </cell>
          <cell r="K1409" t="str">
            <v>ITAMBÉ</v>
          </cell>
          <cell r="L1409" t="str">
            <v>MAURICIO</v>
          </cell>
          <cell r="M1409" t="str">
            <v>TATIANA NITTA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  <cell r="H1410" t="str">
            <v>DISTRIBUIÇÃO</v>
          </cell>
          <cell r="I1410" t="str">
            <v>FOOD SERVICE</v>
          </cell>
          <cell r="J1410" t="str">
            <v>CLAUDIO JORGE</v>
          </cell>
          <cell r="K1410" t="str">
            <v>ITAMBÉ</v>
          </cell>
          <cell r="L1410" t="str">
            <v>RODRIGO</v>
          </cell>
          <cell r="M1410" t="str">
            <v>MARCO AURELIO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  <cell r="H1411" t="str">
            <v>DISTRIBUIÇÃO</v>
          </cell>
          <cell r="I1411" t="str">
            <v>FOOD SERVICE</v>
          </cell>
          <cell r="J1411" t="str">
            <v>DIGMA REPR LTDA</v>
          </cell>
          <cell r="K1411" t="str">
            <v>ITAMBÉ</v>
          </cell>
          <cell r="L1411" t="str">
            <v>RODRIGO</v>
          </cell>
          <cell r="M1411" t="str">
            <v>MARIA LOURDES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  <cell r="H1412" t="str">
            <v>DISTRIBUIÇÃO</v>
          </cell>
          <cell r="I1412" t="str">
            <v>FOOD SERVICE</v>
          </cell>
          <cell r="J1412" t="str">
            <v>FLAC 4</v>
          </cell>
          <cell r="K1412" t="str">
            <v>LACTALIS</v>
          </cell>
          <cell r="L1412" t="str">
            <v>RODRIGO</v>
          </cell>
          <cell r="M1412" t="str">
            <v>RAQUEL BARBOSA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  <cell r="H1413" t="str">
            <v>DISTRIBUIÇÃO</v>
          </cell>
          <cell r="I1413" t="str">
            <v>FOOD SERVICE</v>
          </cell>
          <cell r="J1413" t="str">
            <v>FLAC 6</v>
          </cell>
          <cell r="K1413" t="str">
            <v>LACTALIS</v>
          </cell>
          <cell r="L1413" t="str">
            <v>RODRIGO</v>
          </cell>
          <cell r="M1413" t="str">
            <v>RAQUEL BARBOSA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  <cell r="H1414" t="str">
            <v>INGREDIENTS</v>
          </cell>
          <cell r="I1414" t="str">
            <v>INGREDIENTS</v>
          </cell>
          <cell r="J1414" t="str">
            <v>TATIANA NITTA</v>
          </cell>
          <cell r="K1414" t="str">
            <v>ITAMBÉ</v>
          </cell>
          <cell r="L1414" t="str">
            <v>MAURICIO</v>
          </cell>
          <cell r="M1414" t="str">
            <v>TATIANA NITTA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  <cell r="H1415" t="str">
            <v>DISTRIBUIÇÃO</v>
          </cell>
          <cell r="I1415" t="str">
            <v>FOOD SERVICE</v>
          </cell>
          <cell r="J1415" t="str">
            <v>MARCELO DUARTE</v>
          </cell>
          <cell r="K1415" t="str">
            <v>ITAMBÉ</v>
          </cell>
          <cell r="L1415" t="str">
            <v>RODRIGO</v>
          </cell>
          <cell r="M1415" t="str">
            <v>JESSICA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  <cell r="H1416" t="str">
            <v>DISTRIBUIÇÃO</v>
          </cell>
          <cell r="I1416" t="str">
            <v>FOOD SERVICE</v>
          </cell>
          <cell r="J1416" t="str">
            <v>MARCELO DUARTE</v>
          </cell>
          <cell r="K1416" t="str">
            <v>ITAMBÉ</v>
          </cell>
          <cell r="L1416" t="str">
            <v>RODRIGO</v>
          </cell>
          <cell r="M1416" t="str">
            <v>JESSICA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  <cell r="H1417" t="str">
            <v>DISTRIBUIÇÃO</v>
          </cell>
          <cell r="I1417" t="str">
            <v>FOOD SERVICE</v>
          </cell>
          <cell r="J1417" t="str">
            <v>FLAC 7</v>
          </cell>
          <cell r="K1417" t="str">
            <v>LACTALIS</v>
          </cell>
          <cell r="L1417" t="str">
            <v>RODRIGO</v>
          </cell>
          <cell r="M1417" t="str">
            <v>RAQUEL BARBOSA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  <cell r="H1418" t="str">
            <v>DISTRIBUIÇÃO</v>
          </cell>
          <cell r="I1418" t="str">
            <v>FOOD SERVICE</v>
          </cell>
          <cell r="J1418" t="str">
            <v>MARCELO SILVA</v>
          </cell>
          <cell r="K1418" t="str">
            <v>ITAMBÉ</v>
          </cell>
          <cell r="L1418" t="str">
            <v>RODRIGO</v>
          </cell>
          <cell r="M1418" t="str">
            <v>CELIO MARTINS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  <cell r="H1419" t="str">
            <v>DISTRIBUIÇÃO</v>
          </cell>
          <cell r="I1419" t="str">
            <v>FOOD SERVICE</v>
          </cell>
          <cell r="J1419" t="str">
            <v>MARCELO SILVA</v>
          </cell>
          <cell r="K1419" t="str">
            <v>ITAMBÉ</v>
          </cell>
          <cell r="L1419" t="str">
            <v>RODRIGO</v>
          </cell>
          <cell r="M1419" t="str">
            <v>CELIO MARTINS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  <cell r="H1420" t="str">
            <v>DISTRIBUIÇÃO</v>
          </cell>
          <cell r="I1420" t="str">
            <v>FOOD SERVICE</v>
          </cell>
          <cell r="J1420" t="str">
            <v>JULIANA CORDEIRO</v>
          </cell>
          <cell r="K1420" t="str">
            <v>ITAMBÉ</v>
          </cell>
          <cell r="L1420" t="str">
            <v>RODRIGO</v>
          </cell>
          <cell r="M1420" t="str">
            <v>JESSICA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  <cell r="H1421" t="str">
            <v>DISTRIBUIÇÃO</v>
          </cell>
          <cell r="I1421" t="str">
            <v>FOOD SERVICE</v>
          </cell>
          <cell r="J1421" t="str">
            <v>MARCELO DUARTE</v>
          </cell>
          <cell r="K1421" t="str">
            <v>ITAMBÉ</v>
          </cell>
          <cell r="L1421" t="str">
            <v>RODRIGO</v>
          </cell>
          <cell r="M1421" t="str">
            <v>JESSICA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  <cell r="H1422" t="str">
            <v>INGREDIENTS</v>
          </cell>
          <cell r="I1422" t="str">
            <v>INGREDIENTS</v>
          </cell>
          <cell r="J1422" t="str">
            <v>TATIANA NITTA</v>
          </cell>
          <cell r="K1422" t="str">
            <v>ITAMBÉ</v>
          </cell>
          <cell r="L1422" t="str">
            <v>MAURICIO</v>
          </cell>
          <cell r="M1422" t="str">
            <v>TATIANA NITTA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  <cell r="H1423" t="str">
            <v>DISTRIBUIÇÃO</v>
          </cell>
          <cell r="I1423" t="str">
            <v>FOOD SERVICE</v>
          </cell>
          <cell r="J1423" t="str">
            <v>FLAC 6</v>
          </cell>
          <cell r="K1423" t="str">
            <v>LACTALIS</v>
          </cell>
          <cell r="L1423" t="str">
            <v>RODRIGO</v>
          </cell>
          <cell r="M1423" t="str">
            <v>RAQUEL BARBOSA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  <cell r="H1424" t="str">
            <v>INGREDIENTS</v>
          </cell>
          <cell r="I1424" t="str">
            <v>INGREDIENTS</v>
          </cell>
          <cell r="J1424" t="str">
            <v>MARCELO RODRIGUES</v>
          </cell>
          <cell r="K1424" t="str">
            <v>LACTALIS</v>
          </cell>
          <cell r="L1424" t="str">
            <v>MAURICIO</v>
          </cell>
          <cell r="M1424" t="str">
            <v>MARCELO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  <cell r="H1425" t="str">
            <v>DISTRIBUIÇÃO</v>
          </cell>
          <cell r="I1425" t="str">
            <v>FOOD SERVICE</v>
          </cell>
          <cell r="J1425" t="str">
            <v>FLAC 6</v>
          </cell>
          <cell r="K1425" t="str">
            <v>LACTALIS</v>
          </cell>
          <cell r="L1425" t="str">
            <v>RODRIGO</v>
          </cell>
          <cell r="M1425" t="str">
            <v>RAQUEL BARBOSA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  <cell r="H1426" t="str">
            <v>DISTRIBUIÇÃO</v>
          </cell>
          <cell r="I1426" t="str">
            <v>FOOD SERVICE</v>
          </cell>
          <cell r="J1426" t="str">
            <v>CLAUDIO JORGE/LUIZ</v>
          </cell>
          <cell r="K1426" t="str">
            <v>ITAMBÉ</v>
          </cell>
          <cell r="L1426" t="str">
            <v>RODRIGO</v>
          </cell>
          <cell r="M1426" t="str">
            <v>MARIA LOURDES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  <cell r="H1427" t="str">
            <v>DISTRIBUIÇÃO</v>
          </cell>
          <cell r="I1427" t="str">
            <v>FOOD SERVICE</v>
          </cell>
          <cell r="J1427" t="str">
            <v>FLAC 5</v>
          </cell>
          <cell r="K1427" t="str">
            <v>LACTALIS</v>
          </cell>
          <cell r="L1427" t="str">
            <v>RODRIGO</v>
          </cell>
          <cell r="M1427" t="str">
            <v>RAQUEL BARBOSA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  <cell r="H1428" t="str">
            <v>DISTRIBUIÇÃO</v>
          </cell>
          <cell r="I1428" t="str">
            <v>FOOD SERVICE</v>
          </cell>
          <cell r="J1428" t="str">
            <v>FLAC 2</v>
          </cell>
          <cell r="K1428" t="str">
            <v>LACTALIS</v>
          </cell>
          <cell r="L1428" t="str">
            <v>RODRIGO</v>
          </cell>
          <cell r="M1428" t="str">
            <v>RAQUEL BARBOSA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  <cell r="H1429" t="str">
            <v>INGREDIENTS</v>
          </cell>
          <cell r="I1429" t="str">
            <v>INGREDIENTS</v>
          </cell>
          <cell r="J1429" t="str">
            <v>MARCELO RODRIGUES</v>
          </cell>
          <cell r="K1429" t="str">
            <v>LACTALIS</v>
          </cell>
          <cell r="L1429" t="str">
            <v>MAURICIO</v>
          </cell>
          <cell r="M1429" t="str">
            <v>MARCELO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  <cell r="H1430" t="str">
            <v>QSR</v>
          </cell>
          <cell r="I1430" t="str">
            <v>FOOD SERVICE</v>
          </cell>
          <cell r="J1430" t="str">
            <v>NUTRI</v>
          </cell>
          <cell r="K1430" t="str">
            <v>LACTALIS</v>
          </cell>
          <cell r="L1430" t="str">
            <v>PEDRO</v>
          </cell>
          <cell r="M1430" t="str">
            <v>VAGO QSR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  <cell r="H1431" t="str">
            <v>DISTRIBUIÇÃO</v>
          </cell>
          <cell r="I1431" t="str">
            <v>FOOD SERVICE</v>
          </cell>
          <cell r="J1431" t="str">
            <v>FLAC 3</v>
          </cell>
          <cell r="K1431" t="str">
            <v>LACTALIS</v>
          </cell>
          <cell r="L1431" t="str">
            <v>RODRIGO</v>
          </cell>
          <cell r="M1431" t="str">
            <v>RAQUEL BARBOSA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  <cell r="H1432" t="str">
            <v>DISTRIBUIÇÃO</v>
          </cell>
          <cell r="I1432" t="str">
            <v>FOOD SERVICE</v>
          </cell>
          <cell r="J1432" t="str">
            <v>FLAC 7</v>
          </cell>
          <cell r="K1432" t="str">
            <v>LACTALIS</v>
          </cell>
          <cell r="L1432" t="str">
            <v>RODRIGO</v>
          </cell>
          <cell r="M1432" t="str">
            <v>RAQUEL BARBOSA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  <cell r="H1433" t="str">
            <v>DISTRIBUIÇÃO</v>
          </cell>
          <cell r="I1433" t="str">
            <v>FOOD SERVICE</v>
          </cell>
          <cell r="J1433" t="str">
            <v>FLAC 7</v>
          </cell>
          <cell r="K1433" t="str">
            <v>LACTALIS</v>
          </cell>
          <cell r="L1433" t="str">
            <v>RODRIGO</v>
          </cell>
          <cell r="M1433" t="str">
            <v>RAQUEL BARBOSA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  <cell r="H1434" t="str">
            <v>DISTRIBUIÇÃO</v>
          </cell>
          <cell r="I1434" t="str">
            <v>FOOD SERVICE</v>
          </cell>
          <cell r="J1434" t="str">
            <v>FLAC 2</v>
          </cell>
          <cell r="K1434" t="str">
            <v>LACTALIS</v>
          </cell>
          <cell r="L1434" t="str">
            <v>RODRIGO</v>
          </cell>
          <cell r="M1434" t="str">
            <v>RAQUEL BARBOSA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  <cell r="H1435" t="str">
            <v>DISTRIBUIÇÃO</v>
          </cell>
          <cell r="I1435" t="str">
            <v>FOOD SERVICE</v>
          </cell>
          <cell r="J1435" t="str">
            <v>FLAC 6</v>
          </cell>
          <cell r="K1435" t="str">
            <v>LACTALIS</v>
          </cell>
          <cell r="L1435" t="str">
            <v>RODRIGO</v>
          </cell>
          <cell r="M1435" t="str">
            <v>RAQUEL BARBOSA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  <cell r="H1436" t="str">
            <v>DISTRIBUIÇÃO</v>
          </cell>
          <cell r="I1436" t="str">
            <v>FOOD SERVICE</v>
          </cell>
          <cell r="J1436" t="str">
            <v>MARCELO DUARTE</v>
          </cell>
          <cell r="K1436" t="str">
            <v>ITAMBÉ</v>
          </cell>
          <cell r="L1436" t="str">
            <v>RODRIGO</v>
          </cell>
          <cell r="M1436" t="str">
            <v>JESSICA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  <cell r="H1437" t="str">
            <v>INGREDIENTS</v>
          </cell>
          <cell r="I1437" t="str">
            <v>INGREDIENTS</v>
          </cell>
          <cell r="J1437" t="str">
            <v>DUAS RODAS</v>
          </cell>
          <cell r="K1437" t="str">
            <v>ITAMBÉ</v>
          </cell>
          <cell r="L1437" t="str">
            <v>MAURICIO</v>
          </cell>
          <cell r="M1437" t="str">
            <v>MARCELO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  <cell r="H1438" t="str">
            <v>INGREDIENTS</v>
          </cell>
          <cell r="I1438" t="str">
            <v>INGREDIENTS</v>
          </cell>
          <cell r="J1438" t="str">
            <v>JOEL ELEOTÉRIO</v>
          </cell>
          <cell r="K1438" t="str">
            <v>ITAMBÉ</v>
          </cell>
          <cell r="L1438" t="str">
            <v>MAURICIO</v>
          </cell>
          <cell r="M1438" t="str">
            <v>JOEL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  <cell r="H1439" t="str">
            <v>DISTRIBUIÇÃO</v>
          </cell>
          <cell r="I1439" t="str">
            <v>FOOD SERVICE</v>
          </cell>
          <cell r="J1439" t="str">
            <v>FLAC 2</v>
          </cell>
          <cell r="K1439" t="str">
            <v>LACTALIS</v>
          </cell>
          <cell r="L1439" t="str">
            <v>RODRIGO</v>
          </cell>
          <cell r="M1439" t="str">
            <v>RAQUEL BARBOSA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  <cell r="H1440" t="str">
            <v>DISTRIBUIÇÃO</v>
          </cell>
          <cell r="I1440" t="str">
            <v>FOOD SERVICE</v>
          </cell>
          <cell r="J1440" t="str">
            <v>CLAUDIO JORGE/LUIZ</v>
          </cell>
          <cell r="K1440" t="str">
            <v>ITAMBÉ</v>
          </cell>
          <cell r="L1440" t="str">
            <v>RODRIGO</v>
          </cell>
          <cell r="M1440" t="str">
            <v>MARIA LOURDES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  <cell r="H1441" t="str">
            <v>DISTRIBUIÇÃO</v>
          </cell>
          <cell r="I1441" t="str">
            <v>FOOD SERVICE</v>
          </cell>
          <cell r="J1441" t="str">
            <v>GUILHERME NASCIMENTO</v>
          </cell>
          <cell r="K1441" t="str">
            <v>ITAMBÉ</v>
          </cell>
          <cell r="L1441" t="str">
            <v>RODRIGO</v>
          </cell>
          <cell r="M1441" t="str">
            <v>ALEXANDRO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  <cell r="H1442" t="str">
            <v>INGREDIENTS</v>
          </cell>
          <cell r="I1442" t="str">
            <v>INGREDIENTS</v>
          </cell>
          <cell r="J1442" t="str">
            <v>MARCELO RODRIGUES</v>
          </cell>
          <cell r="K1442" t="str">
            <v>LACTALIS</v>
          </cell>
          <cell r="L1442" t="str">
            <v>MAURICIO</v>
          </cell>
          <cell r="M1442" t="str">
            <v>MARCELO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  <cell r="H1443" t="str">
            <v>DISTRIBUIÇÃO</v>
          </cell>
          <cell r="I1443" t="str">
            <v>FOOD SERVICE</v>
          </cell>
          <cell r="J1443" t="str">
            <v>FLAC 3</v>
          </cell>
          <cell r="K1443" t="str">
            <v>LACTALIS</v>
          </cell>
          <cell r="L1443" t="str">
            <v>RODRIGO</v>
          </cell>
          <cell r="M1443" t="str">
            <v>RAQUEL BARBOSA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  <cell r="H1444" t="str">
            <v>INGREDIENTS</v>
          </cell>
          <cell r="I1444" t="str">
            <v>INGREDIENTS</v>
          </cell>
          <cell r="J1444" t="str">
            <v>MARCELO RODRIGUES</v>
          </cell>
          <cell r="K1444" t="str">
            <v>LACTALIS</v>
          </cell>
          <cell r="L1444" t="str">
            <v>MAURICIO</v>
          </cell>
          <cell r="M1444" t="str">
            <v>MARCELO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  <cell r="H1445" t="str">
            <v>DISTRIBUIÇÃO</v>
          </cell>
          <cell r="I1445" t="str">
            <v>FOOD SERVICE</v>
          </cell>
          <cell r="J1445" t="str">
            <v>ANGELICA BATISTELA</v>
          </cell>
          <cell r="K1445" t="str">
            <v>ITAMBÉ</v>
          </cell>
          <cell r="L1445" t="str">
            <v>RODRIGO</v>
          </cell>
          <cell r="M1445" t="str">
            <v>ANGELICA BATISTELA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  <cell r="H1446" t="str">
            <v>DISTRIBUIÇÃO</v>
          </cell>
          <cell r="I1446" t="str">
            <v>FOOD SERVICE</v>
          </cell>
          <cell r="J1446" t="str">
            <v>FLAC 2</v>
          </cell>
          <cell r="K1446" t="str">
            <v>LACTALIS</v>
          </cell>
          <cell r="L1446" t="str">
            <v>RODRIGO</v>
          </cell>
          <cell r="M1446" t="str">
            <v>RAQUEL BARBOSA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  <cell r="H1447" t="str">
            <v>DISTRIBUIÇÃO</v>
          </cell>
          <cell r="I1447" t="str">
            <v>FOOD SERVICE</v>
          </cell>
          <cell r="J1447" t="str">
            <v>SP ITB FS FLAC REP.E COMERCIO</v>
          </cell>
          <cell r="K1447" t="str">
            <v>LACTALIS</v>
          </cell>
          <cell r="L1447" t="str">
            <v>RODRIGO</v>
          </cell>
          <cell r="M1447" t="str">
            <v>RAQUEL BARBOSA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  <cell r="H1448" t="str">
            <v>DISTRIBUIÇÃO</v>
          </cell>
          <cell r="I1448" t="str">
            <v>FOOD SERVICE</v>
          </cell>
          <cell r="J1448" t="str">
            <v>SP ITB FS FLAC REP.E COMERCIO</v>
          </cell>
          <cell r="K1448" t="str">
            <v>ITAMBÉ</v>
          </cell>
          <cell r="L1448" t="str">
            <v>RODRIGO</v>
          </cell>
          <cell r="M1448" t="str">
            <v>RAQUEL BARBOSA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  <cell r="H1449" t="str">
            <v>DISTRIBUIÇÃO</v>
          </cell>
          <cell r="I1449" t="str">
            <v>FOOD SERVICE</v>
          </cell>
          <cell r="J1449" t="str">
            <v>MARCELO DUARTE</v>
          </cell>
          <cell r="K1449" t="str">
            <v>ITAMBÉ</v>
          </cell>
          <cell r="L1449" t="str">
            <v>RODRIGO</v>
          </cell>
          <cell r="M1449" t="str">
            <v>JESSICA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  <cell r="H1450" t="str">
            <v>OUTROS</v>
          </cell>
          <cell r="I1450" t="str">
            <v>OUTROS</v>
          </cell>
          <cell r="J1450" t="str">
            <v>ITAMBE - EXPORTACAO</v>
          </cell>
          <cell r="K1450" t="str">
            <v>OUTROS</v>
          </cell>
          <cell r="L1450" t="str">
            <v>OUTROS</v>
          </cell>
          <cell r="M1450" t="str">
            <v>EXPORTAÇÃO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  <cell r="H1451" t="str">
            <v>INGREDIENTS</v>
          </cell>
          <cell r="I1451" t="str">
            <v>INGREDIENTS</v>
          </cell>
          <cell r="J1451" t="str">
            <v>DUAS RODAS</v>
          </cell>
          <cell r="K1451" t="str">
            <v>ITAMBÉ</v>
          </cell>
          <cell r="L1451" t="str">
            <v>MAURICIO</v>
          </cell>
          <cell r="M1451" t="str">
            <v>MARCELO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  <cell r="H1452" t="str">
            <v>DISTRIBUIÇÃO</v>
          </cell>
          <cell r="I1452" t="str">
            <v>FOOD SERVICE</v>
          </cell>
          <cell r="J1452" t="str">
            <v>FLAC 2</v>
          </cell>
          <cell r="K1452" t="str">
            <v>LACTALIS</v>
          </cell>
          <cell r="L1452" t="str">
            <v>RODRIGO</v>
          </cell>
          <cell r="M1452" t="str">
            <v>RAQUEL BARBOSA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  <cell r="H1453" t="str">
            <v>DISTRIBUIÇÃO</v>
          </cell>
          <cell r="I1453" t="str">
            <v>FOOD SERVICE</v>
          </cell>
          <cell r="J1453" t="str">
            <v>FLAC 3</v>
          </cell>
          <cell r="K1453" t="str">
            <v>LACTALIS</v>
          </cell>
          <cell r="L1453" t="str">
            <v>RODRIGO</v>
          </cell>
          <cell r="M1453" t="str">
            <v>RAQUEL BARBOSA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  <cell r="H1454" t="str">
            <v>DISTRIBUIÇÃO</v>
          </cell>
          <cell r="I1454" t="str">
            <v>FOOD SERVICE</v>
          </cell>
          <cell r="J1454" t="str">
            <v>FLAC 2</v>
          </cell>
          <cell r="K1454" t="str">
            <v>LACTALIS</v>
          </cell>
          <cell r="L1454" t="str">
            <v>RODRIGO</v>
          </cell>
          <cell r="M1454" t="str">
            <v>RAQUEL BARBOSA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  <cell r="H1455" t="str">
            <v>DISTRIBUIÇÃO</v>
          </cell>
          <cell r="I1455" t="str">
            <v>FOOD SERVICE</v>
          </cell>
          <cell r="J1455" t="str">
            <v>FLAC 6</v>
          </cell>
          <cell r="K1455" t="str">
            <v>LACTALIS</v>
          </cell>
          <cell r="L1455" t="str">
            <v>RODRIGO</v>
          </cell>
          <cell r="M1455" t="str">
            <v>RAQUEL BARBOSA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  <cell r="H1456" t="str">
            <v>DISTRIBUIÇÃO</v>
          </cell>
          <cell r="I1456" t="str">
            <v>FOOD SERVICE</v>
          </cell>
          <cell r="J1456" t="str">
            <v>FLAC 1</v>
          </cell>
          <cell r="K1456" t="str">
            <v>LACTALIS</v>
          </cell>
          <cell r="L1456" t="str">
            <v>RODRIGO</v>
          </cell>
          <cell r="M1456" t="str">
            <v>RAQUEL BARBOSA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  <cell r="H1457" t="str">
            <v>DISTRIBUIÇÃO</v>
          </cell>
          <cell r="I1457" t="str">
            <v>FOOD SERVICE</v>
          </cell>
          <cell r="J1457" t="str">
            <v>FLAC 5</v>
          </cell>
          <cell r="K1457" t="str">
            <v>LACTALIS</v>
          </cell>
          <cell r="L1457" t="str">
            <v>RODRIGO</v>
          </cell>
          <cell r="M1457" t="str">
            <v>RAQUEL BARBOSA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  <cell r="H1458" t="str">
            <v>DISTRIBUIÇÃO</v>
          </cell>
          <cell r="I1458" t="str">
            <v>FOOD SERVICE</v>
          </cell>
          <cell r="J1458" t="str">
            <v>FLAC 6</v>
          </cell>
          <cell r="K1458" t="str">
            <v>LACTALIS</v>
          </cell>
          <cell r="L1458" t="str">
            <v>RODRIGO</v>
          </cell>
          <cell r="M1458" t="str">
            <v>RAQUEL BARBOSA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  <cell r="H1459" t="str">
            <v>DISTRIBUIÇÃO</v>
          </cell>
          <cell r="I1459" t="str">
            <v>FOOD SERVICE</v>
          </cell>
          <cell r="J1459" t="str">
            <v>FLAC 4</v>
          </cell>
          <cell r="K1459" t="str">
            <v>LACTALIS</v>
          </cell>
          <cell r="L1459" t="str">
            <v>RODRIGO</v>
          </cell>
          <cell r="M1459" t="str">
            <v>RAQUEL BARBOSA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  <cell r="H1460" t="str">
            <v>INGREDIENTS</v>
          </cell>
          <cell r="I1460" t="str">
            <v>INGREDIENTS</v>
          </cell>
          <cell r="J1460" t="str">
            <v>JOEL ELEOTÉRIO</v>
          </cell>
          <cell r="K1460" t="str">
            <v>LACTALIS</v>
          </cell>
          <cell r="L1460" t="str">
            <v>MAURICIO</v>
          </cell>
          <cell r="M1460" t="str">
            <v>JOEL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  <cell r="H1461" t="str">
            <v>INGREDIENTS</v>
          </cell>
          <cell r="I1461" t="str">
            <v>INGREDIENTS</v>
          </cell>
          <cell r="J1461" t="str">
            <v>MARCELO RODRIGUES</v>
          </cell>
          <cell r="K1461" t="str">
            <v>LACTALIS</v>
          </cell>
          <cell r="L1461" t="str">
            <v>MAURICIO</v>
          </cell>
          <cell r="M1461" t="str">
            <v>MARCELO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  <cell r="H1462" t="str">
            <v>INGREDIENTS</v>
          </cell>
          <cell r="I1462" t="str">
            <v>INGREDIENTS</v>
          </cell>
          <cell r="J1462" t="str">
            <v>DUAS RODAS</v>
          </cell>
          <cell r="K1462" t="str">
            <v>ITAMBÉ</v>
          </cell>
          <cell r="L1462" t="str">
            <v>MAURICIO</v>
          </cell>
          <cell r="M1462" t="str">
            <v>MARCELO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  <cell r="H1463" t="str">
            <v>DISTRIBUIÇÃO</v>
          </cell>
          <cell r="I1463" t="str">
            <v>FOOD SERVICE</v>
          </cell>
          <cell r="J1463" t="str">
            <v>FLAC 2</v>
          </cell>
          <cell r="K1463" t="str">
            <v>LACTALIS</v>
          </cell>
          <cell r="L1463" t="str">
            <v>RODRIGO</v>
          </cell>
          <cell r="M1463" t="str">
            <v>RAQUEL BARBOSA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  <cell r="H1464" t="str">
            <v>INGREDIENTS</v>
          </cell>
          <cell r="I1464" t="str">
            <v>INGREDIENTS</v>
          </cell>
          <cell r="J1464" t="str">
            <v>JOEL ELEOTÉRIO</v>
          </cell>
          <cell r="K1464" t="str">
            <v>LACTALIS</v>
          </cell>
          <cell r="L1464" t="str">
            <v>MAURICIO</v>
          </cell>
          <cell r="M1464" t="str">
            <v>JOEL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  <cell r="H1465" t="str">
            <v>DISTRIBUIÇÃO</v>
          </cell>
          <cell r="I1465" t="str">
            <v>FOOD SERVICE</v>
          </cell>
          <cell r="J1465" t="str">
            <v>FLAC 2</v>
          </cell>
          <cell r="K1465" t="str">
            <v>LACTALIS</v>
          </cell>
          <cell r="L1465" t="str">
            <v>RODRIGO</v>
          </cell>
          <cell r="M1465" t="str">
            <v>RAQUEL BARBOSA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  <cell r="H1466" t="str">
            <v>INGREDIENTS</v>
          </cell>
          <cell r="I1466" t="str">
            <v>INGREDIENTS</v>
          </cell>
          <cell r="J1466" t="str">
            <v>MARCELO RODRIGUES</v>
          </cell>
          <cell r="K1466" t="str">
            <v>LACTALIS</v>
          </cell>
          <cell r="L1466" t="str">
            <v>MAURICIO</v>
          </cell>
          <cell r="M1466" t="str">
            <v>MARCELO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  <cell r="H1467" t="str">
            <v>INGREDIENTS</v>
          </cell>
          <cell r="I1467" t="str">
            <v>INGREDIENTS</v>
          </cell>
          <cell r="J1467" t="str">
            <v>MARCELO RODRIGUES</v>
          </cell>
          <cell r="K1467" t="str">
            <v>LACTALIS</v>
          </cell>
          <cell r="L1467" t="str">
            <v>MAURICIO</v>
          </cell>
          <cell r="M1467" t="str">
            <v>MARCELO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  <cell r="H1468" t="str">
            <v>DISTRIBUIÇÃO</v>
          </cell>
          <cell r="I1468" t="str">
            <v>FOOD SERVICE</v>
          </cell>
          <cell r="J1468" t="str">
            <v>FLAC 6</v>
          </cell>
          <cell r="K1468" t="str">
            <v>LACTALIS</v>
          </cell>
          <cell r="L1468" t="str">
            <v>RODRIGO</v>
          </cell>
          <cell r="M1468" t="str">
            <v>RAQUEL BARBOSA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  <cell r="H1469" t="str">
            <v>DISTRIBUIÇÃO</v>
          </cell>
          <cell r="I1469" t="str">
            <v>FOOD SERVICE</v>
          </cell>
          <cell r="J1469" t="str">
            <v>FLAC 6</v>
          </cell>
          <cell r="K1469" t="str">
            <v>LACTALIS</v>
          </cell>
          <cell r="L1469" t="str">
            <v>RODRIGO</v>
          </cell>
          <cell r="M1469" t="str">
            <v>RAQUEL BARBOSA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  <cell r="H1470" t="str">
            <v>DISTRIBUIÇÃO</v>
          </cell>
          <cell r="I1470" t="str">
            <v>FOOD SERVICE</v>
          </cell>
          <cell r="J1470" t="str">
            <v>MARCELO DUARTE</v>
          </cell>
          <cell r="K1470" t="str">
            <v>LACTALIS</v>
          </cell>
          <cell r="L1470" t="str">
            <v>RODRIGO</v>
          </cell>
          <cell r="M1470" t="str">
            <v>JESSICA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  <cell r="H1471" t="str">
            <v>DISTRIBUIÇÃO</v>
          </cell>
          <cell r="I1471" t="str">
            <v>FOOD SERVICE</v>
          </cell>
          <cell r="J1471" t="str">
            <v>FLAC 2</v>
          </cell>
          <cell r="K1471" t="str">
            <v>LACTALIS</v>
          </cell>
          <cell r="L1471" t="str">
            <v>RODRIGO</v>
          </cell>
          <cell r="M1471" t="str">
            <v>RAQUEL BARBOSA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  <cell r="H1472" t="str">
            <v>DISTRIBUIÇÃO</v>
          </cell>
          <cell r="I1472" t="str">
            <v>FOOD SERVICE</v>
          </cell>
          <cell r="J1472" t="str">
            <v>FLAC 2</v>
          </cell>
          <cell r="K1472" t="str">
            <v>LACTALIS</v>
          </cell>
          <cell r="L1472" t="str">
            <v>RODRIGO</v>
          </cell>
          <cell r="M1472" t="str">
            <v>RAQUEL BARBOSA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  <cell r="H1473" t="str">
            <v>DISTRIBUIÇÃO</v>
          </cell>
          <cell r="I1473" t="str">
            <v>FOOD SERVICE</v>
          </cell>
          <cell r="J1473" t="str">
            <v>FLAC 2</v>
          </cell>
          <cell r="K1473" t="str">
            <v>LACTALIS</v>
          </cell>
          <cell r="L1473" t="str">
            <v>RODRIGO</v>
          </cell>
          <cell r="M1473" t="str">
            <v>RAQUEL BARBOSA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  <cell r="H1474" t="str">
            <v>DISTRIBUIÇÃO</v>
          </cell>
          <cell r="I1474" t="str">
            <v>FOOD SERVICE</v>
          </cell>
          <cell r="J1474" t="str">
            <v>FLAC 3</v>
          </cell>
          <cell r="K1474" t="str">
            <v>LACTALIS</v>
          </cell>
          <cell r="L1474" t="str">
            <v>RODRIGO</v>
          </cell>
          <cell r="M1474" t="str">
            <v>RAQUEL BARBOSA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  <cell r="H1475" t="str">
            <v>QSR</v>
          </cell>
          <cell r="I1475" t="str">
            <v>FOOD SERVICE</v>
          </cell>
          <cell r="J1475" t="str">
            <v>VAGO QSR</v>
          </cell>
          <cell r="K1475" t="str">
            <v>ITAMBÉ</v>
          </cell>
          <cell r="L1475" t="str">
            <v>PEDRO</v>
          </cell>
          <cell r="M1475" t="str">
            <v>VAGO QSR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  <cell r="H1476" t="str">
            <v>INGREDIENTS</v>
          </cell>
          <cell r="I1476" t="str">
            <v>INGREDIENTS</v>
          </cell>
          <cell r="J1476" t="str">
            <v>JOEL ELEOTÉRIO</v>
          </cell>
          <cell r="K1476" t="str">
            <v>ITAMBÉ</v>
          </cell>
          <cell r="L1476" t="str">
            <v>MAURICIO</v>
          </cell>
          <cell r="M1476" t="str">
            <v>JOEL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  <cell r="H1477" t="str">
            <v>INGREDIENTS</v>
          </cell>
          <cell r="I1477" t="str">
            <v>INGREDIENTS</v>
          </cell>
          <cell r="J1477" t="str">
            <v>DUAS RODAS</v>
          </cell>
          <cell r="K1477" t="str">
            <v>ITAMBÉ</v>
          </cell>
          <cell r="L1477" t="str">
            <v>MAURICIO</v>
          </cell>
          <cell r="M1477" t="str">
            <v>TATIANA NITTA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  <cell r="H1478" t="str">
            <v>DISTRIBUIÇÃO</v>
          </cell>
          <cell r="I1478" t="str">
            <v>FOOD SERVICE</v>
          </cell>
          <cell r="J1478" t="str">
            <v>FLAC 3</v>
          </cell>
          <cell r="K1478" t="str">
            <v>LACTALIS</v>
          </cell>
          <cell r="L1478" t="str">
            <v>RODRIGO</v>
          </cell>
          <cell r="M1478" t="str">
            <v>RAQUEL BARBOSA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  <cell r="H1479" t="str">
            <v>DISTRIBUIÇÃO</v>
          </cell>
          <cell r="I1479" t="str">
            <v>FOOD SERVICE</v>
          </cell>
          <cell r="J1479" t="str">
            <v>ANGELICA BATISTELA</v>
          </cell>
          <cell r="K1479" t="str">
            <v>LACTALIS</v>
          </cell>
          <cell r="L1479" t="str">
            <v>RODRIGO</v>
          </cell>
          <cell r="M1479" t="str">
            <v>ANGELICA BATISTELA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  <cell r="H1480" t="str">
            <v>INGREDIENTS</v>
          </cell>
          <cell r="I1480" t="str">
            <v>INGREDIENTS</v>
          </cell>
          <cell r="J1480" t="str">
            <v>DUAS RODAS</v>
          </cell>
          <cell r="K1480" t="str">
            <v>ITAMBÉ</v>
          </cell>
          <cell r="L1480" t="str">
            <v>MAURICIO</v>
          </cell>
          <cell r="M1480" t="str">
            <v>MARCELO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  <cell r="H1481" t="str">
            <v>DISTRIBUIÇÃO</v>
          </cell>
          <cell r="I1481" t="str">
            <v>FOOD SERVICE</v>
          </cell>
          <cell r="J1481" t="str">
            <v>CLAUDIO JORGE</v>
          </cell>
          <cell r="K1481" t="str">
            <v>LACTALIS</v>
          </cell>
          <cell r="L1481" t="str">
            <v>RODRIGO</v>
          </cell>
          <cell r="M1481" t="str">
            <v>MARIA LOURDES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  <cell r="H1482" t="str">
            <v>DISTRIBUIÇÃO</v>
          </cell>
          <cell r="I1482" t="str">
            <v>FOOD SERVICE</v>
          </cell>
          <cell r="J1482" t="str">
            <v>FLAC 1</v>
          </cell>
          <cell r="K1482" t="str">
            <v>LACTALIS</v>
          </cell>
          <cell r="L1482" t="str">
            <v>RODRIGO</v>
          </cell>
          <cell r="M1482" t="str">
            <v>RAQUEL BARBOSA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  <cell r="H1483" t="str">
            <v>DISTRIBUIÇÃO</v>
          </cell>
          <cell r="I1483" t="str">
            <v>FOOD SERVICE</v>
          </cell>
          <cell r="J1483" t="str">
            <v>FLAC 3</v>
          </cell>
          <cell r="K1483" t="str">
            <v>LACTALIS</v>
          </cell>
          <cell r="L1483" t="str">
            <v>RODRIGO</v>
          </cell>
          <cell r="M1483" t="str">
            <v>RAQUEL BARBOSA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  <cell r="H1484" t="str">
            <v>DISTRIBUIÇÃO</v>
          </cell>
          <cell r="I1484" t="str">
            <v>FOOD SERVICE</v>
          </cell>
          <cell r="J1484" t="str">
            <v>LUCIANA MARTINS</v>
          </cell>
          <cell r="K1484" t="str">
            <v>LACTALIS</v>
          </cell>
          <cell r="L1484" t="str">
            <v>RODRIGO</v>
          </cell>
          <cell r="M1484" t="str">
            <v>JESSICA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  <cell r="H1485" t="str">
            <v>DISTRIBUIÇÃO</v>
          </cell>
          <cell r="I1485" t="str">
            <v>FOOD SERVICE</v>
          </cell>
          <cell r="J1485" t="str">
            <v>FLAC 4</v>
          </cell>
          <cell r="K1485" t="str">
            <v>LACTALIS</v>
          </cell>
          <cell r="L1485" t="str">
            <v>RODRIGO</v>
          </cell>
          <cell r="M1485" t="str">
            <v>RAQUEL BARBOSA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  <cell r="H1486" t="str">
            <v>DISTRIBUIÇÃO</v>
          </cell>
          <cell r="I1486" t="str">
            <v>FOOD SERVICE</v>
          </cell>
          <cell r="J1486" t="str">
            <v>FLAC 2</v>
          </cell>
          <cell r="K1486" t="str">
            <v>LACTALIS</v>
          </cell>
          <cell r="L1486" t="str">
            <v>RODRIGO</v>
          </cell>
          <cell r="M1486" t="str">
            <v>RAQUEL BARBOSA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  <cell r="H1487" t="str">
            <v>DISTRIBUIÇÃO</v>
          </cell>
          <cell r="I1487" t="str">
            <v>FOOD SERVICE</v>
          </cell>
          <cell r="J1487" t="str">
            <v>FLAC 6</v>
          </cell>
          <cell r="K1487" t="str">
            <v>LACTALIS</v>
          </cell>
          <cell r="L1487" t="str">
            <v>RODRIGO</v>
          </cell>
          <cell r="M1487" t="str">
            <v>RAQUEL BARBOSA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  <cell r="H1488" t="str">
            <v>INGREDIENTS</v>
          </cell>
          <cell r="I1488" t="str">
            <v>INGREDIENTS</v>
          </cell>
          <cell r="J1488" t="str">
            <v>DUAS RODAS</v>
          </cell>
          <cell r="K1488" t="str">
            <v>ITAMBÉ</v>
          </cell>
          <cell r="L1488" t="str">
            <v>MAURICIO</v>
          </cell>
          <cell r="M1488" t="str">
            <v>MARCELO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  <cell r="H1489" t="str">
            <v>QSR</v>
          </cell>
          <cell r="I1489" t="str">
            <v>FOOD SERVICE</v>
          </cell>
          <cell r="J1489" t="str">
            <v>ANA MENIQUETE</v>
          </cell>
          <cell r="K1489" t="str">
            <v>LACTALIS</v>
          </cell>
          <cell r="L1489" t="str">
            <v>PEDRO</v>
          </cell>
          <cell r="M1489" t="str">
            <v>ANA MENIQUETE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  <cell r="H1490" t="str">
            <v>QSR</v>
          </cell>
          <cell r="I1490" t="str">
            <v>FOOD SERVICE</v>
          </cell>
          <cell r="J1490" t="str">
            <v>NUTRI</v>
          </cell>
          <cell r="K1490" t="str">
            <v>LACTALIS</v>
          </cell>
          <cell r="L1490" t="str">
            <v>PEDRO</v>
          </cell>
          <cell r="M1490" t="str">
            <v>VAGO QSR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  <cell r="H1491" t="str">
            <v>DISTRIBUIÇÃO</v>
          </cell>
          <cell r="I1491" t="str">
            <v>FOOD SERVICE</v>
          </cell>
          <cell r="J1491" t="str">
            <v>MARCELO DUARTE</v>
          </cell>
          <cell r="K1491" t="str">
            <v>LACTALIS</v>
          </cell>
          <cell r="L1491" t="str">
            <v>RODRIGO</v>
          </cell>
          <cell r="M1491" t="str">
            <v>JESSICA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  <cell r="H1492" t="str">
            <v>DISTRIBUIÇÃO</v>
          </cell>
          <cell r="I1492" t="str">
            <v>FOOD SERVICE</v>
          </cell>
          <cell r="J1492" t="str">
            <v>WH FOOD SERVICE CE</v>
          </cell>
          <cell r="K1492" t="str">
            <v>ITAMBÉ</v>
          </cell>
          <cell r="L1492" t="str">
            <v>RODRIGO</v>
          </cell>
          <cell r="M1492" t="str">
            <v>MARIA LOURDES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  <cell r="H1493" t="str">
            <v>DISTRIBUIÇÃO</v>
          </cell>
          <cell r="I1493" t="str">
            <v>FOOD SERVICE</v>
          </cell>
          <cell r="J1493" t="str">
            <v>JESSICA CARLA</v>
          </cell>
          <cell r="K1493" t="str">
            <v>LACTALIS</v>
          </cell>
          <cell r="L1493" t="str">
            <v>RODRIGO</v>
          </cell>
          <cell r="M1493" t="str">
            <v>JESSICA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  <cell r="H1494" t="str">
            <v>DISTRIBUIÇÃO</v>
          </cell>
          <cell r="I1494" t="str">
            <v>FOOD SERVICE</v>
          </cell>
          <cell r="J1494" t="str">
            <v>LUCIANA MARTINS</v>
          </cell>
          <cell r="K1494" t="str">
            <v>LACTALIS</v>
          </cell>
          <cell r="L1494" t="str">
            <v>RODRIGO</v>
          </cell>
          <cell r="M1494" t="str">
            <v>JESSICA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  <cell r="H1495" t="str">
            <v>QSR</v>
          </cell>
          <cell r="I1495" t="str">
            <v>FOOD SERVICE</v>
          </cell>
          <cell r="J1495" t="str">
            <v>NUTRI</v>
          </cell>
          <cell r="K1495" t="str">
            <v>LACTALIS</v>
          </cell>
          <cell r="L1495" t="str">
            <v>PEDRO</v>
          </cell>
          <cell r="M1495" t="str">
            <v>VAGO QSR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  <cell r="H1496" t="str">
            <v>QSR</v>
          </cell>
          <cell r="I1496" t="str">
            <v>FOOD SERVICE</v>
          </cell>
          <cell r="J1496" t="str">
            <v>NUTRI</v>
          </cell>
          <cell r="K1496" t="str">
            <v>LACTALIS</v>
          </cell>
          <cell r="L1496" t="str">
            <v>PEDRO</v>
          </cell>
          <cell r="M1496" t="str">
            <v>VAGO QSR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  <cell r="H1497" t="str">
            <v>DISTRIBUIÇÃO</v>
          </cell>
          <cell r="I1497" t="str">
            <v>FOOD SERVICE</v>
          </cell>
          <cell r="J1497" t="str">
            <v>LUCIANA MARTINS</v>
          </cell>
          <cell r="K1497" t="str">
            <v>LACTALIS</v>
          </cell>
          <cell r="L1497" t="str">
            <v>RODRIGO</v>
          </cell>
          <cell r="M1497" t="str">
            <v>JESSICA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  <cell r="H1498" t="str">
            <v>DISTRIBUIÇÃO</v>
          </cell>
          <cell r="I1498" t="str">
            <v>FOOD SERVICE</v>
          </cell>
          <cell r="J1498" t="str">
            <v>FLAC 6</v>
          </cell>
          <cell r="K1498" t="str">
            <v>LACTALIS</v>
          </cell>
          <cell r="L1498" t="str">
            <v>RODRIGO</v>
          </cell>
          <cell r="M1498" t="str">
            <v>RAQUEL BARBOSA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  <cell r="H1499" t="str">
            <v>QSR</v>
          </cell>
          <cell r="I1499" t="str">
            <v>FOOD SERVICE</v>
          </cell>
          <cell r="J1499" t="str">
            <v>NUTRI</v>
          </cell>
          <cell r="K1499" t="str">
            <v>LACTALIS</v>
          </cell>
          <cell r="L1499" t="str">
            <v>PEDRO</v>
          </cell>
          <cell r="M1499" t="str">
            <v>VAGO QSR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  <cell r="H1500" t="str">
            <v>DISTRIBUIÇÃO</v>
          </cell>
          <cell r="I1500" t="str">
            <v>FOOD SERVICE</v>
          </cell>
          <cell r="J1500" t="str">
            <v>FLAC 5</v>
          </cell>
          <cell r="K1500" t="str">
            <v>LACTALIS</v>
          </cell>
          <cell r="L1500" t="str">
            <v>RODRIGO</v>
          </cell>
          <cell r="M1500" t="str">
            <v>RAQUEL BARBOSA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  <cell r="H1501" t="str">
            <v>DISTRIBUIÇÃO</v>
          </cell>
          <cell r="I1501" t="str">
            <v>FOOD SERVICE</v>
          </cell>
          <cell r="J1501" t="str">
            <v>ANGELICA BATISTELA</v>
          </cell>
          <cell r="K1501" t="str">
            <v>LACTALIS</v>
          </cell>
          <cell r="L1501" t="str">
            <v>RODRIGO</v>
          </cell>
          <cell r="M1501" t="str">
            <v>ANGELICA BATISTELA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  <cell r="H1502" t="str">
            <v>INGREDIENTS</v>
          </cell>
          <cell r="I1502" t="str">
            <v>INGREDIENTS</v>
          </cell>
          <cell r="J1502" t="str">
            <v>HENRIQUE FERREIRA</v>
          </cell>
          <cell r="K1502" t="str">
            <v>ITAMBÉ</v>
          </cell>
          <cell r="L1502" t="str">
            <v>MAURICIO</v>
          </cell>
          <cell r="M1502" t="str">
            <v>JOEL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  <cell r="H1503" t="str">
            <v>DISTRIBUIÇÃO</v>
          </cell>
          <cell r="I1503" t="str">
            <v>FOOD SERVICE</v>
          </cell>
          <cell r="J1503" t="str">
            <v>FLAC 6</v>
          </cell>
          <cell r="K1503" t="str">
            <v>LACTALIS</v>
          </cell>
          <cell r="L1503" t="str">
            <v>RODRIGO</v>
          </cell>
          <cell r="M1503" t="str">
            <v>RAQUEL BARBOSA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  <cell r="H1504" t="str">
            <v>DISTRIBUIÇÃO</v>
          </cell>
          <cell r="I1504" t="str">
            <v>FOOD SERVICE</v>
          </cell>
          <cell r="J1504" t="str">
            <v>FLAC 4</v>
          </cell>
          <cell r="K1504" t="str">
            <v>LACTALIS</v>
          </cell>
          <cell r="L1504" t="str">
            <v>RODRIGO</v>
          </cell>
          <cell r="M1504" t="str">
            <v>RAQUEL BARBOSA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  <cell r="H1505" t="str">
            <v>DISTRIBUIÇÃO</v>
          </cell>
          <cell r="I1505" t="str">
            <v>FOOD SERVICE</v>
          </cell>
          <cell r="J1505" t="str">
            <v>LUCIANA MARTINS</v>
          </cell>
          <cell r="K1505" t="str">
            <v>LACTALIS</v>
          </cell>
          <cell r="L1505" t="str">
            <v>RODRIGO</v>
          </cell>
          <cell r="M1505" t="str">
            <v>JESSICA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  <cell r="H1506" t="str">
            <v>DISTRIBUIÇÃO</v>
          </cell>
          <cell r="I1506" t="str">
            <v>FOOD SERVICE</v>
          </cell>
          <cell r="J1506" t="str">
            <v>MARCELO DUARTE</v>
          </cell>
          <cell r="K1506" t="str">
            <v>ITAMBÉ</v>
          </cell>
          <cell r="L1506" t="str">
            <v>RODRIGO</v>
          </cell>
          <cell r="M1506" t="str">
            <v>JESSICA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  <cell r="H1507" t="str">
            <v>INGREDIENTS</v>
          </cell>
          <cell r="I1507" t="str">
            <v>INGREDIENTS</v>
          </cell>
          <cell r="J1507" t="str">
            <v>ES ITB FS RADTKE REPRES</v>
          </cell>
          <cell r="K1507" t="str">
            <v>ITAMBÉ</v>
          </cell>
          <cell r="L1507" t="str">
            <v>MAURICIO</v>
          </cell>
          <cell r="M1507" t="str">
            <v>JOEL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  <cell r="H1508" t="str">
            <v>INGREDIENTS</v>
          </cell>
          <cell r="I1508" t="str">
            <v>INGREDIENTS</v>
          </cell>
          <cell r="J1508" t="str">
            <v>TATIANA NITTA</v>
          </cell>
          <cell r="K1508" t="str">
            <v>ITAMBÉ</v>
          </cell>
          <cell r="L1508" t="str">
            <v>MAURICIO</v>
          </cell>
          <cell r="M1508" t="str">
            <v>TATIANA NITTA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  <cell r="H1509" t="str">
            <v>INGREDIENTS</v>
          </cell>
          <cell r="I1509" t="str">
            <v>INGREDIENTS</v>
          </cell>
          <cell r="J1509" t="str">
            <v>JOEL ELEOTÉRIO</v>
          </cell>
          <cell r="K1509" t="str">
            <v>LACTALIS</v>
          </cell>
          <cell r="L1509" t="str">
            <v>MAURICIO</v>
          </cell>
          <cell r="M1509" t="str">
            <v>JOEL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  <cell r="H1510" t="str">
            <v>DISTRIBUIÇÃO</v>
          </cell>
          <cell r="I1510" t="str">
            <v>FOOD SERVICE</v>
          </cell>
          <cell r="J1510" t="str">
            <v>FLAC 6</v>
          </cell>
          <cell r="K1510" t="str">
            <v>LACTALIS</v>
          </cell>
          <cell r="L1510" t="str">
            <v>RODRIGO</v>
          </cell>
          <cell r="M1510" t="str">
            <v>RAQUEL BARBOSA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  <cell r="H1511" t="str">
            <v>DISTRIBUIÇÃO</v>
          </cell>
          <cell r="I1511" t="str">
            <v>FOOD SERVICE</v>
          </cell>
          <cell r="J1511" t="str">
            <v>FLAC 6</v>
          </cell>
          <cell r="K1511" t="str">
            <v>LACTALIS</v>
          </cell>
          <cell r="L1511" t="str">
            <v>RODRIGO</v>
          </cell>
          <cell r="M1511" t="str">
            <v>RAQUEL BARBOSA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  <cell r="H1512" t="str">
            <v>QSR</v>
          </cell>
          <cell r="I1512" t="str">
            <v>FOOD SERVICE</v>
          </cell>
          <cell r="J1512" t="str">
            <v>NUTRI</v>
          </cell>
          <cell r="K1512" t="str">
            <v>ITAMBÉ</v>
          </cell>
          <cell r="L1512" t="str">
            <v>PEDRO</v>
          </cell>
          <cell r="M1512" t="str">
            <v>VAGO QSR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  <cell r="H1513" t="str">
            <v>DISTRIBUIÇÃO</v>
          </cell>
          <cell r="I1513" t="str">
            <v>FOOD SERVICE</v>
          </cell>
          <cell r="J1513" t="str">
            <v>MARCELO DUARTE</v>
          </cell>
          <cell r="K1513" t="str">
            <v>ITAMBÉ</v>
          </cell>
          <cell r="L1513" t="str">
            <v>RODRIGO</v>
          </cell>
          <cell r="M1513" t="str">
            <v>JESSICA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  <cell r="H1514" t="str">
            <v>INGREDIENTS</v>
          </cell>
          <cell r="I1514" t="str">
            <v>INGREDIENTS</v>
          </cell>
          <cell r="J1514" t="str">
            <v>MARCELO RODRIGUES</v>
          </cell>
          <cell r="K1514" t="str">
            <v>LACTALIS</v>
          </cell>
          <cell r="L1514" t="str">
            <v>MAURICIO</v>
          </cell>
          <cell r="M1514" t="str">
            <v>MARCELO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  <cell r="H1515" t="str">
            <v>QSR</v>
          </cell>
          <cell r="I1515" t="str">
            <v>FOOD SERVICE</v>
          </cell>
          <cell r="J1515" t="str">
            <v>NUTRI</v>
          </cell>
          <cell r="K1515" t="str">
            <v>ITAMBÉ</v>
          </cell>
          <cell r="L1515" t="str">
            <v>PEDRO</v>
          </cell>
          <cell r="M1515" t="str">
            <v>VAGO QSR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  <cell r="H1516" t="str">
            <v>INGREDIENTS</v>
          </cell>
          <cell r="I1516" t="str">
            <v>INGREDIENTS</v>
          </cell>
          <cell r="J1516" t="str">
            <v>HENRIQUE FERREIRA</v>
          </cell>
          <cell r="K1516" t="str">
            <v>ITAMBÉ</v>
          </cell>
          <cell r="L1516" t="str">
            <v>MAURICIO</v>
          </cell>
          <cell r="M1516" t="str">
            <v>JOEL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  <cell r="H1517" t="str">
            <v>INGREDIENTS</v>
          </cell>
          <cell r="I1517" t="str">
            <v>INGREDIENTS</v>
          </cell>
          <cell r="J1517" t="str">
            <v>TATIANA NITTA</v>
          </cell>
          <cell r="K1517" t="str">
            <v>ITAMBÉ</v>
          </cell>
          <cell r="L1517" t="str">
            <v>MAURICIO</v>
          </cell>
          <cell r="M1517" t="str">
            <v>TATIANA NITTA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  <cell r="H1518" t="str">
            <v>INGREDIENTS</v>
          </cell>
          <cell r="I1518" t="str">
            <v>INGREDIENTS</v>
          </cell>
          <cell r="J1518" t="str">
            <v>JOEL ELEOTÉRIO</v>
          </cell>
          <cell r="K1518" t="str">
            <v>ITAMBÉ</v>
          </cell>
          <cell r="L1518" t="str">
            <v>MAURICIO</v>
          </cell>
          <cell r="M1518" t="str">
            <v>JOEL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  <cell r="H1519" t="str">
            <v>INGREDIENTS</v>
          </cell>
          <cell r="I1519" t="str">
            <v>INGREDIENTS</v>
          </cell>
          <cell r="J1519" t="str">
            <v>DUAS RODAS</v>
          </cell>
          <cell r="K1519" t="str">
            <v>ITAMBÉ</v>
          </cell>
          <cell r="L1519" t="str">
            <v>MAURICIO</v>
          </cell>
          <cell r="M1519" t="str">
            <v>MARCELO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  <cell r="H1520" t="str">
            <v>INGREDIENTS</v>
          </cell>
          <cell r="I1520" t="str">
            <v>INGREDIENTS</v>
          </cell>
          <cell r="J1520" t="str">
            <v>DUAS RODAS</v>
          </cell>
          <cell r="K1520" t="str">
            <v>ITAMBÉ</v>
          </cell>
          <cell r="L1520" t="str">
            <v>MAURICIO</v>
          </cell>
          <cell r="M1520" t="str">
            <v>MARCELO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  <cell r="H1521" t="str">
            <v>INGREDIENTS</v>
          </cell>
          <cell r="I1521" t="str">
            <v>INGREDIENTS</v>
          </cell>
          <cell r="J1521" t="str">
            <v>JOEL ELEOTÉRIO</v>
          </cell>
          <cell r="K1521" t="str">
            <v>LACTALIS</v>
          </cell>
          <cell r="L1521" t="str">
            <v>MAURICIO</v>
          </cell>
          <cell r="M1521" t="str">
            <v>JOEL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  <cell r="H1522" t="str">
            <v>QSR</v>
          </cell>
          <cell r="I1522" t="str">
            <v>FOOD SERVICE</v>
          </cell>
          <cell r="J1522" t="str">
            <v>ANA MENIQUETE</v>
          </cell>
          <cell r="K1522" t="str">
            <v>LACTALIS</v>
          </cell>
          <cell r="L1522" t="str">
            <v>PEDRO</v>
          </cell>
          <cell r="M1522" t="str">
            <v>ANA MENIQUETE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  <cell r="H1523" t="str">
            <v>DISTRIBUIÇÃO</v>
          </cell>
          <cell r="I1523" t="str">
            <v>FOOD SERVICE</v>
          </cell>
          <cell r="J1523" t="str">
            <v>LUCIANA MARTINS</v>
          </cell>
          <cell r="K1523" t="str">
            <v>ITAMBÉ</v>
          </cell>
          <cell r="L1523" t="str">
            <v>RODRIGO</v>
          </cell>
          <cell r="M1523" t="str">
            <v>JESSICA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  <cell r="H1524" t="str">
            <v>INGREDIENTS</v>
          </cell>
          <cell r="I1524" t="str">
            <v>INGREDIENTS</v>
          </cell>
          <cell r="J1524" t="str">
            <v>DUAS RODAS</v>
          </cell>
          <cell r="K1524" t="str">
            <v>ITAMBÉ</v>
          </cell>
          <cell r="L1524" t="str">
            <v>MAURICIO</v>
          </cell>
          <cell r="M1524" t="str">
            <v>MARCELO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  <cell r="H1525" t="str">
            <v>DISTRIBUIÇÃO</v>
          </cell>
          <cell r="I1525" t="str">
            <v>FOOD SERVICE</v>
          </cell>
          <cell r="J1525" t="str">
            <v>FLAC 7</v>
          </cell>
          <cell r="K1525" t="str">
            <v>LACTALIS</v>
          </cell>
          <cell r="L1525" t="str">
            <v>RODRIGO</v>
          </cell>
          <cell r="M1525" t="str">
            <v>RAQUEL BARBOSA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  <cell r="H1526" t="str">
            <v>INGREDIENTS</v>
          </cell>
          <cell r="I1526" t="str">
            <v>INGREDIENTS</v>
          </cell>
          <cell r="J1526" t="str">
            <v>RJ ITB FS CDR REPRESENTAÇÕES</v>
          </cell>
          <cell r="K1526" t="str">
            <v>ITAMBÉ</v>
          </cell>
          <cell r="L1526" t="str">
            <v>MAURICIO</v>
          </cell>
          <cell r="M1526" t="str">
            <v>TATIANA NITTA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  <cell r="H1527" t="str">
            <v>INGREDIENTS</v>
          </cell>
          <cell r="I1527" t="str">
            <v>INGREDIENTS</v>
          </cell>
          <cell r="J1527" t="str">
            <v>HENRIQUE FERREIRA</v>
          </cell>
          <cell r="K1527" t="str">
            <v>ITAMBÉ</v>
          </cell>
          <cell r="L1527" t="str">
            <v>MAURICIO</v>
          </cell>
          <cell r="M1527" t="str">
            <v>JOEL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  <cell r="H1528" t="str">
            <v>QSR</v>
          </cell>
          <cell r="I1528" t="str">
            <v>FOOD SERVICE</v>
          </cell>
          <cell r="J1528" t="str">
            <v>NUTRI</v>
          </cell>
          <cell r="K1528" t="str">
            <v>LACTALIS</v>
          </cell>
          <cell r="L1528" t="str">
            <v>PEDRO</v>
          </cell>
          <cell r="M1528" t="str">
            <v>VAGO QSR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  <cell r="H1529" t="str">
            <v>DISTRIBUIÇÃO</v>
          </cell>
          <cell r="I1529" t="str">
            <v>FOOD SERVICE</v>
          </cell>
          <cell r="J1529" t="str">
            <v>FLAC 1</v>
          </cell>
          <cell r="K1529" t="str">
            <v>LACTALIS</v>
          </cell>
          <cell r="L1529" t="str">
            <v>RODRIGO</v>
          </cell>
          <cell r="M1529" t="str">
            <v>RAQUEL BARBOSA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  <cell r="H1530" t="str">
            <v>DISTRIBUIÇÃO</v>
          </cell>
          <cell r="I1530" t="str">
            <v>FOOD SERVICE</v>
          </cell>
          <cell r="J1530" t="str">
            <v>ANGELICA BATISTELA</v>
          </cell>
          <cell r="K1530" t="str">
            <v>LACTALIS</v>
          </cell>
          <cell r="L1530" t="str">
            <v>RODRIGO</v>
          </cell>
          <cell r="M1530" t="str">
            <v>ANGELICA BATISTELA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  <cell r="H1531" t="str">
            <v>QSR</v>
          </cell>
          <cell r="I1531" t="str">
            <v>FOOD SERVICE</v>
          </cell>
          <cell r="J1531" t="str">
            <v>NUTRI</v>
          </cell>
          <cell r="K1531" t="str">
            <v>LACTALIS</v>
          </cell>
          <cell r="L1531" t="str">
            <v>PEDRO</v>
          </cell>
          <cell r="M1531" t="str">
            <v>VAGO QSR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  <cell r="H1532" t="str">
            <v>DISTRIBUIÇÃO</v>
          </cell>
          <cell r="I1532" t="str">
            <v>FOOD SERVICE</v>
          </cell>
          <cell r="J1532" t="str">
            <v>MARCELO DUARTE</v>
          </cell>
          <cell r="K1532" t="str">
            <v>ITAMBÉ</v>
          </cell>
          <cell r="L1532" t="str">
            <v>RODRIGO</v>
          </cell>
          <cell r="M1532" t="str">
            <v>JESSICA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  <cell r="H1533" t="str">
            <v>DISTRIBUIÇÃO</v>
          </cell>
          <cell r="I1533" t="str">
            <v>FOOD SERVICE</v>
          </cell>
          <cell r="J1533" t="str">
            <v>MARCELO DUARTE</v>
          </cell>
          <cell r="K1533" t="str">
            <v>LACTALIS</v>
          </cell>
          <cell r="L1533" t="str">
            <v>RODRIGO</v>
          </cell>
          <cell r="M1533" t="str">
            <v>JESSICA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  <cell r="H1534" t="str">
            <v>DISTRIBUIÇÃO</v>
          </cell>
          <cell r="I1534" t="str">
            <v>FOOD SERVICE</v>
          </cell>
          <cell r="J1534" t="str">
            <v>MARCELO DUARTE</v>
          </cell>
          <cell r="K1534" t="str">
            <v>ITAMBÉ</v>
          </cell>
          <cell r="L1534" t="str">
            <v>RODRIGO</v>
          </cell>
          <cell r="M1534" t="str">
            <v>JESSICA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  <cell r="H1535" t="str">
            <v>DISTRIBUIÇÃO</v>
          </cell>
          <cell r="I1535" t="str">
            <v>FOOD SERVICE</v>
          </cell>
          <cell r="J1535" t="str">
            <v>JESSICA CARLA</v>
          </cell>
          <cell r="K1535" t="str">
            <v>ITAMBÉ</v>
          </cell>
          <cell r="L1535" t="str">
            <v>RODRIGO</v>
          </cell>
          <cell r="M1535" t="str">
            <v>JESSICA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  <cell r="H1536" t="str">
            <v>DISTRIBUIÇÃO</v>
          </cell>
          <cell r="I1536" t="str">
            <v>FOOD SERVICE</v>
          </cell>
          <cell r="J1536" t="str">
            <v>MARCELO DUARTE</v>
          </cell>
          <cell r="K1536" t="str">
            <v>ITAMBÉ</v>
          </cell>
          <cell r="L1536" t="str">
            <v>RODRIGO</v>
          </cell>
          <cell r="M1536" t="str">
            <v>JESSICA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  <cell r="H1537" t="str">
            <v>INGREDIENTS</v>
          </cell>
          <cell r="I1537" t="str">
            <v>INGREDIENTS</v>
          </cell>
          <cell r="J1537" t="str">
            <v>JOEL ELEOTÉRIO</v>
          </cell>
          <cell r="K1537" t="str">
            <v>LACTALIS</v>
          </cell>
          <cell r="L1537" t="str">
            <v>MAURICIO</v>
          </cell>
          <cell r="M1537" t="str">
            <v>JOEL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  <cell r="H1538" t="str">
            <v>DISTRIBUIÇÃO</v>
          </cell>
          <cell r="I1538" t="str">
            <v>FOOD SERVICE</v>
          </cell>
          <cell r="J1538" t="str">
            <v>MARCELO DUARTE</v>
          </cell>
          <cell r="K1538" t="str">
            <v>ITAMBÉ</v>
          </cell>
          <cell r="L1538" t="str">
            <v>RODRIGO</v>
          </cell>
          <cell r="M1538" t="str">
            <v>JESSICA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  <cell r="H1539" t="str">
            <v>DISTRIBUIÇÃO</v>
          </cell>
          <cell r="I1539" t="str">
            <v>FOOD SERVICE</v>
          </cell>
          <cell r="J1539" t="str">
            <v>MARCELO DUARTE</v>
          </cell>
          <cell r="K1539" t="str">
            <v>ITAMBÉ</v>
          </cell>
          <cell r="L1539" t="str">
            <v>RODRIGO</v>
          </cell>
          <cell r="M1539" t="str">
            <v>JESSICA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  <cell r="H1540" t="str">
            <v>DISTRIBUIÇÃO</v>
          </cell>
          <cell r="I1540" t="str">
            <v>FOOD SERVICE</v>
          </cell>
          <cell r="J1540" t="str">
            <v>JULIANA CORDEIRO</v>
          </cell>
          <cell r="K1540" t="str">
            <v>ITAMBÉ</v>
          </cell>
          <cell r="L1540" t="str">
            <v>RODRIGO</v>
          </cell>
          <cell r="M1540" t="str">
            <v>JESSICA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  <cell r="H1541" t="str">
            <v>DISTRIBUIÇÃO</v>
          </cell>
          <cell r="I1541" t="str">
            <v>FOOD SERVICE</v>
          </cell>
          <cell r="J1541" t="str">
            <v>JULIANA CORDEIRO</v>
          </cell>
          <cell r="K1541" t="str">
            <v>ITAMBÉ</v>
          </cell>
          <cell r="L1541" t="str">
            <v>RODRIGO</v>
          </cell>
          <cell r="M1541" t="str">
            <v>JESSICA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  <cell r="H1542" t="str">
            <v>DISTRIBUIÇÃO</v>
          </cell>
          <cell r="I1542" t="str">
            <v>FOOD SERVICE</v>
          </cell>
          <cell r="J1542" t="str">
            <v>CLAUDIO JORGE</v>
          </cell>
          <cell r="K1542" t="str">
            <v>ITAMBÉ</v>
          </cell>
          <cell r="L1542" t="str">
            <v>RODRIGO</v>
          </cell>
          <cell r="M1542" t="str">
            <v>JESSICA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  <cell r="H1543" t="str">
            <v>DISTRIBUIÇÃO</v>
          </cell>
          <cell r="I1543" t="str">
            <v>FOOD SERVICE</v>
          </cell>
          <cell r="J1543" t="str">
            <v>MARCELO DUARTE</v>
          </cell>
          <cell r="K1543" t="str">
            <v>ITAMBÉ</v>
          </cell>
          <cell r="L1543" t="str">
            <v>RODRIGO</v>
          </cell>
          <cell r="M1543" t="str">
            <v>JESSICA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  <cell r="H1544" t="str">
            <v>QSR</v>
          </cell>
          <cell r="I1544" t="str">
            <v>FOOD SERVICE</v>
          </cell>
          <cell r="J1544" t="str">
            <v>NUTRI</v>
          </cell>
          <cell r="K1544" t="str">
            <v>LACTALIS</v>
          </cell>
          <cell r="L1544" t="str">
            <v>PEDRO</v>
          </cell>
          <cell r="M1544" t="str">
            <v>VAGO QSR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  <cell r="H1545" t="str">
            <v>INGREDIENTS</v>
          </cell>
          <cell r="I1545" t="str">
            <v>INGREDIENTS</v>
          </cell>
          <cell r="J1545" t="str">
            <v>MARCELO RODRIGUES</v>
          </cell>
          <cell r="K1545" t="str">
            <v>LACTALIS</v>
          </cell>
          <cell r="L1545" t="str">
            <v>MAURICIO</v>
          </cell>
          <cell r="M1545" t="str">
            <v>MARCELO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  <cell r="H1546" t="str">
            <v>QSR</v>
          </cell>
          <cell r="I1546" t="str">
            <v>FOOD SERVICE</v>
          </cell>
          <cell r="J1546" t="str">
            <v>NUTRI</v>
          </cell>
          <cell r="K1546" t="str">
            <v>LACTALIS</v>
          </cell>
          <cell r="L1546" t="str">
            <v>PEDRO</v>
          </cell>
          <cell r="M1546" t="str">
            <v>VAGO QSR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  <cell r="H1547" t="str">
            <v>INGREDIENTS</v>
          </cell>
          <cell r="I1547" t="str">
            <v>INGREDIENTS</v>
          </cell>
          <cell r="J1547" t="str">
            <v>TATIANA NITTA</v>
          </cell>
          <cell r="K1547" t="str">
            <v>LACTALIS</v>
          </cell>
          <cell r="L1547" t="str">
            <v>MAURICIO</v>
          </cell>
          <cell r="M1547" t="str">
            <v>TATIANA NITTA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  <cell r="H1548" t="str">
            <v>DISTRIBUIÇÃO</v>
          </cell>
          <cell r="I1548" t="str">
            <v>FOOD SERVICE</v>
          </cell>
          <cell r="J1548" t="str">
            <v>LUCIANA MARTINS</v>
          </cell>
          <cell r="K1548" t="str">
            <v>ITAMBÉ</v>
          </cell>
          <cell r="L1548" t="str">
            <v>RODRIGO</v>
          </cell>
          <cell r="M1548" t="str">
            <v>JESSICA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  <cell r="H1549" t="str">
            <v>DISTRIBUIÇÃO</v>
          </cell>
          <cell r="I1549" t="str">
            <v>FOOD SERVICE</v>
          </cell>
          <cell r="J1549" t="str">
            <v>MARCELO DUARTE</v>
          </cell>
          <cell r="K1549" t="str">
            <v>ITAMBÉ</v>
          </cell>
          <cell r="L1549" t="str">
            <v>RODRIGO</v>
          </cell>
          <cell r="M1549" t="str">
            <v>JESSICA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  <cell r="H1550" t="str">
            <v>INGREDIENTS</v>
          </cell>
          <cell r="I1550" t="str">
            <v>INGREDIENTS</v>
          </cell>
          <cell r="J1550" t="str">
            <v>TATIANA NITTA</v>
          </cell>
          <cell r="K1550" t="str">
            <v>ITAMBÉ</v>
          </cell>
          <cell r="L1550" t="str">
            <v>MAURICIO</v>
          </cell>
          <cell r="M1550" t="str">
            <v>TATIANA NITTA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  <cell r="H1551" t="str">
            <v>DISTRIBUIÇÃO</v>
          </cell>
          <cell r="I1551" t="str">
            <v>FOOD SERVICE</v>
          </cell>
          <cell r="J1551" t="str">
            <v>MARCELO DUARTE</v>
          </cell>
          <cell r="K1551" t="str">
            <v>ITAMBÉ</v>
          </cell>
          <cell r="L1551" t="str">
            <v>RODRIGO</v>
          </cell>
          <cell r="M1551" t="str">
            <v>JESSICA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  <cell r="H1552" t="str">
            <v>DISTRIBUIÇÃO</v>
          </cell>
          <cell r="I1552" t="str">
            <v>FOOD SERVICE</v>
          </cell>
          <cell r="J1552" t="str">
            <v>JESSICA CARLA</v>
          </cell>
          <cell r="K1552" t="str">
            <v>ITAMBÉ</v>
          </cell>
          <cell r="L1552" t="str">
            <v>RODRIGO</v>
          </cell>
          <cell r="M1552" t="str">
            <v>JESSICA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  <cell r="H1553" t="str">
            <v>DISTRIBUIÇÃO</v>
          </cell>
          <cell r="I1553" t="str">
            <v>FOOD SERVICE</v>
          </cell>
          <cell r="J1553" t="str">
            <v>VAGO SP</v>
          </cell>
          <cell r="K1553" t="str">
            <v>LACTALIS</v>
          </cell>
          <cell r="L1553" t="str">
            <v>RODRIGO</v>
          </cell>
          <cell r="M1553" t="str">
            <v>RAQUEL BARBOSA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  <cell r="H1554" t="str">
            <v>DISTRIBUIÇÃO</v>
          </cell>
          <cell r="I1554" t="str">
            <v>FOOD SERVICE</v>
          </cell>
          <cell r="J1554" t="str">
            <v>JULIANA CORDEIRO</v>
          </cell>
          <cell r="K1554" t="str">
            <v>ITAMBÉ</v>
          </cell>
          <cell r="L1554" t="str">
            <v>RODRIGO</v>
          </cell>
          <cell r="M1554" t="str">
            <v>JESSICA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  <cell r="H1555" t="str">
            <v>DISTRIBUIÇÃO</v>
          </cell>
          <cell r="I1555" t="str">
            <v>FOOD SERVICE</v>
          </cell>
          <cell r="J1555" t="str">
            <v>MARCELO DUARTE</v>
          </cell>
          <cell r="K1555" t="str">
            <v>ITAMBÉ</v>
          </cell>
          <cell r="L1555" t="str">
            <v>RODRIGO</v>
          </cell>
          <cell r="M1555" t="str">
            <v>JESSICA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  <cell r="H1556" t="str">
            <v>DISTRIBUIÇÃO</v>
          </cell>
          <cell r="I1556" t="str">
            <v>FOOD SERVICE</v>
          </cell>
          <cell r="J1556" t="str">
            <v>MARCELO DUARTE</v>
          </cell>
          <cell r="K1556" t="str">
            <v>ITAMBÉ</v>
          </cell>
          <cell r="L1556" t="str">
            <v>RODRIGO</v>
          </cell>
          <cell r="M1556" t="str">
            <v>JESSICA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  <cell r="H1557" t="str">
            <v>DISTRIBUIÇÃO</v>
          </cell>
          <cell r="I1557" t="str">
            <v>FOOD SERVICE</v>
          </cell>
          <cell r="J1557" t="str">
            <v>MARCELO DUARTE</v>
          </cell>
          <cell r="K1557" t="str">
            <v>ITAMBÉ</v>
          </cell>
          <cell r="L1557" t="str">
            <v>RODRIGO</v>
          </cell>
          <cell r="M1557" t="str">
            <v>JESSICA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  <cell r="H1558" t="str">
            <v>DISTRIBUIÇÃO</v>
          </cell>
          <cell r="I1558" t="str">
            <v>FOOD SERVICE</v>
          </cell>
          <cell r="J1558" t="str">
            <v>JULIANA CORDEIRO</v>
          </cell>
          <cell r="K1558" t="str">
            <v>ITAMBÉ</v>
          </cell>
          <cell r="L1558" t="str">
            <v>RODRIGO</v>
          </cell>
          <cell r="M1558" t="str">
            <v>JESSICA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  <cell r="H1559" t="str">
            <v>QSR</v>
          </cell>
          <cell r="I1559" t="str">
            <v>FOOD SERVICE</v>
          </cell>
          <cell r="J1559" t="str">
            <v>NUTRI</v>
          </cell>
          <cell r="K1559" t="str">
            <v>LACTALIS</v>
          </cell>
          <cell r="L1559" t="str">
            <v>PEDRO</v>
          </cell>
          <cell r="M1559" t="str">
            <v>VAGO QSR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  <cell r="H1560" t="str">
            <v>DISTRIBUIÇÃO</v>
          </cell>
          <cell r="I1560" t="str">
            <v>FOOD SERVICE</v>
          </cell>
          <cell r="J1560" t="str">
            <v>JESSICA CARLA</v>
          </cell>
          <cell r="K1560" t="str">
            <v>ITAMBÉ</v>
          </cell>
          <cell r="L1560" t="str">
            <v>RODRIGO</v>
          </cell>
          <cell r="M1560" t="str">
            <v>JESSICA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  <cell r="H1561" t="str">
            <v>DISTRIBUIÇÃO</v>
          </cell>
          <cell r="I1561" t="str">
            <v>FOOD SERVICE</v>
          </cell>
          <cell r="J1561" t="str">
            <v>JULIANA CORDEIRO</v>
          </cell>
          <cell r="K1561" t="str">
            <v>ITAMBÉ</v>
          </cell>
          <cell r="L1561" t="str">
            <v>RODRIGO</v>
          </cell>
          <cell r="M1561" t="str">
            <v>JESSICA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  <cell r="H1562" t="str">
            <v>QSR</v>
          </cell>
          <cell r="I1562" t="str">
            <v>FOOD SERVICE</v>
          </cell>
          <cell r="J1562" t="str">
            <v>NUTRI</v>
          </cell>
          <cell r="K1562" t="str">
            <v>LACTALIS</v>
          </cell>
          <cell r="L1562" t="str">
            <v>PEDRO</v>
          </cell>
          <cell r="M1562" t="str">
            <v>VAGO QSR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  <cell r="H1563" t="str">
            <v>QSR</v>
          </cell>
          <cell r="I1563" t="str">
            <v>FOOD SERVICE</v>
          </cell>
          <cell r="J1563" t="str">
            <v>NUTRI</v>
          </cell>
          <cell r="K1563" t="str">
            <v>LACTALIS</v>
          </cell>
          <cell r="L1563" t="str">
            <v>PEDRO</v>
          </cell>
          <cell r="M1563" t="str">
            <v>VAGO QSR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  <cell r="H1564" t="str">
            <v>QSR</v>
          </cell>
          <cell r="I1564" t="str">
            <v>FOOD SERVICE</v>
          </cell>
          <cell r="J1564" t="str">
            <v>NUTRI</v>
          </cell>
          <cell r="K1564" t="str">
            <v>LACTALIS</v>
          </cell>
          <cell r="L1564" t="str">
            <v>PEDRO</v>
          </cell>
          <cell r="M1564" t="str">
            <v>VAGO QSR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  <cell r="H1565" t="str">
            <v>DISTRIBUIÇÃO</v>
          </cell>
          <cell r="I1565" t="str">
            <v>FOOD SERVICE</v>
          </cell>
          <cell r="J1565" t="str">
            <v>SP ITB FS FLAC REP.E COMERCIO</v>
          </cell>
          <cell r="K1565" t="str">
            <v>LACTALIS</v>
          </cell>
          <cell r="L1565" t="str">
            <v>RODRIGO</v>
          </cell>
          <cell r="M1565" t="str">
            <v>RAQUEL BARBOSA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  <cell r="H1566" t="str">
            <v>INGREDIENTS</v>
          </cell>
          <cell r="I1566" t="str">
            <v>INGREDIENTS</v>
          </cell>
          <cell r="J1566" t="str">
            <v>HENRIQUE FERREIRA</v>
          </cell>
          <cell r="K1566" t="str">
            <v>ITAMBÉ</v>
          </cell>
          <cell r="L1566" t="str">
            <v>MAURICIO</v>
          </cell>
          <cell r="M1566" t="str">
            <v>JOEL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  <cell r="H1567" t="str">
            <v>INGREDIENTS</v>
          </cell>
          <cell r="I1567" t="str">
            <v>INGREDIENTS</v>
          </cell>
          <cell r="J1567" t="str">
            <v>RJ ITB FS L T MARTINS</v>
          </cell>
          <cell r="K1567" t="str">
            <v>ITAMBÉ</v>
          </cell>
          <cell r="L1567" t="str">
            <v>MAURICIO</v>
          </cell>
          <cell r="M1567" t="str">
            <v>TATIANA NITTA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  <cell r="H1568" t="str">
            <v>DISTRIBUIÇÃO</v>
          </cell>
          <cell r="I1568" t="str">
            <v>FOOD SERVICE</v>
          </cell>
          <cell r="J1568" t="str">
            <v>LUCIANA MARTINS</v>
          </cell>
          <cell r="K1568" t="str">
            <v>ITAMBÉ</v>
          </cell>
          <cell r="L1568" t="str">
            <v>RODRIGO</v>
          </cell>
          <cell r="M1568" t="str">
            <v>JESSICA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  <cell r="H1569" t="str">
            <v>DISTRIBUIÇÃO</v>
          </cell>
          <cell r="I1569" t="str">
            <v>FOOD SERVICE</v>
          </cell>
          <cell r="J1569" t="str">
            <v>MARCELO DUARTE</v>
          </cell>
          <cell r="K1569" t="str">
            <v>ITAMBÉ</v>
          </cell>
          <cell r="L1569" t="str">
            <v>RODRIGO</v>
          </cell>
          <cell r="M1569" t="str">
            <v>JESSICA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  <cell r="H1570" t="str">
            <v>QSR</v>
          </cell>
          <cell r="I1570" t="str">
            <v>FOOD SERVICE</v>
          </cell>
          <cell r="J1570" t="str">
            <v>NUTRI</v>
          </cell>
          <cell r="K1570" t="str">
            <v>LACTALIS</v>
          </cell>
          <cell r="L1570" t="str">
            <v>PEDRO</v>
          </cell>
          <cell r="M1570" t="str">
            <v>VAGO QSR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  <cell r="H1571" t="str">
            <v>DISTRIBUIÇÃO</v>
          </cell>
          <cell r="I1571" t="str">
            <v>FOOD SERVICE</v>
          </cell>
          <cell r="J1571" t="str">
            <v>MARCELO DUARTE</v>
          </cell>
          <cell r="K1571" t="str">
            <v>ITAMBÉ</v>
          </cell>
          <cell r="L1571" t="str">
            <v>RODRIGO</v>
          </cell>
          <cell r="M1571" t="str">
            <v>JESSICA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  <cell r="H1572" t="str">
            <v>DISTRIBUIÇÃO</v>
          </cell>
          <cell r="I1572" t="str">
            <v>FOOD SERVICE</v>
          </cell>
          <cell r="J1572" t="str">
            <v>JULIANA CORDEIRO</v>
          </cell>
          <cell r="K1572" t="str">
            <v>ITAMBÉ</v>
          </cell>
          <cell r="L1572" t="str">
            <v>RODRIGO</v>
          </cell>
          <cell r="M1572" t="str">
            <v>JESSICA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  <cell r="H1573" t="str">
            <v>DISTRIBUIÇÃO</v>
          </cell>
          <cell r="I1573" t="str">
            <v>FOOD SERVICE</v>
          </cell>
          <cell r="J1573" t="str">
            <v>MARCELO DUARTE</v>
          </cell>
          <cell r="K1573" t="str">
            <v>ITAMBÉ</v>
          </cell>
          <cell r="L1573" t="str">
            <v>RODRIGO</v>
          </cell>
          <cell r="M1573" t="str">
            <v>JESSICA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  <cell r="H1574" t="str">
            <v>QSR</v>
          </cell>
          <cell r="I1574" t="str">
            <v>FOOD SERVICE</v>
          </cell>
          <cell r="J1574" t="str">
            <v>NUTRI</v>
          </cell>
          <cell r="K1574" t="str">
            <v>LACTALIS</v>
          </cell>
          <cell r="L1574" t="str">
            <v>PEDRO</v>
          </cell>
          <cell r="M1574" t="str">
            <v>VAGO QSR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  <cell r="H1575" t="str">
            <v>DISTRIBUIÇÃO</v>
          </cell>
          <cell r="I1575" t="str">
            <v>FOOD SERVICE</v>
          </cell>
          <cell r="J1575" t="str">
            <v>LUCIANA MARTINS</v>
          </cell>
          <cell r="K1575" t="str">
            <v>ITAMBÉ</v>
          </cell>
          <cell r="L1575" t="str">
            <v>RODRIGO</v>
          </cell>
          <cell r="M1575" t="str">
            <v>JESSICA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  <cell r="H1576" t="str">
            <v>DISTRIBUIÇÃO</v>
          </cell>
          <cell r="I1576" t="str">
            <v>FOOD SERVICE</v>
          </cell>
          <cell r="J1576" t="str">
            <v>MARCELO DUARTE</v>
          </cell>
          <cell r="K1576" t="str">
            <v>ITAMBÉ</v>
          </cell>
          <cell r="L1576" t="str">
            <v>RODRIGO</v>
          </cell>
          <cell r="M1576" t="str">
            <v>JESSICA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  <cell r="H1577" t="str">
            <v>DISTRIBUIÇÃO</v>
          </cell>
          <cell r="I1577" t="str">
            <v>FOOD SERVICE</v>
          </cell>
          <cell r="J1577" t="str">
            <v>MARCELO DUARTE</v>
          </cell>
          <cell r="K1577" t="str">
            <v>ITAMBÉ</v>
          </cell>
          <cell r="L1577" t="str">
            <v>RODRIGO</v>
          </cell>
          <cell r="M1577" t="str">
            <v>JESSICA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  <cell r="H1578" t="str">
            <v>DISTRIBUIÇÃO</v>
          </cell>
          <cell r="I1578" t="str">
            <v>FOOD SERVICE</v>
          </cell>
          <cell r="J1578" t="str">
            <v>MARCELO DUARTE</v>
          </cell>
          <cell r="K1578" t="str">
            <v>ITAMBÉ</v>
          </cell>
          <cell r="L1578" t="str">
            <v>RODRIGO</v>
          </cell>
          <cell r="M1578" t="str">
            <v>JESSICA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  <cell r="H1579" t="str">
            <v>DISTRIBUIÇÃO</v>
          </cell>
          <cell r="I1579" t="str">
            <v>FOOD SERVICE</v>
          </cell>
          <cell r="J1579" t="str">
            <v>JULIANA CORDEIRO</v>
          </cell>
          <cell r="K1579" t="str">
            <v>ITAMBÉ</v>
          </cell>
          <cell r="L1579" t="str">
            <v>RODRIGO</v>
          </cell>
          <cell r="M1579" t="str">
            <v>JESSICA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  <cell r="H1580" t="str">
            <v>QSR</v>
          </cell>
          <cell r="I1580" t="str">
            <v>FOOD SERVICE</v>
          </cell>
          <cell r="J1580" t="str">
            <v>NUTRI</v>
          </cell>
          <cell r="K1580" t="str">
            <v>LACTALIS</v>
          </cell>
          <cell r="L1580" t="str">
            <v>PEDRO</v>
          </cell>
          <cell r="M1580" t="str">
            <v>VAGO QSR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  <cell r="H1581" t="str">
            <v>DISTRIBUIÇÃO</v>
          </cell>
          <cell r="I1581" t="str">
            <v>FOOD SERVICE</v>
          </cell>
          <cell r="J1581" t="str">
            <v>MARCELO DUARTE</v>
          </cell>
          <cell r="K1581" t="str">
            <v>ITAMBÉ</v>
          </cell>
          <cell r="L1581" t="str">
            <v>RODRIGO</v>
          </cell>
          <cell r="M1581" t="str">
            <v>JESSICA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  <cell r="H1582" t="str">
            <v>INGREDIENTS</v>
          </cell>
          <cell r="I1582" t="str">
            <v>INGREDIENTS</v>
          </cell>
          <cell r="J1582" t="str">
            <v>JOEL ELEOTÉRIO</v>
          </cell>
          <cell r="K1582" t="str">
            <v>LACTALIS</v>
          </cell>
          <cell r="L1582" t="str">
            <v>MAURICIO</v>
          </cell>
          <cell r="M1582" t="str">
            <v>JOEL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  <cell r="H1583" t="str">
            <v>DISTRIBUIÇÃO</v>
          </cell>
          <cell r="I1583" t="str">
            <v>FOOD SERVICE</v>
          </cell>
          <cell r="J1583" t="str">
            <v>JULIANA CORDEIRO</v>
          </cell>
          <cell r="K1583" t="str">
            <v>ITAMBÉ</v>
          </cell>
          <cell r="L1583" t="str">
            <v>RODRIGO</v>
          </cell>
          <cell r="M1583" t="str">
            <v>JESSICA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  <cell r="H1584" t="str">
            <v>DISTRIBUIÇÃO</v>
          </cell>
          <cell r="I1584" t="str">
            <v>FOOD SERVICE</v>
          </cell>
          <cell r="J1584" t="str">
            <v>JULIANA CORDEIRO</v>
          </cell>
          <cell r="K1584" t="str">
            <v>ITAMBÉ</v>
          </cell>
          <cell r="L1584" t="str">
            <v>RODRIGO</v>
          </cell>
          <cell r="M1584" t="str">
            <v>JESSICA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  <cell r="H1585" t="str">
            <v>DISTRIBUIÇÃO</v>
          </cell>
          <cell r="I1585" t="str">
            <v>FOOD SERVICE</v>
          </cell>
          <cell r="J1585" t="str">
            <v>MARCELO DUARTE</v>
          </cell>
          <cell r="K1585" t="str">
            <v>ITAMBÉ</v>
          </cell>
          <cell r="L1585" t="str">
            <v>RODRIGO</v>
          </cell>
          <cell r="M1585" t="str">
            <v>JESSICA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  <cell r="H1586" t="str">
            <v>QSR</v>
          </cell>
          <cell r="I1586" t="str">
            <v>FOOD SERVICE</v>
          </cell>
          <cell r="J1586" t="str">
            <v>NUTRI</v>
          </cell>
          <cell r="K1586" t="str">
            <v>LACTALIS</v>
          </cell>
          <cell r="L1586" t="str">
            <v>PEDRO</v>
          </cell>
          <cell r="M1586" t="str">
            <v>VAGO QSR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  <cell r="H1587" t="str">
            <v>DISTRIBUIÇÃO</v>
          </cell>
          <cell r="I1587" t="str">
            <v>FOOD SERVICE</v>
          </cell>
          <cell r="J1587" t="str">
            <v>MARCELO DUARTE</v>
          </cell>
          <cell r="K1587" t="str">
            <v>ITAMBÉ</v>
          </cell>
          <cell r="L1587" t="str">
            <v>RODRIGO</v>
          </cell>
          <cell r="M1587" t="str">
            <v>JESSICA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  <cell r="H1588" t="str">
            <v>INGREDIENTS</v>
          </cell>
          <cell r="I1588" t="str">
            <v>INGREDIENTS</v>
          </cell>
          <cell r="J1588" t="str">
            <v>HENRIQUE FERREIRA</v>
          </cell>
          <cell r="K1588" t="str">
            <v>LACTALIS</v>
          </cell>
          <cell r="L1588" t="str">
            <v>MAURICIO</v>
          </cell>
          <cell r="M1588" t="str">
            <v>JOEL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  <cell r="H1589" t="str">
            <v>QSR</v>
          </cell>
          <cell r="I1589" t="str">
            <v>FOOD SERVICE</v>
          </cell>
          <cell r="J1589" t="str">
            <v>ANA MENIQUETE</v>
          </cell>
          <cell r="K1589" t="str">
            <v>ITAMBÉ</v>
          </cell>
          <cell r="L1589" t="str">
            <v>PEDRO</v>
          </cell>
          <cell r="M1589" t="str">
            <v>ANA MENIQUETE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  <cell r="H1590" t="str">
            <v>INGREDIENTS</v>
          </cell>
          <cell r="I1590" t="str">
            <v>INGREDIENTS</v>
          </cell>
          <cell r="J1590" t="str">
            <v>JOEL ELEOTÉRIO</v>
          </cell>
          <cell r="K1590" t="str">
            <v>ITAMBÉ</v>
          </cell>
          <cell r="L1590" t="str">
            <v>MAURICIO</v>
          </cell>
          <cell r="M1590" t="str">
            <v>JOEL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  <cell r="H1591" t="str">
            <v>DISTRIBUIÇÃO</v>
          </cell>
          <cell r="I1591" t="str">
            <v>FOOD SERVICE</v>
          </cell>
          <cell r="J1591" t="str">
            <v>MARCELO DUARTE</v>
          </cell>
          <cell r="K1591" t="str">
            <v>ITAMBÉ</v>
          </cell>
          <cell r="L1591" t="str">
            <v>RODRIGO</v>
          </cell>
          <cell r="M1591" t="str">
            <v>JESSICA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  <cell r="H1592" t="str">
            <v>DISTRIBUIÇÃO</v>
          </cell>
          <cell r="I1592" t="str">
            <v>FOOD SERVICE</v>
          </cell>
          <cell r="J1592" t="str">
            <v>MARCELO DUARTE</v>
          </cell>
          <cell r="K1592" t="str">
            <v>ITAMBÉ</v>
          </cell>
          <cell r="L1592" t="str">
            <v>RODRIGO</v>
          </cell>
          <cell r="M1592" t="str">
            <v>JESSICA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  <cell r="H1593" t="str">
            <v>DISTRIBUIÇÃO</v>
          </cell>
          <cell r="I1593" t="str">
            <v>FOOD SERVICE</v>
          </cell>
          <cell r="J1593" t="str">
            <v>MARCELO DUARTE</v>
          </cell>
          <cell r="K1593" t="str">
            <v>ITAMBÉ</v>
          </cell>
          <cell r="L1593" t="str">
            <v>RODRIGO</v>
          </cell>
          <cell r="M1593" t="str">
            <v>JESSICA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  <cell r="H1594" t="str">
            <v>DISTRIBUIÇÃO</v>
          </cell>
          <cell r="I1594" t="str">
            <v>FOOD SERVICE</v>
          </cell>
          <cell r="J1594" t="str">
            <v>MARCELO DUARTE</v>
          </cell>
          <cell r="K1594" t="str">
            <v>ITAMBÉ</v>
          </cell>
          <cell r="L1594" t="str">
            <v>RODRIGO</v>
          </cell>
          <cell r="M1594" t="str">
            <v>JESSICA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  <cell r="H1595" t="str">
            <v>DISTRIBUIÇÃO</v>
          </cell>
          <cell r="I1595" t="str">
            <v>FOOD SERVICE</v>
          </cell>
          <cell r="J1595" t="str">
            <v>MARCELO DUARTE</v>
          </cell>
          <cell r="K1595" t="str">
            <v>ITAMBÉ</v>
          </cell>
          <cell r="L1595" t="str">
            <v>RODRIGO</v>
          </cell>
          <cell r="M1595" t="str">
            <v>JESSICA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  <cell r="H1596" t="str">
            <v>DISTRIBUIÇÃO</v>
          </cell>
          <cell r="I1596" t="str">
            <v>FOOD SERVICE</v>
          </cell>
          <cell r="J1596" t="str">
            <v>ANGELICA BATISTELA</v>
          </cell>
          <cell r="K1596" t="str">
            <v>LACTALIS</v>
          </cell>
          <cell r="L1596" t="str">
            <v>RODRIGO</v>
          </cell>
          <cell r="M1596" t="str">
            <v>ANGELICA BATISTELA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  <cell r="H1597" t="str">
            <v>DISTRIBUIÇÃO</v>
          </cell>
          <cell r="I1597" t="str">
            <v>FOOD SERVICE</v>
          </cell>
          <cell r="J1597" t="str">
            <v>LUCIANA MARTINS</v>
          </cell>
          <cell r="K1597" t="str">
            <v>ITAMBÉ</v>
          </cell>
          <cell r="L1597" t="str">
            <v>RODRIGO</v>
          </cell>
          <cell r="M1597" t="str">
            <v>JESSICA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  <cell r="H1598" t="str">
            <v>DISTRIBUIÇÃO</v>
          </cell>
          <cell r="I1598" t="str">
            <v>FOOD SERVICE</v>
          </cell>
          <cell r="J1598" t="str">
            <v>MARCELO DUARTE</v>
          </cell>
          <cell r="K1598" t="str">
            <v>ITAMBÉ</v>
          </cell>
          <cell r="L1598" t="str">
            <v>RODRIGO</v>
          </cell>
          <cell r="M1598" t="str">
            <v>JESSICA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  <cell r="H1599" t="str">
            <v>DISTRIBUIÇÃO</v>
          </cell>
          <cell r="I1599" t="str">
            <v>FOOD SERVICE</v>
          </cell>
          <cell r="J1599" t="str">
            <v>JESSICA CARLA</v>
          </cell>
          <cell r="K1599" t="str">
            <v>ITAMBÉ</v>
          </cell>
          <cell r="L1599" t="str">
            <v>RODRIGO</v>
          </cell>
          <cell r="M1599" t="str">
            <v>JESSICA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  <cell r="H1600" t="str">
            <v>INGREDIENTS</v>
          </cell>
          <cell r="I1600" t="str">
            <v>INGREDIENTS</v>
          </cell>
          <cell r="J1600" t="str">
            <v>HENRIQUE FERREIRA</v>
          </cell>
          <cell r="K1600" t="str">
            <v>ITAMBÉ</v>
          </cell>
          <cell r="L1600" t="str">
            <v>MAURICIO</v>
          </cell>
          <cell r="M1600" t="str">
            <v>JOEL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  <cell r="H1601" t="str">
            <v>DISTRIBUIÇÃO</v>
          </cell>
          <cell r="I1601" t="str">
            <v>FOOD SERVICE</v>
          </cell>
          <cell r="J1601" t="str">
            <v>LUCIANA MARTINS</v>
          </cell>
          <cell r="K1601" t="str">
            <v>ITAMBÉ</v>
          </cell>
          <cell r="L1601" t="str">
            <v>RODRIGO</v>
          </cell>
          <cell r="M1601" t="str">
            <v>JESSICA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  <cell r="H1602" t="str">
            <v>DISTRIBUIÇÃO</v>
          </cell>
          <cell r="I1602" t="str">
            <v>FOOD SERVICE</v>
          </cell>
          <cell r="J1602" t="str">
            <v>MARCELO DUARTE</v>
          </cell>
          <cell r="K1602" t="str">
            <v>ITAMBÉ</v>
          </cell>
          <cell r="L1602" t="str">
            <v>RODRIGO</v>
          </cell>
          <cell r="M1602" t="str">
            <v>JESSICA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  <cell r="H1603" t="str">
            <v>QSR</v>
          </cell>
          <cell r="I1603" t="str">
            <v>FOOD SERVICE</v>
          </cell>
          <cell r="J1603" t="str">
            <v>NUTRI</v>
          </cell>
          <cell r="K1603" t="str">
            <v>LACTALIS</v>
          </cell>
          <cell r="L1603" t="str">
            <v>PEDRO</v>
          </cell>
          <cell r="M1603" t="str">
            <v>VAGO QSR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  <cell r="H1604" t="str">
            <v>QSR</v>
          </cell>
          <cell r="I1604" t="str">
            <v>FOOD SERVICE</v>
          </cell>
          <cell r="J1604" t="str">
            <v>NUTRI</v>
          </cell>
          <cell r="K1604" t="str">
            <v>LACTALIS</v>
          </cell>
          <cell r="L1604" t="str">
            <v>PEDRO</v>
          </cell>
          <cell r="M1604" t="str">
            <v>VAGO QSR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  <cell r="H1605" t="str">
            <v>QSR</v>
          </cell>
          <cell r="I1605" t="str">
            <v>FOOD SERVICE</v>
          </cell>
          <cell r="J1605" t="str">
            <v>NUTRI</v>
          </cell>
          <cell r="K1605" t="str">
            <v>LACTALIS</v>
          </cell>
          <cell r="L1605" t="str">
            <v>PEDRO</v>
          </cell>
          <cell r="M1605" t="str">
            <v>VAGO QSR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  <cell r="H1606" t="str">
            <v>QSR</v>
          </cell>
          <cell r="I1606" t="str">
            <v>FOOD SERVICE</v>
          </cell>
          <cell r="J1606" t="str">
            <v>NUTRI</v>
          </cell>
          <cell r="K1606" t="str">
            <v>LACTALIS</v>
          </cell>
          <cell r="L1606" t="str">
            <v>PEDRO</v>
          </cell>
          <cell r="M1606" t="str">
            <v>VAGO QSR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  <cell r="H1607" t="str">
            <v>DISTRIBUIÇÃO</v>
          </cell>
          <cell r="I1607" t="str">
            <v>FOOD SERVICE</v>
          </cell>
          <cell r="J1607" t="str">
            <v>FLAC 3</v>
          </cell>
          <cell r="K1607" t="str">
            <v>LACTALIS</v>
          </cell>
          <cell r="L1607" t="str">
            <v>RODRIGO</v>
          </cell>
          <cell r="M1607" t="str">
            <v>RAQUEL BARBOSA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  <cell r="H1608" t="str">
            <v>DISTRIBUIÇÃO</v>
          </cell>
          <cell r="I1608" t="str">
            <v>FOOD SERVICE</v>
          </cell>
          <cell r="J1608" t="str">
            <v>FLAC 2</v>
          </cell>
          <cell r="K1608" t="str">
            <v>LACTALIS</v>
          </cell>
          <cell r="L1608" t="str">
            <v>RODRIGO</v>
          </cell>
          <cell r="M1608" t="str">
            <v>RAQUEL BARBOSA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  <cell r="H1609" t="str">
            <v>DISTRIBUIÇÃO</v>
          </cell>
          <cell r="I1609" t="str">
            <v>FOOD SERVICE</v>
          </cell>
          <cell r="J1609" t="str">
            <v>FLAC 3</v>
          </cell>
          <cell r="K1609" t="str">
            <v>LACTALIS</v>
          </cell>
          <cell r="L1609" t="str">
            <v>RODRIGO</v>
          </cell>
          <cell r="M1609" t="str">
            <v>RAQUEL BARBOSA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  <cell r="H1610" t="str">
            <v>QSR</v>
          </cell>
          <cell r="I1610" t="str">
            <v>FOOD SERVICE</v>
          </cell>
          <cell r="J1610" t="str">
            <v>NUTRI</v>
          </cell>
          <cell r="K1610" t="str">
            <v>LACTALIS</v>
          </cell>
          <cell r="L1610" t="str">
            <v>PEDRO</v>
          </cell>
          <cell r="M1610" t="str">
            <v>VAGO QSR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  <cell r="H1611" t="str">
            <v>QSR</v>
          </cell>
          <cell r="I1611" t="str">
            <v>FOOD SERVICE</v>
          </cell>
          <cell r="J1611" t="str">
            <v>NUTRI</v>
          </cell>
          <cell r="K1611" t="str">
            <v>LACTALIS</v>
          </cell>
          <cell r="L1611" t="str">
            <v>PEDRO</v>
          </cell>
          <cell r="M1611" t="str">
            <v>VAGO QSR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  <cell r="H1612" t="str">
            <v>INGREDIENTS</v>
          </cell>
          <cell r="I1612" t="str">
            <v>INGREDIENTS</v>
          </cell>
          <cell r="J1612" t="str">
            <v>JOEL ELEOTÉRIO</v>
          </cell>
          <cell r="K1612" t="str">
            <v>LACTALIS</v>
          </cell>
          <cell r="L1612" t="str">
            <v>MAURICIO</v>
          </cell>
          <cell r="M1612" t="str">
            <v>JOEL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  <cell r="H1613" t="str">
            <v>MC DONALDS</v>
          </cell>
          <cell r="I1613" t="str">
            <v>MC DONALDS</v>
          </cell>
          <cell r="J1613" t="str">
            <v>MAURICIO GALLI</v>
          </cell>
          <cell r="K1613" t="str">
            <v>LACTALIS</v>
          </cell>
          <cell r="L1613" t="str">
            <v>MAURICIO</v>
          </cell>
          <cell r="M1613" t="str">
            <v>MAURICIO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  <cell r="H1614" t="str">
            <v>DISTRIBUIÇÃO</v>
          </cell>
          <cell r="I1614" t="str">
            <v>FOOD SERVICE</v>
          </cell>
          <cell r="J1614" t="str">
            <v>FLAC 6</v>
          </cell>
          <cell r="K1614" t="str">
            <v>LACTALIS</v>
          </cell>
          <cell r="L1614" t="str">
            <v>RODRIGO</v>
          </cell>
          <cell r="M1614" t="str">
            <v>RAQUEL BARBOSA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  <cell r="H1615" t="str">
            <v>QSR</v>
          </cell>
          <cell r="I1615" t="str">
            <v>FOOD SERVICE</v>
          </cell>
          <cell r="J1615" t="str">
            <v>NUTRI</v>
          </cell>
          <cell r="K1615" t="str">
            <v>LACTALIS</v>
          </cell>
          <cell r="L1615" t="str">
            <v>PEDRO</v>
          </cell>
          <cell r="M1615" t="str">
            <v>VAGO QSR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  <cell r="H1616" t="str">
            <v>QSR</v>
          </cell>
          <cell r="I1616" t="str">
            <v>FOOD SERVICE</v>
          </cell>
          <cell r="J1616" t="str">
            <v>NUTRI</v>
          </cell>
          <cell r="K1616" t="str">
            <v>LACTALIS</v>
          </cell>
          <cell r="L1616" t="str">
            <v>PEDRO</v>
          </cell>
          <cell r="M1616" t="str">
            <v>VAGO QSR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  <cell r="H1617" t="str">
            <v>QSR</v>
          </cell>
          <cell r="I1617" t="str">
            <v>FOOD SERVICE</v>
          </cell>
          <cell r="J1617" t="str">
            <v>NUTRI</v>
          </cell>
          <cell r="K1617" t="str">
            <v>LACTALIS</v>
          </cell>
          <cell r="L1617" t="str">
            <v>PEDRO</v>
          </cell>
          <cell r="M1617" t="str">
            <v>VAGO QSR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  <cell r="H1618" t="str">
            <v>DISTRIBUIÇÃO</v>
          </cell>
          <cell r="I1618" t="str">
            <v>FOOD SERVICE</v>
          </cell>
          <cell r="J1618" t="str">
            <v>JULIANA CORDEIRO</v>
          </cell>
          <cell r="K1618" t="str">
            <v>ITAMBÉ</v>
          </cell>
          <cell r="L1618" t="str">
            <v>RODRIGO</v>
          </cell>
          <cell r="M1618" t="str">
            <v>JESSICA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  <cell r="H1619" t="str">
            <v>DISTRIBUIÇÃO</v>
          </cell>
          <cell r="I1619" t="str">
            <v>FOOD SERVICE</v>
          </cell>
          <cell r="J1619" t="str">
            <v>JULIANA CORDEIRO</v>
          </cell>
          <cell r="K1619" t="str">
            <v>ITAMBÉ</v>
          </cell>
          <cell r="L1619" t="str">
            <v>RODRIGO</v>
          </cell>
          <cell r="M1619" t="str">
            <v>JESSICA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  <cell r="H1620" t="str">
            <v>DISTRIBUIÇÃO</v>
          </cell>
          <cell r="I1620" t="str">
            <v>FOOD SERVICE</v>
          </cell>
          <cell r="J1620" t="str">
            <v>FLAC 5</v>
          </cell>
          <cell r="K1620" t="str">
            <v>LACTALIS</v>
          </cell>
          <cell r="L1620" t="str">
            <v>RODRIGO</v>
          </cell>
          <cell r="M1620" t="str">
            <v>RAQUEL BARBOSA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  <cell r="H1621" t="str">
            <v>DISTRIBUIÇÃO</v>
          </cell>
          <cell r="I1621" t="str">
            <v>FOOD SERVICE</v>
          </cell>
          <cell r="J1621" t="str">
            <v>VAGO SP</v>
          </cell>
          <cell r="K1621" t="str">
            <v>ITAMBÉ</v>
          </cell>
          <cell r="L1621" t="str">
            <v>RODRIGO</v>
          </cell>
          <cell r="M1621" t="str">
            <v>RAQUEL BARBOSA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  <cell r="H1622" t="str">
            <v>DISTRIBUIÇÃO</v>
          </cell>
          <cell r="I1622" t="str">
            <v>FOOD SERVICE</v>
          </cell>
          <cell r="J1622" t="str">
            <v>ANGELICA BATISTELA</v>
          </cell>
          <cell r="K1622" t="str">
            <v>LACTALIS</v>
          </cell>
          <cell r="L1622" t="str">
            <v>RODRIGO</v>
          </cell>
          <cell r="M1622" t="str">
            <v>ANGELICA BATISTELA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  <cell r="H1623" t="str">
            <v>INGREDIENTS</v>
          </cell>
          <cell r="I1623" t="str">
            <v>INGREDIENTS</v>
          </cell>
          <cell r="J1623" t="str">
            <v>DUAS RODAS</v>
          </cell>
          <cell r="K1623" t="str">
            <v>ITAMBÉ</v>
          </cell>
          <cell r="L1623" t="str">
            <v>MAURICIO</v>
          </cell>
          <cell r="M1623" t="str">
            <v>MARCELO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  <cell r="H1624" t="str">
            <v>DISTRIBUIÇÃO</v>
          </cell>
          <cell r="I1624" t="str">
            <v>FOOD SERVICE</v>
          </cell>
          <cell r="J1624" t="str">
            <v>CLAUDIO JORGE</v>
          </cell>
          <cell r="K1624" t="str">
            <v>ITAMBÉ</v>
          </cell>
          <cell r="L1624" t="str">
            <v>RODRIGO</v>
          </cell>
          <cell r="M1624" t="str">
            <v>MARCO AURELIO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  <cell r="H1625" t="str">
            <v>DISTRIBUIÇÃO</v>
          </cell>
          <cell r="I1625" t="str">
            <v>FOOD SERVICE</v>
          </cell>
          <cell r="J1625" t="str">
            <v>CLAUDIO JORGE</v>
          </cell>
          <cell r="K1625" t="str">
            <v>ITAMBÉ</v>
          </cell>
          <cell r="L1625" t="str">
            <v>RODRIGO</v>
          </cell>
          <cell r="M1625" t="str">
            <v>MARCO AURELIO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  <cell r="H1626" t="str">
            <v>DISTRIBUIÇÃO</v>
          </cell>
          <cell r="I1626" t="str">
            <v>FOOD SERVICE</v>
          </cell>
          <cell r="J1626" t="str">
            <v>SP ITB FS FLAC REP.E COMERCIO</v>
          </cell>
          <cell r="K1626" t="str">
            <v>LACTALIS</v>
          </cell>
          <cell r="L1626" t="str">
            <v>RODRIGO</v>
          </cell>
          <cell r="M1626" t="str">
            <v>RAQUEL BARBOSA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  <cell r="H1627" t="str">
            <v>DISTRIBUIÇÃO</v>
          </cell>
          <cell r="I1627" t="str">
            <v>FOOD SERVICE</v>
          </cell>
          <cell r="J1627" t="str">
            <v>CLAUDIO JORGE</v>
          </cell>
          <cell r="K1627" t="str">
            <v>ITAMBÉ</v>
          </cell>
          <cell r="L1627" t="str">
            <v>RODRIGO</v>
          </cell>
          <cell r="M1627" t="str">
            <v>MARCO AURELIO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  <cell r="H1628" t="str">
            <v>DISTRIBUIÇÃO</v>
          </cell>
          <cell r="I1628" t="str">
            <v>FOOD SERVICE</v>
          </cell>
          <cell r="J1628" t="str">
            <v>CLAUDIO JORGE</v>
          </cell>
          <cell r="K1628" t="str">
            <v>ITAMBÉ</v>
          </cell>
          <cell r="L1628" t="str">
            <v>RODRIGO</v>
          </cell>
          <cell r="M1628" t="str">
            <v>MARCO AURELIO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  <cell r="H1629" t="str">
            <v>INGREDIENTS</v>
          </cell>
          <cell r="I1629" t="str">
            <v>INGREDIENTS</v>
          </cell>
          <cell r="J1629" t="str">
            <v>HENRIQUE FERREIRA</v>
          </cell>
          <cell r="K1629" t="str">
            <v>ITAMBÉ</v>
          </cell>
          <cell r="L1629" t="str">
            <v>MAURICIO</v>
          </cell>
          <cell r="M1629" t="str">
            <v>JOEL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  <cell r="H1630" t="str">
            <v>DISTRIBUIÇÃO</v>
          </cell>
          <cell r="I1630" t="str">
            <v>FOOD SERVICE</v>
          </cell>
          <cell r="J1630" t="str">
            <v>CLAUDIO JORGE</v>
          </cell>
          <cell r="K1630" t="str">
            <v>ITAMBÉ</v>
          </cell>
          <cell r="L1630" t="str">
            <v>RODRIGO</v>
          </cell>
          <cell r="M1630" t="str">
            <v>MARCO AURELIO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  <cell r="H1631" t="str">
            <v>DISTRIBUIÇÃO</v>
          </cell>
          <cell r="I1631" t="str">
            <v>FOOD SERVICE</v>
          </cell>
          <cell r="J1631" t="str">
            <v>CLAUDIO JORGE</v>
          </cell>
          <cell r="K1631" t="str">
            <v>ITAMBÉ</v>
          </cell>
          <cell r="L1631" t="str">
            <v>RODRIGO</v>
          </cell>
          <cell r="M1631" t="str">
            <v>MARCO AURELIO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  <cell r="H1632" t="str">
            <v>DISTRIBUIÇÃO</v>
          </cell>
          <cell r="I1632" t="str">
            <v>FOOD SERVICE</v>
          </cell>
          <cell r="J1632" t="str">
            <v>CLAUDIO JORGE</v>
          </cell>
          <cell r="K1632" t="str">
            <v>ITAMBÉ</v>
          </cell>
          <cell r="L1632" t="str">
            <v>RODRIGO</v>
          </cell>
          <cell r="M1632" t="str">
            <v>MARCO AURELIO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  <cell r="H1633" t="str">
            <v>QSR</v>
          </cell>
          <cell r="I1633" t="str">
            <v>FOOD SERVICE</v>
          </cell>
          <cell r="J1633" t="str">
            <v>NUTRI</v>
          </cell>
          <cell r="K1633" t="str">
            <v>ITAMBÉ</v>
          </cell>
          <cell r="L1633" t="str">
            <v>PEDRO</v>
          </cell>
          <cell r="M1633" t="str">
            <v>VAGO QSR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  <cell r="H1634" t="str">
            <v>INGREDIENTS</v>
          </cell>
          <cell r="I1634" t="str">
            <v>INGREDIENTS</v>
          </cell>
          <cell r="J1634" t="str">
            <v>JOEL ELEOTÉRIO</v>
          </cell>
          <cell r="K1634" t="str">
            <v>LACTALIS</v>
          </cell>
          <cell r="L1634" t="str">
            <v>MAURICIO</v>
          </cell>
          <cell r="M1634" t="str">
            <v>JOEL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  <cell r="H1635" t="str">
            <v>DISTRIBUIÇÃO</v>
          </cell>
          <cell r="I1635" t="str">
            <v>FOOD SERVICE</v>
          </cell>
          <cell r="J1635" t="str">
            <v>GUILHERME NASCIMENTO</v>
          </cell>
          <cell r="K1635" t="str">
            <v>ITAMBÉ</v>
          </cell>
          <cell r="L1635" t="str">
            <v>RODRIGO</v>
          </cell>
          <cell r="M1635" t="str">
            <v>ALEXANDRO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  <cell r="H1636" t="str">
            <v>DISTRIBUIÇÃO</v>
          </cell>
          <cell r="I1636" t="str">
            <v>FOOD SERVICE</v>
          </cell>
          <cell r="J1636" t="str">
            <v>FLAC 8</v>
          </cell>
          <cell r="K1636" t="str">
            <v>LACTALIS</v>
          </cell>
          <cell r="L1636" t="str">
            <v>RODRIGO</v>
          </cell>
          <cell r="M1636" t="str">
            <v>RAQUEL BARBOSA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  <cell r="H1637" t="str">
            <v>DISTRIBUIÇÃO</v>
          </cell>
          <cell r="I1637" t="str">
            <v>FOOD SERVICE</v>
          </cell>
          <cell r="J1637" t="str">
            <v>FLAC 2</v>
          </cell>
          <cell r="K1637" t="str">
            <v>LACTALIS</v>
          </cell>
          <cell r="L1637" t="str">
            <v>RODRIGO</v>
          </cell>
          <cell r="M1637" t="str">
            <v>RAQUEL BARBOSA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  <cell r="H1638" t="str">
            <v>INGREDIENTS</v>
          </cell>
          <cell r="I1638" t="str">
            <v>INGREDIENTS</v>
          </cell>
          <cell r="J1638" t="str">
            <v>TATIANA NITTA</v>
          </cell>
          <cell r="K1638" t="str">
            <v>ITAMBÉ</v>
          </cell>
          <cell r="L1638" t="str">
            <v>MAURICIO</v>
          </cell>
          <cell r="M1638" t="str">
            <v>TATIANA NITTA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  <cell r="H1639" t="str">
            <v>INGREDIENTS</v>
          </cell>
          <cell r="I1639" t="str">
            <v>INGREDIENTS</v>
          </cell>
          <cell r="J1639" t="str">
            <v>DUAS RODAS</v>
          </cell>
          <cell r="K1639" t="str">
            <v>ITAMBÉ</v>
          </cell>
          <cell r="L1639" t="str">
            <v>MAURICIO</v>
          </cell>
          <cell r="M1639" t="str">
            <v>MARCELO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  <cell r="H1640" t="str">
            <v>DISTRIBUIÇÃO</v>
          </cell>
          <cell r="I1640" t="str">
            <v>FOOD SERVICE</v>
          </cell>
          <cell r="J1640" t="str">
            <v>WH FOOD SERVICE CE</v>
          </cell>
          <cell r="K1640" t="str">
            <v>ITAMBÉ</v>
          </cell>
          <cell r="L1640" t="str">
            <v>RODRIGO</v>
          </cell>
          <cell r="M1640" t="str">
            <v>MARIA LOURDES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  <cell r="H1641" t="str">
            <v>DISTRIBUIÇÃO</v>
          </cell>
          <cell r="I1641" t="str">
            <v>FOOD SERVICE</v>
          </cell>
          <cell r="J1641" t="str">
            <v>WH FOOD SERVICE CE</v>
          </cell>
          <cell r="K1641" t="str">
            <v>ITAMBÉ</v>
          </cell>
          <cell r="L1641" t="str">
            <v>RODRIGO</v>
          </cell>
          <cell r="M1641" t="str">
            <v>MARIA LOURDES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  <cell r="H1642" t="str">
            <v>DISTRIBUIÇÃO</v>
          </cell>
          <cell r="I1642" t="str">
            <v>FOOD SERVICE</v>
          </cell>
          <cell r="J1642" t="str">
            <v>ANGELICA BATISTELA</v>
          </cell>
          <cell r="K1642" t="str">
            <v>ITAMBÉ</v>
          </cell>
          <cell r="L1642" t="str">
            <v>RODRIGO</v>
          </cell>
          <cell r="M1642" t="str">
            <v>ANGELICA BATISTELA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  <cell r="H1643" t="str">
            <v>DISTRIBUIÇÃO</v>
          </cell>
          <cell r="I1643" t="str">
            <v>FOOD SERVICE</v>
          </cell>
          <cell r="J1643" t="str">
            <v>JESSICA CARLA</v>
          </cell>
          <cell r="K1643" t="str">
            <v>LACTALIS</v>
          </cell>
          <cell r="L1643" t="str">
            <v>RODRIGO</v>
          </cell>
          <cell r="M1643" t="str">
            <v>JESSICA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  <cell r="H1644" t="str">
            <v>INGREDIENTS</v>
          </cell>
          <cell r="I1644" t="str">
            <v>INGREDIENTS</v>
          </cell>
          <cell r="J1644" t="str">
            <v>JOEL ELEOTÉRIO</v>
          </cell>
          <cell r="K1644" t="str">
            <v>ITAMBÉ</v>
          </cell>
          <cell r="L1644" t="str">
            <v>MAURICIO</v>
          </cell>
          <cell r="M1644" t="str">
            <v>JOEL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  <cell r="H1645" t="str">
            <v>DISTRIBUIÇÃO</v>
          </cell>
          <cell r="I1645" t="str">
            <v>FOOD SERVICE</v>
          </cell>
          <cell r="J1645" t="str">
            <v>FLAC 2</v>
          </cell>
          <cell r="K1645" t="str">
            <v>LACTALIS</v>
          </cell>
          <cell r="L1645" t="str">
            <v>RODRIGO</v>
          </cell>
          <cell r="M1645" t="str">
            <v>RAQUEL BARBOSA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  <cell r="H1646" t="str">
            <v>DISTRIBUIÇÃO</v>
          </cell>
          <cell r="I1646" t="str">
            <v>FOOD SERVICE</v>
          </cell>
          <cell r="J1646" t="str">
            <v>FLAC 1</v>
          </cell>
          <cell r="K1646" t="str">
            <v>LACTALIS</v>
          </cell>
          <cell r="L1646" t="str">
            <v>RODRIGO</v>
          </cell>
          <cell r="M1646" t="str">
            <v>RAQUEL BARBOSA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  <cell r="H1647" t="str">
            <v>INGREDIENTS</v>
          </cell>
          <cell r="I1647" t="str">
            <v>INGREDIENTS</v>
          </cell>
          <cell r="J1647" t="str">
            <v>DUAS RODAS</v>
          </cell>
          <cell r="K1647" t="str">
            <v>ITAMBÉ</v>
          </cell>
          <cell r="L1647" t="str">
            <v>MAURICIO</v>
          </cell>
          <cell r="M1647" t="str">
            <v>MARCELO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  <cell r="H1648" t="str">
            <v>INGREDIENTS</v>
          </cell>
          <cell r="I1648" t="str">
            <v>INGREDIENTS</v>
          </cell>
          <cell r="J1648" t="str">
            <v>JOEL ELEOTÉRIO</v>
          </cell>
          <cell r="K1648" t="str">
            <v>ITAMBÉ</v>
          </cell>
          <cell r="L1648" t="str">
            <v>MAURICIO</v>
          </cell>
          <cell r="M1648" t="str">
            <v>JOEL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  <cell r="H1649" t="str">
            <v>INGREDIENTS</v>
          </cell>
          <cell r="I1649" t="str">
            <v>INGREDIENTS</v>
          </cell>
          <cell r="J1649" t="str">
            <v>HENRIQUE FERREIRA</v>
          </cell>
          <cell r="K1649" t="str">
            <v>ITAMBÉ</v>
          </cell>
          <cell r="L1649" t="str">
            <v>MAURICIO</v>
          </cell>
          <cell r="M1649" t="str">
            <v>JOEL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  <cell r="H1650" t="str">
            <v>DISTRIBUIÇÃO</v>
          </cell>
          <cell r="I1650" t="str">
            <v>FOOD SERVICE</v>
          </cell>
          <cell r="J1650" t="str">
            <v>FLAC 5</v>
          </cell>
          <cell r="K1650" t="str">
            <v>LACTALIS</v>
          </cell>
          <cell r="L1650" t="str">
            <v>RODRIGO</v>
          </cell>
          <cell r="M1650" t="str">
            <v>RAQUEL BARBOSA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  <cell r="H1651" t="str">
            <v>DISTRIBUIÇÃO</v>
          </cell>
          <cell r="I1651" t="str">
            <v>FOOD SERVICE</v>
          </cell>
          <cell r="J1651" t="str">
            <v>FLAC 2</v>
          </cell>
          <cell r="K1651" t="str">
            <v>LACTALIS</v>
          </cell>
          <cell r="L1651" t="str">
            <v>RODRIGO</v>
          </cell>
          <cell r="M1651" t="str">
            <v>RAQUEL BARBOSA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  <cell r="H1652" t="str">
            <v>INGREDIENTS</v>
          </cell>
          <cell r="I1652" t="str">
            <v>INGREDIENTS</v>
          </cell>
          <cell r="J1652" t="str">
            <v>DUAS RODAS</v>
          </cell>
          <cell r="K1652" t="str">
            <v>ITAMBÉ</v>
          </cell>
          <cell r="L1652" t="str">
            <v>MAURICIO</v>
          </cell>
          <cell r="M1652" t="str">
            <v>MARCELO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  <cell r="H1653" t="str">
            <v>INGREDIENTS</v>
          </cell>
          <cell r="I1653" t="str">
            <v>INGREDIENTS</v>
          </cell>
          <cell r="J1653" t="str">
            <v>HENRIQUE FERREIRA</v>
          </cell>
          <cell r="K1653" t="str">
            <v>ITAMBÉ</v>
          </cell>
          <cell r="L1653" t="str">
            <v>MAURICIO</v>
          </cell>
          <cell r="M1653" t="str">
            <v>JOEL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  <cell r="H1654" t="str">
            <v>INGREDIENTS</v>
          </cell>
          <cell r="I1654" t="str">
            <v>INGREDIENTS</v>
          </cell>
          <cell r="J1654" t="str">
            <v>DUAS RODAS</v>
          </cell>
          <cell r="K1654" t="str">
            <v>ITAMBÉ</v>
          </cell>
          <cell r="L1654" t="str">
            <v>MAURICIO</v>
          </cell>
          <cell r="M1654" t="str">
            <v>MARCELO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  <cell r="H1655" t="str">
            <v>DISTRIBUIÇÃO</v>
          </cell>
          <cell r="I1655" t="str">
            <v>FOOD SERVICE</v>
          </cell>
          <cell r="J1655" t="str">
            <v>WH FOOD SERVICE CE</v>
          </cell>
          <cell r="K1655" t="str">
            <v>ITAMBÉ</v>
          </cell>
          <cell r="L1655" t="str">
            <v>RODRIGO</v>
          </cell>
          <cell r="M1655" t="str">
            <v>MARIA LOURDES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  <cell r="H1656" t="str">
            <v>INGREDIENTS</v>
          </cell>
          <cell r="I1656" t="str">
            <v>INGREDIENTS</v>
          </cell>
          <cell r="J1656" t="str">
            <v>JOEL ELEOTÉRIO</v>
          </cell>
          <cell r="K1656" t="str">
            <v>LACTALIS</v>
          </cell>
          <cell r="L1656" t="str">
            <v>MAURICIO</v>
          </cell>
          <cell r="M1656" t="str">
            <v>JOEL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  <cell r="H1657" t="str">
            <v>INGREDIENTS</v>
          </cell>
          <cell r="I1657" t="str">
            <v>INGREDIENTS</v>
          </cell>
          <cell r="J1657" t="str">
            <v>DUAS RODAS</v>
          </cell>
          <cell r="K1657" t="str">
            <v>ITAMBÉ</v>
          </cell>
          <cell r="L1657" t="str">
            <v>MAURICIO</v>
          </cell>
          <cell r="M1657" t="str">
            <v>MARCELO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  <cell r="H1658" t="str">
            <v>DISTRIBUIÇÃO</v>
          </cell>
          <cell r="I1658" t="str">
            <v>FOOD SERVICE</v>
          </cell>
          <cell r="J1658" t="str">
            <v>WH FOOD SERVICE CE</v>
          </cell>
          <cell r="K1658" t="str">
            <v>ITAMBÉ</v>
          </cell>
          <cell r="L1658" t="str">
            <v>RODRIGO</v>
          </cell>
          <cell r="M1658" t="str">
            <v>MARIA LOURDES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  <cell r="H1659" t="str">
            <v>DISTRIBUIÇÃO</v>
          </cell>
          <cell r="I1659" t="str">
            <v>FOOD SERVICE</v>
          </cell>
          <cell r="J1659" t="str">
            <v>WH FOOD SERVICE CE</v>
          </cell>
          <cell r="K1659" t="str">
            <v>ITAMBÉ</v>
          </cell>
          <cell r="L1659" t="str">
            <v>RODRIGO</v>
          </cell>
          <cell r="M1659" t="str">
            <v>MARIA LOURDES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  <cell r="H1660" t="str">
            <v>DISTRIBUIÇÃO</v>
          </cell>
          <cell r="I1660" t="str">
            <v>FOOD SERVICE</v>
          </cell>
          <cell r="J1660" t="str">
            <v>VAGO SP</v>
          </cell>
          <cell r="K1660" t="str">
            <v>ITAMBÉ</v>
          </cell>
          <cell r="L1660" t="str">
            <v>RODRIGO</v>
          </cell>
          <cell r="M1660" t="str">
            <v>RAQUEL BARBOSA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  <cell r="H1661" t="str">
            <v>DISTRIBUIÇÃO</v>
          </cell>
          <cell r="I1661" t="str">
            <v>FOOD SERVICE</v>
          </cell>
          <cell r="J1661" t="str">
            <v>WH FOOD SERVICE CE</v>
          </cell>
          <cell r="K1661" t="str">
            <v>ITAMBÉ</v>
          </cell>
          <cell r="L1661" t="str">
            <v>RODRIGO</v>
          </cell>
          <cell r="M1661" t="str">
            <v>MARIA LOURDES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  <cell r="H1662" t="str">
            <v>DISTRIBUIÇÃO</v>
          </cell>
          <cell r="I1662" t="str">
            <v>FOOD SERVICE</v>
          </cell>
          <cell r="J1662" t="str">
            <v>WH FOOD SERVICE CE</v>
          </cell>
          <cell r="K1662" t="str">
            <v>ITAMBÉ</v>
          </cell>
          <cell r="L1662" t="str">
            <v>RODRIGO</v>
          </cell>
          <cell r="M1662" t="str">
            <v>MARIA LOURDES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  <cell r="H1663" t="str">
            <v>DISTRIBUIÇÃO</v>
          </cell>
          <cell r="I1663" t="str">
            <v>FOOD SERVICE</v>
          </cell>
          <cell r="J1663" t="str">
            <v>WH FOOD SERVICE CE</v>
          </cell>
          <cell r="K1663" t="str">
            <v>ITAMBÉ</v>
          </cell>
          <cell r="L1663" t="str">
            <v>RODRIGO</v>
          </cell>
          <cell r="M1663" t="str">
            <v>MARIA LOURDES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  <cell r="H1664" t="str">
            <v>DISTRIBUIÇÃO</v>
          </cell>
          <cell r="I1664" t="str">
            <v>FOOD SERVICE</v>
          </cell>
          <cell r="J1664" t="str">
            <v>WH FOOD SERVICE CE</v>
          </cell>
          <cell r="K1664" t="str">
            <v>ITAMBÉ</v>
          </cell>
          <cell r="L1664" t="str">
            <v>RODRIGO</v>
          </cell>
          <cell r="M1664" t="str">
            <v>MARIA LOURDES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  <cell r="H1665" t="str">
            <v>INGREDIENTS</v>
          </cell>
          <cell r="I1665" t="str">
            <v>INGREDIENTS</v>
          </cell>
          <cell r="J1665" t="str">
            <v>MARCELO RODRIGUES</v>
          </cell>
          <cell r="K1665" t="str">
            <v>LACTALIS</v>
          </cell>
          <cell r="L1665" t="str">
            <v>MAURICIO</v>
          </cell>
          <cell r="M1665" t="str">
            <v>MARCELO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  <cell r="H1666" t="str">
            <v>DISTRIBUIÇÃO</v>
          </cell>
          <cell r="I1666" t="str">
            <v>FOOD SERVICE</v>
          </cell>
          <cell r="J1666" t="str">
            <v>FLAC 3</v>
          </cell>
          <cell r="K1666" t="str">
            <v>LACTALIS</v>
          </cell>
          <cell r="L1666" t="str">
            <v>RODRIGO</v>
          </cell>
          <cell r="M1666" t="str">
            <v>RAQUEL BARBOSA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  <cell r="H1667" t="str">
            <v>INGREDIENTS</v>
          </cell>
          <cell r="I1667" t="str">
            <v>INGREDIENTS</v>
          </cell>
          <cell r="J1667" t="str">
            <v>JOEL ELEOTÉRIO</v>
          </cell>
          <cell r="K1667" t="str">
            <v>LACTALIS</v>
          </cell>
          <cell r="L1667" t="str">
            <v>MAURICIO</v>
          </cell>
          <cell r="M1667" t="str">
            <v>JOEL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  <cell r="H1668" t="str">
            <v>QSR</v>
          </cell>
          <cell r="I1668" t="str">
            <v>FOOD SERVICE</v>
          </cell>
          <cell r="J1668" t="str">
            <v>NUTRI</v>
          </cell>
          <cell r="K1668" t="str">
            <v>ITAMBÉ</v>
          </cell>
          <cell r="L1668" t="str">
            <v>PEDRO</v>
          </cell>
          <cell r="M1668" t="str">
            <v>VAGO QSR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  <cell r="H1669" t="str">
            <v>DISTRIBUIÇÃO</v>
          </cell>
          <cell r="I1669" t="str">
            <v>FOOD SERVICE</v>
          </cell>
          <cell r="J1669" t="str">
            <v>WH FOOD SERVICE CE</v>
          </cell>
          <cell r="K1669" t="str">
            <v>ITAMBÉ</v>
          </cell>
          <cell r="L1669" t="str">
            <v>RODRIGO</v>
          </cell>
          <cell r="M1669" t="str">
            <v>MARIA LOURDES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  <cell r="H1670" t="str">
            <v>DISTRIBUIÇÃO</v>
          </cell>
          <cell r="I1670" t="str">
            <v>FOOD SERVICE</v>
          </cell>
          <cell r="J1670" t="str">
            <v>WH FOOD SERVICE CE</v>
          </cell>
          <cell r="K1670" t="str">
            <v>ITAMBÉ</v>
          </cell>
          <cell r="L1670" t="str">
            <v>RODRIGO</v>
          </cell>
          <cell r="M1670" t="str">
            <v>MARIA LOURDES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  <cell r="H1671" t="str">
            <v>DISTRIBUIÇÃO</v>
          </cell>
          <cell r="I1671" t="str">
            <v>FOOD SERVICE</v>
          </cell>
          <cell r="J1671" t="str">
            <v>WH FOOD SERVICE CE</v>
          </cell>
          <cell r="K1671" t="str">
            <v>ITAMBÉ</v>
          </cell>
          <cell r="L1671" t="str">
            <v>RODRIGO</v>
          </cell>
          <cell r="M1671" t="str">
            <v>MARIA LOURDES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  <cell r="H1672" t="str">
            <v>DISTRIBUIÇÃO</v>
          </cell>
          <cell r="I1672" t="str">
            <v>FOOD SERVICE</v>
          </cell>
          <cell r="J1672" t="str">
            <v>FLAC 2</v>
          </cell>
          <cell r="K1672" t="str">
            <v>LACTALIS</v>
          </cell>
          <cell r="L1672" t="str">
            <v>RODRIGO</v>
          </cell>
          <cell r="M1672" t="str">
            <v>RAQUEL BARBOSA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  <cell r="H1673" t="str">
            <v>OUTROS</v>
          </cell>
          <cell r="I1673" t="str">
            <v>OUTROS</v>
          </cell>
          <cell r="J1673" t="str">
            <v>EDUARDO LEITE LEVE LEITE</v>
          </cell>
          <cell r="K1673" t="str">
            <v>OUTROS</v>
          </cell>
          <cell r="L1673" t="str">
            <v>OUTROS</v>
          </cell>
          <cell r="M1673" t="str">
            <v>LICITAÇÃO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  <cell r="H1674" t="str">
            <v>OUTROS</v>
          </cell>
          <cell r="I1674" t="str">
            <v>OUTROS</v>
          </cell>
          <cell r="J1674" t="str">
            <v>EDUARDO LEITE LEVE LEITE</v>
          </cell>
          <cell r="K1674" t="str">
            <v>OUTROS</v>
          </cell>
          <cell r="L1674" t="str">
            <v>OUTROS</v>
          </cell>
          <cell r="M1674" t="str">
            <v>LICITAÇÃO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  <cell r="H1675" t="str">
            <v>INGREDIENTS</v>
          </cell>
          <cell r="I1675" t="str">
            <v>INGREDIENTS</v>
          </cell>
          <cell r="J1675" t="str">
            <v>DUAS RODAS</v>
          </cell>
          <cell r="K1675" t="str">
            <v>ITAMBÉ</v>
          </cell>
          <cell r="L1675" t="str">
            <v>MAURICIO</v>
          </cell>
          <cell r="M1675" t="str">
            <v>MARCELO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  <cell r="H1676" t="str">
            <v>DISTRIBUIÇÃO</v>
          </cell>
          <cell r="I1676" t="str">
            <v>FOOD SERVICE</v>
          </cell>
          <cell r="J1676" t="str">
            <v>FLAC 1</v>
          </cell>
          <cell r="K1676" t="str">
            <v>LACTALIS</v>
          </cell>
          <cell r="L1676" t="str">
            <v>RODRIGO</v>
          </cell>
          <cell r="M1676" t="str">
            <v>RAQUEL BARBOSA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  <cell r="H1677" t="str">
            <v>DISTRIBUIÇÃO</v>
          </cell>
          <cell r="I1677" t="str">
            <v>FOOD SERVICE</v>
          </cell>
          <cell r="J1677" t="str">
            <v>FLAC 1</v>
          </cell>
          <cell r="K1677" t="str">
            <v>LACTALIS</v>
          </cell>
          <cell r="L1677" t="str">
            <v>RODRIGO</v>
          </cell>
          <cell r="M1677" t="str">
            <v>RAQUEL BARBOSA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  <cell r="H1678" t="str">
            <v>QSR</v>
          </cell>
          <cell r="I1678" t="str">
            <v>FOOD SERVICE</v>
          </cell>
          <cell r="J1678" t="str">
            <v>NUTRI</v>
          </cell>
          <cell r="K1678" t="str">
            <v>ITAMBÉ</v>
          </cell>
          <cell r="L1678" t="str">
            <v>PEDRO</v>
          </cell>
          <cell r="M1678" t="str">
            <v>VAGO QSR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  <cell r="H1679" t="str">
            <v>DISTRIBUIÇÃO</v>
          </cell>
          <cell r="I1679" t="str">
            <v>FOOD SERVICE</v>
          </cell>
          <cell r="J1679" t="str">
            <v>CLAUDIO JORGE</v>
          </cell>
          <cell r="K1679" t="str">
            <v>ITAMBÉ</v>
          </cell>
          <cell r="L1679" t="str">
            <v>RODRIGO</v>
          </cell>
          <cell r="M1679" t="str">
            <v>MARIA LOURDES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  <cell r="H1680" t="str">
            <v>DISTRIBUIÇÃO</v>
          </cell>
          <cell r="I1680" t="str">
            <v>FOOD SERVICE</v>
          </cell>
          <cell r="J1680" t="str">
            <v>WH FOOD SERVICE CE</v>
          </cell>
          <cell r="K1680" t="str">
            <v>ITAMBÉ</v>
          </cell>
          <cell r="L1680" t="str">
            <v>RODRIGO</v>
          </cell>
          <cell r="M1680" t="str">
            <v>MARIA LOURDES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  <cell r="H1681" t="str">
            <v>DISTRIBUIÇÃO</v>
          </cell>
          <cell r="I1681" t="str">
            <v>FOOD SERVICE</v>
          </cell>
          <cell r="J1681" t="str">
            <v>MARCELO DUARTE</v>
          </cell>
          <cell r="K1681" t="str">
            <v>ITAMBÉ</v>
          </cell>
          <cell r="L1681" t="str">
            <v>RODRIGO</v>
          </cell>
          <cell r="M1681" t="str">
            <v>JESSICA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  <cell r="H1682" t="str">
            <v>OUTROS</v>
          </cell>
          <cell r="I1682" t="str">
            <v>OUTROS</v>
          </cell>
          <cell r="J1682" t="str">
            <v>OUTROS</v>
          </cell>
          <cell r="K1682" t="str">
            <v>OUTROS</v>
          </cell>
          <cell r="L1682" t="str">
            <v>OUTROS</v>
          </cell>
          <cell r="M1682" t="str">
            <v>OUTROS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  <cell r="H1683" t="str">
            <v>DISTRIBUIÇÃO</v>
          </cell>
          <cell r="I1683" t="str">
            <v>FOOD SERVICE</v>
          </cell>
          <cell r="J1683" t="str">
            <v>FLAC 2</v>
          </cell>
          <cell r="K1683" t="str">
            <v>LACTALIS</v>
          </cell>
          <cell r="L1683" t="str">
            <v>RODRIGO</v>
          </cell>
          <cell r="M1683" t="str">
            <v>RAQUEL BARBOSA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  <cell r="H1684" t="str">
            <v>DISTRIBUIÇÃO</v>
          </cell>
          <cell r="I1684" t="str">
            <v>FOOD SERVICE</v>
          </cell>
          <cell r="J1684" t="str">
            <v>FLAC 2</v>
          </cell>
          <cell r="K1684" t="str">
            <v>LACTALIS</v>
          </cell>
          <cell r="L1684" t="str">
            <v>RODRIGO</v>
          </cell>
          <cell r="M1684" t="str">
            <v>RAQUEL BARBOSA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  <cell r="H1685" t="str">
            <v>DISTRIBUIÇÃO</v>
          </cell>
          <cell r="I1685" t="str">
            <v>FOOD SERVICE</v>
          </cell>
          <cell r="J1685" t="str">
            <v>FLAC 2</v>
          </cell>
          <cell r="K1685" t="str">
            <v>LACTALIS</v>
          </cell>
          <cell r="L1685" t="str">
            <v>RODRIGO</v>
          </cell>
          <cell r="M1685" t="str">
            <v>RAQUEL BARBOSA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  <cell r="H1686" t="str">
            <v>DISTRIBUIÇÃO</v>
          </cell>
          <cell r="I1686" t="str">
            <v>FOOD SERVICE</v>
          </cell>
          <cell r="J1686" t="str">
            <v>LUCIANA MARTINS</v>
          </cell>
          <cell r="K1686" t="str">
            <v>LACTALIS</v>
          </cell>
          <cell r="L1686" t="str">
            <v>RODRIGO</v>
          </cell>
          <cell r="M1686" t="str">
            <v>JESSICA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  <cell r="H1687" t="str">
            <v>DISTRIBUIÇÃO</v>
          </cell>
          <cell r="I1687" t="str">
            <v>FOOD SERVICE</v>
          </cell>
          <cell r="J1687" t="str">
            <v>WH FOOD SERVICE CE</v>
          </cell>
          <cell r="K1687" t="str">
            <v>ITAMBÉ</v>
          </cell>
          <cell r="L1687" t="str">
            <v>RODRIGO</v>
          </cell>
          <cell r="M1687" t="str">
            <v>MARIA LOURDES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  <cell r="H1688" t="str">
            <v>DISTRIBUIÇÃO</v>
          </cell>
          <cell r="I1688" t="str">
            <v>FOOD SERVICE</v>
          </cell>
          <cell r="J1688" t="str">
            <v>FLAC 3</v>
          </cell>
          <cell r="K1688" t="str">
            <v>LACTALIS</v>
          </cell>
          <cell r="L1688" t="str">
            <v>RODRIGO</v>
          </cell>
          <cell r="M1688" t="str">
            <v>RAQUEL BARBOSA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  <cell r="H1689" t="str">
            <v>INGREDIENTS</v>
          </cell>
          <cell r="I1689" t="str">
            <v>INGREDIENTS</v>
          </cell>
          <cell r="J1689" t="str">
            <v>MARCELO RODRIGUES</v>
          </cell>
          <cell r="K1689" t="str">
            <v>ITAMBÉ</v>
          </cell>
          <cell r="L1689" t="str">
            <v>MAURICIO</v>
          </cell>
          <cell r="M1689" t="str">
            <v>MARCELO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  <cell r="H1690" t="str">
            <v>DISTRIBUIÇÃO</v>
          </cell>
          <cell r="I1690" t="str">
            <v>FOOD SERVICE</v>
          </cell>
          <cell r="J1690" t="str">
            <v>JESSICA CARLA</v>
          </cell>
          <cell r="K1690" t="str">
            <v>LACTALIS</v>
          </cell>
          <cell r="L1690" t="str">
            <v>RODRIGO</v>
          </cell>
          <cell r="M1690" t="str">
            <v>JESSICA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  <cell r="H1691" t="str">
            <v>DISTRIBUIÇÃO</v>
          </cell>
          <cell r="I1691" t="str">
            <v>FOOD SERVICE</v>
          </cell>
          <cell r="J1691" t="str">
            <v>CLAUDIO JORGE/LUIZ</v>
          </cell>
          <cell r="K1691" t="str">
            <v>ITAMBÉ</v>
          </cell>
          <cell r="L1691" t="str">
            <v>RODRIGO</v>
          </cell>
          <cell r="M1691" t="str">
            <v>MARIA LOURDES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  <cell r="H1692" t="str">
            <v>INGREDIENTS</v>
          </cell>
          <cell r="I1692" t="str">
            <v>INGREDIENTS</v>
          </cell>
          <cell r="J1692" t="str">
            <v>MARCELO RODRIGUES</v>
          </cell>
          <cell r="K1692" t="str">
            <v>ITAMBÉ</v>
          </cell>
          <cell r="L1692" t="str">
            <v>MAURICIO</v>
          </cell>
          <cell r="M1692" t="str">
            <v>MARCELO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  <cell r="H1693" t="str">
            <v>DISTRIBUIÇÃO</v>
          </cell>
          <cell r="I1693" t="str">
            <v>FOOD SERVICE</v>
          </cell>
          <cell r="J1693" t="str">
            <v>WH FOOD SERVICE CE</v>
          </cell>
          <cell r="K1693" t="str">
            <v>ITAMBÉ</v>
          </cell>
          <cell r="L1693" t="str">
            <v>RODRIGO</v>
          </cell>
          <cell r="M1693" t="str">
            <v>MARIA LOURDES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  <cell r="H1694" t="str">
            <v>INGREDIENTS</v>
          </cell>
          <cell r="I1694" t="str">
            <v>INGREDIENTS</v>
          </cell>
          <cell r="J1694" t="str">
            <v>JOEL ELEOTÉRIO</v>
          </cell>
          <cell r="K1694" t="str">
            <v>ITAMBÉ</v>
          </cell>
          <cell r="L1694" t="str">
            <v>MAURICIO</v>
          </cell>
          <cell r="M1694" t="str">
            <v>JOEL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  <cell r="H1695" t="str">
            <v>DISTRIBUIÇÃO</v>
          </cell>
          <cell r="I1695" t="str">
            <v>FOOD SERVICE</v>
          </cell>
          <cell r="J1695" t="str">
            <v>JULIANA CORDEIRO</v>
          </cell>
          <cell r="K1695" t="str">
            <v>ITAMBÉ</v>
          </cell>
          <cell r="L1695" t="str">
            <v>RODRIGO</v>
          </cell>
          <cell r="M1695" t="str">
            <v>JESSICA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  <cell r="H1696" t="str">
            <v>INGREDIENTS</v>
          </cell>
          <cell r="I1696" t="str">
            <v>INGREDIENTS</v>
          </cell>
          <cell r="J1696" t="str">
            <v>HENRIQUE FERREIRA</v>
          </cell>
          <cell r="K1696" t="str">
            <v>ITAMBÉ</v>
          </cell>
          <cell r="L1696" t="str">
            <v>MAURICIO</v>
          </cell>
          <cell r="M1696" t="str">
            <v>JOEL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  <cell r="H1697" t="str">
            <v>INGREDIENTS</v>
          </cell>
          <cell r="I1697" t="str">
            <v>INGREDIENTS</v>
          </cell>
          <cell r="J1697" t="str">
            <v>JOEL ELEOTÉRIO</v>
          </cell>
          <cell r="K1697" t="str">
            <v>LACTALIS</v>
          </cell>
          <cell r="L1697" t="str">
            <v>MAURICIO</v>
          </cell>
          <cell r="M1697" t="str">
            <v>JOEL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  <cell r="H1698" t="str">
            <v>INGREDIENTS</v>
          </cell>
          <cell r="I1698" t="str">
            <v>INGREDIENTS</v>
          </cell>
          <cell r="J1698" t="str">
            <v>HENRIQUE FERREIRA</v>
          </cell>
          <cell r="K1698" t="str">
            <v>ITAMBÉ</v>
          </cell>
          <cell r="L1698" t="str">
            <v>MAURICIO</v>
          </cell>
          <cell r="M1698" t="str">
            <v>JOEL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  <cell r="H1699" t="str">
            <v>INGREDIENTS</v>
          </cell>
          <cell r="I1699" t="str">
            <v>INGREDIENTS</v>
          </cell>
          <cell r="J1699" t="str">
            <v>TATIANA NITTA</v>
          </cell>
          <cell r="K1699" t="str">
            <v>ITAMBÉ</v>
          </cell>
          <cell r="L1699" t="str">
            <v>MAURICIO</v>
          </cell>
          <cell r="M1699" t="str">
            <v>TATIANA NITTA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  <cell r="H1700" t="str">
            <v>DISTRIBUIÇÃO</v>
          </cell>
          <cell r="I1700" t="str">
            <v>FOOD SERVICE</v>
          </cell>
          <cell r="J1700" t="str">
            <v>FLAC 2</v>
          </cell>
          <cell r="K1700" t="str">
            <v>LACTALIS</v>
          </cell>
          <cell r="L1700" t="str">
            <v>RODRIGO</v>
          </cell>
          <cell r="M1700" t="str">
            <v>RAQUEL BARBOSA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  <cell r="H1701" t="str">
            <v>INGREDIENTS</v>
          </cell>
          <cell r="I1701" t="str">
            <v>INGREDIENTS</v>
          </cell>
          <cell r="J1701" t="str">
            <v>MARCELO RODRIGUES</v>
          </cell>
          <cell r="K1701" t="str">
            <v>ITAMBÉ</v>
          </cell>
          <cell r="L1701" t="str">
            <v>MAURICIO</v>
          </cell>
          <cell r="M1701" t="str">
            <v>MARCELO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  <cell r="H1702" t="str">
            <v>INGREDIENTS</v>
          </cell>
          <cell r="I1702" t="str">
            <v>INGREDIENTS</v>
          </cell>
          <cell r="J1702" t="str">
            <v>MARCELO RODRIGUES</v>
          </cell>
          <cell r="K1702" t="str">
            <v>ITAMBÉ</v>
          </cell>
          <cell r="L1702" t="str">
            <v>MAURICIO</v>
          </cell>
          <cell r="M1702" t="str">
            <v>MARCELO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  <cell r="H1703" t="str">
            <v>DISTRIBUIÇÃO</v>
          </cell>
          <cell r="I1703" t="str">
            <v>FOOD SERVICE</v>
          </cell>
          <cell r="J1703" t="str">
            <v>CLAUDIO JORGE/LUIZ</v>
          </cell>
          <cell r="K1703" t="str">
            <v>ITAMBÉ</v>
          </cell>
          <cell r="L1703" t="str">
            <v>RODRIGO</v>
          </cell>
          <cell r="M1703" t="str">
            <v>MARIA LOURDES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  <cell r="H1704" t="str">
            <v>INGREDIENTS</v>
          </cell>
          <cell r="I1704" t="str">
            <v>INGREDIENTS</v>
          </cell>
          <cell r="J1704" t="str">
            <v>MARCELO RODRIGUES</v>
          </cell>
          <cell r="K1704" t="str">
            <v>ITAMBÉ</v>
          </cell>
          <cell r="L1704" t="str">
            <v>MAURICIO</v>
          </cell>
          <cell r="M1704" t="str">
            <v>MARCELO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  <cell r="H1705" t="str">
            <v>DISTRIBUIÇÃO</v>
          </cell>
          <cell r="I1705" t="str">
            <v>FOOD SERVICE</v>
          </cell>
          <cell r="J1705" t="str">
            <v>CLAUDIO JORGE/LUIZ</v>
          </cell>
          <cell r="K1705" t="str">
            <v>ITAMBÉ</v>
          </cell>
          <cell r="L1705" t="str">
            <v>RODRIGO</v>
          </cell>
          <cell r="M1705" t="str">
            <v>MARIA LOURDES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  <cell r="H1706" t="str">
            <v>DISTRIBUIÇÃO</v>
          </cell>
          <cell r="I1706" t="str">
            <v>FOOD SERVICE</v>
          </cell>
          <cell r="J1706" t="str">
            <v>LUCIANA MARTINS</v>
          </cell>
          <cell r="K1706" t="str">
            <v>LACTALIS</v>
          </cell>
          <cell r="L1706" t="str">
            <v>RODRIGO</v>
          </cell>
          <cell r="M1706" t="str">
            <v>JESSICA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  <cell r="H1707" t="str">
            <v>DISTRIBUIÇÃO</v>
          </cell>
          <cell r="I1707" t="str">
            <v>FOOD SERVICE</v>
          </cell>
          <cell r="J1707" t="str">
            <v>FLAC 2</v>
          </cell>
          <cell r="K1707" t="str">
            <v>LACTALIS</v>
          </cell>
          <cell r="L1707" t="str">
            <v>RODRIGO</v>
          </cell>
          <cell r="M1707" t="str">
            <v>RAQUEL BARBOSA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  <cell r="H1708" t="str">
            <v>DISTRIBUIÇÃO</v>
          </cell>
          <cell r="I1708" t="str">
            <v>FOOD SERVICE</v>
          </cell>
          <cell r="J1708" t="str">
            <v>FLAC 6</v>
          </cell>
          <cell r="K1708" t="str">
            <v>LACTALIS</v>
          </cell>
          <cell r="L1708" t="str">
            <v>RODRIGO</v>
          </cell>
          <cell r="M1708" t="str">
            <v>RAQUEL BARBOSA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  <cell r="H1709" t="str">
            <v>INGREDIENTS</v>
          </cell>
          <cell r="I1709" t="str">
            <v>INGREDIENTS</v>
          </cell>
          <cell r="J1709" t="str">
            <v>DUAS RODAS</v>
          </cell>
          <cell r="K1709" t="str">
            <v>ITAMBÉ</v>
          </cell>
          <cell r="L1709" t="str">
            <v>MAURICIO</v>
          </cell>
          <cell r="M1709" t="str">
            <v>MARCELO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  <cell r="H1710" t="str">
            <v>DISTRIBUIÇÃO</v>
          </cell>
          <cell r="I1710" t="str">
            <v>FOOD SERVICE</v>
          </cell>
          <cell r="J1710" t="str">
            <v>FLAC 2</v>
          </cell>
          <cell r="K1710" t="str">
            <v>LACTALIS</v>
          </cell>
          <cell r="L1710" t="str">
            <v>RODRIGO</v>
          </cell>
          <cell r="M1710" t="str">
            <v>RAQUEL BARBOSA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  <cell r="H1711" t="str">
            <v>DISTRIBUIÇÃO</v>
          </cell>
          <cell r="I1711" t="str">
            <v>FOOD SERVICE</v>
          </cell>
          <cell r="J1711" t="str">
            <v>FLAC 6</v>
          </cell>
          <cell r="K1711" t="str">
            <v>LACTALIS</v>
          </cell>
          <cell r="L1711" t="str">
            <v>RODRIGO</v>
          </cell>
          <cell r="M1711" t="str">
            <v>RAQUEL BARBOSA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  <cell r="H1712" t="str">
            <v>QSR</v>
          </cell>
          <cell r="I1712" t="str">
            <v>FOOD SERVICE</v>
          </cell>
          <cell r="J1712" t="str">
            <v>NUTRI</v>
          </cell>
          <cell r="K1712" t="str">
            <v>LACTALIS</v>
          </cell>
          <cell r="L1712" t="str">
            <v>PEDRO</v>
          </cell>
          <cell r="M1712" t="str">
            <v>VAGO QSR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  <cell r="H1713" t="str">
            <v>QSR</v>
          </cell>
          <cell r="I1713" t="str">
            <v>FOOD SERVICE</v>
          </cell>
          <cell r="J1713" t="str">
            <v>ANA MENIQUETE</v>
          </cell>
          <cell r="K1713" t="str">
            <v>LACTALIS</v>
          </cell>
          <cell r="L1713" t="str">
            <v>PEDRO</v>
          </cell>
          <cell r="M1713" t="str">
            <v>ANA MENIQUETE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  <cell r="H1714" t="str">
            <v>QSR</v>
          </cell>
          <cell r="I1714" t="str">
            <v>FOOD SERVICE</v>
          </cell>
          <cell r="J1714" t="str">
            <v>NUTRI</v>
          </cell>
          <cell r="K1714" t="str">
            <v>LACTALIS</v>
          </cell>
          <cell r="L1714" t="str">
            <v>PEDRO</v>
          </cell>
          <cell r="M1714" t="str">
            <v>VAGO QSR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  <cell r="H1715" t="str">
            <v>DISTRIBUIÇÃO</v>
          </cell>
          <cell r="I1715" t="str">
            <v>FOOD SERVICE</v>
          </cell>
          <cell r="J1715" t="str">
            <v>MARCELO DUARTE</v>
          </cell>
          <cell r="K1715" t="str">
            <v>LACTALIS</v>
          </cell>
          <cell r="L1715" t="str">
            <v>RODRIGO</v>
          </cell>
          <cell r="M1715" t="str">
            <v>JESSICA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  <cell r="H1716" t="str">
            <v>DISTRIBUIÇÃO</v>
          </cell>
          <cell r="I1716" t="str">
            <v>FOOD SERVICE</v>
          </cell>
          <cell r="J1716" t="str">
            <v>LUCIANA MARTINS</v>
          </cell>
          <cell r="K1716" t="str">
            <v>LACTALIS</v>
          </cell>
          <cell r="L1716" t="str">
            <v>RODRIGO</v>
          </cell>
          <cell r="M1716" t="str">
            <v>JESSICA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  <cell r="H1717" t="str">
            <v>INGREDIENTS</v>
          </cell>
          <cell r="I1717" t="str">
            <v>INGREDIENTS</v>
          </cell>
          <cell r="J1717" t="str">
            <v>HENRIQUE FERREIRA</v>
          </cell>
          <cell r="K1717" t="str">
            <v>ITAMBÉ</v>
          </cell>
          <cell r="L1717" t="str">
            <v>MAURICIO</v>
          </cell>
          <cell r="M1717" t="str">
            <v>JOEL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  <cell r="H1718" t="str">
            <v>QSR</v>
          </cell>
          <cell r="I1718" t="str">
            <v>FOOD SERVICE</v>
          </cell>
          <cell r="J1718" t="str">
            <v>NUTRI</v>
          </cell>
          <cell r="K1718" t="str">
            <v>LACTALIS</v>
          </cell>
          <cell r="L1718" t="str">
            <v>PEDRO</v>
          </cell>
          <cell r="M1718" t="str">
            <v>VAGO QSR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  <cell r="H1719" t="str">
            <v>DISTRIBUIÇÃO</v>
          </cell>
          <cell r="I1719" t="str">
            <v>FOOD SERVICE</v>
          </cell>
          <cell r="J1719" t="str">
            <v>CLAUDIO JORGE/LUIZ</v>
          </cell>
          <cell r="K1719" t="str">
            <v>ITAMBÉ</v>
          </cell>
          <cell r="L1719" t="str">
            <v>RODRIGO</v>
          </cell>
          <cell r="M1719" t="str">
            <v>MARIA LOURDES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  <cell r="H1720" t="str">
            <v>QSR</v>
          </cell>
          <cell r="I1720" t="str">
            <v>FOOD SERVICE</v>
          </cell>
          <cell r="J1720" t="str">
            <v>NUTRI</v>
          </cell>
          <cell r="K1720" t="str">
            <v>LACTALIS</v>
          </cell>
          <cell r="L1720" t="str">
            <v>PEDRO</v>
          </cell>
          <cell r="M1720" t="str">
            <v>VAGO QSR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  <cell r="H1721" t="str">
            <v>QSR</v>
          </cell>
          <cell r="I1721" t="str">
            <v>FOOD SERVICE</v>
          </cell>
          <cell r="J1721" t="str">
            <v>ANA MENIQUETE</v>
          </cell>
          <cell r="K1721" t="str">
            <v>LACTALIS</v>
          </cell>
          <cell r="L1721" t="str">
            <v>PEDRO</v>
          </cell>
          <cell r="M1721" t="str">
            <v>ANA MENIQUETE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  <cell r="H1722" t="str">
            <v>DISTRIBUIÇÃO</v>
          </cell>
          <cell r="I1722" t="str">
            <v>FOOD SERVICE</v>
          </cell>
          <cell r="J1722" t="str">
            <v>MARCELO DUARTE</v>
          </cell>
          <cell r="K1722" t="str">
            <v>ITAMBÉ</v>
          </cell>
          <cell r="L1722" t="str">
            <v>RODRIGO</v>
          </cell>
          <cell r="M1722" t="str">
            <v>JESSICA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  <cell r="H1723" t="str">
            <v>DISTRIBUIÇÃO</v>
          </cell>
          <cell r="I1723" t="str">
            <v>FOOD SERVICE</v>
          </cell>
          <cell r="J1723" t="str">
            <v>CLAUDIO JORGE/LUIZ</v>
          </cell>
          <cell r="K1723" t="str">
            <v>ITAMBÉ</v>
          </cell>
          <cell r="L1723" t="str">
            <v>RODRIGO</v>
          </cell>
          <cell r="M1723" t="str">
            <v>MARIA LOURDES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  <cell r="H1724" t="str">
            <v>QSR</v>
          </cell>
          <cell r="I1724" t="str">
            <v>FOOD SERVICE</v>
          </cell>
          <cell r="J1724" t="str">
            <v>NUTRI</v>
          </cell>
          <cell r="K1724" t="str">
            <v>LACTALIS</v>
          </cell>
          <cell r="L1724" t="str">
            <v>PEDRO</v>
          </cell>
          <cell r="M1724" t="str">
            <v>VAGO QSR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  <cell r="H1725" t="str">
            <v>DISTRIBUIÇÃO</v>
          </cell>
          <cell r="I1725" t="str">
            <v>FOOD SERVICE</v>
          </cell>
          <cell r="J1725" t="str">
            <v>LUCIANA MARTINS</v>
          </cell>
          <cell r="K1725" t="str">
            <v>LACTALIS</v>
          </cell>
          <cell r="L1725" t="str">
            <v>RODRIGO</v>
          </cell>
          <cell r="M1725" t="str">
            <v>JESSICA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  <cell r="H1726" t="str">
            <v>INGREDIENTS</v>
          </cell>
          <cell r="I1726" t="str">
            <v>INGREDIENTS</v>
          </cell>
          <cell r="J1726" t="str">
            <v>MARCELO RODRIGUES</v>
          </cell>
          <cell r="K1726" t="str">
            <v>LACTALIS</v>
          </cell>
          <cell r="L1726" t="str">
            <v>MAURICIO</v>
          </cell>
          <cell r="M1726" t="str">
            <v>MARCELO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  <cell r="H1727" t="str">
            <v>DISTRIBUIÇÃO</v>
          </cell>
          <cell r="I1727" t="str">
            <v>FOOD SERVICE</v>
          </cell>
          <cell r="J1727" t="str">
            <v>FLAC 3</v>
          </cell>
          <cell r="K1727" t="str">
            <v>LACTALIS</v>
          </cell>
          <cell r="L1727" t="str">
            <v>RODRIGO</v>
          </cell>
          <cell r="M1727" t="str">
            <v>RAQUEL BARBOSA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  <cell r="H1728" t="str">
            <v>INGREDIENTS</v>
          </cell>
          <cell r="I1728" t="str">
            <v>INGREDIENTS</v>
          </cell>
          <cell r="J1728" t="str">
            <v>TATIANA NITTA</v>
          </cell>
          <cell r="K1728" t="str">
            <v>ITAMBÉ</v>
          </cell>
          <cell r="L1728" t="str">
            <v>MAURICIO</v>
          </cell>
          <cell r="M1728" t="str">
            <v>TATIANA NITTA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  <cell r="H1729" t="str">
            <v>DISTRIBUIÇÃO</v>
          </cell>
          <cell r="I1729" t="str">
            <v>FOOD SERVICE</v>
          </cell>
          <cell r="J1729" t="str">
            <v>ALEXANDRE BONANI</v>
          </cell>
          <cell r="K1729" t="str">
            <v>ITAMBÉ</v>
          </cell>
          <cell r="L1729" t="str">
            <v>RODRIGO</v>
          </cell>
          <cell r="M1729" t="str">
            <v>ALEXANDRE BONANI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  <cell r="H1730" t="str">
            <v>INGREDIENTS</v>
          </cell>
          <cell r="I1730" t="str">
            <v>INGREDIENTS</v>
          </cell>
          <cell r="J1730" t="str">
            <v>MARCELO RODRIGUES</v>
          </cell>
          <cell r="K1730" t="str">
            <v>LACTALIS</v>
          </cell>
          <cell r="L1730" t="str">
            <v>MAURICIO</v>
          </cell>
          <cell r="M1730" t="str">
            <v>MARCELO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  <cell r="H1731" t="str">
            <v>DISTRIBUIÇÃO</v>
          </cell>
          <cell r="I1731" t="str">
            <v>FOOD SERVICE</v>
          </cell>
          <cell r="J1731" t="str">
            <v>CLAUDIO JORGE/LUIZ</v>
          </cell>
          <cell r="K1731" t="str">
            <v>ITAMBÉ</v>
          </cell>
          <cell r="L1731" t="str">
            <v>RODRIGO</v>
          </cell>
          <cell r="M1731" t="str">
            <v>MARIA LOURDES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  <cell r="H1732" t="str">
            <v>DISTRIBUIÇÃO</v>
          </cell>
          <cell r="I1732" t="str">
            <v>FOOD SERVICE</v>
          </cell>
          <cell r="J1732" t="str">
            <v>FLAC 2</v>
          </cell>
          <cell r="K1732" t="str">
            <v>LACTALIS</v>
          </cell>
          <cell r="L1732" t="str">
            <v>RODRIGO</v>
          </cell>
          <cell r="M1732" t="str">
            <v>RAQUEL BARBOSA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  <cell r="H1733" t="str">
            <v>DISTRIBUIÇÃO</v>
          </cell>
          <cell r="I1733" t="str">
            <v>FOOD SERVICE</v>
          </cell>
          <cell r="J1733" t="str">
            <v>FLAC 4</v>
          </cell>
          <cell r="K1733" t="str">
            <v>LACTALIS</v>
          </cell>
          <cell r="L1733" t="str">
            <v>RODRIGO</v>
          </cell>
          <cell r="M1733" t="str">
            <v>RAQUEL BARBOSA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  <cell r="H1734" t="str">
            <v>QSR</v>
          </cell>
          <cell r="I1734" t="str">
            <v>FOOD SERVICE</v>
          </cell>
          <cell r="J1734" t="str">
            <v>NUTRI</v>
          </cell>
          <cell r="K1734" t="str">
            <v>ITAMBÉ</v>
          </cell>
          <cell r="L1734" t="str">
            <v>PEDRO</v>
          </cell>
          <cell r="M1734" t="str">
            <v>VAGO QSR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  <cell r="H1735" t="str">
            <v>DISTRIBUIÇÃO</v>
          </cell>
          <cell r="I1735" t="str">
            <v>FOOD SERVICE</v>
          </cell>
          <cell r="J1735" t="str">
            <v>CLAUDIO JORGE/LUIZ</v>
          </cell>
          <cell r="K1735" t="str">
            <v>ITAMBÉ</v>
          </cell>
          <cell r="L1735" t="str">
            <v>RODRIGO</v>
          </cell>
          <cell r="M1735" t="str">
            <v>MARIA LOURDES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  <cell r="H1736" t="str">
            <v>DISTRIBUIÇÃO</v>
          </cell>
          <cell r="I1736" t="str">
            <v>FOOD SERVICE</v>
          </cell>
          <cell r="J1736" t="str">
            <v>WH FOOD SERVICE CE</v>
          </cell>
          <cell r="K1736" t="str">
            <v>ITAMBÉ</v>
          </cell>
          <cell r="L1736" t="str">
            <v>RODRIGO</v>
          </cell>
          <cell r="M1736" t="str">
            <v>MARIA LOURDES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  <cell r="H1737" t="str">
            <v>QSR</v>
          </cell>
          <cell r="I1737" t="str">
            <v>FOOD SERVICE</v>
          </cell>
          <cell r="J1737" t="str">
            <v>NUTRI</v>
          </cell>
          <cell r="K1737" t="str">
            <v>ITAMBÉ</v>
          </cell>
          <cell r="L1737" t="str">
            <v>PEDRO</v>
          </cell>
          <cell r="M1737" t="str">
            <v>VAGO QSR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  <cell r="H1738" t="str">
            <v>DISTRIBUIÇÃO</v>
          </cell>
          <cell r="I1738" t="str">
            <v>FOOD SERVICE</v>
          </cell>
          <cell r="J1738" t="str">
            <v>CLAUDIO JORGE/LUIZ</v>
          </cell>
          <cell r="K1738" t="str">
            <v>ITAMBÉ</v>
          </cell>
          <cell r="L1738" t="str">
            <v>RODRIGO</v>
          </cell>
          <cell r="M1738" t="str">
            <v>MARIA LOURDES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  <cell r="H1739" t="str">
            <v>DISTRIBUIÇÃO</v>
          </cell>
          <cell r="I1739" t="str">
            <v>FOOD SERVICE</v>
          </cell>
          <cell r="J1739" t="str">
            <v>CLAUDIO JORGE/LUIZ</v>
          </cell>
          <cell r="K1739" t="str">
            <v>ITAMBÉ</v>
          </cell>
          <cell r="L1739" t="str">
            <v>RODRIGO</v>
          </cell>
          <cell r="M1739" t="str">
            <v>MARIA LOURDES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  <cell r="H1740" t="str">
            <v>DISTRIBUIÇÃO</v>
          </cell>
          <cell r="I1740" t="str">
            <v>FOOD SERVICE</v>
          </cell>
          <cell r="J1740" t="str">
            <v>CLAUDIO JORGE/LUIZ</v>
          </cell>
          <cell r="K1740" t="str">
            <v>ITAMBÉ</v>
          </cell>
          <cell r="L1740" t="str">
            <v>RODRIGO</v>
          </cell>
          <cell r="M1740" t="str">
            <v>MARIA LOURDES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  <cell r="H1741" t="str">
            <v>DISTRIBUIÇÃO</v>
          </cell>
          <cell r="I1741" t="str">
            <v>FOOD SERVICE</v>
          </cell>
          <cell r="J1741" t="str">
            <v>WH FOOD SERVICE CE</v>
          </cell>
          <cell r="K1741" t="str">
            <v>ITAMBÉ</v>
          </cell>
          <cell r="L1741" t="str">
            <v>RODRIGO</v>
          </cell>
          <cell r="M1741" t="str">
            <v>MARIA LOURDES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  <cell r="H1742" t="str">
            <v>QSR</v>
          </cell>
          <cell r="I1742" t="str">
            <v>FOOD SERVICE</v>
          </cell>
          <cell r="J1742" t="str">
            <v>NUTRI</v>
          </cell>
          <cell r="K1742" t="str">
            <v>ITAMBÉ</v>
          </cell>
          <cell r="L1742" t="str">
            <v>PEDRO</v>
          </cell>
          <cell r="M1742" t="str">
            <v>VAGO QSR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  <cell r="H1743" t="str">
            <v>INGREDIENTS</v>
          </cell>
          <cell r="I1743" t="str">
            <v>INGREDIENTS</v>
          </cell>
          <cell r="J1743" t="str">
            <v>DUAS RODAS</v>
          </cell>
          <cell r="K1743" t="str">
            <v>ITAMBÉ</v>
          </cell>
          <cell r="L1743" t="str">
            <v>MAURICIO</v>
          </cell>
          <cell r="M1743" t="str">
            <v>TATIANA NITTA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  <cell r="H1744" t="str">
            <v>DISTRIBUIÇÃO</v>
          </cell>
          <cell r="I1744" t="str">
            <v>FOOD SERVICE</v>
          </cell>
          <cell r="J1744" t="str">
            <v>WH FOOD SERVICE CE</v>
          </cell>
          <cell r="K1744" t="str">
            <v>ITAMBÉ</v>
          </cell>
          <cell r="L1744" t="str">
            <v>RODRIGO</v>
          </cell>
          <cell r="M1744" t="str">
            <v>MARIA LOURDES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  <cell r="H1745" t="str">
            <v>INGREDIENTS</v>
          </cell>
          <cell r="I1745" t="str">
            <v>INGREDIENTS</v>
          </cell>
          <cell r="J1745" t="str">
            <v>BA ITB FS ML FLAVORS</v>
          </cell>
          <cell r="K1745" t="str">
            <v>ITAMBÉ</v>
          </cell>
          <cell r="L1745" t="str">
            <v>MAURICIO</v>
          </cell>
          <cell r="M1745" t="str">
            <v>JOEL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  <cell r="H1746" t="str">
            <v>DISTRIBUIÇÃO</v>
          </cell>
          <cell r="I1746" t="str">
            <v>FOOD SERVICE</v>
          </cell>
          <cell r="J1746" t="str">
            <v>CLAUDIO JORGE/LUIZ</v>
          </cell>
          <cell r="K1746" t="str">
            <v>ITAMBÉ</v>
          </cell>
          <cell r="L1746" t="str">
            <v>RODRIGO</v>
          </cell>
          <cell r="M1746" t="str">
            <v>MARIA LOURDES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  <cell r="H1747" t="str">
            <v>DISTRIBUIÇÃO</v>
          </cell>
          <cell r="I1747" t="str">
            <v>FOOD SERVICE</v>
          </cell>
          <cell r="J1747" t="str">
            <v>WH FOOD SERVICE CE</v>
          </cell>
          <cell r="K1747" t="str">
            <v>ITAMBÉ</v>
          </cell>
          <cell r="L1747" t="str">
            <v>RODRIGO</v>
          </cell>
          <cell r="M1747" t="str">
            <v>MARIA LOURDES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  <cell r="H1748" t="str">
            <v>DISTRIBUIÇÃO</v>
          </cell>
          <cell r="I1748" t="str">
            <v>FOOD SERVICE</v>
          </cell>
          <cell r="J1748" t="str">
            <v>CLAUDIO JORGE</v>
          </cell>
          <cell r="K1748" t="str">
            <v>ITAMBÉ</v>
          </cell>
          <cell r="L1748" t="str">
            <v>RODRIGO</v>
          </cell>
          <cell r="M1748" t="str">
            <v>MARCO AURELIO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  <cell r="H1749" t="str">
            <v>DISTRIBUIÇÃO</v>
          </cell>
          <cell r="I1749" t="str">
            <v>FOOD SERVICE</v>
          </cell>
          <cell r="J1749" t="str">
            <v>WH FOOD SERVICE CE</v>
          </cell>
          <cell r="K1749" t="str">
            <v>ITAMBÉ</v>
          </cell>
          <cell r="L1749" t="str">
            <v>RODRIGO</v>
          </cell>
          <cell r="M1749" t="str">
            <v>MARIA LOURDES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  <cell r="H1750" t="str">
            <v>DISTRIBUIÇÃO</v>
          </cell>
          <cell r="I1750" t="str">
            <v>FOOD SERVICE</v>
          </cell>
          <cell r="J1750" t="str">
            <v>WH FOOD SERVICE CE</v>
          </cell>
          <cell r="K1750" t="str">
            <v>ITAMBÉ</v>
          </cell>
          <cell r="L1750" t="str">
            <v>RODRIGO</v>
          </cell>
          <cell r="M1750" t="str">
            <v>MARIA LOURDES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  <cell r="H1751" t="str">
            <v>DISTRIBUIÇÃO</v>
          </cell>
          <cell r="I1751" t="str">
            <v>FOOD SERVICE</v>
          </cell>
          <cell r="J1751" t="str">
            <v>WH FOOD SERVICE CE</v>
          </cell>
          <cell r="K1751" t="str">
            <v>ITAMBÉ</v>
          </cell>
          <cell r="L1751" t="str">
            <v>RODRIGO</v>
          </cell>
          <cell r="M1751" t="str">
            <v>MARIA LOURDES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  <cell r="H1752" t="str">
            <v>DISTRIBUIÇÃO</v>
          </cell>
          <cell r="I1752" t="str">
            <v>FOOD SERVICE</v>
          </cell>
          <cell r="J1752" t="str">
            <v>CLAUDIO JORGE/LUIZ</v>
          </cell>
          <cell r="K1752" t="str">
            <v>ITAMBÉ</v>
          </cell>
          <cell r="L1752" t="str">
            <v>RODRIGO</v>
          </cell>
          <cell r="M1752" t="str">
            <v>MARIA LOURDES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  <cell r="H1753" t="str">
            <v>DISTRIBUIÇÃO</v>
          </cell>
          <cell r="I1753" t="str">
            <v>FOOD SERVICE</v>
          </cell>
          <cell r="J1753" t="str">
            <v>WH FOOD SERVICE CE</v>
          </cell>
          <cell r="K1753" t="str">
            <v>ITAMBÉ</v>
          </cell>
          <cell r="L1753" t="str">
            <v>RODRIGO</v>
          </cell>
          <cell r="M1753" t="str">
            <v>MARIA LOURDES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  <cell r="H1754" t="str">
            <v>DISTRIBUIÇÃO</v>
          </cell>
          <cell r="I1754" t="str">
            <v>FOOD SERVICE</v>
          </cell>
          <cell r="J1754" t="str">
            <v>WH FOOD SERVICE CE</v>
          </cell>
          <cell r="K1754" t="str">
            <v>ITAMBÉ</v>
          </cell>
          <cell r="L1754" t="str">
            <v>RODRIGO</v>
          </cell>
          <cell r="M1754" t="str">
            <v>MARIA LOURDES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  <cell r="H1755" t="str">
            <v>DISTRIBUIÇÃO</v>
          </cell>
          <cell r="I1755" t="str">
            <v>FOOD SERVICE</v>
          </cell>
          <cell r="J1755" t="str">
            <v>CLAUDIO JORGE/LUIZ</v>
          </cell>
          <cell r="K1755" t="str">
            <v>ITAMBÉ</v>
          </cell>
          <cell r="L1755" t="str">
            <v>RODRIGO</v>
          </cell>
          <cell r="M1755" t="str">
            <v>MARIA LOURDES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  <cell r="H1756" t="str">
            <v>DISTRIBUIÇÃO</v>
          </cell>
          <cell r="I1756" t="str">
            <v>FOOD SERVICE</v>
          </cell>
          <cell r="J1756" t="str">
            <v>CLAUDIO JORGE/LUIZ</v>
          </cell>
          <cell r="K1756" t="str">
            <v>ITAMBÉ</v>
          </cell>
          <cell r="L1756" t="str">
            <v>RODRIGO</v>
          </cell>
          <cell r="M1756" t="str">
            <v>MARIA LOURDES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  <cell r="H1757" t="str">
            <v>INGREDIENTS</v>
          </cell>
          <cell r="I1757" t="str">
            <v>INGREDIENTS</v>
          </cell>
          <cell r="J1757" t="str">
            <v>HENRIQUE FERREIRA</v>
          </cell>
          <cell r="K1757" t="str">
            <v>ITAMBÉ</v>
          </cell>
          <cell r="L1757" t="str">
            <v>MAURICIO</v>
          </cell>
          <cell r="M1757" t="str">
            <v>JOEL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  <cell r="H1758" t="str">
            <v>DISTRIBUIÇÃO</v>
          </cell>
          <cell r="I1758" t="str">
            <v>FOOD SERVICE</v>
          </cell>
          <cell r="J1758" t="str">
            <v>CLAUDIO JORGE/LUIZ</v>
          </cell>
          <cell r="K1758" t="str">
            <v>ITAMBÉ</v>
          </cell>
          <cell r="L1758" t="str">
            <v>RODRIGO</v>
          </cell>
          <cell r="M1758" t="str">
            <v>MARIA LOURDES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  <cell r="H1759" t="str">
            <v>DISTRIBUIÇÃO</v>
          </cell>
          <cell r="I1759" t="str">
            <v>FOOD SERVICE</v>
          </cell>
          <cell r="J1759" t="str">
            <v>FLAC 2</v>
          </cell>
          <cell r="K1759" t="str">
            <v>LACTALIS</v>
          </cell>
          <cell r="L1759" t="str">
            <v>RODRIGO</v>
          </cell>
          <cell r="M1759" t="str">
            <v>RAQUEL BARBOSA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  <cell r="H1760" t="str">
            <v>QSR</v>
          </cell>
          <cell r="I1760" t="str">
            <v>FOOD SERVICE</v>
          </cell>
          <cell r="J1760" t="str">
            <v>VAGO QSR</v>
          </cell>
          <cell r="K1760" t="str">
            <v>ITAMBÉ</v>
          </cell>
          <cell r="L1760" t="str">
            <v>PEDRO</v>
          </cell>
          <cell r="M1760" t="str">
            <v>VAGO QSR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  <cell r="H1761" t="str">
            <v>DISTRIBUIÇÃO</v>
          </cell>
          <cell r="I1761" t="str">
            <v>FOOD SERVICE</v>
          </cell>
          <cell r="J1761" t="str">
            <v>FLAC 2</v>
          </cell>
          <cell r="K1761" t="str">
            <v>LACTALIS</v>
          </cell>
          <cell r="L1761" t="str">
            <v>RODRIGO</v>
          </cell>
          <cell r="M1761" t="str">
            <v>RAQUEL BARBOSA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  <cell r="H1762" t="str">
            <v>DISTRIBUIÇÃO</v>
          </cell>
          <cell r="I1762" t="str">
            <v>FOOD SERVICE</v>
          </cell>
          <cell r="J1762" t="str">
            <v>CLAUDIO JORGE/LUIZ</v>
          </cell>
          <cell r="K1762" t="str">
            <v>ITAMBÉ</v>
          </cell>
          <cell r="L1762" t="str">
            <v>RODRIGO</v>
          </cell>
          <cell r="M1762" t="str">
            <v>MARIA LOURDES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  <cell r="H1763" t="str">
            <v>QSR</v>
          </cell>
          <cell r="I1763" t="str">
            <v>FOOD SERVICE</v>
          </cell>
          <cell r="J1763" t="str">
            <v>NUTRI</v>
          </cell>
          <cell r="K1763" t="str">
            <v>ITAMBÉ</v>
          </cell>
          <cell r="L1763" t="str">
            <v>PEDRO</v>
          </cell>
          <cell r="M1763" t="str">
            <v>VAGO QSR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  <cell r="H1764" t="str">
            <v>DISTRIBUIÇÃO</v>
          </cell>
          <cell r="I1764" t="str">
            <v>FOOD SERVICE</v>
          </cell>
          <cell r="J1764" t="str">
            <v>WH FOOD SERVICE CE</v>
          </cell>
          <cell r="K1764" t="str">
            <v>ITAMBÉ</v>
          </cell>
          <cell r="L1764" t="str">
            <v>RODRIGO</v>
          </cell>
          <cell r="M1764" t="str">
            <v>MARIA LOURDES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  <cell r="H1765" t="str">
            <v>DISTRIBUIÇÃO</v>
          </cell>
          <cell r="I1765" t="str">
            <v>FOOD SERVICE</v>
          </cell>
          <cell r="J1765" t="str">
            <v>CLAUDIO JORGE/LUIZ</v>
          </cell>
          <cell r="K1765" t="str">
            <v>ITAMBÉ</v>
          </cell>
          <cell r="L1765" t="str">
            <v>RODRIGO</v>
          </cell>
          <cell r="M1765" t="str">
            <v>MARIA LOURDES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  <cell r="H1766" t="str">
            <v>INGREDIENTS</v>
          </cell>
          <cell r="I1766" t="str">
            <v>INGREDIENTS</v>
          </cell>
          <cell r="J1766" t="str">
            <v>BA ITB FS ML FLAVORS</v>
          </cell>
          <cell r="K1766" t="str">
            <v>ITAMBÉ</v>
          </cell>
          <cell r="L1766" t="str">
            <v>MAURICIO</v>
          </cell>
          <cell r="M1766" t="str">
            <v>JOEL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  <cell r="H1767" t="str">
            <v>DISTRIBUIÇÃO</v>
          </cell>
          <cell r="I1767" t="str">
            <v>FOOD SERVICE</v>
          </cell>
          <cell r="J1767" t="str">
            <v>FLAC 5</v>
          </cell>
          <cell r="K1767" t="str">
            <v>LACTALIS</v>
          </cell>
          <cell r="L1767" t="str">
            <v>RODRIGO</v>
          </cell>
          <cell r="M1767" t="str">
            <v>RAQUEL BARBOSA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  <cell r="H1768" t="str">
            <v>DISTRIBUIÇÃO</v>
          </cell>
          <cell r="I1768" t="str">
            <v>FOOD SERVICE</v>
          </cell>
          <cell r="J1768" t="str">
            <v>FLAC 2</v>
          </cell>
          <cell r="K1768" t="str">
            <v>LACTALIS</v>
          </cell>
          <cell r="L1768" t="str">
            <v>RODRIGO</v>
          </cell>
          <cell r="M1768" t="str">
            <v>RAQUEL BARBOSA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  <cell r="H1769" t="str">
            <v>DISTRIBUIÇÃO</v>
          </cell>
          <cell r="I1769" t="str">
            <v>FOOD SERVICE</v>
          </cell>
          <cell r="J1769" t="str">
            <v>CLAUDIO JORGE/LUIZ</v>
          </cell>
          <cell r="K1769" t="str">
            <v>ITAMBÉ</v>
          </cell>
          <cell r="L1769" t="str">
            <v>RODRIGO</v>
          </cell>
          <cell r="M1769" t="str">
            <v>MARIA LOURDES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  <cell r="H1770" t="str">
            <v>DISTRIBUIÇÃO</v>
          </cell>
          <cell r="I1770" t="str">
            <v>FOOD SERVICE</v>
          </cell>
          <cell r="J1770" t="str">
            <v>FLAC 6</v>
          </cell>
          <cell r="K1770" t="str">
            <v>LACTALIS</v>
          </cell>
          <cell r="L1770" t="str">
            <v>RODRIGO</v>
          </cell>
          <cell r="M1770" t="str">
            <v>RAQUEL BARBOSA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  <cell r="H1771" t="str">
            <v>INGREDIENTS</v>
          </cell>
          <cell r="I1771" t="str">
            <v>INGREDIENTS</v>
          </cell>
          <cell r="J1771" t="str">
            <v>TATIANA NITTA</v>
          </cell>
          <cell r="K1771" t="str">
            <v>LACTALIS</v>
          </cell>
          <cell r="L1771" t="str">
            <v>MAURICIO</v>
          </cell>
          <cell r="M1771" t="str">
            <v>TATIANA NITTA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  <cell r="H1772" t="str">
            <v>INGREDIENTS</v>
          </cell>
          <cell r="I1772" t="str">
            <v>INGREDIENTS</v>
          </cell>
          <cell r="J1772" t="str">
            <v>DUAS RODAS</v>
          </cell>
          <cell r="K1772" t="str">
            <v>ITAMBÉ</v>
          </cell>
          <cell r="L1772" t="str">
            <v>MAURICIO</v>
          </cell>
          <cell r="M1772" t="str">
            <v>MARCELO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  <cell r="H1773" t="str">
            <v>INGREDIENTS</v>
          </cell>
          <cell r="I1773" t="str">
            <v>INGREDIENTS</v>
          </cell>
          <cell r="J1773" t="str">
            <v>HENRIQUE FERREIRA</v>
          </cell>
          <cell r="K1773" t="str">
            <v>ITAMBÉ</v>
          </cell>
          <cell r="L1773" t="str">
            <v>MAURICIO</v>
          </cell>
          <cell r="M1773" t="str">
            <v>JOEL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  <cell r="H1774" t="str">
            <v>QSR</v>
          </cell>
          <cell r="I1774" t="str">
            <v>FOOD SERVICE</v>
          </cell>
          <cell r="J1774" t="str">
            <v>NUTRI</v>
          </cell>
          <cell r="K1774" t="str">
            <v>ITAMBÉ</v>
          </cell>
          <cell r="L1774" t="str">
            <v>PEDRO</v>
          </cell>
          <cell r="M1774" t="str">
            <v>VAGO QSR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  <cell r="H1775" t="str">
            <v>INGREDIENTS</v>
          </cell>
          <cell r="I1775" t="str">
            <v>INGREDIENTS</v>
          </cell>
          <cell r="J1775" t="str">
            <v>ES ITB FS RADTKE REPRES</v>
          </cell>
          <cell r="K1775" t="str">
            <v>ITAMBÉ</v>
          </cell>
          <cell r="L1775" t="str">
            <v>MAURICIO</v>
          </cell>
          <cell r="M1775" t="str">
            <v>JOEL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  <cell r="H1776" t="str">
            <v>INGREDIENTS</v>
          </cell>
          <cell r="I1776" t="str">
            <v>INGREDIENTS</v>
          </cell>
          <cell r="J1776" t="str">
            <v>ES ITB FS RADTKE REPRES</v>
          </cell>
          <cell r="K1776" t="str">
            <v>ITAMBÉ</v>
          </cell>
          <cell r="L1776" t="str">
            <v>MAURICIO</v>
          </cell>
          <cell r="M1776" t="str">
            <v>JOEL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  <cell r="H1777" t="str">
            <v>INGREDIENTS</v>
          </cell>
          <cell r="I1777" t="str">
            <v>INGREDIENTS</v>
          </cell>
          <cell r="J1777" t="str">
            <v>TATIANA NITTA</v>
          </cell>
          <cell r="K1777" t="str">
            <v>ITAMBÉ</v>
          </cell>
          <cell r="L1777" t="str">
            <v>MAURICIO</v>
          </cell>
          <cell r="M1777" t="str">
            <v>TATIANA NITTA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  <cell r="H1778" t="str">
            <v>INGREDIENTS</v>
          </cell>
          <cell r="I1778" t="str">
            <v>INGREDIENTS</v>
          </cell>
          <cell r="J1778" t="str">
            <v>JOEL ELEOTÉRIO</v>
          </cell>
          <cell r="K1778" t="str">
            <v>LACTALIS</v>
          </cell>
          <cell r="L1778" t="str">
            <v>MAURICIO</v>
          </cell>
          <cell r="M1778" t="str">
            <v>JOEL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  <cell r="H1779" t="str">
            <v>DISTRIBUIÇÃO</v>
          </cell>
          <cell r="I1779" t="str">
            <v>FOOD SERVICE</v>
          </cell>
          <cell r="J1779" t="str">
            <v>FLAC 2</v>
          </cell>
          <cell r="K1779" t="str">
            <v>LACTALIS</v>
          </cell>
          <cell r="L1779" t="str">
            <v>RODRIGO</v>
          </cell>
          <cell r="M1779" t="str">
            <v>RAQUEL BARBOSA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  <cell r="H1780" t="str">
            <v>DISTRIBUIÇÃO</v>
          </cell>
          <cell r="I1780" t="str">
            <v>FOOD SERVICE</v>
          </cell>
          <cell r="J1780" t="str">
            <v>CLAUDIO JORGE/AMANDA SANDS</v>
          </cell>
          <cell r="K1780" t="str">
            <v>LACTALIS</v>
          </cell>
          <cell r="L1780" t="str">
            <v>RODRIGO</v>
          </cell>
          <cell r="M1780" t="str">
            <v>MARIA LOURDES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  <cell r="H1781" t="str">
            <v>DISTRIBUIÇÃO</v>
          </cell>
          <cell r="I1781" t="str">
            <v>FOOD SERVICE</v>
          </cell>
          <cell r="J1781" t="str">
            <v>CLAUDIO JORGE</v>
          </cell>
          <cell r="K1781" t="str">
            <v>ITAMBÉ</v>
          </cell>
          <cell r="L1781" t="str">
            <v>RODRIGO</v>
          </cell>
          <cell r="M1781" t="str">
            <v>MARCO AURELIO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  <cell r="H1782" t="str">
            <v>INGREDIENTS</v>
          </cell>
          <cell r="I1782" t="str">
            <v>INGREDIENTS</v>
          </cell>
          <cell r="J1782" t="str">
            <v>DUAS RODAS</v>
          </cell>
          <cell r="K1782" t="str">
            <v>ITAMBÉ</v>
          </cell>
          <cell r="L1782" t="str">
            <v>MAURICIO</v>
          </cell>
          <cell r="M1782" t="str">
            <v>MARCELO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  <cell r="H1783" t="str">
            <v>DISTRIBUIÇÃO</v>
          </cell>
          <cell r="I1783" t="str">
            <v>FOOD SERVICE</v>
          </cell>
          <cell r="J1783" t="str">
            <v>WH FOOD SERVICE CE</v>
          </cell>
          <cell r="K1783" t="str">
            <v>ITAMBÉ</v>
          </cell>
          <cell r="L1783" t="str">
            <v>RODRIGO</v>
          </cell>
          <cell r="M1783" t="str">
            <v>MARIA LOURDES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  <cell r="H1784" t="str">
            <v>DISTRIBUIÇÃO</v>
          </cell>
          <cell r="I1784" t="str">
            <v>FOOD SERVICE</v>
          </cell>
          <cell r="J1784" t="str">
            <v>ALEXANDRE BONANI</v>
          </cell>
          <cell r="K1784" t="str">
            <v>ITAMBÉ</v>
          </cell>
          <cell r="L1784" t="str">
            <v>RODRIGO</v>
          </cell>
          <cell r="M1784" t="str">
            <v>ALEXANDRE BONANI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  <cell r="H1785" t="str">
            <v>INGREDIENTS</v>
          </cell>
          <cell r="I1785" t="str">
            <v>INGREDIENTS</v>
          </cell>
          <cell r="J1785" t="str">
            <v>DUAS RODAS</v>
          </cell>
          <cell r="K1785" t="str">
            <v>ITAMBÉ</v>
          </cell>
          <cell r="L1785" t="str">
            <v>MAURICIO</v>
          </cell>
          <cell r="M1785" t="str">
            <v>TATIANA NITTA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  <cell r="H1786" t="str">
            <v>INGREDIENTS</v>
          </cell>
          <cell r="I1786" t="str">
            <v>INGREDIENTS</v>
          </cell>
          <cell r="J1786" t="str">
            <v>HENRIQUE FERREIRA</v>
          </cell>
          <cell r="K1786" t="str">
            <v>ITAMBÉ</v>
          </cell>
          <cell r="L1786" t="str">
            <v>MAURICIO</v>
          </cell>
          <cell r="M1786" t="str">
            <v>JOEL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  <cell r="H1787" t="str">
            <v>DISTRIBUIÇÃO</v>
          </cell>
          <cell r="I1787" t="str">
            <v>FOOD SERVICE</v>
          </cell>
          <cell r="J1787" t="str">
            <v>VAGO SP</v>
          </cell>
          <cell r="K1787" t="str">
            <v>ITAMBÉ</v>
          </cell>
          <cell r="L1787" t="str">
            <v>RODRIGO</v>
          </cell>
          <cell r="M1787" t="str">
            <v>RAQUEL BARBOSA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  <cell r="H1788" t="str">
            <v>DISTRIBUIÇÃO</v>
          </cell>
          <cell r="I1788" t="str">
            <v>FOOD SERVICE</v>
          </cell>
          <cell r="J1788" t="str">
            <v>FLAC 3</v>
          </cell>
          <cell r="K1788" t="str">
            <v>LACTALIS</v>
          </cell>
          <cell r="L1788" t="str">
            <v>RODRIGO</v>
          </cell>
          <cell r="M1788" t="str">
            <v>RAQUEL BARBOSA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  <cell r="H1789" t="str">
            <v>DISTRIBUIÇÃO</v>
          </cell>
          <cell r="I1789" t="str">
            <v>FOOD SERVICE</v>
          </cell>
          <cell r="J1789" t="str">
            <v>CLAUDIO JORGE/LUIZ</v>
          </cell>
          <cell r="K1789" t="str">
            <v>ITAMBÉ</v>
          </cell>
          <cell r="L1789" t="str">
            <v>RODRIGO</v>
          </cell>
          <cell r="M1789" t="str">
            <v>MARIA LOURDES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  <cell r="H1790" t="str">
            <v>DISTRIBUIÇÃO</v>
          </cell>
          <cell r="I1790" t="str">
            <v>FOOD SERVICE</v>
          </cell>
          <cell r="J1790" t="str">
            <v>CLAUDIO JORGE</v>
          </cell>
          <cell r="K1790" t="str">
            <v>ITAMBÉ</v>
          </cell>
          <cell r="L1790" t="str">
            <v>RODRIGO</v>
          </cell>
          <cell r="M1790" t="str">
            <v>MARCO AURELIO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  <cell r="H1791" t="str">
            <v>INGREDIENTS</v>
          </cell>
          <cell r="I1791" t="str">
            <v>INGREDIENTS</v>
          </cell>
          <cell r="J1791" t="str">
            <v>SP ITB FS IKM REPRESENTACOES</v>
          </cell>
          <cell r="K1791" t="str">
            <v>ITAMBÉ</v>
          </cell>
          <cell r="L1791" t="str">
            <v>MAURICIO</v>
          </cell>
          <cell r="M1791" t="str">
            <v>TATIANA NITTA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  <cell r="H1792" t="str">
            <v>INGREDIENTS</v>
          </cell>
          <cell r="I1792" t="str">
            <v>INGREDIENTS</v>
          </cell>
          <cell r="J1792" t="str">
            <v>SP ITB FS LUIZ PEREIRA</v>
          </cell>
          <cell r="K1792" t="str">
            <v>ITAMBÉ</v>
          </cell>
          <cell r="L1792" t="str">
            <v>MAURICIO</v>
          </cell>
          <cell r="M1792" t="str">
            <v>TATIANA NITTA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  <cell r="H1793" t="str">
            <v>DISTRIBUIÇÃO</v>
          </cell>
          <cell r="I1793" t="str">
            <v>FOOD SERVICE</v>
          </cell>
          <cell r="J1793" t="str">
            <v>MARCELO DUARTE</v>
          </cell>
          <cell r="K1793" t="str">
            <v>ITAMBÉ</v>
          </cell>
          <cell r="L1793" t="str">
            <v>RODRIGO</v>
          </cell>
          <cell r="M1793" t="str">
            <v>JESSICA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  <cell r="H1794" t="str">
            <v>QSR</v>
          </cell>
          <cell r="I1794" t="str">
            <v>FOOD SERVICE</v>
          </cell>
          <cell r="J1794" t="str">
            <v>NUTRI</v>
          </cell>
          <cell r="K1794" t="str">
            <v>ITAMBÉ</v>
          </cell>
          <cell r="L1794" t="str">
            <v>PEDRO</v>
          </cell>
          <cell r="M1794" t="str">
            <v>VAGO QSR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  <cell r="H1795" t="str">
            <v>DISTRIBUIÇÃO</v>
          </cell>
          <cell r="I1795" t="str">
            <v>FOOD SERVICE</v>
          </cell>
          <cell r="J1795" t="str">
            <v>CLAUDIO JORGE/LUIZ</v>
          </cell>
          <cell r="K1795" t="str">
            <v>ITAMBÉ</v>
          </cell>
          <cell r="L1795" t="str">
            <v>RODRIGO</v>
          </cell>
          <cell r="M1795" t="str">
            <v>MARIA LOURDES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  <cell r="H1796" t="str">
            <v>INGREDIENTS</v>
          </cell>
          <cell r="I1796" t="str">
            <v>INGREDIENTS</v>
          </cell>
          <cell r="J1796" t="str">
            <v>JOEL ELEOTÉRIO</v>
          </cell>
          <cell r="K1796" t="str">
            <v>LACTALIS</v>
          </cell>
          <cell r="L1796" t="str">
            <v>MAURICIO</v>
          </cell>
          <cell r="M1796" t="str">
            <v>JOEL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  <cell r="H1797" t="str">
            <v>DISTRIBUIÇÃO</v>
          </cell>
          <cell r="I1797" t="str">
            <v>FOOD SERVICE</v>
          </cell>
          <cell r="J1797" t="str">
            <v>VAGO SP</v>
          </cell>
          <cell r="K1797" t="str">
            <v>LACTALIS</v>
          </cell>
          <cell r="L1797" t="str">
            <v>RODRIGO</v>
          </cell>
          <cell r="M1797" t="str">
            <v>RAQUEL BARBOSA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  <cell r="H1798" t="str">
            <v>INGREDIENTS</v>
          </cell>
          <cell r="I1798" t="str">
            <v>INGREDIENTS</v>
          </cell>
          <cell r="J1798" t="str">
            <v>HENRIQUE FERREIRA</v>
          </cell>
          <cell r="K1798" t="str">
            <v>ITAMBÉ</v>
          </cell>
          <cell r="L1798" t="str">
            <v>MAURICIO</v>
          </cell>
          <cell r="M1798" t="str">
            <v>JOEL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  <cell r="H1799" t="str">
            <v>DISTRIBUIÇÃO</v>
          </cell>
          <cell r="I1799" t="str">
            <v>FOOD SERVICE</v>
          </cell>
          <cell r="J1799" t="str">
            <v>CLAUDIO JORGE/LUIZ</v>
          </cell>
          <cell r="K1799" t="str">
            <v>ITAMBÉ</v>
          </cell>
          <cell r="L1799" t="str">
            <v>RODRIGO</v>
          </cell>
          <cell r="M1799" t="str">
            <v>MARIA LOURDES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  <cell r="H1800" t="str">
            <v>DISTRIBUIÇÃO</v>
          </cell>
          <cell r="I1800" t="str">
            <v>FOOD SERVICE</v>
          </cell>
          <cell r="J1800" t="str">
            <v>VAGO SP</v>
          </cell>
          <cell r="K1800" t="str">
            <v>LACTALIS</v>
          </cell>
          <cell r="L1800" t="str">
            <v>RODRIGO</v>
          </cell>
          <cell r="M1800" t="str">
            <v>RAQUEL BARBOSA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  <cell r="H1801" t="str">
            <v>INGREDIENTS</v>
          </cell>
          <cell r="I1801" t="str">
            <v>INGREDIENTS</v>
          </cell>
          <cell r="J1801" t="str">
            <v>DUAS RODAS</v>
          </cell>
          <cell r="K1801" t="str">
            <v>ITAMBÉ</v>
          </cell>
          <cell r="L1801" t="str">
            <v>MAURICIO</v>
          </cell>
          <cell r="M1801" t="str">
            <v>MARCELO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  <cell r="H1802" t="str">
            <v>DISTRIBUIÇÃO</v>
          </cell>
          <cell r="I1802" t="str">
            <v>FOOD SERVICE</v>
          </cell>
          <cell r="J1802" t="str">
            <v>CLAUDIO JORGE/LUIZ</v>
          </cell>
          <cell r="K1802" t="str">
            <v>ITAMBÉ</v>
          </cell>
          <cell r="L1802" t="str">
            <v>RODRIGO</v>
          </cell>
          <cell r="M1802" t="str">
            <v>MARIA LOURDES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  <cell r="H1803" t="str">
            <v>DISTRIBUIÇÃO</v>
          </cell>
          <cell r="I1803" t="str">
            <v>FOOD SERVICE</v>
          </cell>
          <cell r="J1803" t="str">
            <v>ANGELICA BATISTELA</v>
          </cell>
          <cell r="K1803" t="str">
            <v>ITAMBÉ</v>
          </cell>
          <cell r="L1803" t="str">
            <v>RODRIGO</v>
          </cell>
          <cell r="M1803" t="str">
            <v>ANGELICA BATISTELA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  <cell r="H1804" t="str">
            <v>INGREDIENTS</v>
          </cell>
          <cell r="I1804" t="str">
            <v>INGREDIENTS</v>
          </cell>
          <cell r="J1804" t="str">
            <v>DUAS RODAS</v>
          </cell>
          <cell r="K1804" t="str">
            <v>ITAMBÉ</v>
          </cell>
          <cell r="L1804" t="str">
            <v>MAURICIO</v>
          </cell>
          <cell r="M1804" t="str">
            <v>TATIANA NITTA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  <cell r="H1805" t="str">
            <v>INGREDIENTS</v>
          </cell>
          <cell r="I1805" t="str">
            <v>INGREDIENTS</v>
          </cell>
          <cell r="J1805" t="str">
            <v>TATIANA NITTA</v>
          </cell>
          <cell r="K1805" t="str">
            <v>ITAMBÉ</v>
          </cell>
          <cell r="L1805" t="str">
            <v>MAURICIO</v>
          </cell>
          <cell r="M1805" t="str">
            <v>TATIANA NITTA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  <cell r="H1806" t="str">
            <v>INGREDIENTS</v>
          </cell>
          <cell r="I1806" t="str">
            <v>INGREDIENTS</v>
          </cell>
          <cell r="J1806" t="str">
            <v>MARCELO RODRIGUES</v>
          </cell>
          <cell r="K1806" t="str">
            <v>ITAMBÉ</v>
          </cell>
          <cell r="L1806" t="str">
            <v>MAURICIO</v>
          </cell>
          <cell r="M1806" t="str">
            <v>MARCELO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  <cell r="H1807" t="str">
            <v>DISTRIBUIÇÃO</v>
          </cell>
          <cell r="I1807" t="str">
            <v>FOOD SERVICE</v>
          </cell>
          <cell r="J1807" t="str">
            <v>MARCELO SILVA</v>
          </cell>
          <cell r="K1807" t="str">
            <v>ITAMBÉ</v>
          </cell>
          <cell r="L1807" t="str">
            <v>RODRIGO</v>
          </cell>
          <cell r="M1807" t="str">
            <v>CELIO MARTINS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  <cell r="H1808" t="str">
            <v>INGREDIENTS</v>
          </cell>
          <cell r="I1808" t="str">
            <v>INGREDIENTS</v>
          </cell>
          <cell r="J1808" t="str">
            <v>MARCELO RODRIGUES</v>
          </cell>
          <cell r="K1808" t="str">
            <v>ITAMBÉ</v>
          </cell>
          <cell r="L1808" t="str">
            <v>MAURICIO</v>
          </cell>
          <cell r="M1808" t="str">
            <v>MARCELO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  <cell r="H1809" t="str">
            <v>DISTRIBUIÇÃO</v>
          </cell>
          <cell r="I1809" t="str">
            <v>FOOD SERVICE</v>
          </cell>
          <cell r="J1809" t="str">
            <v>LUCIANA MARTINS</v>
          </cell>
          <cell r="K1809" t="str">
            <v>ITAMBÉ</v>
          </cell>
          <cell r="L1809" t="str">
            <v>RODRIGO</v>
          </cell>
          <cell r="M1809" t="str">
            <v>JESSICA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  <cell r="H1810" t="str">
            <v>INGREDIENTS</v>
          </cell>
          <cell r="I1810" t="str">
            <v>INGREDIENTS</v>
          </cell>
          <cell r="J1810" t="str">
            <v>FERREIRA MELO</v>
          </cell>
          <cell r="K1810" t="str">
            <v>LACTALIS</v>
          </cell>
          <cell r="L1810" t="str">
            <v>MAURICIO</v>
          </cell>
          <cell r="M1810" t="str">
            <v>JOEL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  <cell r="H1811" t="str">
            <v>DISTRIBUIÇÃO</v>
          </cell>
          <cell r="I1811" t="str">
            <v>FOOD SERVICE</v>
          </cell>
          <cell r="J1811" t="str">
            <v>CLAUDIO JORGE/LUIZ</v>
          </cell>
          <cell r="K1811" t="str">
            <v>ITAMBÉ</v>
          </cell>
          <cell r="L1811" t="str">
            <v>RODRIGO</v>
          </cell>
          <cell r="M1811" t="str">
            <v>MARIA LOURDES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  <cell r="H1812" t="str">
            <v>DISTRIBUIÇÃO</v>
          </cell>
          <cell r="I1812" t="str">
            <v>FOOD SERVICE</v>
          </cell>
          <cell r="J1812" t="str">
            <v>WH FOOD SERVICE CE</v>
          </cell>
          <cell r="K1812" t="str">
            <v>ITAMBÉ</v>
          </cell>
          <cell r="L1812" t="str">
            <v>RODRIGO</v>
          </cell>
          <cell r="M1812" t="str">
            <v>MARIA LOURDES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  <cell r="H1813" t="str">
            <v>DISTRIBUIÇÃO</v>
          </cell>
          <cell r="I1813" t="str">
            <v>FOOD SERVICE</v>
          </cell>
          <cell r="J1813" t="str">
            <v>CLAUDIO JORGE/LUIZ</v>
          </cell>
          <cell r="K1813" t="str">
            <v>ITAMBÉ</v>
          </cell>
          <cell r="L1813" t="str">
            <v>RODRIGO</v>
          </cell>
          <cell r="M1813" t="str">
            <v>MARIA LOURDES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  <cell r="H1814" t="str">
            <v>DISTRIBUIÇÃO</v>
          </cell>
          <cell r="I1814" t="str">
            <v>FOOD SERVICE</v>
          </cell>
          <cell r="J1814" t="str">
            <v>CLAUDIO JORGE</v>
          </cell>
          <cell r="K1814" t="str">
            <v>ITAMBÉ</v>
          </cell>
          <cell r="L1814" t="str">
            <v>RODRIGO</v>
          </cell>
          <cell r="M1814" t="str">
            <v>MARIA LOURDES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  <cell r="H1815" t="str">
            <v>DISTRIBUIÇÃO</v>
          </cell>
          <cell r="I1815" t="str">
            <v>FOOD SERVICE</v>
          </cell>
          <cell r="J1815" t="str">
            <v>SP ITB FS FLAC REP.E COMERCIO</v>
          </cell>
          <cell r="K1815" t="str">
            <v>ITAMBÉ</v>
          </cell>
          <cell r="L1815" t="str">
            <v>RODRIGO</v>
          </cell>
          <cell r="M1815" t="str">
            <v>RAQUEL BARBOSA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  <cell r="H1816" t="str">
            <v>DISTRIBUIÇÃO</v>
          </cell>
          <cell r="I1816" t="str">
            <v>FOOD SERVICE</v>
          </cell>
          <cell r="J1816" t="str">
            <v>ALEXANDRE BONANI</v>
          </cell>
          <cell r="K1816" t="str">
            <v>LACTALIS</v>
          </cell>
          <cell r="L1816" t="str">
            <v>RODRIGO</v>
          </cell>
          <cell r="M1816" t="str">
            <v>ALEXANDRE BONANI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  <cell r="H1817" t="str">
            <v>INGREDIENTS</v>
          </cell>
          <cell r="I1817" t="str">
            <v>INGREDIENTS</v>
          </cell>
          <cell r="J1817" t="str">
            <v>MARCELO RODRIGUES</v>
          </cell>
          <cell r="K1817" t="str">
            <v>LACTALIS</v>
          </cell>
          <cell r="L1817" t="str">
            <v>MAURICIO</v>
          </cell>
          <cell r="M1817" t="str">
            <v>MARCELO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  <cell r="H1818" t="str">
            <v>DISTRIBUIÇÃO</v>
          </cell>
          <cell r="I1818" t="str">
            <v>FOOD SERVICE</v>
          </cell>
          <cell r="J1818" t="str">
            <v>VAGO SP</v>
          </cell>
          <cell r="K1818" t="str">
            <v>ITAMBÉ</v>
          </cell>
          <cell r="L1818" t="str">
            <v>RODRIGO</v>
          </cell>
          <cell r="M1818" t="str">
            <v>RAQUEL BARBOSA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  <cell r="H1819" t="str">
            <v>INGREDIENTS</v>
          </cell>
          <cell r="I1819" t="str">
            <v>INGREDIENTS</v>
          </cell>
          <cell r="J1819" t="str">
            <v>TATIANA NITTA</v>
          </cell>
          <cell r="K1819" t="str">
            <v>ITAMBÉ</v>
          </cell>
          <cell r="L1819" t="str">
            <v>MAURICIO</v>
          </cell>
          <cell r="M1819" t="str">
            <v>TATIANA NITTA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  <cell r="H1820" t="str">
            <v>DISTRIBUIÇÃO</v>
          </cell>
          <cell r="I1820" t="str">
            <v>FOOD SERVICE</v>
          </cell>
          <cell r="J1820" t="str">
            <v>SP ITB FS FLAC REP.E COMERCIO</v>
          </cell>
          <cell r="K1820" t="str">
            <v>ITAMBÉ</v>
          </cell>
          <cell r="L1820" t="str">
            <v>RODRIGO</v>
          </cell>
          <cell r="M1820" t="str">
            <v>RAQUEL BARBOSA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  <cell r="H1821" t="str">
            <v>QSR</v>
          </cell>
          <cell r="I1821" t="str">
            <v>FOOD SERVICE</v>
          </cell>
          <cell r="J1821" t="str">
            <v>NUTRI</v>
          </cell>
          <cell r="K1821" t="str">
            <v>ITAMBÉ</v>
          </cell>
          <cell r="L1821" t="str">
            <v>PEDRO</v>
          </cell>
          <cell r="M1821" t="str">
            <v>VAGO QSR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  <cell r="H1822" t="str">
            <v>INGREDIENTS</v>
          </cell>
          <cell r="I1822" t="str">
            <v>INGREDIENTS</v>
          </cell>
          <cell r="J1822" t="str">
            <v>MARCELO RODRIGUES</v>
          </cell>
          <cell r="K1822" t="str">
            <v>ITAMBÉ</v>
          </cell>
          <cell r="L1822" t="str">
            <v>MAURICIO</v>
          </cell>
          <cell r="M1822" t="str">
            <v>MARCELO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  <cell r="H1823" t="str">
            <v>DISTRIBUIÇÃO</v>
          </cell>
          <cell r="I1823" t="str">
            <v>FOOD SERVICE</v>
          </cell>
          <cell r="J1823" t="str">
            <v>CLAUDIO JORGE/LUIZ</v>
          </cell>
          <cell r="K1823" t="str">
            <v>ITAMBÉ</v>
          </cell>
          <cell r="L1823" t="str">
            <v>RODRIGO</v>
          </cell>
          <cell r="M1823" t="str">
            <v>MARIA LOURDES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  <cell r="H1824" t="str">
            <v>INGREDIENTS</v>
          </cell>
          <cell r="I1824" t="str">
            <v>INGREDIENTS</v>
          </cell>
          <cell r="J1824" t="str">
            <v>DUAS RODAS</v>
          </cell>
          <cell r="K1824" t="str">
            <v>ITAMBÉ</v>
          </cell>
          <cell r="L1824" t="str">
            <v>MAURICIO</v>
          </cell>
          <cell r="M1824" t="str">
            <v>MARCELO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  <cell r="H1825" t="str">
            <v>INGREDIENTS</v>
          </cell>
          <cell r="I1825" t="str">
            <v>INGREDIENTS</v>
          </cell>
          <cell r="J1825" t="str">
            <v>MARCELO RODRIGUES</v>
          </cell>
          <cell r="K1825" t="str">
            <v>ITAMBÉ</v>
          </cell>
          <cell r="L1825" t="str">
            <v>MAURICIO</v>
          </cell>
          <cell r="M1825" t="str">
            <v>MARCELO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  <cell r="H1826" t="str">
            <v>INGREDIENTS</v>
          </cell>
          <cell r="I1826" t="str">
            <v>INGREDIENTS</v>
          </cell>
          <cell r="J1826" t="str">
            <v>SP ITB FS LUIZ PEREIRA</v>
          </cell>
          <cell r="K1826" t="str">
            <v>ITAMBÉ</v>
          </cell>
          <cell r="L1826" t="str">
            <v>MAURICIO</v>
          </cell>
          <cell r="M1826" t="str">
            <v>TATIANA NITTA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  <cell r="H1827" t="str">
            <v>INGREDIENTS</v>
          </cell>
          <cell r="I1827" t="str">
            <v>INGREDIENTS</v>
          </cell>
          <cell r="J1827" t="str">
            <v>SP ITB FS LUIZ PEREIRA</v>
          </cell>
          <cell r="K1827" t="str">
            <v>ITAMBÉ</v>
          </cell>
          <cell r="L1827" t="str">
            <v>MAURICIO</v>
          </cell>
          <cell r="M1827" t="str">
            <v>TATIANA NITTA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  <cell r="H1828" t="str">
            <v>INGREDIENTS</v>
          </cell>
          <cell r="I1828" t="str">
            <v>INGREDIENTS</v>
          </cell>
          <cell r="J1828" t="str">
            <v>MARCELO RODRIGUES</v>
          </cell>
          <cell r="K1828" t="str">
            <v>ITAMBÉ</v>
          </cell>
          <cell r="L1828" t="str">
            <v>MAURICIO</v>
          </cell>
          <cell r="M1828" t="str">
            <v>MARCELO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  <cell r="H1829" t="str">
            <v>INGREDIENTS</v>
          </cell>
          <cell r="I1829" t="str">
            <v>INGREDIENTS</v>
          </cell>
          <cell r="J1829" t="str">
            <v>DUAS RODAS</v>
          </cell>
          <cell r="K1829" t="str">
            <v>ITAMBÉ</v>
          </cell>
          <cell r="L1829" t="str">
            <v>MAURICIO</v>
          </cell>
          <cell r="M1829" t="str">
            <v>MARCELO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  <cell r="H1830" t="str">
            <v>DISTRIBUIÇÃO</v>
          </cell>
          <cell r="I1830" t="str">
            <v>FOOD SERVICE</v>
          </cell>
          <cell r="J1830" t="str">
            <v>VAGO SP</v>
          </cell>
          <cell r="K1830" t="str">
            <v>ITAMBÉ</v>
          </cell>
          <cell r="L1830" t="str">
            <v>RODRIGO</v>
          </cell>
          <cell r="M1830" t="str">
            <v>RAQUEL BARBOSA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  <cell r="H1831" t="str">
            <v>INGREDIENTS</v>
          </cell>
          <cell r="I1831" t="str">
            <v>INGREDIENTS</v>
          </cell>
          <cell r="J1831" t="str">
            <v>MARCELO RODRIGUES</v>
          </cell>
          <cell r="K1831" t="str">
            <v>ITAMBÉ</v>
          </cell>
          <cell r="L1831" t="str">
            <v>MAURICIO</v>
          </cell>
          <cell r="M1831" t="str">
            <v>MARCELO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  <cell r="H1832" t="str">
            <v>INGREDIENTS</v>
          </cell>
          <cell r="I1832" t="str">
            <v>INGREDIENTS</v>
          </cell>
          <cell r="J1832" t="str">
            <v>MARCELO RODRIGUES</v>
          </cell>
          <cell r="K1832" t="str">
            <v>ITAMBÉ</v>
          </cell>
          <cell r="L1832" t="str">
            <v>MAURICIO</v>
          </cell>
          <cell r="M1832" t="str">
            <v>MARCELO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  <cell r="H1833" t="str">
            <v>DISTRIBUIÇÃO</v>
          </cell>
          <cell r="I1833" t="str">
            <v>FOOD SERVICE</v>
          </cell>
          <cell r="J1833" t="str">
            <v>CLAUDIO JORGE</v>
          </cell>
          <cell r="K1833" t="str">
            <v>ITAMBÉ</v>
          </cell>
          <cell r="L1833" t="str">
            <v>RODRIGO</v>
          </cell>
          <cell r="M1833" t="str">
            <v>MARCO AURELIO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  <cell r="H1834" t="str">
            <v>INGREDIENTS</v>
          </cell>
          <cell r="I1834" t="str">
            <v>INGREDIENTS</v>
          </cell>
          <cell r="J1834" t="str">
            <v>SP ITB FS IKM REPRESENTACOES</v>
          </cell>
          <cell r="K1834" t="str">
            <v>ITAMBÉ</v>
          </cell>
          <cell r="L1834" t="str">
            <v>MAURICIO</v>
          </cell>
          <cell r="M1834" t="str">
            <v>TATIANA NITTA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  <cell r="H1835" t="str">
            <v>INGREDIENTS</v>
          </cell>
          <cell r="I1835" t="str">
            <v>INGREDIENTS</v>
          </cell>
          <cell r="J1835" t="str">
            <v>HENRIQUE FERREIRA</v>
          </cell>
          <cell r="K1835" t="str">
            <v>ITAMBÉ</v>
          </cell>
          <cell r="L1835" t="str">
            <v>MAURICIO</v>
          </cell>
          <cell r="M1835" t="str">
            <v>JOEL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  <cell r="H1836" t="str">
            <v>INGREDIENTS</v>
          </cell>
          <cell r="I1836" t="str">
            <v>INGREDIENTS</v>
          </cell>
          <cell r="J1836" t="str">
            <v>DUAS RODAS</v>
          </cell>
          <cell r="K1836" t="str">
            <v>ITAMBÉ</v>
          </cell>
          <cell r="L1836" t="str">
            <v>MAURICIO</v>
          </cell>
          <cell r="M1836" t="str">
            <v>MARCELO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  <cell r="H1837" t="str">
            <v>DISTRIBUIÇÃO</v>
          </cell>
          <cell r="I1837" t="str">
            <v>FOOD SERVICE</v>
          </cell>
          <cell r="J1837" t="str">
            <v>CLAUDIO JORGE</v>
          </cell>
          <cell r="K1837" t="str">
            <v>ITAMBÉ</v>
          </cell>
          <cell r="L1837" t="str">
            <v>RODRIGO</v>
          </cell>
          <cell r="M1837" t="str">
            <v>MARCO AURELIO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  <cell r="H1838" t="str">
            <v>DISTRIBUIÇÃO</v>
          </cell>
          <cell r="I1838" t="str">
            <v>FOOD SERVICE</v>
          </cell>
          <cell r="J1838" t="str">
            <v>ALEXANDRO RODRIGUES</v>
          </cell>
          <cell r="K1838" t="str">
            <v>ITAMBÉ</v>
          </cell>
          <cell r="L1838" t="str">
            <v>RODRIGO</v>
          </cell>
          <cell r="M1838" t="str">
            <v>ALEXANDRO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  <cell r="H1839" t="str">
            <v>INGREDIENTS</v>
          </cell>
          <cell r="I1839" t="str">
            <v>INGREDIENTS</v>
          </cell>
          <cell r="J1839" t="str">
            <v>DUAS RODAS</v>
          </cell>
          <cell r="K1839" t="str">
            <v>ITAMBÉ</v>
          </cell>
          <cell r="L1839" t="str">
            <v>MAURICIO</v>
          </cell>
          <cell r="M1839" t="str">
            <v>MARCELO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  <cell r="H1840" t="str">
            <v>DISTRIBUIÇÃO</v>
          </cell>
          <cell r="I1840" t="str">
            <v>FOOD SERVICE</v>
          </cell>
          <cell r="J1840" t="str">
            <v>GUILHERME NASCIMENTO</v>
          </cell>
          <cell r="K1840" t="str">
            <v>ITAMBÉ</v>
          </cell>
          <cell r="L1840" t="str">
            <v>RODRIGO</v>
          </cell>
          <cell r="M1840" t="str">
            <v>ALEXANDRO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  <cell r="H1841" t="str">
            <v>DISTRIBUIÇÃO</v>
          </cell>
          <cell r="I1841" t="str">
            <v>FOOD SERVICE</v>
          </cell>
          <cell r="J1841" t="str">
            <v>FLAC 7</v>
          </cell>
          <cell r="K1841" t="str">
            <v>LACTALIS</v>
          </cell>
          <cell r="L1841" t="str">
            <v>RODRIGO</v>
          </cell>
          <cell r="M1841" t="str">
            <v>RAQUEL BARBOSA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  <cell r="H1842" t="str">
            <v>INGREDIENTS</v>
          </cell>
          <cell r="I1842" t="str">
            <v>INGREDIENTS</v>
          </cell>
          <cell r="J1842" t="str">
            <v>JOEL ELEOTÉRIO</v>
          </cell>
          <cell r="K1842" t="str">
            <v>LACTALIS</v>
          </cell>
          <cell r="L1842" t="str">
            <v>MAURICIO</v>
          </cell>
          <cell r="M1842" t="str">
            <v>JOEL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  <cell r="H1843" t="str">
            <v>QSR</v>
          </cell>
          <cell r="I1843" t="str">
            <v>FOOD SERVICE</v>
          </cell>
          <cell r="J1843" t="str">
            <v>NUTRI</v>
          </cell>
          <cell r="K1843" t="str">
            <v>ITAMBÉ</v>
          </cell>
          <cell r="L1843" t="str">
            <v>PEDRO</v>
          </cell>
          <cell r="M1843" t="str">
            <v>VAGO QSR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  <cell r="H1844" t="str">
            <v>OUTROS</v>
          </cell>
          <cell r="I1844" t="str">
            <v>OUTROS</v>
          </cell>
          <cell r="J1844" t="str">
            <v>SERVIÇO TIROL</v>
          </cell>
          <cell r="K1844" t="str">
            <v>OUTROS</v>
          </cell>
          <cell r="L1844" t="str">
            <v>OUTROS</v>
          </cell>
          <cell r="M1844" t="str">
            <v>SERVIÇO TIROL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  <cell r="H1845" t="str">
            <v>DISTRIBUIÇÃO</v>
          </cell>
          <cell r="I1845" t="str">
            <v>FOOD SERVICE</v>
          </cell>
          <cell r="J1845" t="str">
            <v>GUILHERME NASCIMENTO</v>
          </cell>
          <cell r="K1845" t="str">
            <v>LACTALIS</v>
          </cell>
          <cell r="L1845" t="str">
            <v>RODRIGO</v>
          </cell>
          <cell r="M1845" t="str">
            <v>ALEXANDRO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  <cell r="H1846" t="str">
            <v>QSR</v>
          </cell>
          <cell r="I1846" t="str">
            <v>FOOD SERVICE</v>
          </cell>
          <cell r="J1846" t="str">
            <v>NUTRI</v>
          </cell>
          <cell r="K1846" t="str">
            <v>ITAMBÉ</v>
          </cell>
          <cell r="L1846" t="str">
            <v>PEDRO</v>
          </cell>
          <cell r="M1846" t="str">
            <v>VAGO QSR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  <cell r="H1847" t="str">
            <v>INGREDIENTS</v>
          </cell>
          <cell r="I1847" t="str">
            <v>INGREDIENTS</v>
          </cell>
          <cell r="J1847" t="str">
            <v>SP ITB FS LUIZ PEREIRA</v>
          </cell>
          <cell r="K1847" t="str">
            <v>ITAMBÉ</v>
          </cell>
          <cell r="L1847" t="str">
            <v>MAURICIO</v>
          </cell>
          <cell r="M1847" t="str">
            <v>TATIANA NITTA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  <cell r="H1848" t="str">
            <v>DISTRIBUIÇÃO</v>
          </cell>
          <cell r="I1848" t="str">
            <v>FOOD SERVICE</v>
          </cell>
          <cell r="J1848" t="str">
            <v>FLAC 6</v>
          </cell>
          <cell r="K1848" t="str">
            <v>LACTALIS</v>
          </cell>
          <cell r="L1848" t="str">
            <v>RODRIGO</v>
          </cell>
          <cell r="M1848" t="str">
            <v>RAQUEL BARBOSA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  <cell r="H1849" t="str">
            <v>DISTRIBUIÇÃO</v>
          </cell>
          <cell r="I1849" t="str">
            <v>FOOD SERVICE</v>
          </cell>
          <cell r="J1849" t="str">
            <v>FLAC 6</v>
          </cell>
          <cell r="K1849" t="str">
            <v>LACTALIS</v>
          </cell>
          <cell r="L1849" t="str">
            <v>RODRIGO</v>
          </cell>
          <cell r="M1849" t="str">
            <v>RAQUEL BARBOSA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  <cell r="H1850" t="str">
            <v>DISTRIBUIÇÃO</v>
          </cell>
          <cell r="I1850" t="str">
            <v>FOOD SERVICE</v>
          </cell>
          <cell r="J1850" t="str">
            <v>FLAC 3</v>
          </cell>
          <cell r="K1850" t="str">
            <v>LACTALIS</v>
          </cell>
          <cell r="L1850" t="str">
            <v>RODRIGO</v>
          </cell>
          <cell r="M1850" t="str">
            <v>RAQUEL BARBOSA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  <cell r="H1851" t="str">
            <v>INGREDIENTS</v>
          </cell>
          <cell r="I1851" t="str">
            <v>INGREDIENTS</v>
          </cell>
          <cell r="J1851" t="str">
            <v>DUAS RODAS</v>
          </cell>
          <cell r="K1851" t="str">
            <v>LACTALIS</v>
          </cell>
          <cell r="L1851" t="str">
            <v>MAURICIO</v>
          </cell>
          <cell r="M1851" t="str">
            <v>TATIANA NITTA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  <cell r="H1852" t="str">
            <v>INGREDIENTS</v>
          </cell>
          <cell r="I1852" t="str">
            <v>INGREDIENTS</v>
          </cell>
          <cell r="J1852" t="str">
            <v>HENRIQUE FERREIRA</v>
          </cell>
          <cell r="K1852" t="str">
            <v>ITAMBÉ</v>
          </cell>
          <cell r="L1852" t="str">
            <v>MAURICIO</v>
          </cell>
          <cell r="M1852" t="str">
            <v>JOEL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  <cell r="H1853" t="str">
            <v>DISTRIBUIÇÃO</v>
          </cell>
          <cell r="I1853" t="str">
            <v>FOOD SERVICE</v>
          </cell>
          <cell r="J1853" t="str">
            <v>CLAUDIO JORGE/LUIZ</v>
          </cell>
          <cell r="K1853" t="str">
            <v>ITAMBÉ</v>
          </cell>
          <cell r="L1853" t="str">
            <v>RODRIGO</v>
          </cell>
          <cell r="M1853" t="str">
            <v>MARIA LOURDES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  <cell r="H1854" t="str">
            <v>INGREDIENTS</v>
          </cell>
          <cell r="I1854" t="str">
            <v>INGREDIENTS</v>
          </cell>
          <cell r="J1854" t="str">
            <v>HENRIQUE FERREIRA</v>
          </cell>
          <cell r="K1854" t="str">
            <v>ITAMBÉ</v>
          </cell>
          <cell r="L1854" t="str">
            <v>MAURICIO</v>
          </cell>
          <cell r="M1854" t="str">
            <v>JOEL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  <cell r="H1855" t="str">
            <v>DISTRIBUIÇÃO</v>
          </cell>
          <cell r="I1855" t="str">
            <v>FOOD SERVICE</v>
          </cell>
          <cell r="J1855" t="str">
            <v>CLAUDIO JORGE</v>
          </cell>
          <cell r="K1855" t="str">
            <v>ITAMBÉ</v>
          </cell>
          <cell r="L1855" t="str">
            <v>RODRIGO</v>
          </cell>
          <cell r="M1855" t="str">
            <v>MARCO AURELIO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  <cell r="H1856" t="str">
            <v>INGREDIENTS</v>
          </cell>
          <cell r="I1856" t="str">
            <v>INGREDIENTS</v>
          </cell>
          <cell r="J1856" t="str">
            <v>TATIANA NITTA</v>
          </cell>
          <cell r="K1856" t="str">
            <v>ITAMBÉ</v>
          </cell>
          <cell r="L1856" t="str">
            <v>MAURICIO</v>
          </cell>
          <cell r="M1856" t="str">
            <v>TATIANA NITTA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  <cell r="H1857" t="str">
            <v>INGREDIENTS</v>
          </cell>
          <cell r="I1857" t="str">
            <v>INGREDIENTS</v>
          </cell>
          <cell r="J1857" t="str">
            <v>MARCELO RODRIGUES</v>
          </cell>
          <cell r="K1857" t="str">
            <v>LACTALIS</v>
          </cell>
          <cell r="L1857" t="str">
            <v>MAURICIO</v>
          </cell>
          <cell r="M1857" t="str">
            <v>MARCELO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  <cell r="H1858" t="str">
            <v>INGREDIENTS</v>
          </cell>
          <cell r="I1858" t="str">
            <v>INGREDIENTS</v>
          </cell>
          <cell r="J1858" t="str">
            <v>HENRIQUE FERREIRA</v>
          </cell>
          <cell r="K1858" t="str">
            <v>ITAMBÉ</v>
          </cell>
          <cell r="L1858" t="str">
            <v>MAURICIO</v>
          </cell>
          <cell r="M1858" t="str">
            <v>JOEL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  <cell r="H1859" t="str">
            <v>INGREDIENTS</v>
          </cell>
          <cell r="I1859" t="str">
            <v>INGREDIENTS</v>
          </cell>
          <cell r="J1859" t="str">
            <v>JOEL ELEOTÉRIO</v>
          </cell>
          <cell r="K1859" t="str">
            <v>ITAMBÉ</v>
          </cell>
          <cell r="L1859" t="str">
            <v>MAURICIO</v>
          </cell>
          <cell r="M1859" t="str">
            <v>JOEL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  <cell r="H1860" t="str">
            <v>DISTRIBUIÇÃO</v>
          </cell>
          <cell r="I1860" t="str">
            <v>FOOD SERVICE</v>
          </cell>
          <cell r="J1860" t="str">
            <v>WH FOOD SERVICE CE</v>
          </cell>
          <cell r="K1860" t="str">
            <v>ITAMBÉ</v>
          </cell>
          <cell r="L1860" t="str">
            <v>RODRIGO</v>
          </cell>
          <cell r="M1860" t="str">
            <v>MARIA LOURDES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  <cell r="H1861" t="str">
            <v>DISTRIBUIÇÃO</v>
          </cell>
          <cell r="I1861" t="str">
            <v>FOOD SERVICE</v>
          </cell>
          <cell r="J1861" t="str">
            <v>VAGO SP</v>
          </cell>
          <cell r="K1861" t="str">
            <v>LACTALIS</v>
          </cell>
          <cell r="L1861" t="str">
            <v>RODRIGO</v>
          </cell>
          <cell r="M1861" t="str">
            <v>RAQUEL BARBOSA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  <cell r="H1862" t="str">
            <v>DISTRIBUIÇÃO</v>
          </cell>
          <cell r="I1862" t="str">
            <v>FOOD SERVICE</v>
          </cell>
          <cell r="J1862" t="str">
            <v>GUILHERME NASCIMENTO</v>
          </cell>
          <cell r="K1862" t="str">
            <v>LACTALIS</v>
          </cell>
          <cell r="L1862" t="str">
            <v>RODRIGO</v>
          </cell>
          <cell r="M1862" t="str">
            <v>ALEXANDRO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  <cell r="H1863" t="str">
            <v>DISTRIBUIÇÃO</v>
          </cell>
          <cell r="I1863" t="str">
            <v>FOOD SERVICE</v>
          </cell>
          <cell r="J1863" t="str">
            <v>ANGELICA BATISTELA</v>
          </cell>
          <cell r="K1863" t="str">
            <v>ITAMBÉ</v>
          </cell>
          <cell r="L1863" t="str">
            <v>RODRIGO</v>
          </cell>
          <cell r="M1863" t="str">
            <v>ANGELICA BATISTELA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  <cell r="H1864" t="str">
            <v>DISTRIBUIÇÃO</v>
          </cell>
          <cell r="I1864" t="str">
            <v>FOOD SERVICE</v>
          </cell>
          <cell r="J1864" t="str">
            <v>ALEXANDRO RODRIGUES</v>
          </cell>
          <cell r="K1864" t="str">
            <v>ITAMBÉ</v>
          </cell>
          <cell r="L1864" t="str">
            <v>RODRIGO</v>
          </cell>
          <cell r="M1864" t="str">
            <v>ALEXANDRO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  <cell r="H1865" t="str">
            <v>INGREDIENTS</v>
          </cell>
          <cell r="I1865" t="str">
            <v>INGREDIENTS</v>
          </cell>
          <cell r="J1865" t="str">
            <v>TATIANA NITTA</v>
          </cell>
          <cell r="K1865" t="str">
            <v>LACTALIS</v>
          </cell>
          <cell r="L1865" t="str">
            <v>MAURICIO</v>
          </cell>
          <cell r="M1865" t="str">
            <v>TATIANA NITTA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  <cell r="H1866" t="str">
            <v>INGREDIENTS</v>
          </cell>
          <cell r="I1866" t="str">
            <v>INGREDIENTS</v>
          </cell>
          <cell r="J1866" t="str">
            <v>TATIANA NITTA</v>
          </cell>
          <cell r="K1866" t="str">
            <v>LACTALIS</v>
          </cell>
          <cell r="L1866" t="str">
            <v>MAURICIO</v>
          </cell>
          <cell r="M1866" t="str">
            <v>TATIANA NITTA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  <cell r="H1867" t="str">
            <v>INGREDIENTS</v>
          </cell>
          <cell r="I1867" t="str">
            <v>INGREDIENTS</v>
          </cell>
          <cell r="J1867" t="str">
            <v>TATIANA NITTA</v>
          </cell>
          <cell r="K1867" t="str">
            <v>ITAMBÉ</v>
          </cell>
          <cell r="L1867" t="str">
            <v>MAURICIO</v>
          </cell>
          <cell r="M1867" t="str">
            <v>TATIANA NITTA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  <cell r="H1868" t="str">
            <v>INGREDIENTS</v>
          </cell>
          <cell r="I1868" t="str">
            <v>INGREDIENTS</v>
          </cell>
          <cell r="J1868" t="str">
            <v>MARCELO RODRIGUES</v>
          </cell>
          <cell r="K1868" t="str">
            <v>ITAMBÉ</v>
          </cell>
          <cell r="L1868" t="str">
            <v>MAURICIO</v>
          </cell>
          <cell r="M1868" t="str">
            <v>MARCELO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  <cell r="H1869" t="str">
            <v>DISTRIBUIÇÃO</v>
          </cell>
          <cell r="I1869" t="str">
            <v>FOOD SERVICE</v>
          </cell>
          <cell r="J1869" t="str">
            <v>FLAC 3</v>
          </cell>
          <cell r="K1869" t="str">
            <v>LACTALIS</v>
          </cell>
          <cell r="L1869" t="str">
            <v>RODRIGO</v>
          </cell>
          <cell r="M1869" t="str">
            <v>RAQUEL BARBOSA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  <cell r="H1870" t="str">
            <v>DISTRIBUIÇÃO</v>
          </cell>
          <cell r="I1870" t="str">
            <v>FOOD SERVICE</v>
          </cell>
          <cell r="J1870" t="str">
            <v>GUILHERME NASCIMENTO</v>
          </cell>
          <cell r="K1870" t="str">
            <v>ITAMBÉ</v>
          </cell>
          <cell r="L1870" t="str">
            <v>RODRIGO</v>
          </cell>
          <cell r="M1870" t="str">
            <v>ALEXANDRO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  <cell r="H1871" t="str">
            <v>INGREDIENTS</v>
          </cell>
          <cell r="I1871" t="str">
            <v>INGREDIENTS</v>
          </cell>
          <cell r="J1871" t="str">
            <v>TATIANA NITTA</v>
          </cell>
          <cell r="K1871" t="str">
            <v>ITAMBÉ</v>
          </cell>
          <cell r="L1871" t="str">
            <v>MAURICIO</v>
          </cell>
          <cell r="M1871" t="str">
            <v>TATIANA NITTA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  <cell r="H1872" t="str">
            <v>INGREDIENTS</v>
          </cell>
          <cell r="I1872" t="str">
            <v>INGREDIENTS</v>
          </cell>
          <cell r="J1872" t="str">
            <v>HENRIQUE FERREIRA</v>
          </cell>
          <cell r="K1872" t="str">
            <v>ITAMBÉ</v>
          </cell>
          <cell r="L1872" t="str">
            <v>MAURICIO</v>
          </cell>
          <cell r="M1872" t="str">
            <v>JOEL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  <cell r="H1873" t="str">
            <v>QSR</v>
          </cell>
          <cell r="I1873" t="str">
            <v>FOOD SERVICE</v>
          </cell>
          <cell r="J1873" t="str">
            <v>NUTRI</v>
          </cell>
          <cell r="K1873" t="str">
            <v>ITAMBÉ</v>
          </cell>
          <cell r="L1873" t="str">
            <v>PEDRO</v>
          </cell>
          <cell r="M1873" t="str">
            <v>VAGO QSR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  <cell r="H1874" t="str">
            <v>DISTRIBUIÇÃO</v>
          </cell>
          <cell r="I1874" t="str">
            <v>FOOD SERVICE</v>
          </cell>
          <cell r="J1874" t="str">
            <v>FLAC 2</v>
          </cell>
          <cell r="K1874" t="str">
            <v>LACTALIS</v>
          </cell>
          <cell r="L1874" t="str">
            <v>RODRIGO</v>
          </cell>
          <cell r="M1874" t="str">
            <v>RAQUEL BARBOSA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  <cell r="H1875" t="str">
            <v>DISTRIBUIÇÃO</v>
          </cell>
          <cell r="I1875" t="str">
            <v>FOOD SERVICE</v>
          </cell>
          <cell r="J1875" t="str">
            <v>FLAC 2</v>
          </cell>
          <cell r="K1875" t="str">
            <v>LACTALIS</v>
          </cell>
          <cell r="L1875" t="str">
            <v>RODRIGO</v>
          </cell>
          <cell r="M1875" t="str">
            <v>RAQUEL BARBOSA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  <cell r="H1876" t="str">
            <v>INGREDIENTS</v>
          </cell>
          <cell r="I1876" t="str">
            <v>INGREDIENTS</v>
          </cell>
          <cell r="J1876" t="str">
            <v>DLUM</v>
          </cell>
          <cell r="K1876" t="str">
            <v>LACTALIS</v>
          </cell>
          <cell r="L1876" t="str">
            <v>MAURICIO</v>
          </cell>
          <cell r="M1876" t="str">
            <v>JOEL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  <cell r="H1877" t="str">
            <v>INGREDIENTS</v>
          </cell>
          <cell r="I1877" t="str">
            <v>INGREDIENTS</v>
          </cell>
          <cell r="J1877" t="str">
            <v>TATIANA NITTA</v>
          </cell>
          <cell r="K1877" t="str">
            <v>ITAMBÉ</v>
          </cell>
          <cell r="L1877" t="str">
            <v>MAURICIO</v>
          </cell>
          <cell r="M1877" t="str">
            <v>TATIANA NITTA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  <cell r="H1878" t="str">
            <v>DISTRIBUIÇÃO</v>
          </cell>
          <cell r="I1878" t="str">
            <v>FOOD SERVICE</v>
          </cell>
          <cell r="J1878" t="str">
            <v>FLAC 4</v>
          </cell>
          <cell r="K1878" t="str">
            <v>LACTALIS</v>
          </cell>
          <cell r="L1878" t="str">
            <v>RODRIGO</v>
          </cell>
          <cell r="M1878" t="str">
            <v>RAQUEL BARBOSA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  <cell r="H1879" t="str">
            <v>DISTRIBUIÇÃO</v>
          </cell>
          <cell r="I1879" t="str">
            <v>FOOD SERVICE</v>
          </cell>
          <cell r="J1879" t="str">
            <v>FLAC 6</v>
          </cell>
          <cell r="K1879" t="str">
            <v>LACTALIS</v>
          </cell>
          <cell r="L1879" t="str">
            <v>RODRIGO</v>
          </cell>
          <cell r="M1879" t="str">
            <v>RAQUEL BARBOSA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  <cell r="H1880" t="str">
            <v>INGREDIENTS</v>
          </cell>
          <cell r="I1880" t="str">
            <v>INGREDIENTS</v>
          </cell>
          <cell r="J1880" t="str">
            <v>MARCELO RODRIGUES</v>
          </cell>
          <cell r="K1880" t="str">
            <v>LACTALIS</v>
          </cell>
          <cell r="L1880" t="str">
            <v>MAURICIO</v>
          </cell>
          <cell r="M1880" t="str">
            <v>MARCELO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  <cell r="H1881" t="str">
            <v>DISTRIBUIÇÃO</v>
          </cell>
          <cell r="I1881" t="str">
            <v>FOOD SERVICE</v>
          </cell>
          <cell r="J1881" t="str">
            <v>ANGELICA BATISTELA</v>
          </cell>
          <cell r="K1881" t="str">
            <v>ITAMBÉ</v>
          </cell>
          <cell r="L1881" t="str">
            <v>RODRIGO</v>
          </cell>
          <cell r="M1881" t="str">
            <v>ANGELICA BATISTELA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  <cell r="H1882" t="str">
            <v>INGREDIENTS</v>
          </cell>
          <cell r="I1882" t="str">
            <v>INGREDIENTS</v>
          </cell>
          <cell r="J1882" t="str">
            <v>TATIANA NITTA</v>
          </cell>
          <cell r="K1882" t="str">
            <v>ITAMBÉ</v>
          </cell>
          <cell r="L1882" t="str">
            <v>MAURICIO</v>
          </cell>
          <cell r="M1882" t="str">
            <v>TATIANA NITTA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  <cell r="H1883" t="str">
            <v>DISTRIBUIÇÃO</v>
          </cell>
          <cell r="I1883" t="str">
            <v>FOOD SERVICE</v>
          </cell>
          <cell r="J1883" t="str">
            <v>WH FOOD SERVICE CE</v>
          </cell>
          <cell r="K1883" t="str">
            <v>ITAMBÉ</v>
          </cell>
          <cell r="L1883" t="str">
            <v>RODRIGO</v>
          </cell>
          <cell r="M1883" t="str">
            <v>MARIA LOURDES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  <cell r="H1884" t="str">
            <v>INGREDIENTS</v>
          </cell>
          <cell r="I1884" t="str">
            <v>INGREDIENTS</v>
          </cell>
          <cell r="J1884" t="str">
            <v>JOEL ELEOTÉRIO</v>
          </cell>
          <cell r="K1884" t="str">
            <v>ITAMBÉ</v>
          </cell>
          <cell r="L1884" t="str">
            <v>MAURICIO</v>
          </cell>
          <cell r="M1884" t="str">
            <v>JOEL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  <cell r="H1885" t="str">
            <v>DISTRIBUIÇÃO</v>
          </cell>
          <cell r="I1885" t="str">
            <v>FOOD SERVICE</v>
          </cell>
          <cell r="J1885" t="str">
            <v>FLAC 2</v>
          </cell>
          <cell r="K1885" t="str">
            <v>LACTALIS</v>
          </cell>
          <cell r="L1885" t="str">
            <v>RODRIGO</v>
          </cell>
          <cell r="M1885" t="str">
            <v>RAQUEL BARBOSA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  <cell r="H1886" t="str">
            <v>INGREDIENTS</v>
          </cell>
          <cell r="I1886" t="str">
            <v>INGREDIENTS</v>
          </cell>
          <cell r="J1886" t="str">
            <v>JOEL ELEOTÉRIO</v>
          </cell>
          <cell r="K1886" t="str">
            <v>ITAMBÉ</v>
          </cell>
          <cell r="L1886" t="str">
            <v>MAURICIO</v>
          </cell>
          <cell r="M1886" t="str">
            <v>JOEL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  <cell r="H1887" t="str">
            <v>DISTRIBUIÇÃO</v>
          </cell>
          <cell r="I1887" t="str">
            <v>FOOD SERVICE</v>
          </cell>
          <cell r="J1887" t="str">
            <v>MARCELO DUARTE</v>
          </cell>
          <cell r="K1887" t="str">
            <v>ITAMBÉ</v>
          </cell>
          <cell r="L1887" t="str">
            <v>RODRIGO</v>
          </cell>
          <cell r="M1887" t="str">
            <v>JESSICA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  <cell r="H1888" t="str">
            <v>DISTRIBUIÇÃO</v>
          </cell>
          <cell r="I1888" t="str">
            <v>FOOD SERVICE</v>
          </cell>
          <cell r="J1888" t="str">
            <v>ANGELICA BATISTELA</v>
          </cell>
          <cell r="K1888" t="str">
            <v>ITAMBÉ</v>
          </cell>
          <cell r="L1888" t="str">
            <v>RODRIGO</v>
          </cell>
          <cell r="M1888" t="str">
            <v>ANGELICA BATISTELA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  <cell r="H1889" t="str">
            <v>DISTRIBUIÇÃO</v>
          </cell>
          <cell r="I1889" t="str">
            <v>FOOD SERVICE</v>
          </cell>
          <cell r="J1889" t="str">
            <v>MARCELO SILVA</v>
          </cell>
          <cell r="K1889" t="str">
            <v>ITAMBÉ</v>
          </cell>
          <cell r="L1889" t="str">
            <v>RODRIGO</v>
          </cell>
          <cell r="M1889" t="str">
            <v>CELIO MARTINS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  <cell r="H1890" t="str">
            <v>INGREDIENTS</v>
          </cell>
          <cell r="I1890" t="str">
            <v>INGREDIENTS</v>
          </cell>
          <cell r="J1890" t="str">
            <v>MARCELO RODRIGUES</v>
          </cell>
          <cell r="K1890" t="str">
            <v>LACTALIS</v>
          </cell>
          <cell r="L1890" t="str">
            <v>MAURICIO</v>
          </cell>
          <cell r="M1890" t="str">
            <v>MARCELO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  <cell r="H1891" t="str">
            <v>DISTRIBUIÇÃO</v>
          </cell>
          <cell r="I1891" t="str">
            <v>FOOD SERVICE</v>
          </cell>
          <cell r="J1891" t="str">
            <v>MARCELO SILVA</v>
          </cell>
          <cell r="K1891" t="str">
            <v>ITAMBÉ</v>
          </cell>
          <cell r="L1891" t="str">
            <v>RODRIGO</v>
          </cell>
          <cell r="M1891" t="str">
            <v>CELIO MARTINS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  <cell r="H1892" t="str">
            <v>INGREDIENTS</v>
          </cell>
          <cell r="I1892" t="str">
            <v>INGREDIENTS</v>
          </cell>
          <cell r="J1892" t="str">
            <v>TATIANA NITTA</v>
          </cell>
          <cell r="K1892" t="str">
            <v>LACTALIS</v>
          </cell>
          <cell r="L1892" t="str">
            <v>MAURICIO</v>
          </cell>
          <cell r="M1892" t="str">
            <v>TATIANA NITTA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  <cell r="H1893" t="str">
            <v>DISTRIBUIÇÃO</v>
          </cell>
          <cell r="I1893" t="str">
            <v>FOOD SERVICE</v>
          </cell>
          <cell r="J1893" t="str">
            <v>ANGELICA BATISTELA</v>
          </cell>
          <cell r="K1893" t="str">
            <v>ITAMBÉ</v>
          </cell>
          <cell r="L1893" t="str">
            <v>RODRIGO</v>
          </cell>
          <cell r="M1893" t="str">
            <v>ANGELICA BATISTELA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  <cell r="H1894" t="str">
            <v>DISTRIBUIÇÃO</v>
          </cell>
          <cell r="I1894" t="str">
            <v>FOOD SERVICE</v>
          </cell>
          <cell r="J1894" t="str">
            <v>CLAUDIO JORGE/LUIZ</v>
          </cell>
          <cell r="K1894" t="str">
            <v>ITAMBÉ</v>
          </cell>
          <cell r="L1894" t="str">
            <v>RODRIGO</v>
          </cell>
          <cell r="M1894" t="str">
            <v>MARIA LOURDES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  <cell r="H1895" t="str">
            <v>DISTRIBUIÇÃO</v>
          </cell>
          <cell r="I1895" t="str">
            <v>FOOD SERVICE</v>
          </cell>
          <cell r="J1895" t="str">
            <v>FLAC 2</v>
          </cell>
          <cell r="K1895" t="str">
            <v>LACTALIS</v>
          </cell>
          <cell r="L1895" t="str">
            <v>RODRIGO</v>
          </cell>
          <cell r="M1895" t="str">
            <v>RAQUEL BARBOSA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  <cell r="H1896" t="str">
            <v>DISTRIBUIÇÃO</v>
          </cell>
          <cell r="I1896" t="str">
            <v>FOOD SERVICE</v>
          </cell>
          <cell r="J1896" t="str">
            <v>FLAC 3</v>
          </cell>
          <cell r="K1896" t="str">
            <v>LACTALIS</v>
          </cell>
          <cell r="L1896" t="str">
            <v>RODRIGO</v>
          </cell>
          <cell r="M1896" t="str">
            <v>RAQUEL BARBOSA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  <cell r="H1897" t="str">
            <v>DISTRIBUIÇÃO</v>
          </cell>
          <cell r="I1897" t="str">
            <v>FOOD SERVICE</v>
          </cell>
          <cell r="J1897" t="str">
            <v>JULIANA CORDEIRO</v>
          </cell>
          <cell r="K1897" t="str">
            <v>ITAMBÉ</v>
          </cell>
          <cell r="L1897" t="str">
            <v>RODRIGO</v>
          </cell>
          <cell r="M1897" t="str">
            <v>JESSICA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  <cell r="H1898" t="str">
            <v>DISTRIBUIÇÃO</v>
          </cell>
          <cell r="I1898" t="str">
            <v>FOOD SERVICE</v>
          </cell>
          <cell r="J1898" t="str">
            <v>CLAUDIO JORGE</v>
          </cell>
          <cell r="K1898" t="str">
            <v>ITAMBÉ</v>
          </cell>
          <cell r="L1898" t="str">
            <v>RODRIGO</v>
          </cell>
          <cell r="M1898" t="str">
            <v>MARCO AURELIO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  <cell r="H1899" t="str">
            <v>INGREDIENTS</v>
          </cell>
          <cell r="I1899" t="str">
            <v>INGREDIENTS</v>
          </cell>
          <cell r="J1899" t="str">
            <v>MARCELO RODRIGUES</v>
          </cell>
          <cell r="K1899" t="str">
            <v>LACTALIS</v>
          </cell>
          <cell r="L1899" t="str">
            <v>MAURICIO</v>
          </cell>
          <cell r="M1899" t="str">
            <v>MARCELO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  <cell r="H1900" t="str">
            <v>INGREDIENTS</v>
          </cell>
          <cell r="I1900" t="str">
            <v>INGREDIENTS</v>
          </cell>
          <cell r="J1900" t="str">
            <v>MARCELO RODRIGUES</v>
          </cell>
          <cell r="K1900" t="str">
            <v>LACTALIS</v>
          </cell>
          <cell r="L1900" t="str">
            <v>MAURICIO</v>
          </cell>
          <cell r="M1900" t="str">
            <v>MARCELO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  <cell r="H1901" t="str">
            <v>DISTRIBUIÇÃO</v>
          </cell>
          <cell r="I1901" t="str">
            <v>FOOD SERVICE</v>
          </cell>
          <cell r="J1901" t="str">
            <v>MARCELO SILVA</v>
          </cell>
          <cell r="K1901" t="str">
            <v>ITAMBÉ</v>
          </cell>
          <cell r="L1901" t="str">
            <v>RODRIGO</v>
          </cell>
          <cell r="M1901" t="str">
            <v>CELIO MARTINS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  <cell r="H1902" t="str">
            <v>INGREDIENTS</v>
          </cell>
          <cell r="I1902" t="str">
            <v>INGREDIENTS</v>
          </cell>
          <cell r="J1902" t="str">
            <v>ITB FS SPLENDI REPRESENTAÇÕES</v>
          </cell>
          <cell r="K1902" t="str">
            <v>ITAMBÉ</v>
          </cell>
          <cell r="L1902" t="str">
            <v>MAURICIO</v>
          </cell>
          <cell r="M1902" t="str">
            <v>TATIANA NITTA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  <cell r="H1903" t="str">
            <v>INGREDIENTS</v>
          </cell>
          <cell r="I1903" t="str">
            <v>INGREDIENTS</v>
          </cell>
          <cell r="J1903" t="str">
            <v>SP ITB FS LUIZ PEREIRA</v>
          </cell>
          <cell r="K1903" t="str">
            <v>ITAMBÉ</v>
          </cell>
          <cell r="L1903" t="str">
            <v>MAURICIO</v>
          </cell>
          <cell r="M1903" t="str">
            <v>TATIANA NITTA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  <cell r="H1904" t="str">
            <v>INGREDIENTS</v>
          </cell>
          <cell r="I1904" t="str">
            <v>INGREDIENTS</v>
          </cell>
          <cell r="J1904" t="str">
            <v>MARCELO RODRIGUES</v>
          </cell>
          <cell r="K1904" t="str">
            <v>LACTALIS</v>
          </cell>
          <cell r="L1904" t="str">
            <v>MAURICIO</v>
          </cell>
          <cell r="M1904" t="str">
            <v>MARCELO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  <cell r="H1905" t="str">
            <v>DISTRIBUIÇÃO</v>
          </cell>
          <cell r="I1905" t="str">
            <v>FOOD SERVICE</v>
          </cell>
          <cell r="J1905" t="str">
            <v>FLAC 6</v>
          </cell>
          <cell r="K1905" t="str">
            <v>LACTALIS</v>
          </cell>
          <cell r="L1905" t="str">
            <v>RODRIGO</v>
          </cell>
          <cell r="M1905" t="str">
            <v>RAQUEL BARBOSA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  <cell r="H1906" t="str">
            <v>INGREDIENTS</v>
          </cell>
          <cell r="I1906" t="str">
            <v>INGREDIENTS</v>
          </cell>
          <cell r="J1906" t="str">
            <v>MARCELO RODRIGUES</v>
          </cell>
          <cell r="K1906" t="str">
            <v>LACTALIS</v>
          </cell>
          <cell r="L1906" t="str">
            <v>MAURICIO</v>
          </cell>
          <cell r="M1906" t="str">
            <v>MARCELO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  <cell r="H1907" t="str">
            <v>DISTRIBUIÇÃO</v>
          </cell>
          <cell r="I1907" t="str">
            <v>FOOD SERVICE</v>
          </cell>
          <cell r="J1907" t="str">
            <v>CLAUDIO JORGE/MARIA LAURA</v>
          </cell>
          <cell r="K1907" t="str">
            <v>ITAMBÉ</v>
          </cell>
          <cell r="L1907" t="str">
            <v>RODRIGO</v>
          </cell>
          <cell r="M1907" t="str">
            <v>MARCO AURELIO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  <cell r="H1908" t="str">
            <v>DISTRIBUIÇÃO</v>
          </cell>
          <cell r="I1908" t="str">
            <v>FOOD SERVICE</v>
          </cell>
          <cell r="J1908" t="str">
            <v>CLAUDIO JORGE</v>
          </cell>
          <cell r="K1908" t="str">
            <v>ITAMBÉ</v>
          </cell>
          <cell r="L1908" t="str">
            <v>RODRIGO</v>
          </cell>
          <cell r="M1908" t="str">
            <v>MARCO AURELIO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  <cell r="H1909" t="str">
            <v>INGREDIENTS</v>
          </cell>
          <cell r="I1909" t="str">
            <v>INGREDIENTS</v>
          </cell>
          <cell r="J1909" t="str">
            <v>HENRIQUE FERREIRA</v>
          </cell>
          <cell r="K1909" t="str">
            <v>ITAMBÉ</v>
          </cell>
          <cell r="L1909" t="str">
            <v>MAURICIO</v>
          </cell>
          <cell r="M1909" t="str">
            <v>JOEL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  <cell r="H1910" t="str">
            <v>DISTRIBUIÇÃO</v>
          </cell>
          <cell r="I1910" t="str">
            <v>FOOD SERVICE</v>
          </cell>
          <cell r="J1910" t="str">
            <v>ALEXANDRO RODRIGUES</v>
          </cell>
          <cell r="K1910" t="str">
            <v>LACTALIS</v>
          </cell>
          <cell r="L1910" t="str">
            <v>RODRIGO</v>
          </cell>
          <cell r="M1910" t="str">
            <v>ALEXANDRO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  <cell r="H1911" t="str">
            <v>INGREDIENTS</v>
          </cell>
          <cell r="I1911" t="str">
            <v>INGREDIENTS</v>
          </cell>
          <cell r="J1911" t="str">
            <v>DUAS RODAS</v>
          </cell>
          <cell r="K1911" t="str">
            <v>ITAMBÉ</v>
          </cell>
          <cell r="L1911" t="str">
            <v>MAURICIO</v>
          </cell>
          <cell r="M1911" t="str">
            <v>MARCELO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  <cell r="H1912" t="str">
            <v>INGREDIENTS</v>
          </cell>
          <cell r="I1912" t="str">
            <v>INGREDIENTS</v>
          </cell>
          <cell r="J1912" t="str">
            <v>DUAS RODAS</v>
          </cell>
          <cell r="K1912" t="str">
            <v>ITAMBÉ</v>
          </cell>
          <cell r="L1912" t="str">
            <v>MAURICIO</v>
          </cell>
          <cell r="M1912" t="str">
            <v>MARCELO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  <cell r="H1913" t="str">
            <v>INGREDIENTS</v>
          </cell>
          <cell r="I1913" t="str">
            <v>INGREDIENTS</v>
          </cell>
          <cell r="J1913" t="str">
            <v>MARCELO RODRIGUES</v>
          </cell>
          <cell r="K1913" t="str">
            <v>LACTALIS</v>
          </cell>
          <cell r="L1913" t="str">
            <v>MAURICIO</v>
          </cell>
          <cell r="M1913" t="str">
            <v>MARCELO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  <cell r="H1914" t="str">
            <v>DISTRIBUIÇÃO</v>
          </cell>
          <cell r="I1914" t="str">
            <v>FOOD SERVICE</v>
          </cell>
          <cell r="J1914" t="str">
            <v>FLAC 6</v>
          </cell>
          <cell r="K1914" t="str">
            <v>LACTALIS</v>
          </cell>
          <cell r="L1914" t="str">
            <v>RODRIGO</v>
          </cell>
          <cell r="M1914" t="str">
            <v>RAQUEL BARBOSA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  <cell r="H1915" t="str">
            <v>DISTRIBUIÇÃO</v>
          </cell>
          <cell r="I1915" t="str">
            <v>FOOD SERVICE</v>
          </cell>
          <cell r="J1915" t="str">
            <v>FLAC 6</v>
          </cell>
          <cell r="K1915" t="str">
            <v>LACTALIS</v>
          </cell>
          <cell r="L1915" t="str">
            <v>RODRIGO</v>
          </cell>
          <cell r="M1915" t="str">
            <v>RAQUEL BARBOSA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  <cell r="H1916" t="str">
            <v>DISTRIBUIÇÃO</v>
          </cell>
          <cell r="I1916" t="str">
            <v>FOOD SERVICE</v>
          </cell>
          <cell r="J1916" t="str">
            <v>CLAUDIO JORGE</v>
          </cell>
          <cell r="K1916" t="str">
            <v>ITAMBÉ</v>
          </cell>
          <cell r="L1916" t="str">
            <v>RODRIGO</v>
          </cell>
          <cell r="M1916" t="str">
            <v>MARCO AURELIO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  <cell r="H1917" t="str">
            <v>INGREDIENTS</v>
          </cell>
          <cell r="I1917" t="str">
            <v>INGREDIENTS</v>
          </cell>
          <cell r="J1917" t="str">
            <v>TATIANA NITTA</v>
          </cell>
          <cell r="K1917" t="str">
            <v>ITAMBÉ</v>
          </cell>
          <cell r="L1917" t="str">
            <v>MAURICIO</v>
          </cell>
          <cell r="M1917" t="str">
            <v>TATIANA NITTA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  <cell r="H1918" t="str">
            <v>DISTRIBUIÇÃO</v>
          </cell>
          <cell r="I1918" t="str">
            <v>FOOD SERVICE</v>
          </cell>
          <cell r="J1918" t="str">
            <v>CLAUDIO JORGE/MARIA LAURA</v>
          </cell>
          <cell r="K1918" t="str">
            <v>ITAMBÉ</v>
          </cell>
          <cell r="L1918" t="str">
            <v>RODRIGO</v>
          </cell>
          <cell r="M1918" t="str">
            <v>MARCO AURELIO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  <cell r="H1919" t="str">
            <v>INGREDIENTS</v>
          </cell>
          <cell r="I1919" t="str">
            <v>INGREDIENTS</v>
          </cell>
          <cell r="J1919" t="str">
            <v>TATIANA NITTA</v>
          </cell>
          <cell r="K1919" t="str">
            <v>ITAMBÉ</v>
          </cell>
          <cell r="L1919" t="str">
            <v>MAURICIO</v>
          </cell>
          <cell r="M1919" t="str">
            <v>TATIANA NITTA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  <cell r="H1920" t="str">
            <v>INGREDIENTS</v>
          </cell>
          <cell r="I1920" t="str">
            <v>INGREDIENTS</v>
          </cell>
          <cell r="J1920" t="str">
            <v>MARCELO RODRIGUES</v>
          </cell>
          <cell r="K1920" t="str">
            <v>ITAMBÉ</v>
          </cell>
          <cell r="L1920" t="str">
            <v>MAURICIO</v>
          </cell>
          <cell r="M1920" t="str">
            <v>MARCELO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  <cell r="H1921" t="str">
            <v>INGREDIENTS</v>
          </cell>
          <cell r="I1921" t="str">
            <v>INGREDIENTS</v>
          </cell>
          <cell r="J1921" t="str">
            <v>HENRIQUE FERREIRA</v>
          </cell>
          <cell r="K1921" t="str">
            <v>ITAMBÉ</v>
          </cell>
          <cell r="L1921" t="str">
            <v>MAURICIO</v>
          </cell>
          <cell r="M1921" t="str">
            <v>JOEL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  <cell r="H1922" t="str">
            <v>QSR</v>
          </cell>
          <cell r="I1922" t="str">
            <v>FOOD SERVICE</v>
          </cell>
          <cell r="J1922" t="str">
            <v>ANA MENIQUETE</v>
          </cell>
          <cell r="K1922" t="str">
            <v>ITAMBÉ</v>
          </cell>
          <cell r="L1922" t="str">
            <v>PEDRO</v>
          </cell>
          <cell r="M1922" t="str">
            <v>ANA MENIQUETE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  <cell r="H1923" t="str">
            <v>DISTRIBUIÇÃO</v>
          </cell>
          <cell r="I1923" t="str">
            <v>FOOD SERVICE</v>
          </cell>
          <cell r="J1923" t="str">
            <v>CLAUDIO JORGE</v>
          </cell>
          <cell r="K1923" t="str">
            <v>ITAMBÉ</v>
          </cell>
          <cell r="L1923" t="str">
            <v>RODRIGO</v>
          </cell>
          <cell r="M1923" t="str">
            <v>MARCO AURELIO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  <cell r="H1924" t="str">
            <v>DISTRIBUIÇÃO</v>
          </cell>
          <cell r="I1924" t="str">
            <v>FOOD SERVICE</v>
          </cell>
          <cell r="J1924" t="str">
            <v>CLAUDIO JORGE/LUIZ</v>
          </cell>
          <cell r="K1924" t="str">
            <v>ITAMBÉ</v>
          </cell>
          <cell r="L1924" t="str">
            <v>RODRIGO</v>
          </cell>
          <cell r="M1924" t="str">
            <v>MARIA LOURDES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  <cell r="H1925" t="str">
            <v>INGREDIENTS</v>
          </cell>
          <cell r="I1925" t="str">
            <v>INGREDIENTS</v>
          </cell>
          <cell r="J1925" t="str">
            <v>MARCELO RODRIGUES</v>
          </cell>
          <cell r="K1925" t="str">
            <v>ITAMBÉ</v>
          </cell>
          <cell r="L1925" t="str">
            <v>MAURICIO</v>
          </cell>
          <cell r="M1925" t="str">
            <v>MARCELO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  <cell r="H1926" t="str">
            <v>DISTRIBUIÇÃO</v>
          </cell>
          <cell r="I1926" t="str">
            <v>FOOD SERVICE</v>
          </cell>
          <cell r="J1926" t="str">
            <v>FLAC 7</v>
          </cell>
          <cell r="K1926" t="str">
            <v>LACTALIS</v>
          </cell>
          <cell r="L1926" t="str">
            <v>RODRIGO</v>
          </cell>
          <cell r="M1926" t="str">
            <v>RAQUEL BARBOSA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  <cell r="H1927" t="str">
            <v>DISTRIBUIÇÃO</v>
          </cell>
          <cell r="I1927" t="str">
            <v>FOOD SERVICE</v>
          </cell>
          <cell r="J1927" t="str">
            <v>FLAC 4</v>
          </cell>
          <cell r="K1927" t="str">
            <v>LACTALIS</v>
          </cell>
          <cell r="L1927" t="str">
            <v>RODRIGO</v>
          </cell>
          <cell r="M1927" t="str">
            <v>RAQUEL BARBOSA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  <cell r="H1928" t="str">
            <v>DISTRIBUIÇÃO</v>
          </cell>
          <cell r="I1928" t="str">
            <v>FOOD SERVICE</v>
          </cell>
          <cell r="J1928" t="str">
            <v>FLAC 7</v>
          </cell>
          <cell r="K1928" t="str">
            <v>LACTALIS</v>
          </cell>
          <cell r="L1928" t="str">
            <v>RODRIGO</v>
          </cell>
          <cell r="M1928" t="str">
            <v>RAQUEL BARBOSA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  <cell r="H1929" t="str">
            <v>INGREDIENTS</v>
          </cell>
          <cell r="I1929" t="str">
            <v>INGREDIENTS</v>
          </cell>
          <cell r="J1929" t="str">
            <v>SP ITB FS LUIZ PEREIRA</v>
          </cell>
          <cell r="K1929" t="str">
            <v>ITAMBÉ</v>
          </cell>
          <cell r="L1929" t="str">
            <v>MAURICIO</v>
          </cell>
          <cell r="M1929" t="str">
            <v>TATIANA NITTA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  <cell r="H1930" t="str">
            <v>DISTRIBUIÇÃO</v>
          </cell>
          <cell r="I1930" t="str">
            <v>FOOD SERVICE</v>
          </cell>
          <cell r="J1930" t="str">
            <v>CLAUDIO JORGE/LUIZ</v>
          </cell>
          <cell r="K1930" t="str">
            <v>ITAMBÉ</v>
          </cell>
          <cell r="L1930" t="str">
            <v>RODRIGO</v>
          </cell>
          <cell r="M1930" t="str">
            <v>MARIA LOURDES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  <cell r="H1931" t="str">
            <v>DISTRIBUIÇÃO</v>
          </cell>
          <cell r="I1931" t="str">
            <v>FOOD SERVICE</v>
          </cell>
          <cell r="J1931" t="str">
            <v>CLAUDIO JORGE/LUIZ</v>
          </cell>
          <cell r="K1931" t="str">
            <v>ITAMBÉ</v>
          </cell>
          <cell r="L1931" t="str">
            <v>RODRIGO</v>
          </cell>
          <cell r="M1931" t="str">
            <v>MARIA LOURDES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  <cell r="H1932" t="str">
            <v>DISTRIBUIÇÃO</v>
          </cell>
          <cell r="I1932" t="str">
            <v>FOOD SERVICE</v>
          </cell>
          <cell r="J1932" t="str">
            <v>FLAC 6</v>
          </cell>
          <cell r="K1932" t="str">
            <v>LACTALIS</v>
          </cell>
          <cell r="L1932" t="str">
            <v>RODRIGO</v>
          </cell>
          <cell r="M1932" t="str">
            <v>RAQUEL BARBOSA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  <cell r="H1933" t="str">
            <v>DISTRIBUIÇÃO</v>
          </cell>
          <cell r="I1933" t="str">
            <v>FOOD SERVICE</v>
          </cell>
          <cell r="J1933" t="str">
            <v>ANGELICA BATISTELA</v>
          </cell>
          <cell r="K1933" t="str">
            <v>ITAMBÉ</v>
          </cell>
          <cell r="L1933" t="str">
            <v>RODRIGO</v>
          </cell>
          <cell r="M1933" t="str">
            <v>ANGELICA BATISTELA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  <cell r="H1934" t="str">
            <v>DISTRIBUIÇÃO</v>
          </cell>
          <cell r="I1934" t="str">
            <v>FOOD SERVICE</v>
          </cell>
          <cell r="J1934" t="str">
            <v>FLAC 3</v>
          </cell>
          <cell r="K1934" t="str">
            <v>LACTALIS</v>
          </cell>
          <cell r="L1934" t="str">
            <v>RODRIGO</v>
          </cell>
          <cell r="M1934" t="str">
            <v>RAQUEL BARBOSA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  <cell r="H1935" t="str">
            <v>DISTRIBUIÇÃO</v>
          </cell>
          <cell r="I1935" t="str">
            <v>FOOD SERVICE</v>
          </cell>
          <cell r="J1935" t="str">
            <v>CLAUDIO JORGE/LUIZ</v>
          </cell>
          <cell r="K1935" t="str">
            <v>ITAMBÉ</v>
          </cell>
          <cell r="L1935" t="str">
            <v>RODRIGO</v>
          </cell>
          <cell r="M1935" t="str">
            <v>MARIA LOURDES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  <cell r="H1936" t="str">
            <v>DISTRIBUIÇÃO</v>
          </cell>
          <cell r="I1936" t="str">
            <v>FOOD SERVICE</v>
          </cell>
          <cell r="J1936" t="str">
            <v>ANGELICA BATISTELA</v>
          </cell>
          <cell r="K1936" t="str">
            <v>ITAMBÉ</v>
          </cell>
          <cell r="L1936" t="str">
            <v>RODRIGO</v>
          </cell>
          <cell r="M1936" t="str">
            <v>ANGELICA BATISTELA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  <cell r="H1937" t="str">
            <v>DISTRIBUIÇÃO</v>
          </cell>
          <cell r="I1937" t="str">
            <v>FOOD SERVICE</v>
          </cell>
          <cell r="J1937" t="str">
            <v>ANGELICA BATISTELA</v>
          </cell>
          <cell r="K1937" t="str">
            <v>LACTALIS</v>
          </cell>
          <cell r="L1937" t="str">
            <v>RODRIGO</v>
          </cell>
          <cell r="M1937" t="str">
            <v>ANGELICA BATISTELA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  <cell r="H1938" t="str">
            <v>DISTRIBUIÇÃO</v>
          </cell>
          <cell r="I1938" t="str">
            <v>FOOD SERVICE</v>
          </cell>
          <cell r="J1938" t="str">
            <v>WH FOOD SERVICE CE</v>
          </cell>
          <cell r="K1938" t="str">
            <v>ITAMBÉ</v>
          </cell>
          <cell r="L1938" t="str">
            <v>RODRIGO</v>
          </cell>
          <cell r="M1938" t="str">
            <v>MARIA LOURDES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  <cell r="H1939" t="str">
            <v>DISTRIBUIÇÃO</v>
          </cell>
          <cell r="I1939" t="str">
            <v>FOOD SERVICE</v>
          </cell>
          <cell r="J1939" t="str">
            <v>SP ITB FS FLAC REP.E COMERCIO</v>
          </cell>
          <cell r="K1939" t="str">
            <v>ITAMBÉ</v>
          </cell>
          <cell r="L1939" t="str">
            <v>RODRIGO</v>
          </cell>
          <cell r="M1939" t="str">
            <v>RAQUEL BARBOSA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  <cell r="H1940" t="str">
            <v>DISTRIBUIÇÃO</v>
          </cell>
          <cell r="I1940" t="str">
            <v>FOOD SERVICE</v>
          </cell>
          <cell r="J1940" t="str">
            <v>CLAUDIO JORGE/LUIZ</v>
          </cell>
          <cell r="K1940" t="str">
            <v>ITAMBÉ</v>
          </cell>
          <cell r="L1940" t="str">
            <v>RODRIGO</v>
          </cell>
          <cell r="M1940" t="str">
            <v>MARIA LOURDES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  <cell r="H1941" t="str">
            <v>DISTRIBUIÇÃO</v>
          </cell>
          <cell r="I1941" t="str">
            <v>FOOD SERVICE</v>
          </cell>
          <cell r="J1941" t="str">
            <v>CLAUDIO JORGE/LUIZ</v>
          </cell>
          <cell r="K1941" t="str">
            <v>ITAMBÉ</v>
          </cell>
          <cell r="L1941" t="str">
            <v>RODRIGO</v>
          </cell>
          <cell r="M1941" t="str">
            <v>MARIA LOURDES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  <cell r="H1942" t="str">
            <v>DISTRIBUIÇÃO</v>
          </cell>
          <cell r="I1942" t="str">
            <v>FOOD SERVICE</v>
          </cell>
          <cell r="J1942" t="str">
            <v>WH FOOD SERVICE CE</v>
          </cell>
          <cell r="K1942" t="str">
            <v>ITAMBÉ</v>
          </cell>
          <cell r="L1942" t="str">
            <v>RODRIGO</v>
          </cell>
          <cell r="M1942" t="str">
            <v>MARIA LOURDES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  <cell r="H1943" t="str">
            <v>INGREDIENTS</v>
          </cell>
          <cell r="I1943" t="str">
            <v>INGREDIENTS</v>
          </cell>
          <cell r="J1943" t="str">
            <v>DUAS RODAS</v>
          </cell>
          <cell r="K1943" t="str">
            <v>ITAMBÉ</v>
          </cell>
          <cell r="L1943" t="str">
            <v>MAURICIO</v>
          </cell>
          <cell r="M1943" t="str">
            <v>MARCELO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  <cell r="H1944" t="str">
            <v>DISTRIBUIÇÃO</v>
          </cell>
          <cell r="I1944" t="str">
            <v>FOOD SERVICE</v>
          </cell>
          <cell r="J1944" t="str">
            <v>ANGELICA BATISTELA</v>
          </cell>
          <cell r="K1944" t="str">
            <v>LACTALIS</v>
          </cell>
          <cell r="L1944" t="str">
            <v>RODRIGO</v>
          </cell>
          <cell r="M1944" t="str">
            <v>ANGELICA BATISTELA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  <cell r="H1945" t="str">
            <v>DISTRIBUIÇÃO</v>
          </cell>
          <cell r="I1945" t="str">
            <v>FOOD SERVICE</v>
          </cell>
          <cell r="J1945" t="str">
            <v>WH FOOD SERVICE CE</v>
          </cell>
          <cell r="K1945" t="str">
            <v>ITAMBÉ</v>
          </cell>
          <cell r="L1945" t="str">
            <v>RODRIGO</v>
          </cell>
          <cell r="M1945" t="str">
            <v>MARIA LOURDES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  <cell r="H1946" t="str">
            <v>DISTRIBUIÇÃO</v>
          </cell>
          <cell r="I1946" t="str">
            <v>FOOD SERVICE</v>
          </cell>
          <cell r="J1946" t="str">
            <v>GUILHERME NASCIMENTO</v>
          </cell>
          <cell r="K1946" t="str">
            <v>LACTALIS</v>
          </cell>
          <cell r="L1946" t="str">
            <v>RODRIGO</v>
          </cell>
          <cell r="M1946" t="str">
            <v>ALEXANDRO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  <cell r="H1947" t="str">
            <v>DISTRIBUIÇÃO</v>
          </cell>
          <cell r="I1947" t="str">
            <v>FOOD SERVICE</v>
          </cell>
          <cell r="J1947" t="str">
            <v>FLAC 6</v>
          </cell>
          <cell r="K1947" t="str">
            <v>LACTALIS</v>
          </cell>
          <cell r="L1947" t="str">
            <v>RODRIGO</v>
          </cell>
          <cell r="M1947" t="str">
            <v>RAQUEL BARBOSA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  <cell r="H1948" t="str">
            <v>DISTRIBUIÇÃO</v>
          </cell>
          <cell r="I1948" t="str">
            <v>FOOD SERVICE</v>
          </cell>
          <cell r="J1948" t="str">
            <v>FLAC 2</v>
          </cell>
          <cell r="K1948" t="str">
            <v>LACTALIS</v>
          </cell>
          <cell r="L1948" t="str">
            <v>RODRIGO</v>
          </cell>
          <cell r="M1948" t="str">
            <v>RAQUEL BARBOSA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  <cell r="H1949" t="str">
            <v>INGREDIENTS</v>
          </cell>
          <cell r="I1949" t="str">
            <v>INGREDIENTS</v>
          </cell>
          <cell r="J1949" t="str">
            <v>DUAS RODAS</v>
          </cell>
          <cell r="K1949" t="str">
            <v>ITAMBÉ</v>
          </cell>
          <cell r="L1949" t="str">
            <v>MAURICIO</v>
          </cell>
          <cell r="M1949" t="str">
            <v>MARCELO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  <cell r="H1950" t="str">
            <v>DISTRIBUIÇÃO</v>
          </cell>
          <cell r="I1950" t="str">
            <v>FOOD SERVICE</v>
          </cell>
          <cell r="J1950" t="str">
            <v>VAGO SP</v>
          </cell>
          <cell r="K1950" t="str">
            <v>LACTALIS</v>
          </cell>
          <cell r="L1950" t="str">
            <v>RODRIGO</v>
          </cell>
          <cell r="M1950" t="str">
            <v>RAQUEL BARBOSA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  <cell r="H1951" t="str">
            <v>DISTRIBUIÇÃO</v>
          </cell>
          <cell r="I1951" t="str">
            <v>FOOD SERVICE</v>
          </cell>
          <cell r="J1951" t="str">
            <v>ANGELICA BATISTELA</v>
          </cell>
          <cell r="K1951" t="str">
            <v>LACTALIS</v>
          </cell>
          <cell r="L1951" t="str">
            <v>RODRIGO</v>
          </cell>
          <cell r="M1951" t="str">
            <v>ANGELICA BATISTELA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  <cell r="H1952" t="str">
            <v>INGREDIENTS</v>
          </cell>
          <cell r="I1952" t="str">
            <v>INGREDIENTS</v>
          </cell>
          <cell r="J1952" t="str">
            <v>JOEL ELEOTÉRIO</v>
          </cell>
          <cell r="K1952" t="str">
            <v>LACTALIS</v>
          </cell>
          <cell r="L1952" t="str">
            <v>MAURICIO</v>
          </cell>
          <cell r="M1952" t="str">
            <v>JOEL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  <cell r="H1953" t="str">
            <v>DISTRIBUIÇÃO</v>
          </cell>
          <cell r="I1953" t="str">
            <v>FOOD SERVICE</v>
          </cell>
          <cell r="J1953" t="str">
            <v>FLAC 3</v>
          </cell>
          <cell r="K1953" t="str">
            <v>LACTALIS</v>
          </cell>
          <cell r="L1953" t="str">
            <v>RODRIGO</v>
          </cell>
          <cell r="M1953" t="str">
            <v>RAQUEL BARBOSA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  <cell r="H1954" t="str">
            <v>DISTRIBUIÇÃO</v>
          </cell>
          <cell r="I1954" t="str">
            <v>FOOD SERVICE</v>
          </cell>
          <cell r="J1954" t="str">
            <v>WH FOOD SERVICE CE</v>
          </cell>
          <cell r="K1954" t="str">
            <v>ITAMBÉ</v>
          </cell>
          <cell r="L1954" t="str">
            <v>RODRIGO</v>
          </cell>
          <cell r="M1954" t="str">
            <v>MARIA LOURDES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  <cell r="H1955" t="str">
            <v>DISTRIBUIÇÃO</v>
          </cell>
          <cell r="I1955" t="str">
            <v>FOOD SERVICE</v>
          </cell>
          <cell r="J1955" t="str">
            <v>FLAC 2</v>
          </cell>
          <cell r="K1955" t="str">
            <v>LACTALIS</v>
          </cell>
          <cell r="L1955" t="str">
            <v>RODRIGO</v>
          </cell>
          <cell r="M1955" t="str">
            <v>RAQUEL BARBOSA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  <cell r="H1956" t="str">
            <v>DISTRIBUIÇÃO</v>
          </cell>
          <cell r="I1956" t="str">
            <v>FOOD SERVICE</v>
          </cell>
          <cell r="J1956" t="str">
            <v>FLAC 2</v>
          </cell>
          <cell r="K1956" t="str">
            <v>LACTALIS</v>
          </cell>
          <cell r="L1956" t="str">
            <v>RODRIGO</v>
          </cell>
          <cell r="M1956" t="str">
            <v>RAQUEL BARBOSA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  <cell r="H1957" t="str">
            <v>INGREDIENTS</v>
          </cell>
          <cell r="I1957" t="str">
            <v>INGREDIENTS</v>
          </cell>
          <cell r="J1957" t="str">
            <v>TATIANA NITTA</v>
          </cell>
          <cell r="K1957" t="str">
            <v>ITAMBÉ</v>
          </cell>
          <cell r="L1957" t="str">
            <v>MAURICIO</v>
          </cell>
          <cell r="M1957" t="str">
            <v>TATIANA NITTA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  <cell r="H1958" t="str">
            <v>INGREDIENTS</v>
          </cell>
          <cell r="I1958" t="str">
            <v>INGREDIENTS</v>
          </cell>
          <cell r="J1958" t="str">
            <v>JOEL ELEOTÉRIO</v>
          </cell>
          <cell r="K1958" t="str">
            <v>LACTALIS</v>
          </cell>
          <cell r="L1958" t="str">
            <v>MAURICIO</v>
          </cell>
          <cell r="M1958" t="str">
            <v>JOEL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  <cell r="H1959" t="str">
            <v>DISTRIBUIÇÃO</v>
          </cell>
          <cell r="I1959" t="str">
            <v>FOOD SERVICE</v>
          </cell>
          <cell r="J1959" t="str">
            <v>ANGELICA BATISTELA</v>
          </cell>
          <cell r="K1959" t="str">
            <v>LACTALIS</v>
          </cell>
          <cell r="L1959" t="str">
            <v>RODRIGO</v>
          </cell>
          <cell r="M1959" t="str">
            <v>ANGELICA BATISTELA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  <cell r="H1960" t="str">
            <v>INGREDIENTS</v>
          </cell>
          <cell r="I1960" t="str">
            <v>INGREDIENTS</v>
          </cell>
          <cell r="J1960" t="str">
            <v>AM - DUAS RODAS</v>
          </cell>
          <cell r="K1960" t="str">
            <v>ITAMBÉ</v>
          </cell>
          <cell r="L1960" t="str">
            <v>MAURICIO</v>
          </cell>
          <cell r="M1960" t="str">
            <v>JOEL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  <cell r="H1961" t="str">
            <v>DISTRIBUIÇÃO</v>
          </cell>
          <cell r="I1961" t="str">
            <v>FOOD SERVICE</v>
          </cell>
          <cell r="J1961" t="str">
            <v>GUILHERME NASCIMENTO</v>
          </cell>
          <cell r="K1961" t="str">
            <v>LACTALIS</v>
          </cell>
          <cell r="L1961" t="str">
            <v>RODRIGO</v>
          </cell>
          <cell r="M1961" t="str">
            <v>ALEXANDRO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  <cell r="H1962" t="str">
            <v>DISTRIBUIÇÃO</v>
          </cell>
          <cell r="I1962" t="str">
            <v>FOOD SERVICE</v>
          </cell>
          <cell r="J1962" t="str">
            <v>FLAC 3</v>
          </cell>
          <cell r="K1962" t="str">
            <v>LACTALIS</v>
          </cell>
          <cell r="L1962" t="str">
            <v>RODRIGO</v>
          </cell>
          <cell r="M1962" t="str">
            <v>RAQUEL BARBOSA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  <cell r="H1963" t="str">
            <v>DISTRIBUIÇÃO</v>
          </cell>
          <cell r="I1963" t="str">
            <v>FOOD SERVICE</v>
          </cell>
          <cell r="J1963" t="str">
            <v>FLAC 5</v>
          </cell>
          <cell r="K1963" t="str">
            <v>LACTALIS</v>
          </cell>
          <cell r="L1963" t="str">
            <v>RODRIGO</v>
          </cell>
          <cell r="M1963" t="str">
            <v>RAQUEL BARBOSA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  <cell r="H1964" t="str">
            <v>DISTRIBUIÇÃO</v>
          </cell>
          <cell r="I1964" t="str">
            <v>FOOD SERVICE</v>
          </cell>
          <cell r="J1964" t="str">
            <v>FLAC 6</v>
          </cell>
          <cell r="K1964" t="str">
            <v>LACTALIS</v>
          </cell>
          <cell r="L1964" t="str">
            <v>RODRIGO</v>
          </cell>
          <cell r="M1964" t="str">
            <v>RAQUEL BARBOSA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  <cell r="H1965" t="str">
            <v>INGREDIENTS</v>
          </cell>
          <cell r="I1965" t="str">
            <v>INGREDIENTS</v>
          </cell>
          <cell r="J1965" t="str">
            <v>TATIANA NITTA</v>
          </cell>
          <cell r="K1965" t="str">
            <v>ITAMBÉ</v>
          </cell>
          <cell r="L1965" t="str">
            <v>MAURICIO</v>
          </cell>
          <cell r="M1965" t="str">
            <v>TATIANA NITTA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  <cell r="H1966" t="str">
            <v>DISTRIBUIÇÃO</v>
          </cell>
          <cell r="I1966" t="str">
            <v>FOOD SERVICE</v>
          </cell>
          <cell r="J1966" t="str">
            <v>CLAUDIO JORGE/LUIZ</v>
          </cell>
          <cell r="K1966" t="str">
            <v>ITAMBÉ</v>
          </cell>
          <cell r="L1966" t="str">
            <v>RODRIGO</v>
          </cell>
          <cell r="M1966" t="str">
            <v>MARIA LOURDES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  <cell r="H1967" t="str">
            <v>INGREDIENTS</v>
          </cell>
          <cell r="I1967" t="str">
            <v>INGREDIENTS</v>
          </cell>
          <cell r="J1967" t="str">
            <v>RJ ITB FS L T MARTINS</v>
          </cell>
          <cell r="K1967" t="str">
            <v>ITAMBÉ</v>
          </cell>
          <cell r="L1967" t="str">
            <v>MAURICIO</v>
          </cell>
          <cell r="M1967" t="str">
            <v>TATIANA NITTA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  <cell r="H1968" t="str">
            <v>INGREDIENTS</v>
          </cell>
          <cell r="I1968" t="str">
            <v>INGREDIENTS</v>
          </cell>
          <cell r="J1968" t="str">
            <v>JOEL ELEOTÉRIO</v>
          </cell>
          <cell r="K1968" t="str">
            <v>LACTALIS</v>
          </cell>
          <cell r="L1968" t="str">
            <v>MAURICIO</v>
          </cell>
          <cell r="M1968" t="str">
            <v>JOEL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  <cell r="H1969" t="str">
            <v>INGREDIENTS</v>
          </cell>
          <cell r="I1969" t="str">
            <v>INGREDIENTS</v>
          </cell>
          <cell r="J1969" t="str">
            <v>HENRIQUE FERREIRA</v>
          </cell>
          <cell r="K1969" t="str">
            <v>ITAMBÉ</v>
          </cell>
          <cell r="L1969" t="str">
            <v>MAURICIO</v>
          </cell>
          <cell r="M1969" t="str">
            <v>JOEL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  <cell r="H1970" t="str">
            <v>DISTRIBUIÇÃO</v>
          </cell>
          <cell r="I1970" t="str">
            <v>FOOD SERVICE</v>
          </cell>
          <cell r="J1970" t="str">
            <v>FLAC 7</v>
          </cell>
          <cell r="K1970" t="str">
            <v>LACTALIS</v>
          </cell>
          <cell r="L1970" t="str">
            <v>RODRIGO</v>
          </cell>
          <cell r="M1970" t="str">
            <v>RAQUEL BARBOSA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  <cell r="H1971" t="str">
            <v>INGREDIENTS</v>
          </cell>
          <cell r="I1971" t="str">
            <v>INGREDIENTS</v>
          </cell>
          <cell r="J1971" t="str">
            <v>MARCELO RODRIGUES</v>
          </cell>
          <cell r="K1971" t="str">
            <v>LACTALIS</v>
          </cell>
          <cell r="L1971" t="str">
            <v>MAURICIO</v>
          </cell>
          <cell r="M1971" t="str">
            <v>MARCELO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  <cell r="H1972" t="str">
            <v>DISTRIBUIÇÃO</v>
          </cell>
          <cell r="I1972" t="str">
            <v>FOOD SERVICE</v>
          </cell>
          <cell r="J1972" t="str">
            <v>CLAUDIO JORGE/LUIZ</v>
          </cell>
          <cell r="K1972" t="str">
            <v>ITAMBÉ</v>
          </cell>
          <cell r="L1972" t="str">
            <v>RODRIGO</v>
          </cell>
          <cell r="M1972" t="str">
            <v>MARIA LOURDES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  <cell r="H1973" t="str">
            <v>INGREDIENTS</v>
          </cell>
          <cell r="I1973" t="str">
            <v>INGREDIENTS</v>
          </cell>
          <cell r="J1973" t="str">
            <v>MARCELO RODRIGUES</v>
          </cell>
          <cell r="K1973" t="str">
            <v>LACTALIS</v>
          </cell>
          <cell r="L1973" t="str">
            <v>MAURICIO</v>
          </cell>
          <cell r="M1973" t="str">
            <v>MARCELO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  <cell r="H1974" t="str">
            <v>DISTRIBUIÇÃO</v>
          </cell>
          <cell r="I1974" t="str">
            <v>FOOD SERVICE</v>
          </cell>
          <cell r="J1974" t="str">
            <v>ANGELICA BATISTELA</v>
          </cell>
          <cell r="K1974" t="str">
            <v>ITAMBÉ</v>
          </cell>
          <cell r="L1974" t="str">
            <v>RODRIGO</v>
          </cell>
          <cell r="M1974" t="str">
            <v>ANGELICA BATISTELA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  <cell r="H1975" t="str">
            <v>DISTRIBUIÇÃO</v>
          </cell>
          <cell r="I1975" t="str">
            <v>FOOD SERVICE</v>
          </cell>
          <cell r="J1975" t="str">
            <v>FLAC 6</v>
          </cell>
          <cell r="K1975" t="str">
            <v>LACTALIS</v>
          </cell>
          <cell r="L1975" t="str">
            <v>RODRIGO</v>
          </cell>
          <cell r="M1975" t="str">
            <v>RAQUEL BARBOSA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  <cell r="H1976" t="str">
            <v>DISTRIBUIÇÃO</v>
          </cell>
          <cell r="I1976" t="str">
            <v>FOOD SERVICE</v>
          </cell>
          <cell r="J1976" t="str">
            <v>FLAC 6</v>
          </cell>
          <cell r="K1976" t="str">
            <v>LACTALIS</v>
          </cell>
          <cell r="L1976" t="str">
            <v>RODRIGO</v>
          </cell>
          <cell r="M1976" t="str">
            <v>RAQUEL BARBOSA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  <cell r="H1977" t="str">
            <v>INGREDIENTS</v>
          </cell>
          <cell r="I1977" t="str">
            <v>INGREDIENTS</v>
          </cell>
          <cell r="J1977" t="str">
            <v>JOEL ELEOTÉRIO</v>
          </cell>
          <cell r="K1977" t="str">
            <v>ITAMBÉ</v>
          </cell>
          <cell r="L1977" t="str">
            <v>MAURICIO</v>
          </cell>
          <cell r="M1977" t="str">
            <v>JOEL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  <cell r="H1978" t="str">
            <v>DISTRIBUIÇÃO</v>
          </cell>
          <cell r="I1978" t="str">
            <v>FOOD SERVICE</v>
          </cell>
          <cell r="J1978" t="str">
            <v>FLAC 6</v>
          </cell>
          <cell r="K1978" t="str">
            <v>LACTALIS</v>
          </cell>
          <cell r="L1978" t="str">
            <v>RODRIGO</v>
          </cell>
          <cell r="M1978" t="str">
            <v>RAQUEL BARBOSA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  <cell r="H1979" t="str">
            <v>INGREDIENTS</v>
          </cell>
          <cell r="I1979" t="str">
            <v>INGREDIENTS</v>
          </cell>
          <cell r="J1979" t="str">
            <v>DLUM</v>
          </cell>
          <cell r="K1979" t="str">
            <v>LACTALIS</v>
          </cell>
          <cell r="L1979" t="str">
            <v>MAURICIO</v>
          </cell>
          <cell r="M1979" t="str">
            <v>JOEL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  <cell r="H1980" t="str">
            <v>DISTRIBUIÇÃO</v>
          </cell>
          <cell r="I1980" t="str">
            <v>FOOD SERVICE</v>
          </cell>
          <cell r="J1980" t="str">
            <v>FLAC 2</v>
          </cell>
          <cell r="K1980" t="str">
            <v>LACTALIS</v>
          </cell>
          <cell r="L1980" t="str">
            <v>RODRIGO</v>
          </cell>
          <cell r="M1980" t="str">
            <v>RAQUEL BARBOSA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  <cell r="H1981" t="str">
            <v>DISTRIBUIÇÃO</v>
          </cell>
          <cell r="I1981" t="str">
            <v>FOOD SERVICE</v>
          </cell>
          <cell r="J1981" t="str">
            <v>MARCELO DUARTE</v>
          </cell>
          <cell r="K1981" t="str">
            <v>ITAMBÉ</v>
          </cell>
          <cell r="L1981" t="str">
            <v>RODRIGO</v>
          </cell>
          <cell r="M1981" t="str">
            <v>JESSICA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  <cell r="H1982" t="str">
            <v>DISTRIBUIÇÃO</v>
          </cell>
          <cell r="I1982" t="str">
            <v>FOOD SERVICE</v>
          </cell>
          <cell r="J1982" t="str">
            <v>WH FOOD SERVICE CE</v>
          </cell>
          <cell r="K1982" t="str">
            <v>ITAMBÉ</v>
          </cell>
          <cell r="L1982" t="str">
            <v>RODRIGO</v>
          </cell>
          <cell r="M1982" t="str">
            <v>MARIA LOURDES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  <cell r="H1983" t="str">
            <v>DISTRIBUIÇÃO</v>
          </cell>
          <cell r="I1983" t="str">
            <v>FOOD SERVICE</v>
          </cell>
          <cell r="J1983" t="str">
            <v>ANGELICA BATISTELA</v>
          </cell>
          <cell r="K1983" t="str">
            <v>LACTALIS</v>
          </cell>
          <cell r="L1983" t="str">
            <v>RODRIGO</v>
          </cell>
          <cell r="M1983" t="str">
            <v>ANGELICA BATISTELA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  <cell r="H1984" t="str">
            <v>DISTRIBUIÇÃO</v>
          </cell>
          <cell r="I1984" t="str">
            <v>FOOD SERVICE</v>
          </cell>
          <cell r="J1984" t="str">
            <v>ALEXANDRE BONANI</v>
          </cell>
          <cell r="K1984" t="str">
            <v>LACTALIS</v>
          </cell>
          <cell r="L1984" t="str">
            <v>RODRIGO</v>
          </cell>
          <cell r="M1984" t="str">
            <v>ALEXANDRE BONANI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  <cell r="H1985" t="str">
            <v>DISTRIBUIÇÃO</v>
          </cell>
          <cell r="I1985" t="str">
            <v>FOOD SERVICE</v>
          </cell>
          <cell r="J1985" t="str">
            <v>FLAC 4</v>
          </cell>
          <cell r="K1985" t="str">
            <v>LACTALIS</v>
          </cell>
          <cell r="L1985" t="str">
            <v>RODRIGO</v>
          </cell>
          <cell r="M1985" t="str">
            <v>RAQUEL BARBOSA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  <cell r="H1986" t="str">
            <v>INGREDIENTS</v>
          </cell>
          <cell r="I1986" t="str">
            <v>INGREDIENTS</v>
          </cell>
          <cell r="J1986" t="str">
            <v>MARCELO RODRIGUES</v>
          </cell>
          <cell r="K1986" t="str">
            <v>LACTALIS</v>
          </cell>
          <cell r="L1986" t="str">
            <v>MAURICIO</v>
          </cell>
          <cell r="M1986" t="str">
            <v>MARCELO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  <cell r="H1987" t="str">
            <v>INGREDIENTS</v>
          </cell>
          <cell r="I1987" t="str">
            <v>INGREDIENTS</v>
          </cell>
          <cell r="J1987" t="str">
            <v>MARCELO RODRIGUES</v>
          </cell>
          <cell r="K1987" t="str">
            <v>LACTALIS</v>
          </cell>
          <cell r="L1987" t="str">
            <v>MAURICIO</v>
          </cell>
          <cell r="M1987" t="str">
            <v>MARCELO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  <cell r="H1988" t="str">
            <v>INGREDIENTS</v>
          </cell>
          <cell r="I1988" t="str">
            <v>INGREDIENTS</v>
          </cell>
          <cell r="J1988" t="str">
            <v>JOEL ELEOTÉRIO</v>
          </cell>
          <cell r="K1988" t="str">
            <v>LACTALIS</v>
          </cell>
          <cell r="L1988" t="str">
            <v>MAURICIO</v>
          </cell>
          <cell r="M1988" t="str">
            <v>JOEL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  <cell r="H1989" t="str">
            <v>DISTRIBUIÇÃO</v>
          </cell>
          <cell r="I1989" t="str">
            <v>FOOD SERVICE</v>
          </cell>
          <cell r="J1989" t="str">
            <v>SP ITB FS FLAC REP.E COMERCIO</v>
          </cell>
          <cell r="K1989" t="str">
            <v>ITAMBÉ</v>
          </cell>
          <cell r="L1989" t="str">
            <v>RODRIGO</v>
          </cell>
          <cell r="M1989" t="str">
            <v>RAQUEL BARBOSA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  <cell r="H1990" t="str">
            <v>DISTRIBUIÇÃO</v>
          </cell>
          <cell r="I1990" t="str">
            <v>FOOD SERVICE</v>
          </cell>
          <cell r="J1990" t="str">
            <v>FLAC 4</v>
          </cell>
          <cell r="K1990" t="str">
            <v>LACTALIS</v>
          </cell>
          <cell r="L1990" t="str">
            <v>RODRIGO</v>
          </cell>
          <cell r="M1990" t="str">
            <v>RAQUEL BARBOSA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  <cell r="H1991" t="str">
            <v>INGREDIENTS</v>
          </cell>
          <cell r="I1991" t="str">
            <v>INGREDIENTS</v>
          </cell>
          <cell r="J1991" t="str">
            <v>MARCELO RODRIGUES</v>
          </cell>
          <cell r="K1991" t="str">
            <v>LACTALIS</v>
          </cell>
          <cell r="L1991" t="str">
            <v>MAURICIO</v>
          </cell>
          <cell r="M1991" t="str">
            <v>MARCELO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  <cell r="H1992" t="str">
            <v>INGREDIENTS</v>
          </cell>
          <cell r="I1992" t="str">
            <v>INGREDIENTS</v>
          </cell>
          <cell r="J1992" t="str">
            <v>HENRIQUE FERREIRA</v>
          </cell>
          <cell r="K1992" t="str">
            <v>ITAMBÉ</v>
          </cell>
          <cell r="L1992" t="str">
            <v>MAURICIO</v>
          </cell>
          <cell r="M1992" t="str">
            <v>JOEL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  <cell r="H1993" t="str">
            <v>INGREDIENTS</v>
          </cell>
          <cell r="I1993" t="str">
            <v>INGREDIENTS</v>
          </cell>
          <cell r="J1993" t="str">
            <v>TATIANA NITTA</v>
          </cell>
          <cell r="K1993" t="str">
            <v>ITAMBÉ</v>
          </cell>
          <cell r="L1993" t="str">
            <v>MAURICIO</v>
          </cell>
          <cell r="M1993" t="str">
            <v>TATIANA NITTA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  <cell r="H1994" t="str">
            <v>INGREDIENTS</v>
          </cell>
          <cell r="I1994" t="str">
            <v>INGREDIENTS</v>
          </cell>
          <cell r="J1994" t="str">
            <v>HENRIQUE FERREIRA</v>
          </cell>
          <cell r="K1994" t="str">
            <v>ITAMBÉ</v>
          </cell>
          <cell r="L1994" t="str">
            <v>MAURICIO</v>
          </cell>
          <cell r="M1994" t="str">
            <v>JOEL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  <cell r="H1995" t="str">
            <v>DISTRIBUIÇÃO</v>
          </cell>
          <cell r="I1995" t="str">
            <v>FOOD SERVICE</v>
          </cell>
          <cell r="J1995" t="str">
            <v>SP ITB FS FLAC REP.E COMERCIO</v>
          </cell>
          <cell r="K1995" t="str">
            <v>ITAMBÉ</v>
          </cell>
          <cell r="L1995" t="str">
            <v>RODRIGO</v>
          </cell>
          <cell r="M1995" t="str">
            <v>RAQUEL BARBOSA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  <cell r="H1996" t="str">
            <v>INGREDIENTS</v>
          </cell>
          <cell r="I1996" t="str">
            <v>INGREDIENTS</v>
          </cell>
          <cell r="J1996" t="str">
            <v>TATIANA NITTA</v>
          </cell>
          <cell r="K1996" t="str">
            <v>ITAMBÉ</v>
          </cell>
          <cell r="L1996" t="str">
            <v>MAURICIO</v>
          </cell>
          <cell r="M1996" t="str">
            <v>TATIANA NITTA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  <cell r="H1997" t="str">
            <v>INGREDIENTS</v>
          </cell>
          <cell r="I1997" t="str">
            <v>INGREDIENTS</v>
          </cell>
          <cell r="J1997" t="str">
            <v>DUAS RODAS</v>
          </cell>
          <cell r="K1997" t="str">
            <v>ITAMBÉ</v>
          </cell>
          <cell r="L1997" t="str">
            <v>MAURICIO</v>
          </cell>
          <cell r="M1997" t="str">
            <v>TATIANA NITTA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  <cell r="H1998" t="str">
            <v>INGREDIENTS</v>
          </cell>
          <cell r="I1998" t="str">
            <v>INGREDIENTS</v>
          </cell>
          <cell r="J1998" t="str">
            <v>HENRIQUE FERREIRA</v>
          </cell>
          <cell r="K1998" t="str">
            <v>ITAMBÉ</v>
          </cell>
          <cell r="L1998" t="str">
            <v>MAURICIO</v>
          </cell>
          <cell r="M1998" t="str">
            <v>JOEL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  <cell r="H1999" t="str">
            <v>INGREDIENTS</v>
          </cell>
          <cell r="I1999" t="str">
            <v>INGREDIENTS</v>
          </cell>
          <cell r="J1999" t="str">
            <v>DUAS RODAS</v>
          </cell>
          <cell r="K1999" t="str">
            <v>ITAMBÉ</v>
          </cell>
          <cell r="L1999" t="str">
            <v>MAURICIO</v>
          </cell>
          <cell r="M1999" t="str">
            <v>TATIANA NITTA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  <cell r="H2000" t="str">
            <v>INGREDIENTS</v>
          </cell>
          <cell r="I2000" t="str">
            <v>INGREDIENTS</v>
          </cell>
          <cell r="J2000" t="str">
            <v>DUAS RODAS</v>
          </cell>
          <cell r="K2000" t="str">
            <v>ITAMBÉ</v>
          </cell>
          <cell r="L2000" t="str">
            <v>MAURICIO</v>
          </cell>
          <cell r="M2000" t="str">
            <v>MARCELO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  <cell r="H2001" t="str">
            <v>DISTRIBUIÇÃO</v>
          </cell>
          <cell r="I2001" t="str">
            <v>FOOD SERVICE</v>
          </cell>
          <cell r="J2001" t="str">
            <v>LUCIANA MARTINS</v>
          </cell>
          <cell r="K2001" t="str">
            <v>ITAMBÉ</v>
          </cell>
          <cell r="L2001" t="str">
            <v>RODRIGO</v>
          </cell>
          <cell r="M2001" t="str">
            <v>JESSICA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  <cell r="H2002" t="str">
            <v>INGREDIENTS</v>
          </cell>
          <cell r="I2002" t="str">
            <v>INGREDIENTS</v>
          </cell>
          <cell r="J2002" t="str">
            <v>HENRIQUE FERREIRA</v>
          </cell>
          <cell r="K2002" t="str">
            <v>ITAMBÉ</v>
          </cell>
          <cell r="L2002" t="str">
            <v>MAURICIO</v>
          </cell>
          <cell r="M2002" t="str">
            <v>JOEL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  <cell r="H2003" t="str">
            <v>QSR</v>
          </cell>
          <cell r="I2003" t="str">
            <v>FOOD SERVICE</v>
          </cell>
          <cell r="J2003" t="str">
            <v>VAGO QSR</v>
          </cell>
          <cell r="K2003" t="str">
            <v>ITAMBÉ</v>
          </cell>
          <cell r="L2003" t="str">
            <v>PEDRO</v>
          </cell>
          <cell r="M2003" t="str">
            <v>VAGO QSR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  <cell r="H2004" t="str">
            <v>INGREDIENTS</v>
          </cell>
          <cell r="I2004" t="str">
            <v>INGREDIENTS</v>
          </cell>
          <cell r="J2004" t="str">
            <v>TATIANA NITTA</v>
          </cell>
          <cell r="K2004" t="str">
            <v>ITAMBÉ</v>
          </cell>
          <cell r="L2004" t="str">
            <v>MAURICIO</v>
          </cell>
          <cell r="M2004" t="str">
            <v>TATIANA NITTA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  <cell r="H2005" t="str">
            <v>INGREDIENTS</v>
          </cell>
          <cell r="I2005" t="str">
            <v>INGREDIENTS</v>
          </cell>
          <cell r="J2005" t="str">
            <v>TATIANA NITTA</v>
          </cell>
          <cell r="K2005" t="str">
            <v>ITAMBÉ</v>
          </cell>
          <cell r="L2005" t="str">
            <v>MAURICIO</v>
          </cell>
          <cell r="M2005" t="str">
            <v>TATIANA NITTA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  <cell r="H2006" t="str">
            <v>INGREDIENTS</v>
          </cell>
          <cell r="I2006" t="str">
            <v>INGREDIENTS</v>
          </cell>
          <cell r="J2006" t="str">
            <v>DUAS RODAS</v>
          </cell>
          <cell r="K2006" t="str">
            <v>ITAMBÉ</v>
          </cell>
          <cell r="L2006" t="str">
            <v>MAURICIO</v>
          </cell>
          <cell r="M2006" t="str">
            <v>MARCELO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  <cell r="H2007" t="str">
            <v>INGREDIENTS</v>
          </cell>
          <cell r="I2007" t="str">
            <v>INGREDIENTS</v>
          </cell>
          <cell r="J2007" t="str">
            <v>JOEL ELEOTÉRIO</v>
          </cell>
          <cell r="K2007" t="str">
            <v>ITAMBÉ</v>
          </cell>
          <cell r="L2007" t="str">
            <v>MAURICIO</v>
          </cell>
          <cell r="M2007" t="str">
            <v>JOEL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  <cell r="H2008" t="str">
            <v>DISTRIBUIÇÃO</v>
          </cell>
          <cell r="I2008" t="str">
            <v>FOOD SERVICE</v>
          </cell>
          <cell r="J2008" t="str">
            <v>JULIANA CORDEIRO</v>
          </cell>
          <cell r="K2008" t="str">
            <v>ITAMBÉ</v>
          </cell>
          <cell r="L2008" t="str">
            <v>RODRIGO</v>
          </cell>
          <cell r="M2008" t="str">
            <v>JESSICA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  <cell r="H2009" t="str">
            <v>INGREDIENTS</v>
          </cell>
          <cell r="I2009" t="str">
            <v>INGREDIENTS</v>
          </cell>
          <cell r="J2009" t="str">
            <v>HENRIQUE FERREIRA</v>
          </cell>
          <cell r="K2009" t="str">
            <v>ITAMBÉ</v>
          </cell>
          <cell r="L2009" t="str">
            <v>MAURICIO</v>
          </cell>
          <cell r="M2009" t="str">
            <v>JOEL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  <cell r="H2010" t="str">
            <v>QSR</v>
          </cell>
          <cell r="I2010" t="str">
            <v>FOOD SERVICE</v>
          </cell>
          <cell r="J2010" t="str">
            <v>ANA MENIQUETE</v>
          </cell>
          <cell r="K2010" t="str">
            <v>ITAMBÉ</v>
          </cell>
          <cell r="L2010" t="str">
            <v>PEDRO</v>
          </cell>
          <cell r="M2010" t="str">
            <v>ANA MENIQUETE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  <cell r="H2011" t="str">
            <v>INGREDIENTS</v>
          </cell>
          <cell r="I2011" t="str">
            <v>INGREDIENTS</v>
          </cell>
          <cell r="J2011" t="str">
            <v>DUAS RODAS</v>
          </cell>
          <cell r="K2011" t="str">
            <v>ITAMBÉ</v>
          </cell>
          <cell r="L2011" t="str">
            <v>MAURICIO</v>
          </cell>
          <cell r="M2011" t="str">
            <v>MARCELO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  <cell r="H2012" t="str">
            <v>INGREDIENTS</v>
          </cell>
          <cell r="I2012" t="str">
            <v>INGREDIENTS</v>
          </cell>
          <cell r="J2012" t="str">
            <v>HENRIQUE FERREIRA</v>
          </cell>
          <cell r="K2012" t="str">
            <v>ITAMBÉ</v>
          </cell>
          <cell r="L2012" t="str">
            <v>MAURICIO</v>
          </cell>
          <cell r="M2012" t="str">
            <v>JOEL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  <cell r="H2013" t="str">
            <v>QSR</v>
          </cell>
          <cell r="I2013" t="str">
            <v>FOOD SERVICE</v>
          </cell>
          <cell r="J2013" t="str">
            <v>ANA MENIQUETE</v>
          </cell>
          <cell r="K2013" t="str">
            <v>ITAMBÉ</v>
          </cell>
          <cell r="L2013" t="str">
            <v>PEDRO</v>
          </cell>
          <cell r="M2013" t="str">
            <v>ANA MENIQUETE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  <cell r="H2014" t="str">
            <v>INGREDIENTS</v>
          </cell>
          <cell r="I2014" t="str">
            <v>INGREDIENTS</v>
          </cell>
          <cell r="J2014" t="str">
            <v>DUAS RODAS</v>
          </cell>
          <cell r="K2014" t="str">
            <v>ITAMBÉ</v>
          </cell>
          <cell r="L2014" t="str">
            <v>MAURICIO</v>
          </cell>
          <cell r="M2014" t="str">
            <v>JOEL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  <cell r="H2015" t="str">
            <v>DISTRIBUIÇÃO</v>
          </cell>
          <cell r="I2015" t="str">
            <v>FOOD SERVICE</v>
          </cell>
          <cell r="J2015" t="str">
            <v>CLAUDIO JORGE</v>
          </cell>
          <cell r="K2015" t="str">
            <v>ITAMBÉ</v>
          </cell>
          <cell r="L2015" t="str">
            <v>RODRIGO</v>
          </cell>
          <cell r="M2015" t="str">
            <v>MARIA LOURDES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  <cell r="H2016" t="str">
            <v>DISTRIBUIÇÃO</v>
          </cell>
          <cell r="I2016" t="str">
            <v>FOOD SERVICE</v>
          </cell>
          <cell r="J2016" t="str">
            <v>GUILHERME NASCIMENTO</v>
          </cell>
          <cell r="K2016" t="str">
            <v>ITAMBÉ</v>
          </cell>
          <cell r="L2016" t="str">
            <v>RODRIGO</v>
          </cell>
          <cell r="M2016" t="str">
            <v>ALEXANDRO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  <cell r="H2017" t="str">
            <v>DISTRIBUIÇÃO</v>
          </cell>
          <cell r="I2017" t="str">
            <v>FOOD SERVICE</v>
          </cell>
          <cell r="J2017" t="str">
            <v>CLAUDIO JORGE/LUIZ</v>
          </cell>
          <cell r="K2017" t="str">
            <v>ITAMBÉ</v>
          </cell>
          <cell r="L2017" t="str">
            <v>RODRIGO</v>
          </cell>
          <cell r="M2017" t="str">
            <v>MARIA LOURDES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  <cell r="H2018" t="str">
            <v>DISTRIBUIÇÃO</v>
          </cell>
          <cell r="I2018" t="str">
            <v>FOOD SERVICE</v>
          </cell>
          <cell r="J2018" t="str">
            <v>VAGO SP</v>
          </cell>
          <cell r="K2018" t="str">
            <v>LACTALIS</v>
          </cell>
          <cell r="L2018" t="str">
            <v>RODRIGO</v>
          </cell>
          <cell r="M2018" t="str">
            <v>RAQUEL BARBOSA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  <cell r="H2019" t="str">
            <v>DISTRIBUIÇÃO</v>
          </cell>
          <cell r="I2019" t="str">
            <v>FOOD SERVICE</v>
          </cell>
          <cell r="J2019" t="str">
            <v>FLAC 3</v>
          </cell>
          <cell r="K2019" t="str">
            <v>LACTALIS</v>
          </cell>
          <cell r="L2019" t="str">
            <v>RODRIGO</v>
          </cell>
          <cell r="M2019" t="str">
            <v>RAQUEL BARBOSA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  <cell r="H2020" t="str">
            <v>INGREDIENTS</v>
          </cell>
          <cell r="I2020" t="str">
            <v>INGREDIENTS</v>
          </cell>
          <cell r="J2020" t="str">
            <v>HENRIQUE FERREIRA</v>
          </cell>
          <cell r="K2020" t="str">
            <v>ITAMBÉ</v>
          </cell>
          <cell r="L2020" t="str">
            <v>MAURICIO</v>
          </cell>
          <cell r="M2020" t="str">
            <v>JOEL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  <cell r="H2021" t="str">
            <v>INGREDIENTS</v>
          </cell>
          <cell r="I2021" t="str">
            <v>INGREDIENTS</v>
          </cell>
          <cell r="J2021" t="str">
            <v>HENRIQUE FERREIRA</v>
          </cell>
          <cell r="K2021" t="str">
            <v>ITAMBÉ</v>
          </cell>
          <cell r="L2021" t="str">
            <v>MAURICIO</v>
          </cell>
          <cell r="M2021" t="str">
            <v>JOEL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  <cell r="H2022" t="str">
            <v>INGREDIENTS</v>
          </cell>
          <cell r="I2022" t="str">
            <v>INGREDIENTS</v>
          </cell>
          <cell r="J2022" t="str">
            <v>HENRIQUE FERREIRA</v>
          </cell>
          <cell r="K2022" t="str">
            <v>ITAMBÉ</v>
          </cell>
          <cell r="L2022" t="str">
            <v>MAURICIO</v>
          </cell>
          <cell r="M2022" t="str">
            <v>JOEL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  <cell r="H2023" t="str">
            <v>DISTRIBUIÇÃO</v>
          </cell>
          <cell r="I2023" t="str">
            <v>FOOD SERVICE</v>
          </cell>
          <cell r="J2023" t="str">
            <v>FLAC 8</v>
          </cell>
          <cell r="K2023" t="str">
            <v>LACTALIS</v>
          </cell>
          <cell r="L2023" t="str">
            <v>RODRIGO</v>
          </cell>
          <cell r="M2023" t="str">
            <v>RAQUEL BARBOSA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  <cell r="H2024" t="str">
            <v>DISTRIBUIÇÃO</v>
          </cell>
          <cell r="I2024" t="str">
            <v>FOOD SERVICE</v>
          </cell>
          <cell r="J2024" t="str">
            <v>VAGO SP</v>
          </cell>
          <cell r="K2024" t="str">
            <v>ITAMBÉ</v>
          </cell>
          <cell r="L2024" t="str">
            <v>RODRIGO</v>
          </cell>
          <cell r="M2024" t="str">
            <v>RAQUEL BARBOSA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  <cell r="H2025" t="str">
            <v>DISTRIBUIÇÃO</v>
          </cell>
          <cell r="I2025" t="str">
            <v>FOOD SERVICE</v>
          </cell>
          <cell r="J2025" t="str">
            <v>FLAC 2</v>
          </cell>
          <cell r="K2025" t="str">
            <v>LACTALIS</v>
          </cell>
          <cell r="L2025" t="str">
            <v>RODRIGO</v>
          </cell>
          <cell r="M2025" t="str">
            <v>RAQUEL BARBOSA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  <cell r="H2026" t="str">
            <v>INGREDIENTS</v>
          </cell>
          <cell r="I2026" t="str">
            <v>INGREDIENTS</v>
          </cell>
          <cell r="J2026" t="str">
            <v>HENRIQUE FERREIRA</v>
          </cell>
          <cell r="K2026" t="str">
            <v>ITAMBÉ</v>
          </cell>
          <cell r="L2026" t="str">
            <v>MAURICIO</v>
          </cell>
          <cell r="M2026" t="str">
            <v>JOEL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  <cell r="H2027" t="str">
            <v>INGREDIENTS</v>
          </cell>
          <cell r="I2027" t="str">
            <v>INGREDIENTS</v>
          </cell>
          <cell r="J2027" t="str">
            <v>HENRIQUE FERREIRA</v>
          </cell>
          <cell r="K2027" t="str">
            <v>LACTALIS</v>
          </cell>
          <cell r="L2027" t="str">
            <v>MAURICIO</v>
          </cell>
          <cell r="M2027" t="str">
            <v>JOEL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  <cell r="H2028" t="str">
            <v>QSR</v>
          </cell>
          <cell r="I2028" t="str">
            <v>FOOD SERVICE</v>
          </cell>
          <cell r="J2028" t="str">
            <v>ANA MENIQUETE</v>
          </cell>
          <cell r="K2028" t="str">
            <v>LACTALIS</v>
          </cell>
          <cell r="L2028" t="str">
            <v>PEDRO</v>
          </cell>
          <cell r="M2028" t="str">
            <v>ANA MENIQUETE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  <cell r="H2029" t="str">
            <v>QSR</v>
          </cell>
          <cell r="I2029" t="str">
            <v>FOOD SERVICE</v>
          </cell>
          <cell r="J2029" t="str">
            <v>ANA MENIQUETE</v>
          </cell>
          <cell r="K2029" t="str">
            <v>LACTALIS</v>
          </cell>
          <cell r="L2029" t="str">
            <v>PEDRO</v>
          </cell>
          <cell r="M2029" t="str">
            <v>ANA MENIQUETE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  <cell r="H2030" t="str">
            <v>DISTRIBUIÇÃO</v>
          </cell>
          <cell r="I2030" t="str">
            <v>FOOD SERVICE</v>
          </cell>
          <cell r="J2030" t="str">
            <v>FLAC 2</v>
          </cell>
          <cell r="K2030" t="str">
            <v>LACTALIS</v>
          </cell>
          <cell r="L2030" t="str">
            <v>RODRIGO</v>
          </cell>
          <cell r="M2030" t="str">
            <v>RAQUEL BARBOSA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  <cell r="H2031" t="str">
            <v>QSR</v>
          </cell>
          <cell r="I2031" t="str">
            <v>FOOD SERVICE</v>
          </cell>
          <cell r="J2031" t="str">
            <v>VAGO QSR</v>
          </cell>
          <cell r="K2031" t="str">
            <v>LACTALIS</v>
          </cell>
          <cell r="L2031" t="str">
            <v>PEDRO</v>
          </cell>
          <cell r="M2031" t="str">
            <v>VAGO QSR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  <cell r="H2032" t="str">
            <v>DISTRIBUIÇÃO</v>
          </cell>
          <cell r="I2032" t="str">
            <v>FOOD SERVICE</v>
          </cell>
          <cell r="J2032" t="str">
            <v>FLAC 6</v>
          </cell>
          <cell r="K2032" t="str">
            <v>LACTALIS</v>
          </cell>
          <cell r="L2032" t="str">
            <v>RODRIGO</v>
          </cell>
          <cell r="M2032" t="str">
            <v>RAQUEL BARBOSA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  <cell r="H2033" t="str">
            <v>INGREDIENTS</v>
          </cell>
          <cell r="I2033" t="str">
            <v>INGREDIENTS</v>
          </cell>
          <cell r="J2033" t="str">
            <v>JOEL ELEOTÉRIO</v>
          </cell>
          <cell r="K2033" t="str">
            <v>LACTALIS</v>
          </cell>
          <cell r="L2033" t="str">
            <v>MAURICIO</v>
          </cell>
          <cell r="M2033" t="str">
            <v>JOEL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  <cell r="H2034" t="str">
            <v>INGREDIENTS</v>
          </cell>
          <cell r="I2034" t="str">
            <v>INGREDIENTS</v>
          </cell>
          <cell r="J2034" t="str">
            <v>HENRIQUE FERREIRA</v>
          </cell>
          <cell r="K2034" t="str">
            <v>ITAMBÉ</v>
          </cell>
          <cell r="L2034" t="str">
            <v>MAURICIO</v>
          </cell>
          <cell r="M2034" t="str">
            <v>JOEL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  <cell r="H2035" t="str">
            <v>INGREDIENTS</v>
          </cell>
          <cell r="I2035" t="str">
            <v>INGREDIENTS</v>
          </cell>
          <cell r="J2035" t="str">
            <v>HENRIQUE FERREIRA</v>
          </cell>
          <cell r="K2035" t="str">
            <v>ITAMBÉ</v>
          </cell>
          <cell r="L2035" t="str">
            <v>MAURICIO</v>
          </cell>
          <cell r="M2035" t="str">
            <v>JOEL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  <cell r="H2036" t="str">
            <v>DISTRIBUIÇÃO</v>
          </cell>
          <cell r="I2036" t="str">
            <v>FOOD SERVICE</v>
          </cell>
          <cell r="J2036" t="str">
            <v>FLAC 1</v>
          </cell>
          <cell r="K2036" t="str">
            <v>LACTALIS</v>
          </cell>
          <cell r="L2036" t="str">
            <v>RODRIGO</v>
          </cell>
          <cell r="M2036" t="str">
            <v>RAQUEL BARBOSA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  <cell r="H2037" t="str">
            <v>INGREDIENTS</v>
          </cell>
          <cell r="I2037" t="str">
            <v>INGREDIENTS</v>
          </cell>
          <cell r="J2037" t="str">
            <v>TATIANA NITTA</v>
          </cell>
          <cell r="K2037" t="str">
            <v>ITAMBÉ</v>
          </cell>
          <cell r="L2037" t="str">
            <v>MAURICIO</v>
          </cell>
          <cell r="M2037" t="str">
            <v>TATIANA NITTA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  <cell r="H2038" t="str">
            <v>INGREDIENTS</v>
          </cell>
          <cell r="I2038" t="str">
            <v>INGREDIENTS</v>
          </cell>
          <cell r="J2038" t="str">
            <v>TATIANA NITTA</v>
          </cell>
          <cell r="K2038" t="str">
            <v>ITAMBÉ</v>
          </cell>
          <cell r="L2038" t="str">
            <v>MAURICIO</v>
          </cell>
          <cell r="M2038" t="str">
            <v>TATIANA NITTA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  <cell r="H2039" t="str">
            <v>DISTRIBUIÇÃO</v>
          </cell>
          <cell r="I2039" t="str">
            <v>FOOD SERVICE</v>
          </cell>
          <cell r="J2039" t="str">
            <v>FLAC 6</v>
          </cell>
          <cell r="K2039" t="str">
            <v>LACTALIS</v>
          </cell>
          <cell r="L2039" t="str">
            <v>RODRIGO</v>
          </cell>
          <cell r="M2039" t="str">
            <v>RAQUEL BARBOSA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  <cell r="H2040" t="str">
            <v>INGREDIENTS</v>
          </cell>
          <cell r="I2040" t="str">
            <v>INGREDIENTS</v>
          </cell>
          <cell r="J2040" t="str">
            <v>BA ITB FS ML FLAVORS</v>
          </cell>
          <cell r="K2040" t="str">
            <v>ITAMBÉ</v>
          </cell>
          <cell r="L2040" t="str">
            <v>MAURICIO</v>
          </cell>
          <cell r="M2040" t="str">
            <v>JOEL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  <cell r="H2041" t="str">
            <v>INGREDIENTS</v>
          </cell>
          <cell r="I2041" t="str">
            <v>INGREDIENTS</v>
          </cell>
          <cell r="J2041" t="str">
            <v>HENRIQUE FERREIRA</v>
          </cell>
          <cell r="K2041" t="str">
            <v>ITAMBÉ</v>
          </cell>
          <cell r="L2041" t="str">
            <v>MAURICIO</v>
          </cell>
          <cell r="M2041" t="str">
            <v>JOEL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  <cell r="H2042" t="str">
            <v>INGREDIENTS</v>
          </cell>
          <cell r="I2042" t="str">
            <v>INGREDIENTS</v>
          </cell>
          <cell r="J2042" t="str">
            <v>TATIANA NITTA</v>
          </cell>
          <cell r="K2042" t="str">
            <v>ITAMBÉ</v>
          </cell>
          <cell r="L2042" t="str">
            <v>MAURICIO</v>
          </cell>
          <cell r="M2042" t="str">
            <v>TATIANA NITTA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  <cell r="H2043" t="str">
            <v>DISTRIBUIÇÃO</v>
          </cell>
          <cell r="I2043" t="str">
            <v>FOOD SERVICE</v>
          </cell>
          <cell r="J2043" t="str">
            <v>FLAC 2</v>
          </cell>
          <cell r="K2043" t="str">
            <v>LACTALIS</v>
          </cell>
          <cell r="L2043" t="str">
            <v>RODRIGO</v>
          </cell>
          <cell r="M2043" t="str">
            <v>RAQUEL BARBOSA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  <cell r="H2044" t="str">
            <v>DISTRIBUIÇÃO</v>
          </cell>
          <cell r="I2044" t="str">
            <v>FOOD SERVICE</v>
          </cell>
          <cell r="J2044" t="str">
            <v>FLAC 6</v>
          </cell>
          <cell r="K2044" t="str">
            <v>LACTALIS</v>
          </cell>
          <cell r="L2044" t="str">
            <v>RODRIGO</v>
          </cell>
          <cell r="M2044" t="str">
            <v>RAQUEL BARBOSA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  <cell r="H2045" t="str">
            <v>DISTRIBUIÇÃO</v>
          </cell>
          <cell r="I2045" t="str">
            <v>FOOD SERVICE</v>
          </cell>
          <cell r="J2045" t="str">
            <v>VAGO SP</v>
          </cell>
          <cell r="K2045" t="str">
            <v>LACTALIS</v>
          </cell>
          <cell r="L2045" t="str">
            <v>RODRIGO</v>
          </cell>
          <cell r="M2045" t="str">
            <v>RAQUEL BARBOSA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  <cell r="H2046" t="str">
            <v>QSR</v>
          </cell>
          <cell r="I2046" t="str">
            <v>FOOD SERVICE</v>
          </cell>
          <cell r="J2046" t="str">
            <v>VAGO QSR</v>
          </cell>
          <cell r="K2046" t="str">
            <v>LACTALIS</v>
          </cell>
          <cell r="L2046" t="str">
            <v>PEDRO</v>
          </cell>
          <cell r="M2046" t="str">
            <v>VAGO QSR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  <cell r="H2047" t="str">
            <v>DISTRIBUIÇÃO</v>
          </cell>
          <cell r="I2047" t="str">
            <v>FOOD SERVICE</v>
          </cell>
          <cell r="J2047" t="str">
            <v>FLAC 6</v>
          </cell>
          <cell r="K2047" t="str">
            <v>LACTALIS</v>
          </cell>
          <cell r="L2047" t="str">
            <v>RODRIGO</v>
          </cell>
          <cell r="M2047" t="str">
            <v>RAQUEL BARBOSA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  <cell r="H2048" t="str">
            <v>DISTRIBUIÇÃO</v>
          </cell>
          <cell r="I2048" t="str">
            <v>FOOD SERVICE</v>
          </cell>
          <cell r="J2048" t="str">
            <v>FLAC 5</v>
          </cell>
          <cell r="K2048" t="str">
            <v>LACTALIS</v>
          </cell>
          <cell r="L2048" t="str">
            <v>RODRIGO</v>
          </cell>
          <cell r="M2048" t="str">
            <v>RAQUEL BARBOSA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  <cell r="H2049" t="str">
            <v>INGREDIENTS</v>
          </cell>
          <cell r="I2049" t="str">
            <v>INGREDIENTS</v>
          </cell>
          <cell r="J2049" t="str">
            <v>HENRIQUE FERREIRA</v>
          </cell>
          <cell r="K2049" t="str">
            <v>ITAMBÉ</v>
          </cell>
          <cell r="L2049" t="str">
            <v>MAURICIO</v>
          </cell>
          <cell r="M2049" t="str">
            <v>JOEL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  <cell r="H2050" t="str">
            <v>INGREDIENTS</v>
          </cell>
          <cell r="I2050" t="str">
            <v>INGREDIENTS</v>
          </cell>
          <cell r="J2050" t="str">
            <v>MARCELO RODRIGUES</v>
          </cell>
          <cell r="K2050" t="str">
            <v>ITAMBÉ</v>
          </cell>
          <cell r="L2050" t="str">
            <v>MAURICIO</v>
          </cell>
          <cell r="M2050" t="str">
            <v>MARCELO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  <cell r="H2051" t="str">
            <v>INGREDIENTS</v>
          </cell>
          <cell r="I2051" t="str">
            <v>INGREDIENTS</v>
          </cell>
          <cell r="J2051" t="str">
            <v>MARCELO RODRIGUES</v>
          </cell>
          <cell r="K2051" t="str">
            <v>ITAMBÉ</v>
          </cell>
          <cell r="L2051" t="str">
            <v>MAURICIO</v>
          </cell>
          <cell r="M2051" t="str">
            <v>MARCELO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  <cell r="H2052" t="str">
            <v>OUTROS</v>
          </cell>
          <cell r="I2052" t="str">
            <v>OUTROS</v>
          </cell>
          <cell r="J2052" t="str">
            <v>SERVIÇO TIROL</v>
          </cell>
          <cell r="K2052" t="str">
            <v>OUTROS</v>
          </cell>
          <cell r="L2052" t="str">
            <v>OUTROS</v>
          </cell>
          <cell r="M2052" t="str">
            <v>SERVIÇO TIROL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  <cell r="H2053" t="str">
            <v>DISTRIBUIÇÃO</v>
          </cell>
          <cell r="I2053" t="str">
            <v>FOOD SERVICE</v>
          </cell>
          <cell r="J2053" t="str">
            <v>FLAC 2</v>
          </cell>
          <cell r="K2053" t="str">
            <v>LACTALIS</v>
          </cell>
          <cell r="L2053" t="str">
            <v>RODRIGO</v>
          </cell>
          <cell r="M2053" t="str">
            <v>RAQUEL BARBOSA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  <cell r="H2054" t="str">
            <v>DISTRIBUIÇÃO</v>
          </cell>
          <cell r="I2054" t="str">
            <v>FOOD SERVICE</v>
          </cell>
          <cell r="J2054" t="str">
            <v>WH FOOD SERVICE CE</v>
          </cell>
          <cell r="K2054" t="str">
            <v>ITAMBÉ</v>
          </cell>
          <cell r="L2054" t="str">
            <v>RODRIGO</v>
          </cell>
          <cell r="M2054" t="str">
            <v>MARIA LOURDES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  <cell r="H2055" t="str">
            <v>DISTRIBUIÇÃO</v>
          </cell>
          <cell r="I2055" t="str">
            <v>FOOD SERVICE</v>
          </cell>
          <cell r="J2055" t="str">
            <v>ANGELICA BATISTELA</v>
          </cell>
          <cell r="K2055" t="str">
            <v>LACTALIS</v>
          </cell>
          <cell r="L2055" t="str">
            <v>RODRIGO</v>
          </cell>
          <cell r="M2055" t="str">
            <v>ANGELICA BATISTELA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  <cell r="H2056" t="str">
            <v>DISTRIBUIÇÃO</v>
          </cell>
          <cell r="I2056" t="str">
            <v>FOOD SERVICE</v>
          </cell>
          <cell r="J2056" t="str">
            <v>FLAC 2</v>
          </cell>
          <cell r="K2056" t="str">
            <v>LACTALIS</v>
          </cell>
          <cell r="L2056" t="str">
            <v>RODRIGO</v>
          </cell>
          <cell r="M2056" t="str">
            <v>RAQUEL BARBOSA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  <cell r="H2057" t="str">
            <v>QSR</v>
          </cell>
          <cell r="I2057" t="str">
            <v>FOOD SERVICE</v>
          </cell>
          <cell r="J2057" t="str">
            <v>VAGO QSR</v>
          </cell>
          <cell r="K2057" t="str">
            <v>ITAMBÉ</v>
          </cell>
          <cell r="L2057" t="str">
            <v>PEDRO</v>
          </cell>
          <cell r="M2057" t="str">
            <v>VAGO QSR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  <cell r="H2058" t="str">
            <v>INGREDIENTS</v>
          </cell>
          <cell r="I2058" t="str">
            <v>INGREDIENTS</v>
          </cell>
          <cell r="J2058" t="str">
            <v>HENRIQUE FERREIRA</v>
          </cell>
          <cell r="K2058" t="str">
            <v>ITAMBÉ</v>
          </cell>
          <cell r="L2058" t="str">
            <v>MAURICIO</v>
          </cell>
          <cell r="M2058" t="str">
            <v>JOEL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  <cell r="H2059" t="str">
            <v>DISTRIBUIÇÃO</v>
          </cell>
          <cell r="I2059" t="str">
            <v>FOOD SERVICE</v>
          </cell>
          <cell r="J2059" t="str">
            <v>CLAUDIO JORGE/LUIZ</v>
          </cell>
          <cell r="K2059" t="str">
            <v>ITAMBÉ</v>
          </cell>
          <cell r="L2059" t="str">
            <v>RODRIGO</v>
          </cell>
          <cell r="M2059" t="str">
            <v>MARIA LOURDES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  <cell r="H2060" t="str">
            <v>DISTRIBUIÇÃO</v>
          </cell>
          <cell r="I2060" t="str">
            <v>FOOD SERVICE</v>
          </cell>
          <cell r="J2060" t="str">
            <v>FLAC 1</v>
          </cell>
          <cell r="K2060" t="str">
            <v>LACTALIS</v>
          </cell>
          <cell r="L2060" t="str">
            <v>RODRIGO</v>
          </cell>
          <cell r="M2060" t="str">
            <v>RAQUEL BARBOSA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  <cell r="H2061" t="str">
            <v>INGREDIENTS</v>
          </cell>
          <cell r="I2061" t="str">
            <v>INGREDIENTS</v>
          </cell>
          <cell r="J2061" t="str">
            <v>TATIANA NITTA</v>
          </cell>
          <cell r="K2061" t="str">
            <v>ITAMBÉ</v>
          </cell>
          <cell r="L2061" t="str">
            <v>MAURICIO</v>
          </cell>
          <cell r="M2061" t="str">
            <v>TATIANA NITTA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  <cell r="H2062" t="str">
            <v>DISTRIBUIÇÃO</v>
          </cell>
          <cell r="I2062" t="str">
            <v>FOOD SERVICE</v>
          </cell>
          <cell r="J2062" t="str">
            <v>FLAC 7</v>
          </cell>
          <cell r="K2062" t="str">
            <v>LACTALIS</v>
          </cell>
          <cell r="L2062" t="str">
            <v>RODRIGO</v>
          </cell>
          <cell r="M2062" t="str">
            <v>RAQUEL BARBOSA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  <cell r="H2063" t="str">
            <v>DISTRIBUIÇÃO</v>
          </cell>
          <cell r="I2063" t="str">
            <v>FOOD SERVICE</v>
          </cell>
          <cell r="J2063" t="str">
            <v>MARCELO SILVA</v>
          </cell>
          <cell r="K2063" t="str">
            <v>ITAMBÉ</v>
          </cell>
          <cell r="L2063" t="str">
            <v>RODRIGO</v>
          </cell>
          <cell r="M2063" t="str">
            <v>CELIO MARTINS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  <cell r="H2064" t="str">
            <v>INGREDIENTS</v>
          </cell>
          <cell r="I2064" t="str">
            <v>INGREDIENTS</v>
          </cell>
          <cell r="J2064" t="str">
            <v>MARCELO RODRIGUES</v>
          </cell>
          <cell r="K2064" t="str">
            <v>ITAMBÉ</v>
          </cell>
          <cell r="L2064" t="str">
            <v>MAURICIO</v>
          </cell>
          <cell r="M2064" t="str">
            <v>MARCELO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  <cell r="H2065" t="str">
            <v>INGREDIENTS</v>
          </cell>
          <cell r="I2065" t="str">
            <v>INGREDIENTS</v>
          </cell>
          <cell r="J2065" t="str">
            <v>FERREIRA MELO</v>
          </cell>
          <cell r="K2065" t="str">
            <v>LACTALIS</v>
          </cell>
          <cell r="L2065" t="str">
            <v>MAURICIO</v>
          </cell>
          <cell r="M2065" t="str">
            <v>JOEL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  <cell r="H2066" t="str">
            <v>INGREDIENTS</v>
          </cell>
          <cell r="I2066" t="str">
            <v>INGREDIENTS</v>
          </cell>
          <cell r="J2066" t="str">
            <v>HENRIQUE FERREIRA</v>
          </cell>
          <cell r="K2066" t="str">
            <v>ITAMBÉ</v>
          </cell>
          <cell r="L2066" t="str">
            <v>MAURICIO</v>
          </cell>
          <cell r="M2066" t="str">
            <v>JOEL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  <cell r="H2067" t="str">
            <v>DISTRIBUIÇÃO</v>
          </cell>
          <cell r="I2067" t="str">
            <v>FOOD SERVICE</v>
          </cell>
          <cell r="J2067" t="str">
            <v>ANGELICA BATISTELA</v>
          </cell>
          <cell r="K2067" t="str">
            <v>ITAMBÉ</v>
          </cell>
          <cell r="L2067" t="str">
            <v>RODRIGO</v>
          </cell>
          <cell r="M2067" t="str">
            <v>ANGELICA BATISTELA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  <cell r="H2068" t="str">
            <v>INGREDIENTS</v>
          </cell>
          <cell r="I2068" t="str">
            <v>INGREDIENTS</v>
          </cell>
          <cell r="J2068" t="str">
            <v>TATIANA NITTA</v>
          </cell>
          <cell r="K2068" t="str">
            <v>ITAMBÉ</v>
          </cell>
          <cell r="L2068" t="str">
            <v>MAURICIO</v>
          </cell>
          <cell r="M2068" t="str">
            <v>TATIANA NITTA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  <cell r="H2069" t="str">
            <v>DISTRIBUIÇÃO</v>
          </cell>
          <cell r="I2069" t="str">
            <v>FOOD SERVICE</v>
          </cell>
          <cell r="J2069" t="str">
            <v>FLAC 2</v>
          </cell>
          <cell r="K2069" t="str">
            <v>LACTALIS</v>
          </cell>
          <cell r="L2069" t="str">
            <v>RODRIGO</v>
          </cell>
          <cell r="M2069" t="str">
            <v>RAQUEL BARBOSA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  <cell r="H2070" t="str">
            <v>DISTRIBUIÇÃO</v>
          </cell>
          <cell r="I2070" t="str">
            <v>FOOD SERVICE</v>
          </cell>
          <cell r="J2070" t="str">
            <v>MARCELO SILVA</v>
          </cell>
          <cell r="K2070" t="str">
            <v>ITAMBÉ</v>
          </cell>
          <cell r="L2070" t="str">
            <v>RODRIGO</v>
          </cell>
          <cell r="M2070" t="str">
            <v>CELIO MARTINS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  <cell r="H2071" t="str">
            <v>DISTRIBUIÇÃO</v>
          </cell>
          <cell r="I2071" t="str">
            <v>FOOD SERVICE</v>
          </cell>
          <cell r="J2071" t="str">
            <v>FLAC 6</v>
          </cell>
          <cell r="K2071" t="str">
            <v>LACTALIS</v>
          </cell>
          <cell r="L2071" t="str">
            <v>RODRIGO</v>
          </cell>
          <cell r="M2071" t="str">
            <v>RAQUEL BARBOSA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  <cell r="H2072" t="str">
            <v>INGREDIENTS</v>
          </cell>
          <cell r="I2072" t="str">
            <v>INGREDIENTS</v>
          </cell>
          <cell r="J2072" t="str">
            <v>MARCELO RODRIGUES</v>
          </cell>
          <cell r="K2072" t="str">
            <v>LACTALIS</v>
          </cell>
          <cell r="L2072" t="str">
            <v>MAURICIO</v>
          </cell>
          <cell r="M2072" t="str">
            <v>MARCELO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  <cell r="H2073" t="str">
            <v>DISTRIBUIÇÃO</v>
          </cell>
          <cell r="I2073" t="str">
            <v>FOOD SERVICE</v>
          </cell>
          <cell r="J2073" t="str">
            <v>VAGO SP</v>
          </cell>
          <cell r="K2073" t="str">
            <v>ITAMBÉ</v>
          </cell>
          <cell r="L2073" t="str">
            <v>RODRIGO</v>
          </cell>
          <cell r="M2073" t="str">
            <v>RAQUEL BARBOSA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  <cell r="H2074" t="str">
            <v>DISTRIBUIÇÃO</v>
          </cell>
          <cell r="I2074" t="str">
            <v>FOOD SERVICE</v>
          </cell>
          <cell r="J2074" t="str">
            <v>FLAC 6</v>
          </cell>
          <cell r="K2074" t="str">
            <v>LACTALIS</v>
          </cell>
          <cell r="L2074" t="str">
            <v>RODRIGO</v>
          </cell>
          <cell r="M2074" t="str">
            <v>RAQUEL BARBOSA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  <cell r="H2075" t="str">
            <v>DISTRIBUIÇÃO</v>
          </cell>
          <cell r="I2075" t="str">
            <v>FOOD SERVICE</v>
          </cell>
          <cell r="J2075" t="str">
            <v>FLAC 6</v>
          </cell>
          <cell r="K2075" t="str">
            <v>LACTALIS</v>
          </cell>
          <cell r="L2075" t="str">
            <v>RODRIGO</v>
          </cell>
          <cell r="M2075" t="str">
            <v>RAQUEL BARBOSA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  <cell r="H2076" t="str">
            <v>DISTRIBUIÇÃO</v>
          </cell>
          <cell r="I2076" t="str">
            <v>FOOD SERVICE</v>
          </cell>
          <cell r="J2076" t="str">
            <v>LUCIANA MARTINS</v>
          </cell>
          <cell r="K2076" t="str">
            <v>LACTALIS</v>
          </cell>
          <cell r="L2076" t="str">
            <v>RODRIGO</v>
          </cell>
          <cell r="M2076" t="str">
            <v>JESSICA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  <cell r="H2077" t="str">
            <v>OUTROS</v>
          </cell>
          <cell r="I2077" t="str">
            <v>OUTROS</v>
          </cell>
          <cell r="J2077" t="str">
            <v>SERVIÇO TIROL</v>
          </cell>
          <cell r="K2077" t="str">
            <v>OUTROS</v>
          </cell>
          <cell r="L2077" t="str">
            <v>OUTROS</v>
          </cell>
          <cell r="M2077" t="str">
            <v>SERVIÇO TIROL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  <cell r="H2078" t="str">
            <v>OUTROS</v>
          </cell>
          <cell r="I2078" t="str">
            <v>OUTROS</v>
          </cell>
          <cell r="J2078" t="str">
            <v>SERVIÇO TIROL</v>
          </cell>
          <cell r="K2078" t="str">
            <v>OUTROS</v>
          </cell>
          <cell r="L2078" t="str">
            <v>OUTROS</v>
          </cell>
          <cell r="M2078" t="str">
            <v>SERVIÇO TIROL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  <cell r="H2079" t="str">
            <v>INGREDIENTS</v>
          </cell>
          <cell r="I2079" t="str">
            <v>INGREDIENTS</v>
          </cell>
          <cell r="J2079" t="str">
            <v>HENRIQUE FERREIRA</v>
          </cell>
          <cell r="K2079" t="str">
            <v>ITAMBÉ</v>
          </cell>
          <cell r="L2079" t="str">
            <v>MAURICIO</v>
          </cell>
          <cell r="M2079" t="str">
            <v>JOEL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  <cell r="H2080" t="str">
            <v>DISTRIBUIÇÃO</v>
          </cell>
          <cell r="I2080" t="str">
            <v>FOOD SERVICE</v>
          </cell>
          <cell r="J2080" t="str">
            <v>CLAUDIO JORGE/LUIZ</v>
          </cell>
          <cell r="K2080" t="str">
            <v>ITAMBÉ</v>
          </cell>
          <cell r="L2080" t="str">
            <v>RODRIGO</v>
          </cell>
          <cell r="M2080" t="str">
            <v>MARIA LOURDES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  <cell r="H2081" t="str">
            <v>DISTRIBUIÇÃO</v>
          </cell>
          <cell r="I2081" t="str">
            <v>FOOD SERVICE</v>
          </cell>
          <cell r="J2081" t="str">
            <v>FLAC 5</v>
          </cell>
          <cell r="K2081" t="str">
            <v>LACTALIS</v>
          </cell>
          <cell r="L2081" t="str">
            <v>RODRIGO</v>
          </cell>
          <cell r="M2081" t="str">
            <v>RAQUEL BARBOSA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  <cell r="H2082" t="str">
            <v>DISTRIBUIÇÃO</v>
          </cell>
          <cell r="I2082" t="str">
            <v>FOOD SERVICE</v>
          </cell>
          <cell r="J2082" t="str">
            <v>FLAC 5</v>
          </cell>
          <cell r="K2082" t="str">
            <v>LACTALIS</v>
          </cell>
          <cell r="L2082" t="str">
            <v>RODRIGO</v>
          </cell>
          <cell r="M2082" t="str">
            <v>RAQUEL BARBOSA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  <cell r="H2083" t="str">
            <v>INGREDIENTS</v>
          </cell>
          <cell r="I2083" t="str">
            <v>INGREDIENTS</v>
          </cell>
          <cell r="J2083" t="str">
            <v>HENRIQUE FERREIRA</v>
          </cell>
          <cell r="K2083" t="str">
            <v>ITAMBÉ</v>
          </cell>
          <cell r="L2083" t="str">
            <v>MAURICIO</v>
          </cell>
          <cell r="M2083" t="str">
            <v>JOEL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  <cell r="H2084" t="str">
            <v>DISTRIBUIÇÃO</v>
          </cell>
          <cell r="I2084" t="str">
            <v>FOOD SERVICE</v>
          </cell>
          <cell r="J2084" t="str">
            <v>FLAC 3</v>
          </cell>
          <cell r="K2084" t="str">
            <v>LACTALIS</v>
          </cell>
          <cell r="L2084" t="str">
            <v>RODRIGO</v>
          </cell>
          <cell r="M2084" t="str">
            <v>RAQUEL BARBOSA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  <cell r="H2085" t="str">
            <v>DISTRIBUIÇÃO</v>
          </cell>
          <cell r="I2085" t="str">
            <v>FOOD SERVICE</v>
          </cell>
          <cell r="J2085" t="str">
            <v>MARCELO SILVA</v>
          </cell>
          <cell r="K2085" t="str">
            <v>ITAMBÉ</v>
          </cell>
          <cell r="L2085" t="str">
            <v>RODRIGO</v>
          </cell>
          <cell r="M2085" t="str">
            <v>CELIO MARTINS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  <cell r="H2086" t="str">
            <v>INGREDIENTS</v>
          </cell>
          <cell r="I2086" t="str">
            <v>INGREDIENTS</v>
          </cell>
          <cell r="J2086" t="str">
            <v>HENRIQUE FERREIRA</v>
          </cell>
          <cell r="K2086" t="str">
            <v>ITAMBÉ</v>
          </cell>
          <cell r="L2086" t="str">
            <v>MAURICIO</v>
          </cell>
          <cell r="M2086" t="str">
            <v>JOEL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  <cell r="H2087" t="str">
            <v>DISTRIBUIÇÃO</v>
          </cell>
          <cell r="I2087" t="str">
            <v>FOOD SERVICE</v>
          </cell>
          <cell r="J2087" t="str">
            <v>FLAC 5</v>
          </cell>
          <cell r="K2087" t="str">
            <v>LACTALIS</v>
          </cell>
          <cell r="L2087" t="str">
            <v>RODRIGO</v>
          </cell>
          <cell r="M2087" t="str">
            <v>RAQUEL BARBOSA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  <cell r="H2088" t="str">
            <v>DISTRIBUIÇÃO</v>
          </cell>
          <cell r="I2088" t="str">
            <v>FOOD SERVICE</v>
          </cell>
          <cell r="J2088" t="str">
            <v>FLAC 5</v>
          </cell>
          <cell r="K2088" t="str">
            <v>LACTALIS</v>
          </cell>
          <cell r="L2088" t="str">
            <v>RODRIGO</v>
          </cell>
          <cell r="M2088" t="str">
            <v>RAQUEL BARBOSA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  <cell r="H2089" t="str">
            <v>INGREDIENTS</v>
          </cell>
          <cell r="I2089" t="str">
            <v>INGREDIENTS</v>
          </cell>
          <cell r="J2089" t="str">
            <v>MARCELO RODRIGUES</v>
          </cell>
          <cell r="K2089" t="str">
            <v>ITAMBÉ</v>
          </cell>
          <cell r="L2089" t="str">
            <v>MAURICIO</v>
          </cell>
          <cell r="M2089" t="str">
            <v>MARCELO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  <cell r="H2090" t="str">
            <v>DISTRIBUIÇÃO</v>
          </cell>
          <cell r="I2090" t="str">
            <v>FOOD SERVICE</v>
          </cell>
          <cell r="J2090" t="str">
            <v>FLAC 3</v>
          </cell>
          <cell r="K2090" t="str">
            <v>LACTALIS</v>
          </cell>
          <cell r="L2090" t="str">
            <v>RODRIGO</v>
          </cell>
          <cell r="M2090" t="str">
            <v>RAQUEL BARBOSA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  <cell r="H2091" t="str">
            <v>DISTRIBUIÇÃO</v>
          </cell>
          <cell r="I2091" t="str">
            <v>FOOD SERVICE</v>
          </cell>
          <cell r="J2091" t="str">
            <v>FLAC 2</v>
          </cell>
          <cell r="K2091" t="str">
            <v>LACTALIS</v>
          </cell>
          <cell r="L2091" t="str">
            <v>RODRIGO</v>
          </cell>
          <cell r="M2091" t="str">
            <v>RAQUEL BARBOSA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  <cell r="H2092" t="str">
            <v>DISTRIBUIÇÃO</v>
          </cell>
          <cell r="I2092" t="str">
            <v>FOOD SERVICE</v>
          </cell>
          <cell r="J2092" t="str">
            <v>FLAC 6</v>
          </cell>
          <cell r="K2092" t="str">
            <v>LACTALIS</v>
          </cell>
          <cell r="L2092" t="str">
            <v>RODRIGO</v>
          </cell>
          <cell r="M2092" t="str">
            <v>RAQUEL BARBOSA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  <cell r="H2093" t="str">
            <v>INGREDIENTS</v>
          </cell>
          <cell r="I2093" t="str">
            <v>INGREDIENTS</v>
          </cell>
          <cell r="J2093" t="str">
            <v>JOEL ELEOTÉRIO</v>
          </cell>
          <cell r="K2093" t="str">
            <v>LACTALIS</v>
          </cell>
          <cell r="L2093" t="str">
            <v>MAURICIO</v>
          </cell>
          <cell r="M2093" t="str">
            <v>JOEL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  <cell r="H2094" t="str">
            <v>INGREDIENTS</v>
          </cell>
          <cell r="I2094" t="str">
            <v>INGREDIENTS</v>
          </cell>
          <cell r="J2094" t="str">
            <v>JOEL ELEOTÉRIO</v>
          </cell>
          <cell r="K2094" t="str">
            <v>LACTALIS</v>
          </cell>
          <cell r="L2094" t="str">
            <v>MAURICIO</v>
          </cell>
          <cell r="M2094" t="str">
            <v>JOEL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  <cell r="H2095" t="str">
            <v>DISTRIBUIÇÃO</v>
          </cell>
          <cell r="I2095" t="str">
            <v>FOOD SERVICE</v>
          </cell>
          <cell r="J2095" t="str">
            <v>FLAC 5</v>
          </cell>
          <cell r="K2095" t="str">
            <v>LACTALIS</v>
          </cell>
          <cell r="L2095" t="str">
            <v>RODRIGO</v>
          </cell>
          <cell r="M2095" t="str">
            <v>RAQUEL BARBOSA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  <cell r="H2096" t="str">
            <v>DISTRIBUIÇÃO</v>
          </cell>
          <cell r="I2096" t="str">
            <v>FOOD SERVICE</v>
          </cell>
          <cell r="J2096" t="str">
            <v>FLAC 5</v>
          </cell>
          <cell r="K2096" t="str">
            <v>LACTALIS</v>
          </cell>
          <cell r="L2096" t="str">
            <v>RODRIGO</v>
          </cell>
          <cell r="M2096" t="str">
            <v>RAQUEL BARBOSA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  <cell r="H2097" t="str">
            <v>DISTRIBUIÇÃO</v>
          </cell>
          <cell r="I2097" t="str">
            <v>FOOD SERVICE</v>
          </cell>
          <cell r="J2097" t="str">
            <v>CLAUDIO JORGE/LUIZ</v>
          </cell>
          <cell r="K2097" t="str">
            <v>ITAMBÉ</v>
          </cell>
          <cell r="L2097" t="str">
            <v>RODRIGO</v>
          </cell>
          <cell r="M2097" t="str">
            <v>MARIA LOURDES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  <cell r="H2098" t="str">
            <v>DISTRIBUIÇÃO</v>
          </cell>
          <cell r="I2098" t="str">
            <v>FOOD SERVICE</v>
          </cell>
          <cell r="J2098" t="str">
            <v>LUCIANA MARTINS</v>
          </cell>
          <cell r="K2098" t="str">
            <v>ITAMBÉ</v>
          </cell>
          <cell r="L2098" t="str">
            <v>RODRIGO</v>
          </cell>
          <cell r="M2098" t="str">
            <v>JESSICA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  <cell r="H2099" t="str">
            <v>DISTRIBUIÇÃO</v>
          </cell>
          <cell r="I2099" t="str">
            <v>FOOD SERVICE</v>
          </cell>
          <cell r="J2099" t="str">
            <v>CLAUDIO JORGE/LUIZ</v>
          </cell>
          <cell r="K2099" t="str">
            <v>ITAMBÉ</v>
          </cell>
          <cell r="L2099" t="str">
            <v>RODRIGO</v>
          </cell>
          <cell r="M2099" t="str">
            <v>MARIA LOURDES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  <cell r="H2100" t="str">
            <v>DISTRIBUIÇÃO</v>
          </cell>
          <cell r="I2100" t="str">
            <v>FOOD SERVICE</v>
          </cell>
          <cell r="J2100" t="str">
            <v>FLAC 6</v>
          </cell>
          <cell r="K2100" t="str">
            <v>LACTALIS</v>
          </cell>
          <cell r="L2100" t="str">
            <v>RODRIGO</v>
          </cell>
          <cell r="M2100" t="str">
            <v>RAQUEL BARBOSA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  <cell r="H2101" t="str">
            <v>DISTRIBUIÇÃO</v>
          </cell>
          <cell r="I2101" t="str">
            <v>FOOD SERVICE</v>
          </cell>
          <cell r="J2101" t="str">
            <v>FLAC 5</v>
          </cell>
          <cell r="K2101" t="str">
            <v>LACTALIS</v>
          </cell>
          <cell r="L2101" t="str">
            <v>RODRIGO</v>
          </cell>
          <cell r="M2101" t="str">
            <v>RAQUEL BARBOSA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  <cell r="H2102" t="str">
            <v>DISTRIBUIÇÃO</v>
          </cell>
          <cell r="I2102" t="str">
            <v>FOOD SERVICE</v>
          </cell>
          <cell r="J2102" t="str">
            <v>FLAC 6</v>
          </cell>
          <cell r="K2102" t="str">
            <v>LACTALIS</v>
          </cell>
          <cell r="L2102" t="str">
            <v>RODRIGO</v>
          </cell>
          <cell r="M2102" t="str">
            <v>RAQUEL BARBOSA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  <cell r="H2103" t="str">
            <v>DISTRIBUIÇÃO</v>
          </cell>
          <cell r="I2103" t="str">
            <v>FOOD SERVICE</v>
          </cell>
          <cell r="J2103" t="str">
            <v>CLAUDIO JORGE/LUIZ</v>
          </cell>
          <cell r="K2103" t="str">
            <v>ITAMBÉ</v>
          </cell>
          <cell r="L2103" t="str">
            <v>RODRIGO</v>
          </cell>
          <cell r="M2103" t="str">
            <v>MARIA LOURDES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  <cell r="H2104" t="str">
            <v>DISTRIBUIÇÃO</v>
          </cell>
          <cell r="I2104" t="str">
            <v>FOOD SERVICE</v>
          </cell>
          <cell r="J2104" t="str">
            <v>FLAC 2</v>
          </cell>
          <cell r="K2104" t="str">
            <v>LACTALIS</v>
          </cell>
          <cell r="L2104" t="str">
            <v>RODRIGO</v>
          </cell>
          <cell r="M2104" t="str">
            <v>RAQUEL BARBOSA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  <cell r="H2105" t="str">
            <v>DISTRIBUIÇÃO</v>
          </cell>
          <cell r="I2105" t="str">
            <v>FOOD SERVICE</v>
          </cell>
          <cell r="J2105" t="str">
            <v>FLAC 5</v>
          </cell>
          <cell r="K2105" t="str">
            <v>LACTALIS</v>
          </cell>
          <cell r="L2105" t="str">
            <v>RODRIGO</v>
          </cell>
          <cell r="M2105" t="str">
            <v>RAQUEL BARBOSA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  <cell r="H2106" t="str">
            <v>QSR</v>
          </cell>
          <cell r="I2106" t="str">
            <v>FOOD SERVICE</v>
          </cell>
          <cell r="J2106" t="str">
            <v>NUTRI</v>
          </cell>
          <cell r="K2106" t="str">
            <v>ITAMBÉ</v>
          </cell>
          <cell r="L2106" t="str">
            <v>PEDRO</v>
          </cell>
          <cell r="M2106" t="str">
            <v>VAGO QSR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  <cell r="H2107" t="str">
            <v>DISTRIBUIÇÃO</v>
          </cell>
          <cell r="I2107" t="str">
            <v>FOOD SERVICE</v>
          </cell>
          <cell r="J2107" t="str">
            <v>JESSICA CARLA</v>
          </cell>
          <cell r="K2107" t="str">
            <v>ITAMBÉ</v>
          </cell>
          <cell r="L2107" t="str">
            <v>RODRIGO</v>
          </cell>
          <cell r="M2107" t="str">
            <v>JESSICA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  <cell r="H2108" t="str">
            <v>DISTRIBUIÇÃO</v>
          </cell>
          <cell r="I2108" t="str">
            <v>FOOD SERVICE</v>
          </cell>
          <cell r="J2108" t="str">
            <v>CLAUDIO JORGE</v>
          </cell>
          <cell r="K2108" t="str">
            <v>ITAMBÉ</v>
          </cell>
          <cell r="L2108" t="str">
            <v>RODRIGO</v>
          </cell>
          <cell r="M2108" t="str">
            <v>JESSICA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  <cell r="H2109" t="str">
            <v>DISTRIBUIÇÃO</v>
          </cell>
          <cell r="I2109" t="str">
            <v>FOOD SERVICE</v>
          </cell>
          <cell r="J2109" t="str">
            <v>JESSICA CARLA</v>
          </cell>
          <cell r="K2109" t="str">
            <v>ITAMBÉ</v>
          </cell>
          <cell r="L2109" t="str">
            <v>RODRIGO</v>
          </cell>
          <cell r="M2109" t="str">
            <v>JESSICA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  <cell r="H2110" t="str">
            <v>DISTRIBUIÇÃO</v>
          </cell>
          <cell r="I2110" t="str">
            <v>FOOD SERVICE</v>
          </cell>
          <cell r="J2110" t="str">
            <v>CLAUDIO JORGE/MARIA LAURA</v>
          </cell>
          <cell r="K2110" t="str">
            <v>ITAMBÉ</v>
          </cell>
          <cell r="L2110" t="str">
            <v>RODRIGO</v>
          </cell>
          <cell r="M2110" t="str">
            <v>MARCO AURELIO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  <cell r="H2111" t="str">
            <v>INGREDIENTS</v>
          </cell>
          <cell r="I2111" t="str">
            <v>INGREDIENTS</v>
          </cell>
          <cell r="J2111" t="str">
            <v>TATIANA NITTA</v>
          </cell>
          <cell r="K2111" t="str">
            <v>ITAMBÉ</v>
          </cell>
          <cell r="L2111" t="str">
            <v>MAURICIO</v>
          </cell>
          <cell r="M2111" t="str">
            <v>TATIANA NITTA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  <cell r="H2112" t="str">
            <v>INGREDIENTS</v>
          </cell>
          <cell r="I2112" t="str">
            <v>INGREDIENTS</v>
          </cell>
          <cell r="J2112" t="str">
            <v>TATIANA NITTA</v>
          </cell>
          <cell r="K2112" t="str">
            <v>ITAMBÉ</v>
          </cell>
          <cell r="L2112" t="str">
            <v>MAURICIO</v>
          </cell>
          <cell r="M2112" t="str">
            <v>TATIANA NITTA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  <cell r="H2113" t="str">
            <v>INGREDIENTS</v>
          </cell>
          <cell r="I2113" t="str">
            <v>INGREDIENTS</v>
          </cell>
          <cell r="J2113" t="str">
            <v>TATIANA NITTA</v>
          </cell>
          <cell r="K2113" t="str">
            <v>ITAMBÉ</v>
          </cell>
          <cell r="L2113" t="str">
            <v>MAURICIO</v>
          </cell>
          <cell r="M2113" t="str">
            <v>TATIANA NITTA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  <cell r="H2114" t="str">
            <v>DISTRIBUIÇÃO</v>
          </cell>
          <cell r="I2114" t="str">
            <v>FOOD SERVICE</v>
          </cell>
          <cell r="J2114" t="str">
            <v>JESSICA CARLA</v>
          </cell>
          <cell r="K2114" t="str">
            <v>ITAMBÉ</v>
          </cell>
          <cell r="L2114" t="str">
            <v>RODRIGO</v>
          </cell>
          <cell r="M2114" t="str">
            <v>JESSICA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  <cell r="H2115" t="str">
            <v>INGREDIENTS</v>
          </cell>
          <cell r="I2115" t="str">
            <v>INGREDIENTS</v>
          </cell>
          <cell r="J2115" t="str">
            <v>HENRIQUE FERREIRA</v>
          </cell>
          <cell r="K2115" t="str">
            <v>ITAMBÉ</v>
          </cell>
          <cell r="L2115" t="str">
            <v>MAURICIO</v>
          </cell>
          <cell r="M2115" t="str">
            <v>JOEL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  <cell r="H2116" t="str">
            <v>DISTRIBUIÇÃO</v>
          </cell>
          <cell r="I2116" t="str">
            <v>FOOD SERVICE</v>
          </cell>
          <cell r="J2116" t="str">
            <v>WH FOOD SERVICE CE</v>
          </cell>
          <cell r="K2116" t="str">
            <v>ITAMBÉ</v>
          </cell>
          <cell r="L2116" t="str">
            <v>RODRIGO</v>
          </cell>
          <cell r="M2116" t="str">
            <v>MARIA LOURDES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  <cell r="H2117" t="str">
            <v>INGREDIENTS</v>
          </cell>
          <cell r="I2117" t="str">
            <v>INGREDIENTS</v>
          </cell>
          <cell r="J2117" t="str">
            <v>JOEL ELEOTÉRIO</v>
          </cell>
          <cell r="K2117" t="str">
            <v>ITAMBÉ</v>
          </cell>
          <cell r="L2117" t="str">
            <v>MAURICIO</v>
          </cell>
          <cell r="M2117" t="str">
            <v>JOEL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  <cell r="H2118" t="str">
            <v>INGREDIENTS</v>
          </cell>
          <cell r="I2118" t="str">
            <v>INGREDIENTS</v>
          </cell>
          <cell r="J2118" t="str">
            <v>TATIANA NITTA</v>
          </cell>
          <cell r="K2118" t="str">
            <v>ITAMBÉ</v>
          </cell>
          <cell r="L2118" t="str">
            <v>MAURICIO</v>
          </cell>
          <cell r="M2118" t="str">
            <v>TATIANA NITTA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  <cell r="H2119" t="str">
            <v>DISTRIBUIÇÃO</v>
          </cell>
          <cell r="I2119" t="str">
            <v>FOOD SERVICE</v>
          </cell>
          <cell r="J2119" t="str">
            <v>CLAUDIO JORGE</v>
          </cell>
          <cell r="K2119" t="str">
            <v>ITAMBÉ</v>
          </cell>
          <cell r="L2119" t="str">
            <v>RODRIGO</v>
          </cell>
          <cell r="M2119" t="str">
            <v>MARCO AURELIO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  <cell r="H2120" t="str">
            <v>INGREDIENTS</v>
          </cell>
          <cell r="I2120" t="str">
            <v>INGREDIENTS</v>
          </cell>
          <cell r="J2120" t="str">
            <v>TATIANA NITTA</v>
          </cell>
          <cell r="K2120" t="str">
            <v>ITAMBÉ</v>
          </cell>
          <cell r="L2120" t="str">
            <v>MAURICIO</v>
          </cell>
          <cell r="M2120" t="str">
            <v>TATIANA NITTA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  <cell r="H2121" t="str">
            <v>DISTRIBUIÇÃO</v>
          </cell>
          <cell r="I2121" t="str">
            <v>FOOD SERVICE</v>
          </cell>
          <cell r="J2121" t="str">
            <v>LUCIANA MARTINS</v>
          </cell>
          <cell r="K2121" t="str">
            <v>ITAMBÉ</v>
          </cell>
          <cell r="L2121" t="str">
            <v>RODRIGO</v>
          </cell>
          <cell r="M2121" t="str">
            <v>JESSICA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  <cell r="H2122" t="str">
            <v>INGREDIENTS</v>
          </cell>
          <cell r="I2122" t="str">
            <v>INGREDIENTS</v>
          </cell>
          <cell r="J2122" t="str">
            <v>MARCELO RODRIGUES</v>
          </cell>
          <cell r="K2122" t="str">
            <v>ITAMBÉ</v>
          </cell>
          <cell r="L2122" t="str">
            <v>MAURICIO</v>
          </cell>
          <cell r="M2122" t="str">
            <v>MARCELO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  <cell r="H2123" t="str">
            <v>DISTRIBUIÇÃO</v>
          </cell>
          <cell r="I2123" t="str">
            <v>FOOD SERVICE</v>
          </cell>
          <cell r="J2123" t="str">
            <v>LUCIANA MARTINS</v>
          </cell>
          <cell r="K2123" t="str">
            <v>ITAMBÉ</v>
          </cell>
          <cell r="L2123" t="str">
            <v>RODRIGO</v>
          </cell>
          <cell r="M2123" t="str">
            <v>JESSICA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  <cell r="H2124" t="str">
            <v>INGREDIENTS</v>
          </cell>
          <cell r="I2124" t="str">
            <v>INGREDIENTS</v>
          </cell>
          <cell r="J2124" t="str">
            <v>HENRIQUE FERREIRA</v>
          </cell>
          <cell r="K2124" t="str">
            <v>ITAMBÉ</v>
          </cell>
          <cell r="L2124" t="str">
            <v>MAURICIO</v>
          </cell>
          <cell r="M2124" t="str">
            <v>JOEL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  <cell r="H2125" t="str">
            <v>DISTRIBUIÇÃO</v>
          </cell>
          <cell r="I2125" t="str">
            <v>FOOD SERVICE</v>
          </cell>
          <cell r="J2125" t="str">
            <v>FLAC 2</v>
          </cell>
          <cell r="K2125" t="str">
            <v>LACTALIS</v>
          </cell>
          <cell r="L2125" t="str">
            <v>RODRIGO</v>
          </cell>
          <cell r="M2125" t="str">
            <v>RAQUEL BARBOSA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  <cell r="H2126" t="str">
            <v>DISTRIBUIÇÃO</v>
          </cell>
          <cell r="I2126" t="str">
            <v>FOOD SERVICE</v>
          </cell>
          <cell r="J2126" t="str">
            <v>FLAC 2</v>
          </cell>
          <cell r="K2126" t="str">
            <v>LACTALIS</v>
          </cell>
          <cell r="L2126" t="str">
            <v>RODRIGO</v>
          </cell>
          <cell r="M2126" t="str">
            <v>RAQUEL BARBOSA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  <cell r="H2127" t="str">
            <v>DISTRIBUIÇÃO</v>
          </cell>
          <cell r="I2127" t="str">
            <v>FOOD SERVICE</v>
          </cell>
          <cell r="J2127" t="str">
            <v>WH FOOD SERVICE CE</v>
          </cell>
          <cell r="K2127" t="str">
            <v>ITAMBÉ</v>
          </cell>
          <cell r="L2127" t="str">
            <v>RODRIGO</v>
          </cell>
          <cell r="M2127" t="str">
            <v>MARIA LOURDES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  <cell r="H2128" t="str">
            <v>QSR</v>
          </cell>
          <cell r="I2128" t="str">
            <v>FOOD SERVICE</v>
          </cell>
          <cell r="J2128" t="str">
            <v>VAGO QSR</v>
          </cell>
          <cell r="K2128" t="str">
            <v>ITAMBÉ</v>
          </cell>
          <cell r="L2128" t="str">
            <v>PEDRO</v>
          </cell>
          <cell r="M2128" t="str">
            <v>VAGO QSR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  <cell r="H2129" t="str">
            <v>INGREDIENTS</v>
          </cell>
          <cell r="I2129" t="str">
            <v>INGREDIENTS</v>
          </cell>
          <cell r="J2129" t="str">
            <v>HENRIQUE FERREIRA</v>
          </cell>
          <cell r="K2129" t="str">
            <v>ITAMBÉ</v>
          </cell>
          <cell r="L2129" t="str">
            <v>MAURICIO</v>
          </cell>
          <cell r="M2129" t="str">
            <v>JOEL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  <cell r="H2130" t="str">
            <v>DISTRIBUIÇÃO</v>
          </cell>
          <cell r="I2130" t="str">
            <v>FOOD SERVICE</v>
          </cell>
          <cell r="J2130" t="str">
            <v>FLAC 7</v>
          </cell>
          <cell r="K2130" t="str">
            <v>LACTALIS</v>
          </cell>
          <cell r="L2130" t="str">
            <v>RODRIGO</v>
          </cell>
          <cell r="M2130" t="str">
            <v>RAQUEL BARBOSA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  <cell r="H2131" t="str">
            <v>QSR</v>
          </cell>
          <cell r="I2131" t="str">
            <v>FOOD SERVICE</v>
          </cell>
          <cell r="J2131" t="str">
            <v>VAGO QSR</v>
          </cell>
          <cell r="K2131" t="str">
            <v>LACTALIS</v>
          </cell>
          <cell r="L2131" t="str">
            <v>PEDRO</v>
          </cell>
          <cell r="M2131" t="str">
            <v>VAGO QSR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  <cell r="H2132" t="str">
            <v>DISTRIBUIÇÃO</v>
          </cell>
          <cell r="I2132" t="str">
            <v>FOOD SERVICE</v>
          </cell>
          <cell r="J2132" t="str">
            <v>FLAC 6</v>
          </cell>
          <cell r="K2132" t="str">
            <v>LACTALIS</v>
          </cell>
          <cell r="L2132" t="str">
            <v>RODRIGO</v>
          </cell>
          <cell r="M2132" t="str">
            <v>RAQUEL BARBOSA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  <cell r="H2133" t="str">
            <v>DISTRIBUIÇÃO</v>
          </cell>
          <cell r="I2133" t="str">
            <v>FOOD SERVICE</v>
          </cell>
          <cell r="J2133" t="str">
            <v>FLAC 6</v>
          </cell>
          <cell r="K2133" t="str">
            <v>LACTALIS</v>
          </cell>
          <cell r="L2133" t="str">
            <v>RODRIGO</v>
          </cell>
          <cell r="M2133" t="str">
            <v>RAQUEL BARBOSA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  <cell r="H2134" t="str">
            <v>DISTRIBUIÇÃO</v>
          </cell>
          <cell r="I2134" t="str">
            <v>FOOD SERVICE</v>
          </cell>
          <cell r="J2134" t="str">
            <v>FLAC 1</v>
          </cell>
          <cell r="K2134" t="str">
            <v>LACTALIS</v>
          </cell>
          <cell r="L2134" t="str">
            <v>RODRIGO</v>
          </cell>
          <cell r="M2134" t="str">
            <v>RAQUEL BARBOSA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  <cell r="H2135" t="str">
            <v>DISTRIBUIÇÃO</v>
          </cell>
          <cell r="I2135" t="str">
            <v>FOOD SERVICE</v>
          </cell>
          <cell r="J2135" t="str">
            <v>ANGELICA BATISTELA</v>
          </cell>
          <cell r="K2135" t="str">
            <v>ITAMBÉ</v>
          </cell>
          <cell r="L2135" t="str">
            <v>RODRIGO</v>
          </cell>
          <cell r="M2135" t="str">
            <v>ANGELICA BATISTELA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  <cell r="H2136" t="str">
            <v>INGREDIENTS</v>
          </cell>
          <cell r="I2136" t="str">
            <v>INGREDIENTS</v>
          </cell>
          <cell r="J2136" t="str">
            <v>MARCELO RODRIGUES</v>
          </cell>
          <cell r="K2136" t="str">
            <v>ITAMBÉ</v>
          </cell>
          <cell r="L2136" t="str">
            <v>MAURICIO</v>
          </cell>
          <cell r="M2136" t="str">
            <v>MARCELO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  <cell r="H2137" t="str">
            <v>DISTRIBUIÇÃO</v>
          </cell>
          <cell r="I2137" t="str">
            <v>FOOD SERVICE</v>
          </cell>
          <cell r="J2137" t="str">
            <v>ANGELICA BATISTELA</v>
          </cell>
          <cell r="K2137" t="str">
            <v>LACTALIS</v>
          </cell>
          <cell r="L2137" t="str">
            <v>RODRIGO</v>
          </cell>
          <cell r="M2137" t="str">
            <v>ANGELICA BATISTELA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  <cell r="H2138" t="str">
            <v>DISTRIBUIÇÃO</v>
          </cell>
          <cell r="I2138" t="str">
            <v>FOOD SERVICE</v>
          </cell>
          <cell r="J2138" t="str">
            <v>FLAC 5</v>
          </cell>
          <cell r="K2138" t="str">
            <v>LACTALIS</v>
          </cell>
          <cell r="L2138" t="str">
            <v>RODRIGO</v>
          </cell>
          <cell r="M2138" t="str">
            <v>RAQUEL BARBOSA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  <cell r="H2139" t="str">
            <v>DISTRIBUIÇÃO</v>
          </cell>
          <cell r="I2139" t="str">
            <v>FOOD SERVICE</v>
          </cell>
          <cell r="J2139" t="str">
            <v>FLAC 5</v>
          </cell>
          <cell r="K2139" t="str">
            <v>LACTALIS</v>
          </cell>
          <cell r="L2139" t="str">
            <v>RODRIGO</v>
          </cell>
          <cell r="M2139" t="str">
            <v>RAQUEL BARBOSA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  <cell r="H2140" t="str">
            <v>DISTRIBUIÇÃO</v>
          </cell>
          <cell r="I2140" t="str">
            <v>FOOD SERVICE</v>
          </cell>
          <cell r="J2140" t="str">
            <v>FLAC 5</v>
          </cell>
          <cell r="K2140" t="str">
            <v>LACTALIS</v>
          </cell>
          <cell r="L2140" t="str">
            <v>RODRIGO</v>
          </cell>
          <cell r="M2140" t="str">
            <v>RAQUEL BARBOSA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  <cell r="H2141" t="str">
            <v>DISTRIBUIÇÃO</v>
          </cell>
          <cell r="I2141" t="str">
            <v>FOOD SERVICE</v>
          </cell>
          <cell r="J2141" t="str">
            <v>MARCELO SILVA</v>
          </cell>
          <cell r="K2141" t="str">
            <v>ITAMBÉ</v>
          </cell>
          <cell r="L2141" t="str">
            <v>RODRIGO</v>
          </cell>
          <cell r="M2141" t="str">
            <v>CELIO MARTINS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  <cell r="H2142" t="str">
            <v>DISTRIBUIÇÃO</v>
          </cell>
          <cell r="I2142" t="str">
            <v>FOOD SERVICE</v>
          </cell>
          <cell r="J2142" t="str">
            <v>CLAUDIO JORGE/LUIZ</v>
          </cell>
          <cell r="K2142" t="str">
            <v>ITAMBÉ</v>
          </cell>
          <cell r="L2142" t="str">
            <v>RODRIGO</v>
          </cell>
          <cell r="M2142" t="str">
            <v>MARIA LOURDES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  <cell r="H2143" t="str">
            <v>DISTRIBUIÇÃO</v>
          </cell>
          <cell r="I2143" t="str">
            <v>FOOD SERVICE</v>
          </cell>
          <cell r="J2143" t="str">
            <v>CLAUDIO JORGE/LUIZ</v>
          </cell>
          <cell r="K2143" t="str">
            <v>ITAMBÉ</v>
          </cell>
          <cell r="L2143" t="str">
            <v>RODRIGO</v>
          </cell>
          <cell r="M2143" t="str">
            <v>MARIA LOURDES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  <cell r="H2144" t="str">
            <v>DISTRIBUIÇÃO</v>
          </cell>
          <cell r="I2144" t="str">
            <v>FOOD SERVICE</v>
          </cell>
          <cell r="J2144" t="str">
            <v>FLAC 3</v>
          </cell>
          <cell r="K2144" t="str">
            <v>LACTALIS</v>
          </cell>
          <cell r="L2144" t="str">
            <v>RODRIGO</v>
          </cell>
          <cell r="M2144" t="str">
            <v>RAQUEL BARBOSA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  <cell r="H2145" t="str">
            <v>DISTRIBUIÇÃO</v>
          </cell>
          <cell r="I2145" t="str">
            <v>FOOD SERVICE</v>
          </cell>
          <cell r="J2145" t="str">
            <v>FLAC 6</v>
          </cell>
          <cell r="K2145" t="str">
            <v>LACTALIS</v>
          </cell>
          <cell r="L2145" t="str">
            <v>RODRIGO</v>
          </cell>
          <cell r="M2145" t="str">
            <v>RAQUEL BARBOSA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  <cell r="H2146" t="str">
            <v>DISTRIBUIÇÃO</v>
          </cell>
          <cell r="I2146" t="str">
            <v>FOOD SERVICE</v>
          </cell>
          <cell r="J2146" t="str">
            <v>CLAUDIO JORGE</v>
          </cell>
          <cell r="K2146" t="str">
            <v>ITAMBÉ</v>
          </cell>
          <cell r="L2146" t="str">
            <v>RODRIGO</v>
          </cell>
          <cell r="M2146" t="str">
            <v>MARIA LOURDES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  <cell r="H2147" t="str">
            <v>INGREDIENTS</v>
          </cell>
          <cell r="I2147" t="str">
            <v>INGREDIENTS</v>
          </cell>
          <cell r="J2147" t="str">
            <v>HENRIQUE FERREIRA</v>
          </cell>
          <cell r="K2147" t="str">
            <v>ITAMBÉ</v>
          </cell>
          <cell r="L2147" t="str">
            <v>MAURICIO</v>
          </cell>
          <cell r="M2147" t="str">
            <v>JOEL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  <cell r="H2148" t="str">
            <v>DISTRIBUIÇÃO</v>
          </cell>
          <cell r="I2148" t="str">
            <v>FOOD SERVICE</v>
          </cell>
          <cell r="J2148" t="str">
            <v>FLAC 8</v>
          </cell>
          <cell r="K2148" t="str">
            <v>LACTALIS</v>
          </cell>
          <cell r="L2148" t="str">
            <v>RODRIGO</v>
          </cell>
          <cell r="M2148" t="str">
            <v>RAQUEL BARBOSA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  <cell r="H2149" t="str">
            <v>DISTRIBUIÇÃO</v>
          </cell>
          <cell r="I2149" t="str">
            <v>FOOD SERVICE</v>
          </cell>
          <cell r="J2149" t="str">
            <v>FLAC 2</v>
          </cell>
          <cell r="K2149" t="str">
            <v>LACTALIS</v>
          </cell>
          <cell r="L2149" t="str">
            <v>RODRIGO</v>
          </cell>
          <cell r="M2149" t="str">
            <v>RAQUEL BARBOSA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  <cell r="H2150" t="str">
            <v>DISTRIBUIÇÃO</v>
          </cell>
          <cell r="I2150" t="str">
            <v>FOOD SERVICE</v>
          </cell>
          <cell r="J2150" t="str">
            <v>ANGELICA BATISTELA</v>
          </cell>
          <cell r="K2150" t="str">
            <v>ITAMBÉ</v>
          </cell>
          <cell r="L2150" t="str">
            <v>RODRIGO</v>
          </cell>
          <cell r="M2150" t="str">
            <v>ANGELICA BATISTELA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  <cell r="H2151" t="str">
            <v>INGREDIENTS</v>
          </cell>
          <cell r="I2151" t="str">
            <v>INGREDIENTS</v>
          </cell>
          <cell r="J2151" t="str">
            <v>DUAS RODAS</v>
          </cell>
          <cell r="K2151" t="str">
            <v>ITAMBÉ</v>
          </cell>
          <cell r="L2151" t="str">
            <v>MAURICIO</v>
          </cell>
          <cell r="M2151" t="str">
            <v>TATIANA NITTA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  <cell r="H2152" t="str">
            <v>DISTRIBUIÇÃO</v>
          </cell>
          <cell r="I2152" t="str">
            <v>FOOD SERVICE</v>
          </cell>
          <cell r="J2152" t="str">
            <v>FLAC 3</v>
          </cell>
          <cell r="K2152" t="str">
            <v>LACTALIS</v>
          </cell>
          <cell r="L2152" t="str">
            <v>RODRIGO</v>
          </cell>
          <cell r="M2152" t="str">
            <v>RAQUEL BARBOSA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  <cell r="H2153" t="str">
            <v>DISTRIBUIÇÃO</v>
          </cell>
          <cell r="I2153" t="str">
            <v>FOOD SERVICE</v>
          </cell>
          <cell r="J2153" t="str">
            <v>ALEXANDRE BONANI</v>
          </cell>
          <cell r="K2153" t="str">
            <v>LACTALIS</v>
          </cell>
          <cell r="L2153" t="str">
            <v>RODRIGO</v>
          </cell>
          <cell r="M2153" t="str">
            <v>ALEXANDRE BONANI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  <cell r="H2154" t="str">
            <v>INGREDIENTS</v>
          </cell>
          <cell r="I2154" t="str">
            <v>INGREDIENTS</v>
          </cell>
          <cell r="J2154" t="str">
            <v>JOEL ELEOTÉRIO</v>
          </cell>
          <cell r="K2154" t="str">
            <v>LACTALIS</v>
          </cell>
          <cell r="L2154" t="str">
            <v>MAURICIO</v>
          </cell>
          <cell r="M2154" t="str">
            <v>JOEL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  <cell r="H2155" t="str">
            <v>DISTRIBUIÇÃO</v>
          </cell>
          <cell r="I2155" t="str">
            <v>FOOD SERVICE</v>
          </cell>
          <cell r="J2155" t="str">
            <v>FLAC 3</v>
          </cell>
          <cell r="K2155" t="str">
            <v>LACTALIS</v>
          </cell>
          <cell r="L2155" t="str">
            <v>RODRIGO</v>
          </cell>
          <cell r="M2155" t="str">
            <v>RAQUEL BARBOSA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  <cell r="H2156" t="str">
            <v>DISTRIBUIÇÃO</v>
          </cell>
          <cell r="I2156" t="str">
            <v>FOOD SERVICE</v>
          </cell>
          <cell r="J2156" t="str">
            <v>FLAC 1</v>
          </cell>
          <cell r="K2156" t="str">
            <v>LACTALIS</v>
          </cell>
          <cell r="L2156" t="str">
            <v>RODRIGO</v>
          </cell>
          <cell r="M2156" t="str">
            <v>RAQUEL BARBOSA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  <cell r="H2157" t="str">
            <v>DISTRIBUIÇÃO</v>
          </cell>
          <cell r="I2157" t="str">
            <v>FOOD SERVICE</v>
          </cell>
          <cell r="J2157" t="str">
            <v>FLAC 5</v>
          </cell>
          <cell r="K2157" t="str">
            <v>LACTALIS</v>
          </cell>
          <cell r="L2157" t="str">
            <v>RODRIGO</v>
          </cell>
          <cell r="M2157" t="str">
            <v>RAQUEL BARBOSA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  <cell r="H2158" t="str">
            <v>DISTRIBUIÇÃO</v>
          </cell>
          <cell r="I2158" t="str">
            <v>FOOD SERVICE</v>
          </cell>
          <cell r="J2158" t="str">
            <v>CLAUDIO JORGE/LUIZ</v>
          </cell>
          <cell r="K2158" t="str">
            <v>ITAMBÉ</v>
          </cell>
          <cell r="L2158" t="str">
            <v>RODRIGO</v>
          </cell>
          <cell r="M2158" t="str">
            <v>MARIA LOURDES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  <cell r="H2159" t="str">
            <v>INGREDIENTS</v>
          </cell>
          <cell r="I2159" t="str">
            <v>INGREDIENTS</v>
          </cell>
          <cell r="J2159" t="str">
            <v>HENRIQUE FERREIRA</v>
          </cell>
          <cell r="K2159" t="str">
            <v>ITAMBÉ</v>
          </cell>
          <cell r="L2159" t="str">
            <v>MAURICIO</v>
          </cell>
          <cell r="M2159" t="str">
            <v>JOEL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  <cell r="H2160" t="str">
            <v>INGREDIENTS</v>
          </cell>
          <cell r="I2160" t="str">
            <v>INGREDIENTS</v>
          </cell>
          <cell r="J2160" t="str">
            <v>SP ITB FS LUIZ PEREIRA</v>
          </cell>
          <cell r="K2160" t="str">
            <v>ITAMBÉ</v>
          </cell>
          <cell r="L2160" t="str">
            <v>MAURICIO</v>
          </cell>
          <cell r="M2160" t="str">
            <v>TATIANA NITTA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  <cell r="H2161" t="str">
            <v>DISTRIBUIÇÃO</v>
          </cell>
          <cell r="I2161" t="str">
            <v>FOOD SERVICE</v>
          </cell>
          <cell r="J2161" t="str">
            <v>FLAC 2</v>
          </cell>
          <cell r="K2161" t="str">
            <v>LACTALIS</v>
          </cell>
          <cell r="L2161" t="str">
            <v>RODRIGO</v>
          </cell>
          <cell r="M2161" t="str">
            <v>RAQUEL BARBOSA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  <cell r="H2162" t="str">
            <v>DISTRIBUIÇÃO</v>
          </cell>
          <cell r="I2162" t="str">
            <v>FOOD SERVICE</v>
          </cell>
          <cell r="J2162" t="str">
            <v>FLAC 2</v>
          </cell>
          <cell r="K2162" t="str">
            <v>LACTALIS</v>
          </cell>
          <cell r="L2162" t="str">
            <v>RODRIGO</v>
          </cell>
          <cell r="M2162" t="str">
            <v>RAQUEL BARBOSA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  <cell r="H2163" t="str">
            <v>DISTRIBUIÇÃO</v>
          </cell>
          <cell r="I2163" t="str">
            <v>FOOD SERVICE</v>
          </cell>
          <cell r="J2163" t="str">
            <v>FLAC 2</v>
          </cell>
          <cell r="K2163" t="str">
            <v>LACTALIS</v>
          </cell>
          <cell r="L2163" t="str">
            <v>RODRIGO</v>
          </cell>
          <cell r="M2163" t="str">
            <v>RAQUEL BARBOSA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  <cell r="H2164" t="str">
            <v>DISTRIBUIÇÃO</v>
          </cell>
          <cell r="I2164" t="str">
            <v>FOOD SERVICE</v>
          </cell>
          <cell r="J2164" t="str">
            <v>FLAC 2</v>
          </cell>
          <cell r="K2164" t="str">
            <v>LACTALIS</v>
          </cell>
          <cell r="L2164" t="str">
            <v>RODRIGO</v>
          </cell>
          <cell r="M2164" t="str">
            <v>RAQUEL BARBOSA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  <cell r="H2165" t="str">
            <v>DISTRIBUIÇÃO</v>
          </cell>
          <cell r="I2165" t="str">
            <v>FOOD SERVICE</v>
          </cell>
          <cell r="J2165" t="str">
            <v>FLAC 2</v>
          </cell>
          <cell r="K2165" t="str">
            <v>LACTALIS</v>
          </cell>
          <cell r="L2165" t="str">
            <v>RODRIGO</v>
          </cell>
          <cell r="M2165" t="str">
            <v>RAQUEL BARBOSA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  <cell r="H2166" t="str">
            <v>DISTRIBUIÇÃO</v>
          </cell>
          <cell r="I2166" t="str">
            <v>FOOD SERVICE</v>
          </cell>
          <cell r="J2166" t="str">
            <v>FLAC 2</v>
          </cell>
          <cell r="K2166" t="str">
            <v>LACTALIS</v>
          </cell>
          <cell r="L2166" t="str">
            <v>RODRIGO</v>
          </cell>
          <cell r="M2166" t="str">
            <v>RAQUEL BARBOSA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  <cell r="H2167" t="str">
            <v>DISTRIBUIÇÃO</v>
          </cell>
          <cell r="I2167" t="str">
            <v>FOOD SERVICE</v>
          </cell>
          <cell r="J2167" t="str">
            <v>FLAC 2</v>
          </cell>
          <cell r="K2167" t="str">
            <v>LACTALIS</v>
          </cell>
          <cell r="L2167" t="str">
            <v>RODRIGO</v>
          </cell>
          <cell r="M2167" t="str">
            <v>RAQUEL BARBOSA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  <cell r="H2168" t="str">
            <v>DISTRIBUIÇÃO</v>
          </cell>
          <cell r="I2168" t="str">
            <v>FOOD SERVICE</v>
          </cell>
          <cell r="J2168" t="str">
            <v>ANGELICA BATISTELA</v>
          </cell>
          <cell r="K2168" t="str">
            <v>ITAMBÉ</v>
          </cell>
          <cell r="L2168" t="str">
            <v>RODRIGO</v>
          </cell>
          <cell r="M2168" t="str">
            <v>ANGELICA BATISTELA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  <cell r="H2169" t="str">
            <v>INGREDIENTS</v>
          </cell>
          <cell r="I2169" t="str">
            <v>INGREDIENTS</v>
          </cell>
          <cell r="J2169" t="str">
            <v>JOEL ELEOTÉRIO</v>
          </cell>
          <cell r="K2169" t="str">
            <v>ITAMBÉ</v>
          </cell>
          <cell r="L2169" t="str">
            <v>MAURICIO</v>
          </cell>
          <cell r="M2169" t="str">
            <v>JOEL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  <cell r="H2170" t="str">
            <v>DISTRIBUIÇÃO</v>
          </cell>
          <cell r="I2170" t="str">
            <v>FOOD SERVICE</v>
          </cell>
          <cell r="J2170" t="str">
            <v>WH FOOD SERVICE CE</v>
          </cell>
          <cell r="K2170" t="str">
            <v>ITAMBÉ</v>
          </cell>
          <cell r="L2170" t="str">
            <v>RODRIGO</v>
          </cell>
          <cell r="M2170" t="str">
            <v>MARIA LOURDES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  <cell r="H2171" t="str">
            <v>DISTRIBUIÇÃO</v>
          </cell>
          <cell r="I2171" t="str">
            <v>FOOD SERVICE</v>
          </cell>
          <cell r="J2171" t="str">
            <v>FLAC 2</v>
          </cell>
          <cell r="K2171" t="str">
            <v>LACTALIS</v>
          </cell>
          <cell r="L2171" t="str">
            <v>RODRIGO</v>
          </cell>
          <cell r="M2171" t="str">
            <v>RAQUEL BARBOSA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  <cell r="H2172" t="str">
            <v>DISTRIBUIÇÃO</v>
          </cell>
          <cell r="I2172" t="str">
            <v>FOOD SERVICE</v>
          </cell>
          <cell r="J2172" t="str">
            <v>FLAC 2</v>
          </cell>
          <cell r="K2172" t="str">
            <v>LACTALIS</v>
          </cell>
          <cell r="L2172" t="str">
            <v>RODRIGO</v>
          </cell>
          <cell r="M2172" t="str">
            <v>RAQUEL BARBOSA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  <cell r="H2173" t="str">
            <v>INGREDIENTS</v>
          </cell>
          <cell r="I2173" t="str">
            <v>INGREDIENTS</v>
          </cell>
          <cell r="J2173" t="str">
            <v>MARCELO RODRIGUES</v>
          </cell>
          <cell r="K2173" t="str">
            <v>LACTALIS</v>
          </cell>
          <cell r="L2173" t="str">
            <v>MAURICIO</v>
          </cell>
          <cell r="M2173" t="str">
            <v>MARCELO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  <cell r="H2174" t="str">
            <v>INGREDIENTS</v>
          </cell>
          <cell r="I2174" t="str">
            <v>INGREDIENTS</v>
          </cell>
          <cell r="J2174" t="str">
            <v>JOEL ELEOTÉRIO</v>
          </cell>
          <cell r="K2174" t="str">
            <v>LACTALIS</v>
          </cell>
          <cell r="L2174" t="str">
            <v>MAURICIO</v>
          </cell>
          <cell r="M2174" t="str">
            <v>JOEL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  <cell r="H2175" t="str">
            <v>DISTRIBUIÇÃO</v>
          </cell>
          <cell r="I2175" t="str">
            <v>FOOD SERVICE</v>
          </cell>
          <cell r="J2175" t="str">
            <v>FLAC 3</v>
          </cell>
          <cell r="K2175" t="str">
            <v>LACTALIS</v>
          </cell>
          <cell r="L2175" t="str">
            <v>RODRIGO</v>
          </cell>
          <cell r="M2175" t="str">
            <v>RAQUEL BARBOSA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  <cell r="H2176" t="str">
            <v>INGREDIENTS</v>
          </cell>
          <cell r="I2176" t="str">
            <v>INGREDIENTS</v>
          </cell>
          <cell r="J2176" t="str">
            <v>JOEL ELEOTÉRIO</v>
          </cell>
          <cell r="K2176" t="str">
            <v>ITAMBÉ</v>
          </cell>
          <cell r="L2176" t="str">
            <v>MAURICIO</v>
          </cell>
          <cell r="M2176" t="str">
            <v>JOEL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  <cell r="H2177" t="str">
            <v>DISTRIBUIÇÃO</v>
          </cell>
          <cell r="I2177" t="str">
            <v>FOOD SERVICE</v>
          </cell>
          <cell r="J2177" t="str">
            <v>FLAC 2</v>
          </cell>
          <cell r="K2177" t="str">
            <v>LACTALIS</v>
          </cell>
          <cell r="L2177" t="str">
            <v>RODRIGO</v>
          </cell>
          <cell r="M2177" t="str">
            <v>RAQUEL BARBOSA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  <cell r="H2178" t="str">
            <v>DISTRIBUIÇÃO</v>
          </cell>
          <cell r="I2178" t="str">
            <v>FOOD SERVICE</v>
          </cell>
          <cell r="J2178" t="str">
            <v>FLAC 5</v>
          </cell>
          <cell r="K2178" t="str">
            <v>LACTALIS</v>
          </cell>
          <cell r="L2178" t="str">
            <v>RODRIGO</v>
          </cell>
          <cell r="M2178" t="str">
            <v>RAQUEL BARBOSA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  <cell r="H2179" t="str">
            <v>DISTRIBUIÇÃO</v>
          </cell>
          <cell r="I2179" t="str">
            <v>FOOD SERVICE</v>
          </cell>
          <cell r="J2179" t="str">
            <v>FLAC 2</v>
          </cell>
          <cell r="K2179" t="str">
            <v>LACTALIS</v>
          </cell>
          <cell r="L2179" t="str">
            <v>RODRIGO</v>
          </cell>
          <cell r="M2179" t="str">
            <v>RAQUEL BARBOSA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  <cell r="H2180" t="str">
            <v>INGREDIENTS</v>
          </cell>
          <cell r="I2180" t="str">
            <v>INGREDIENTS</v>
          </cell>
          <cell r="J2180" t="str">
            <v>DLUM</v>
          </cell>
          <cell r="K2180" t="str">
            <v>LACTALIS</v>
          </cell>
          <cell r="L2180" t="str">
            <v>MAURICIO</v>
          </cell>
          <cell r="M2180" t="str">
            <v>JOEL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  <cell r="H2181" t="str">
            <v>QSR</v>
          </cell>
          <cell r="I2181" t="str">
            <v>FOOD SERVICE</v>
          </cell>
          <cell r="J2181" t="str">
            <v>VAGO QSR</v>
          </cell>
          <cell r="K2181" t="str">
            <v>ITAMBÉ</v>
          </cell>
          <cell r="L2181" t="str">
            <v>PEDRO</v>
          </cell>
          <cell r="M2181" t="str">
            <v>VAGO QSR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  <cell r="H2182" t="str">
            <v>INGREDIENTS</v>
          </cell>
          <cell r="I2182" t="str">
            <v>INGREDIENTS</v>
          </cell>
          <cell r="J2182" t="str">
            <v>HENRIQUE FERREIRA</v>
          </cell>
          <cell r="K2182" t="str">
            <v>ITAMBÉ</v>
          </cell>
          <cell r="L2182" t="str">
            <v>MAURICIO</v>
          </cell>
          <cell r="M2182" t="str">
            <v>JOEL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  <cell r="H2183" t="str">
            <v>INGREDIENTS</v>
          </cell>
          <cell r="I2183" t="str">
            <v>INGREDIENTS</v>
          </cell>
          <cell r="J2183" t="str">
            <v>JOEL ELEOTÉRIO</v>
          </cell>
          <cell r="K2183" t="str">
            <v>LACTALIS</v>
          </cell>
          <cell r="L2183" t="str">
            <v>MAURICIO</v>
          </cell>
          <cell r="M2183" t="str">
            <v>JOEL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  <cell r="H2184" t="str">
            <v>DISTRIBUIÇÃO</v>
          </cell>
          <cell r="I2184" t="str">
            <v>FOOD SERVICE</v>
          </cell>
          <cell r="J2184" t="str">
            <v>FLAC 2</v>
          </cell>
          <cell r="K2184" t="str">
            <v>LACTALIS</v>
          </cell>
          <cell r="L2184" t="str">
            <v>RODRIGO</v>
          </cell>
          <cell r="M2184" t="str">
            <v>RAQUEL BARBOSA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  <cell r="H2185" t="str">
            <v>DISTRIBUIÇÃO</v>
          </cell>
          <cell r="I2185" t="str">
            <v>FOOD SERVICE</v>
          </cell>
          <cell r="J2185" t="str">
            <v>FLAC 3</v>
          </cell>
          <cell r="K2185" t="str">
            <v>LACTALIS</v>
          </cell>
          <cell r="L2185" t="str">
            <v>RODRIGO</v>
          </cell>
          <cell r="M2185" t="str">
            <v>RAQUEL BARBOSA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  <cell r="H2186" t="str">
            <v>DISTRIBUIÇÃO</v>
          </cell>
          <cell r="I2186" t="str">
            <v>FOOD SERVICE</v>
          </cell>
          <cell r="J2186" t="str">
            <v>FLAC 5</v>
          </cell>
          <cell r="K2186" t="str">
            <v>LACTALIS</v>
          </cell>
          <cell r="L2186" t="str">
            <v>RODRIGO</v>
          </cell>
          <cell r="M2186" t="str">
            <v>RAQUEL BARBOSA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  <cell r="H2187" t="str">
            <v>DISTRIBUIÇÃO</v>
          </cell>
          <cell r="I2187" t="str">
            <v>FOOD SERVICE</v>
          </cell>
          <cell r="J2187" t="str">
            <v>CLAUDIO JORGE</v>
          </cell>
          <cell r="K2187" t="str">
            <v>LACTALIS</v>
          </cell>
          <cell r="L2187" t="str">
            <v>RODRIGO</v>
          </cell>
          <cell r="M2187" t="str">
            <v>MARCO AURELIO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  <cell r="H2188" t="str">
            <v>DISTRIBUIÇÃO</v>
          </cell>
          <cell r="I2188" t="str">
            <v>FOOD SERVICE</v>
          </cell>
          <cell r="J2188" t="str">
            <v>FLAC 5</v>
          </cell>
          <cell r="K2188" t="str">
            <v>LACTALIS</v>
          </cell>
          <cell r="L2188" t="str">
            <v>RODRIGO</v>
          </cell>
          <cell r="M2188" t="str">
            <v>RAQUEL BARBOSA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  <cell r="H2189" t="str">
            <v>DISTRIBUIÇÃO</v>
          </cell>
          <cell r="I2189" t="str">
            <v>FOOD SERVICE</v>
          </cell>
          <cell r="J2189" t="str">
            <v>FLAC 5</v>
          </cell>
          <cell r="K2189" t="str">
            <v>LACTALIS</v>
          </cell>
          <cell r="L2189" t="str">
            <v>RODRIGO</v>
          </cell>
          <cell r="M2189" t="str">
            <v>RAQUEL BARBOSA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  <cell r="H2190" t="str">
            <v>INGREDIENTS</v>
          </cell>
          <cell r="I2190" t="str">
            <v>INGREDIENTS</v>
          </cell>
          <cell r="J2190" t="str">
            <v>HENRIQUE FERREIRA</v>
          </cell>
          <cell r="K2190" t="str">
            <v>ITAMBÉ</v>
          </cell>
          <cell r="L2190" t="str">
            <v>MAURICIO</v>
          </cell>
          <cell r="M2190" t="str">
            <v>JOEL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  <cell r="H2191" t="str">
            <v>DISTRIBUIÇÃO</v>
          </cell>
          <cell r="I2191" t="str">
            <v>FOOD SERVICE</v>
          </cell>
          <cell r="J2191" t="str">
            <v>FLAC 5</v>
          </cell>
          <cell r="K2191" t="str">
            <v>LACTALIS</v>
          </cell>
          <cell r="L2191" t="str">
            <v>RODRIGO</v>
          </cell>
          <cell r="M2191" t="str">
            <v>RAQUEL BARBOSA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  <cell r="H2192" t="str">
            <v>DISTRIBUIÇÃO</v>
          </cell>
          <cell r="I2192" t="str">
            <v>FOOD SERVICE</v>
          </cell>
          <cell r="J2192" t="str">
            <v>FLAC 1</v>
          </cell>
          <cell r="K2192" t="str">
            <v>LACTALIS</v>
          </cell>
          <cell r="L2192" t="str">
            <v>RODRIGO</v>
          </cell>
          <cell r="M2192" t="str">
            <v>RAQUEL BARBOSA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  <cell r="H2193" t="str">
            <v>DISTRIBUIÇÃO</v>
          </cell>
          <cell r="I2193" t="str">
            <v>FOOD SERVICE</v>
          </cell>
          <cell r="J2193" t="str">
            <v>FLAC 5</v>
          </cell>
          <cell r="K2193" t="str">
            <v>LACTALIS</v>
          </cell>
          <cell r="L2193" t="str">
            <v>RODRIGO</v>
          </cell>
          <cell r="M2193" t="str">
            <v>RAQUEL BARBOSA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  <cell r="H2194" t="str">
            <v>DISTRIBUIÇÃO</v>
          </cell>
          <cell r="I2194" t="str">
            <v>FOOD SERVICE</v>
          </cell>
          <cell r="J2194" t="str">
            <v>FLAC 4</v>
          </cell>
          <cell r="K2194" t="str">
            <v>LACTALIS</v>
          </cell>
          <cell r="L2194" t="str">
            <v>RODRIGO</v>
          </cell>
          <cell r="M2194" t="str">
            <v>RAQUEL BARBOSA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  <cell r="H2195" t="str">
            <v>DISTRIBUIÇÃO</v>
          </cell>
          <cell r="I2195" t="str">
            <v>FOOD SERVICE</v>
          </cell>
          <cell r="J2195" t="str">
            <v>CLAUDIO JORGE</v>
          </cell>
          <cell r="K2195" t="str">
            <v>ITAMBÉ</v>
          </cell>
          <cell r="L2195" t="str">
            <v>RODRIGO</v>
          </cell>
          <cell r="M2195" t="str">
            <v>MARCO AURELIO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  <cell r="H2196" t="str">
            <v>INGREDIENTS</v>
          </cell>
          <cell r="I2196" t="str">
            <v>INGREDIENTS</v>
          </cell>
          <cell r="J2196" t="str">
            <v>HENRIQUE FERREIRA</v>
          </cell>
          <cell r="K2196" t="str">
            <v>ITAMBÉ</v>
          </cell>
          <cell r="L2196" t="str">
            <v>MAURICIO</v>
          </cell>
          <cell r="M2196" t="str">
            <v>JOEL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  <cell r="H2197" t="str">
            <v>INGREDIENTS</v>
          </cell>
          <cell r="I2197" t="str">
            <v>INGREDIENTS</v>
          </cell>
          <cell r="J2197" t="str">
            <v>HENRIQUE FERREIRA</v>
          </cell>
          <cell r="K2197" t="str">
            <v>ITAMBÉ</v>
          </cell>
          <cell r="L2197" t="str">
            <v>MAURICIO</v>
          </cell>
          <cell r="M2197" t="str">
            <v>JOEL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  <cell r="H2198" t="str">
            <v>INGREDIENTS</v>
          </cell>
          <cell r="I2198" t="str">
            <v>INGREDIENTS</v>
          </cell>
          <cell r="J2198" t="str">
            <v>HENRIQUE FERREIRA</v>
          </cell>
          <cell r="K2198" t="str">
            <v>ITAMBÉ</v>
          </cell>
          <cell r="L2198" t="str">
            <v>MAURICIO</v>
          </cell>
          <cell r="M2198" t="str">
            <v>JOEL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  <cell r="H2199" t="str">
            <v>INGREDIENTS</v>
          </cell>
          <cell r="I2199" t="str">
            <v>INGREDIENTS</v>
          </cell>
          <cell r="J2199" t="str">
            <v>HENRIQUE FERREIRA</v>
          </cell>
          <cell r="K2199" t="str">
            <v>ITAMBÉ</v>
          </cell>
          <cell r="L2199" t="str">
            <v>MAURICIO</v>
          </cell>
          <cell r="M2199" t="str">
            <v>JOEL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  <cell r="H2200" t="str">
            <v>DISTRIBUIÇÃO</v>
          </cell>
          <cell r="I2200" t="str">
            <v>FOOD SERVICE</v>
          </cell>
          <cell r="J2200" t="str">
            <v>FLAC 6</v>
          </cell>
          <cell r="K2200" t="str">
            <v>LACTALIS</v>
          </cell>
          <cell r="L2200" t="str">
            <v>RODRIGO</v>
          </cell>
          <cell r="M2200" t="str">
            <v>RAQUEL BARBOSA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  <cell r="H2201" t="str">
            <v>DISTRIBUIÇÃO</v>
          </cell>
          <cell r="I2201" t="str">
            <v>FOOD SERVICE</v>
          </cell>
          <cell r="J2201" t="str">
            <v>FLAC 6</v>
          </cell>
          <cell r="K2201" t="str">
            <v>ITAMBÉ</v>
          </cell>
          <cell r="L2201" t="str">
            <v>RODRIGO</v>
          </cell>
          <cell r="M2201" t="str">
            <v>RAQUEL BARBOSA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  <cell r="H2202" t="str">
            <v>DISTRIBUIÇÃO</v>
          </cell>
          <cell r="I2202" t="str">
            <v>FOOD SERVICE</v>
          </cell>
          <cell r="J2202" t="str">
            <v>FLAC 6</v>
          </cell>
          <cell r="K2202" t="str">
            <v>LACTALIS</v>
          </cell>
          <cell r="L2202" t="str">
            <v>RODRIGO</v>
          </cell>
          <cell r="M2202" t="str">
            <v>RAQUEL BARBOSA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  <cell r="H2203" t="str">
            <v>INGREDIENTS</v>
          </cell>
          <cell r="I2203" t="str">
            <v>INGREDIENTS</v>
          </cell>
          <cell r="J2203" t="str">
            <v>JOEL ELEOTÉRIO</v>
          </cell>
          <cell r="K2203" t="str">
            <v>LACTALIS</v>
          </cell>
          <cell r="L2203" t="str">
            <v>MAURICIO</v>
          </cell>
          <cell r="M2203" t="str">
            <v>JOEL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  <cell r="H2204" t="str">
            <v>INGREDIENTS</v>
          </cell>
          <cell r="I2204" t="str">
            <v>INGREDIENTS</v>
          </cell>
          <cell r="J2204" t="str">
            <v>JOEL ELEOTÉRIO</v>
          </cell>
          <cell r="K2204" t="str">
            <v>LACTALIS</v>
          </cell>
          <cell r="L2204" t="str">
            <v>MAURICIO</v>
          </cell>
          <cell r="M2204" t="str">
            <v>JOEL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  <cell r="H2205" t="str">
            <v>DISTRIBUIÇÃO</v>
          </cell>
          <cell r="I2205" t="str">
            <v>FOOD SERVICE</v>
          </cell>
          <cell r="J2205" t="str">
            <v>FLAC 5</v>
          </cell>
          <cell r="K2205" t="str">
            <v>LACTALIS</v>
          </cell>
          <cell r="L2205" t="str">
            <v>RODRIGO</v>
          </cell>
          <cell r="M2205" t="str">
            <v>RAQUEL BARBOSA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  <cell r="H2206" t="str">
            <v>DISTRIBUIÇÃO</v>
          </cell>
          <cell r="I2206" t="str">
            <v>FOOD SERVICE</v>
          </cell>
          <cell r="J2206" t="str">
            <v>FLAC 6</v>
          </cell>
          <cell r="K2206" t="str">
            <v>LACTALIS</v>
          </cell>
          <cell r="L2206" t="str">
            <v>RODRIGO</v>
          </cell>
          <cell r="M2206" t="str">
            <v>RAQUEL BARBOSA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  <cell r="H2207" t="str">
            <v>INGREDIENTS</v>
          </cell>
          <cell r="I2207" t="str">
            <v>INGREDIENTS</v>
          </cell>
          <cell r="J2207" t="str">
            <v>DUAS RODAS</v>
          </cell>
          <cell r="K2207" t="str">
            <v>ITAMBÉ</v>
          </cell>
          <cell r="L2207" t="str">
            <v>MAURICIO</v>
          </cell>
          <cell r="M2207" t="str">
            <v>TATIANA NITTA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  <cell r="H2208" t="str">
            <v>DISTRIBUIÇÃO</v>
          </cell>
          <cell r="I2208" t="str">
            <v>FOOD SERVICE</v>
          </cell>
          <cell r="J2208" t="str">
            <v>FLAC 6</v>
          </cell>
          <cell r="K2208" t="str">
            <v>ITAMBÉ</v>
          </cell>
          <cell r="L2208" t="str">
            <v>RODRIGO</v>
          </cell>
          <cell r="M2208" t="str">
            <v>RAQUEL BARBOSA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  <cell r="H2209" t="str">
            <v>DISTRIBUIÇÃO</v>
          </cell>
          <cell r="I2209" t="str">
            <v>FOOD SERVICE</v>
          </cell>
          <cell r="J2209" t="str">
            <v>FLAC 6</v>
          </cell>
          <cell r="K2209" t="str">
            <v>LACTALIS</v>
          </cell>
          <cell r="L2209" t="str">
            <v>RODRIGO</v>
          </cell>
          <cell r="M2209" t="str">
            <v>RAQUEL BARBOSA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  <cell r="H2210" t="str">
            <v>DISTRIBUIÇÃO</v>
          </cell>
          <cell r="I2210" t="str">
            <v>FOOD SERVICE</v>
          </cell>
          <cell r="J2210" t="str">
            <v>FLAC 5</v>
          </cell>
          <cell r="K2210" t="str">
            <v>LACTALIS</v>
          </cell>
          <cell r="L2210" t="str">
            <v>RODRIGO</v>
          </cell>
          <cell r="M2210" t="str">
            <v>RAQUEL BARBOSA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  <cell r="H2211" t="str">
            <v>INGREDIENTS</v>
          </cell>
          <cell r="I2211" t="str">
            <v>INGREDIENTS</v>
          </cell>
          <cell r="J2211" t="str">
            <v>JOEL ELEOTÉRIO</v>
          </cell>
          <cell r="K2211" t="str">
            <v>ITAMBÉ</v>
          </cell>
          <cell r="L2211" t="str">
            <v>MAURICIO</v>
          </cell>
          <cell r="M2211" t="str">
            <v>JOEL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  <cell r="H2212" t="str">
            <v>DISTRIBUIÇÃO</v>
          </cell>
          <cell r="I2212" t="str">
            <v>FOOD SERVICE</v>
          </cell>
          <cell r="J2212" t="str">
            <v>FLAC 5</v>
          </cell>
          <cell r="K2212" t="str">
            <v>LACTALIS</v>
          </cell>
          <cell r="L2212" t="str">
            <v>RODRIGO</v>
          </cell>
          <cell r="M2212" t="str">
            <v>RAQUEL BARBOSA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  <cell r="H2213" t="str">
            <v>INGREDIENTS</v>
          </cell>
          <cell r="I2213" t="str">
            <v>INGREDIENTS</v>
          </cell>
          <cell r="J2213" t="str">
            <v>SP ITB FS LUIZ PEREIRA</v>
          </cell>
          <cell r="K2213" t="str">
            <v>ITAMBÉ</v>
          </cell>
          <cell r="L2213" t="str">
            <v>MAURICIO</v>
          </cell>
          <cell r="M2213" t="str">
            <v>TATIANA NITTA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  <cell r="H2214" t="str">
            <v>DISTRIBUIÇÃO</v>
          </cell>
          <cell r="I2214" t="str">
            <v>FOOD SERVICE</v>
          </cell>
          <cell r="J2214" t="str">
            <v>FLAC 3</v>
          </cell>
          <cell r="K2214" t="str">
            <v>LACTALIS</v>
          </cell>
          <cell r="L2214" t="str">
            <v>RODRIGO</v>
          </cell>
          <cell r="M2214" t="str">
            <v>RAQUEL BARBOSA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  <cell r="H2215" t="str">
            <v>QSR</v>
          </cell>
          <cell r="I2215" t="str">
            <v>FOOD SERVICE</v>
          </cell>
          <cell r="J2215" t="str">
            <v>NUTRI</v>
          </cell>
          <cell r="K2215" t="str">
            <v>ITAMBÉ</v>
          </cell>
          <cell r="L2215" t="str">
            <v>PEDRO</v>
          </cell>
          <cell r="M2215" t="str">
            <v>VAGO QSR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  <cell r="H2216" t="str">
            <v>INGREDIENTS</v>
          </cell>
          <cell r="I2216" t="str">
            <v>INGREDIENTS</v>
          </cell>
          <cell r="J2216" t="str">
            <v>JOEL ELEOTÉRIO</v>
          </cell>
          <cell r="K2216" t="str">
            <v>LACTALIS</v>
          </cell>
          <cell r="L2216" t="str">
            <v>MAURICIO</v>
          </cell>
          <cell r="M2216" t="str">
            <v>JOEL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  <cell r="H2217" t="str">
            <v>DISTRIBUIÇÃO</v>
          </cell>
          <cell r="I2217" t="str">
            <v>FOOD SERVICE</v>
          </cell>
          <cell r="J2217" t="str">
            <v>FLAC 3</v>
          </cell>
          <cell r="K2217" t="str">
            <v>LACTALIS</v>
          </cell>
          <cell r="L2217" t="str">
            <v>RODRIGO</v>
          </cell>
          <cell r="M2217" t="str">
            <v>RAQUEL BARBOSA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  <cell r="H2218" t="str">
            <v>DISTRIBUIÇÃO</v>
          </cell>
          <cell r="I2218" t="str">
            <v>FOOD SERVICE</v>
          </cell>
          <cell r="J2218" t="str">
            <v>FLAC 2</v>
          </cell>
          <cell r="K2218" t="str">
            <v>LACTALIS</v>
          </cell>
          <cell r="L2218" t="str">
            <v>RODRIGO</v>
          </cell>
          <cell r="M2218" t="str">
            <v>RAQUEL BARBOSA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  <cell r="H2219" t="str">
            <v>DISTRIBUIÇÃO</v>
          </cell>
          <cell r="I2219" t="str">
            <v>FOOD SERVICE</v>
          </cell>
          <cell r="J2219" t="str">
            <v>MARCELO DUARTE</v>
          </cell>
          <cell r="K2219" t="str">
            <v>ITAMBÉ</v>
          </cell>
          <cell r="L2219" t="str">
            <v>RODRIGO</v>
          </cell>
          <cell r="M2219" t="str">
            <v>JESSICA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  <cell r="H2220" t="str">
            <v>INGREDIENTS</v>
          </cell>
          <cell r="I2220" t="str">
            <v>INGREDIENTS</v>
          </cell>
          <cell r="J2220" t="str">
            <v>JOEL ELEOTÉRIO</v>
          </cell>
          <cell r="K2220" t="str">
            <v>ITAMBÉ</v>
          </cell>
          <cell r="L2220" t="str">
            <v>MAURICIO</v>
          </cell>
          <cell r="M2220" t="str">
            <v>JOEL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  <cell r="H2221" t="str">
            <v>DISTRIBUIÇÃO</v>
          </cell>
          <cell r="I2221" t="str">
            <v>FOOD SERVICE</v>
          </cell>
          <cell r="J2221" t="str">
            <v>FLAC 5</v>
          </cell>
          <cell r="K2221" t="str">
            <v>LACTALIS</v>
          </cell>
          <cell r="L2221" t="str">
            <v>RODRIGO</v>
          </cell>
          <cell r="M2221" t="str">
            <v>RAQUEL BARBOSA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  <cell r="H2222" t="str">
            <v>DISTRIBUIÇÃO</v>
          </cell>
          <cell r="I2222" t="str">
            <v>FOOD SERVICE</v>
          </cell>
          <cell r="J2222" t="str">
            <v>JULIANA CORDEIRO</v>
          </cell>
          <cell r="K2222" t="str">
            <v>ITAMBÉ</v>
          </cell>
          <cell r="L2222" t="str">
            <v>RODRIGO</v>
          </cell>
          <cell r="M2222" t="str">
            <v>JESSICA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  <cell r="H2223" t="str">
            <v>INGREDIENTS</v>
          </cell>
          <cell r="I2223" t="str">
            <v>INGREDIENTS</v>
          </cell>
          <cell r="J2223" t="str">
            <v>HENRIQUE FERREIRA</v>
          </cell>
          <cell r="K2223" t="str">
            <v>ITAMBÉ</v>
          </cell>
          <cell r="L2223" t="str">
            <v>MAURICIO</v>
          </cell>
          <cell r="M2223" t="str">
            <v>JOEL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  <cell r="H2224" t="str">
            <v>DISTRIBUIÇÃO</v>
          </cell>
          <cell r="I2224" t="str">
            <v>FOOD SERVICE</v>
          </cell>
          <cell r="J2224" t="str">
            <v>FLAC 7</v>
          </cell>
          <cell r="K2224" t="str">
            <v>LACTALIS</v>
          </cell>
          <cell r="L2224" t="str">
            <v>RODRIGO</v>
          </cell>
          <cell r="M2224" t="str">
            <v>RAQUEL BARBOSA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  <cell r="H2225" t="str">
            <v>DISTRIBUIÇÃO</v>
          </cell>
          <cell r="I2225" t="str">
            <v>FOOD SERVICE</v>
          </cell>
          <cell r="J2225" t="str">
            <v>FLAC 3</v>
          </cell>
          <cell r="K2225" t="str">
            <v>LACTALIS</v>
          </cell>
          <cell r="L2225" t="str">
            <v>RODRIGO</v>
          </cell>
          <cell r="M2225" t="str">
            <v>RAQUEL BARBOSA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  <cell r="H2226" t="str">
            <v>DISTRIBUIÇÃO</v>
          </cell>
          <cell r="I2226" t="str">
            <v>FOOD SERVICE</v>
          </cell>
          <cell r="J2226" t="str">
            <v>FLAC 3</v>
          </cell>
          <cell r="K2226" t="str">
            <v>LACTALIS</v>
          </cell>
          <cell r="L2226" t="str">
            <v>RODRIGO</v>
          </cell>
          <cell r="M2226" t="str">
            <v>RAQUEL BARBOSA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  <cell r="H2227" t="str">
            <v>DISTRIBUIÇÃO</v>
          </cell>
          <cell r="I2227" t="str">
            <v>FOOD SERVICE</v>
          </cell>
          <cell r="J2227" t="str">
            <v>FLAC 6</v>
          </cell>
          <cell r="K2227" t="str">
            <v>LACTALIS</v>
          </cell>
          <cell r="L2227" t="str">
            <v>RODRIGO</v>
          </cell>
          <cell r="M2227" t="str">
            <v>RAQUEL BARBOSA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  <cell r="H2228" t="str">
            <v>DISTRIBUIÇÃO</v>
          </cell>
          <cell r="I2228" t="str">
            <v>FOOD SERVICE</v>
          </cell>
          <cell r="J2228" t="str">
            <v>FLAC 7</v>
          </cell>
          <cell r="K2228" t="str">
            <v>LACTALIS</v>
          </cell>
          <cell r="L2228" t="str">
            <v>RODRIGO</v>
          </cell>
          <cell r="M2228" t="str">
            <v>RAQUEL BARBOSA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  <cell r="H2229" t="str">
            <v>INGREDIENTS</v>
          </cell>
          <cell r="I2229" t="str">
            <v>INGREDIENTS</v>
          </cell>
          <cell r="J2229" t="str">
            <v>TATIANA NITTA</v>
          </cell>
          <cell r="K2229" t="str">
            <v>ITAMBÉ</v>
          </cell>
          <cell r="L2229" t="str">
            <v>MAURICIO</v>
          </cell>
          <cell r="M2229" t="str">
            <v>TATIANA NITTA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  <cell r="H2230" t="str">
            <v>INGREDIENTS</v>
          </cell>
          <cell r="I2230" t="str">
            <v>INGREDIENTS</v>
          </cell>
          <cell r="J2230" t="str">
            <v>MARCELO RODRIGUES</v>
          </cell>
          <cell r="K2230" t="str">
            <v>ITAMBÉ</v>
          </cell>
          <cell r="L2230" t="str">
            <v>MAURICIO</v>
          </cell>
          <cell r="M2230" t="str">
            <v>MARCELO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  <cell r="H2231" t="str">
            <v>DISTRIBUIÇÃO</v>
          </cell>
          <cell r="I2231" t="str">
            <v>FOOD SERVICE</v>
          </cell>
          <cell r="J2231" t="str">
            <v>CLAUDIO JORGE</v>
          </cell>
          <cell r="K2231" t="str">
            <v>LACTALIS</v>
          </cell>
          <cell r="L2231" t="str">
            <v>RODRIGO</v>
          </cell>
          <cell r="M2231" t="str">
            <v>JESSICA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  <cell r="H2232" t="str">
            <v>INGREDIENTS</v>
          </cell>
          <cell r="I2232" t="str">
            <v>INGREDIENTS</v>
          </cell>
          <cell r="J2232" t="str">
            <v>TATIANA NITTA</v>
          </cell>
          <cell r="K2232" t="str">
            <v>ITAMBÉ</v>
          </cell>
          <cell r="L2232" t="str">
            <v>MAURICIO</v>
          </cell>
          <cell r="M2232" t="str">
            <v>TATIANA NITTA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  <cell r="H2233" t="str">
            <v>INGREDIENTS</v>
          </cell>
          <cell r="I2233" t="str">
            <v>INGREDIENTS</v>
          </cell>
          <cell r="J2233" t="str">
            <v>TATIANA NITTA</v>
          </cell>
          <cell r="K2233" t="str">
            <v>ITAMBÉ</v>
          </cell>
          <cell r="L2233" t="str">
            <v>MAURICIO</v>
          </cell>
          <cell r="M2233" t="str">
            <v>TATIANA NITTA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  <cell r="H2234" t="str">
            <v>DISTRIBUIÇÃO</v>
          </cell>
          <cell r="I2234" t="str">
            <v>FOOD SERVICE</v>
          </cell>
          <cell r="J2234" t="str">
            <v>FLAC 3</v>
          </cell>
          <cell r="K2234" t="str">
            <v>LACTALIS</v>
          </cell>
          <cell r="L2234" t="str">
            <v>RODRIGO</v>
          </cell>
          <cell r="M2234" t="str">
            <v>RAQUEL BARBOSA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  <cell r="H2235" t="str">
            <v>DISTRIBUIÇÃO</v>
          </cell>
          <cell r="I2235" t="str">
            <v>FOOD SERVICE</v>
          </cell>
          <cell r="J2235" t="str">
            <v>CLAUDIO JORGE/LUIZ</v>
          </cell>
          <cell r="K2235" t="str">
            <v>ITAMBÉ</v>
          </cell>
          <cell r="L2235" t="str">
            <v>RODRIGO</v>
          </cell>
          <cell r="M2235" t="str">
            <v>MARIA LOURDES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  <cell r="H2236" t="str">
            <v>DISTRIBUIÇÃO</v>
          </cell>
          <cell r="I2236" t="str">
            <v>FOOD SERVICE</v>
          </cell>
          <cell r="J2236" t="str">
            <v>CLAUDIO JORGE/LUIZ</v>
          </cell>
          <cell r="K2236" t="str">
            <v>ITAMBÉ</v>
          </cell>
          <cell r="L2236" t="str">
            <v>RODRIGO</v>
          </cell>
          <cell r="M2236" t="str">
            <v>MARIA LOURDES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  <cell r="H2237" t="str">
            <v>INGREDIENTS</v>
          </cell>
          <cell r="I2237" t="str">
            <v>INGREDIENTS</v>
          </cell>
          <cell r="J2237" t="str">
            <v>JOEL ELEOTÉRIO</v>
          </cell>
          <cell r="K2237" t="str">
            <v>ITAMBÉ</v>
          </cell>
          <cell r="L2237" t="str">
            <v>MAURICIO</v>
          </cell>
          <cell r="M2237" t="str">
            <v>JOEL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  <cell r="H2238" t="str">
            <v>DISTRIBUIÇÃO</v>
          </cell>
          <cell r="I2238" t="str">
            <v>FOOD SERVICE</v>
          </cell>
          <cell r="J2238" t="str">
            <v>FLAC 3</v>
          </cell>
          <cell r="K2238" t="str">
            <v>LACTALIS</v>
          </cell>
          <cell r="L2238" t="str">
            <v>RODRIGO</v>
          </cell>
          <cell r="M2238" t="str">
            <v>RAQUEL BARBOSA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  <cell r="H2239" t="str">
            <v>DISTRIBUIÇÃO</v>
          </cell>
          <cell r="I2239" t="str">
            <v>FOOD SERVICE</v>
          </cell>
          <cell r="J2239" t="str">
            <v>LUCIANA MARTINS</v>
          </cell>
          <cell r="K2239" t="str">
            <v>ITAMBÉ</v>
          </cell>
          <cell r="L2239" t="str">
            <v>RODRIGO</v>
          </cell>
          <cell r="M2239" t="str">
            <v>JESSICA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  <cell r="H2240" t="str">
            <v>DISTRIBUIÇÃO</v>
          </cell>
          <cell r="I2240" t="str">
            <v>FOOD SERVICE</v>
          </cell>
          <cell r="J2240" t="str">
            <v>ANGELICA BATISTELA</v>
          </cell>
          <cell r="K2240" t="str">
            <v>ITAMBÉ</v>
          </cell>
          <cell r="L2240" t="str">
            <v>RODRIGO</v>
          </cell>
          <cell r="M2240" t="str">
            <v>ANGELICA BATISTELA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  <cell r="H2241" t="str">
            <v>DISTRIBUIÇÃO</v>
          </cell>
          <cell r="I2241" t="str">
            <v>FOOD SERVICE</v>
          </cell>
          <cell r="J2241" t="str">
            <v>MARCELO DUARTE</v>
          </cell>
          <cell r="K2241" t="str">
            <v>ITAMBÉ</v>
          </cell>
          <cell r="L2241" t="str">
            <v>RODRIGO</v>
          </cell>
          <cell r="M2241" t="str">
            <v>JESSICA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  <cell r="H2242" t="str">
            <v>DISTRIBUIÇÃO</v>
          </cell>
          <cell r="I2242" t="str">
            <v>FOOD SERVICE</v>
          </cell>
          <cell r="J2242" t="str">
            <v>FLAC 6</v>
          </cell>
          <cell r="K2242" t="str">
            <v>LACTALIS</v>
          </cell>
          <cell r="L2242" t="str">
            <v>RODRIGO</v>
          </cell>
          <cell r="M2242" t="str">
            <v>RAQUEL BARBOSA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  <cell r="H2243" t="str">
            <v>DISTRIBUIÇÃO</v>
          </cell>
          <cell r="I2243" t="str">
            <v>FOOD SERVICE</v>
          </cell>
          <cell r="J2243" t="str">
            <v>FLAC 2</v>
          </cell>
          <cell r="K2243" t="str">
            <v>LACTALIS</v>
          </cell>
          <cell r="L2243" t="str">
            <v>RODRIGO</v>
          </cell>
          <cell r="M2243" t="str">
            <v>RAQUEL BARBOSA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  <cell r="H2244" t="str">
            <v>DISTRIBUIÇÃO</v>
          </cell>
          <cell r="I2244" t="str">
            <v>FOOD SERVICE</v>
          </cell>
          <cell r="J2244" t="str">
            <v>FLAC 5</v>
          </cell>
          <cell r="K2244" t="str">
            <v>LACTALIS</v>
          </cell>
          <cell r="L2244" t="str">
            <v>RODRIGO</v>
          </cell>
          <cell r="M2244" t="str">
            <v>RAQUEL BARBOSA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  <cell r="H2245" t="str">
            <v>DISTRIBUIÇÃO</v>
          </cell>
          <cell r="I2245" t="str">
            <v>FOOD SERVICE</v>
          </cell>
          <cell r="J2245" t="str">
            <v>FLAC 7</v>
          </cell>
          <cell r="K2245" t="str">
            <v>LACTALIS</v>
          </cell>
          <cell r="L2245" t="str">
            <v>RODRIGO</v>
          </cell>
          <cell r="M2245" t="str">
            <v>RAQUEL BARBOSA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  <cell r="H2246" t="str">
            <v>DISTRIBUIÇÃO</v>
          </cell>
          <cell r="I2246" t="str">
            <v>FOOD SERVICE</v>
          </cell>
          <cell r="J2246" t="str">
            <v>FLAC 3</v>
          </cell>
          <cell r="K2246" t="str">
            <v>LACTALIS</v>
          </cell>
          <cell r="L2246" t="str">
            <v>RODRIGO</v>
          </cell>
          <cell r="M2246" t="str">
            <v>RAQUEL BARBOSA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  <cell r="H2247" t="str">
            <v>DISTRIBUIÇÃO</v>
          </cell>
          <cell r="I2247" t="str">
            <v>FOOD SERVICE</v>
          </cell>
          <cell r="J2247" t="str">
            <v>FLAC 3</v>
          </cell>
          <cell r="K2247" t="str">
            <v>LACTALIS</v>
          </cell>
          <cell r="L2247" t="str">
            <v>RODRIGO</v>
          </cell>
          <cell r="M2247" t="str">
            <v>RAQUEL BARBOSA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  <cell r="H2248" t="str">
            <v>INGREDIENTS</v>
          </cell>
          <cell r="I2248" t="str">
            <v>INGREDIENTS</v>
          </cell>
          <cell r="J2248" t="str">
            <v>HENRIQUE FERREIRA</v>
          </cell>
          <cell r="K2248" t="str">
            <v>ITAMBÉ</v>
          </cell>
          <cell r="L2248" t="str">
            <v>MAURICIO</v>
          </cell>
          <cell r="M2248" t="str">
            <v>JOEL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  <cell r="H2249" t="str">
            <v>DISTRIBUIÇÃO</v>
          </cell>
          <cell r="I2249" t="str">
            <v>FOOD SERVICE</v>
          </cell>
          <cell r="J2249" t="str">
            <v>ANGELICA BATISTELA</v>
          </cell>
          <cell r="K2249" t="str">
            <v>ITAMBÉ</v>
          </cell>
          <cell r="L2249" t="str">
            <v>RODRIGO</v>
          </cell>
          <cell r="M2249" t="str">
            <v>ANGELICA BATISTELA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  <cell r="H2250" t="str">
            <v>DISTRIBUIÇÃO</v>
          </cell>
          <cell r="I2250" t="str">
            <v>FOOD SERVICE</v>
          </cell>
          <cell r="J2250" t="str">
            <v>FLAC 3</v>
          </cell>
          <cell r="K2250" t="str">
            <v>LACTALIS</v>
          </cell>
          <cell r="L2250" t="str">
            <v>RODRIGO</v>
          </cell>
          <cell r="M2250" t="str">
            <v>RAQUEL BARBOSA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  <cell r="H2251" t="str">
            <v>DISTRIBUIÇÃO</v>
          </cell>
          <cell r="I2251" t="str">
            <v>FOOD SERVICE</v>
          </cell>
          <cell r="J2251" t="str">
            <v>CLAUDIO JORGE</v>
          </cell>
          <cell r="K2251" t="str">
            <v>LACTALIS</v>
          </cell>
          <cell r="L2251" t="str">
            <v>RODRIGO</v>
          </cell>
          <cell r="M2251" t="str">
            <v>MARIA LOURDES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  <cell r="H2252" t="str">
            <v>DISTRIBUIÇÃO</v>
          </cell>
          <cell r="I2252" t="str">
            <v>FOOD SERVICE</v>
          </cell>
          <cell r="J2252" t="str">
            <v>CLAUDIO JORGE/LUIZ</v>
          </cell>
          <cell r="K2252" t="str">
            <v>ITAMBÉ</v>
          </cell>
          <cell r="L2252" t="str">
            <v>RODRIGO</v>
          </cell>
          <cell r="M2252" t="str">
            <v>MARIA LOURDES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  <cell r="H2253" t="str">
            <v>DISTRIBUIÇÃO</v>
          </cell>
          <cell r="I2253" t="str">
            <v>FOOD SERVICE</v>
          </cell>
          <cell r="J2253" t="str">
            <v>FLAC 5</v>
          </cell>
          <cell r="K2253" t="str">
            <v>LACTALIS</v>
          </cell>
          <cell r="L2253" t="str">
            <v>RODRIGO</v>
          </cell>
          <cell r="M2253" t="str">
            <v>RAQUEL BARBOSA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  <cell r="H2254" t="str">
            <v>DISTRIBUIÇÃO</v>
          </cell>
          <cell r="I2254" t="str">
            <v>FOOD SERVICE</v>
          </cell>
          <cell r="J2254" t="str">
            <v>SP ITB FS FLAC REP.E COMERCIO</v>
          </cell>
          <cell r="K2254" t="str">
            <v>ITAMBÉ</v>
          </cell>
          <cell r="L2254" t="str">
            <v>RODRIGO</v>
          </cell>
          <cell r="M2254" t="str">
            <v>RAQUEL BARBOSA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  <cell r="H2255" t="str">
            <v>INGREDIENTS</v>
          </cell>
          <cell r="I2255" t="str">
            <v>INGREDIENTS</v>
          </cell>
          <cell r="J2255" t="str">
            <v>TATIANA NITTA</v>
          </cell>
          <cell r="K2255" t="str">
            <v>LACTALIS</v>
          </cell>
          <cell r="L2255" t="str">
            <v>MAURICIO</v>
          </cell>
          <cell r="M2255" t="str">
            <v>TATIANA NITTA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  <cell r="H2256" t="str">
            <v>DISTRIBUIÇÃO</v>
          </cell>
          <cell r="I2256" t="str">
            <v>FOOD SERVICE</v>
          </cell>
          <cell r="J2256" t="str">
            <v>FLAC 2</v>
          </cell>
          <cell r="K2256" t="str">
            <v>LACTALIS</v>
          </cell>
          <cell r="L2256" t="str">
            <v>RODRIGO</v>
          </cell>
          <cell r="M2256" t="str">
            <v>RAQUEL BARBOSA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  <cell r="H2257" t="str">
            <v>DISTRIBUIÇÃO</v>
          </cell>
          <cell r="I2257" t="str">
            <v>FOOD SERVICE</v>
          </cell>
          <cell r="J2257" t="str">
            <v>FLAC 5</v>
          </cell>
          <cell r="K2257" t="str">
            <v>LACTALIS</v>
          </cell>
          <cell r="L2257" t="str">
            <v>RODRIGO</v>
          </cell>
          <cell r="M2257" t="str">
            <v>RAQUEL BARBOSA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  <cell r="H2258" t="str">
            <v>DISTRIBUIÇÃO</v>
          </cell>
          <cell r="I2258" t="str">
            <v>FOOD SERVICE</v>
          </cell>
          <cell r="J2258" t="str">
            <v>CLAUDIO JORGE</v>
          </cell>
          <cell r="K2258" t="str">
            <v>LACTALIS</v>
          </cell>
          <cell r="L2258" t="str">
            <v>RODRIGO</v>
          </cell>
          <cell r="M2258" t="str">
            <v>MARIA LOURDES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  <cell r="H2259" t="str">
            <v>INGREDIENTS</v>
          </cell>
          <cell r="I2259" t="str">
            <v>INGREDIENTS</v>
          </cell>
          <cell r="J2259" t="str">
            <v>JOEL ELEOTÉRIO</v>
          </cell>
          <cell r="K2259" t="str">
            <v>LACTALIS</v>
          </cell>
          <cell r="L2259" t="str">
            <v>MAURICIO</v>
          </cell>
          <cell r="M2259" t="str">
            <v>JOEL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  <cell r="H2260" t="str">
            <v>DISTRIBUIÇÃO</v>
          </cell>
          <cell r="I2260" t="str">
            <v>FOOD SERVICE</v>
          </cell>
          <cell r="J2260" t="str">
            <v>CLAUDIO JORGE</v>
          </cell>
          <cell r="K2260" t="str">
            <v>LACTALIS</v>
          </cell>
          <cell r="L2260" t="str">
            <v>RODRIGO</v>
          </cell>
          <cell r="M2260" t="str">
            <v>MARIA LOURDES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  <cell r="H2261" t="str">
            <v>DISTRIBUIÇÃO</v>
          </cell>
          <cell r="I2261" t="str">
            <v>FOOD SERVICE</v>
          </cell>
          <cell r="J2261" t="str">
            <v>FLAC 7</v>
          </cell>
          <cell r="K2261" t="str">
            <v>LACTALIS</v>
          </cell>
          <cell r="L2261" t="str">
            <v>RODRIGO</v>
          </cell>
          <cell r="M2261" t="str">
            <v>RAQUEL BARBOSA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  <cell r="H2262" t="str">
            <v>DISTRIBUIÇÃO</v>
          </cell>
          <cell r="I2262" t="str">
            <v>FOOD SERVICE</v>
          </cell>
          <cell r="J2262" t="str">
            <v>FLAC 2</v>
          </cell>
          <cell r="K2262" t="str">
            <v>LACTALIS</v>
          </cell>
          <cell r="L2262" t="str">
            <v>RODRIGO</v>
          </cell>
          <cell r="M2262" t="str">
            <v>RAQUEL BARBOSA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  <cell r="H2263" t="str">
            <v>DISTRIBUIÇÃO</v>
          </cell>
          <cell r="I2263" t="str">
            <v>FOOD SERVICE</v>
          </cell>
          <cell r="J2263" t="str">
            <v>FLAC 5</v>
          </cell>
          <cell r="K2263" t="str">
            <v>LACTALIS</v>
          </cell>
          <cell r="L2263" t="str">
            <v>RODRIGO</v>
          </cell>
          <cell r="M2263" t="str">
            <v>RAQUEL BARBOSA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  <cell r="H2264" t="str">
            <v>DISTRIBUIÇÃO</v>
          </cell>
          <cell r="I2264" t="str">
            <v>FOOD SERVICE</v>
          </cell>
          <cell r="J2264" t="str">
            <v>FLAC 5</v>
          </cell>
          <cell r="K2264" t="str">
            <v>LACTALIS</v>
          </cell>
          <cell r="L2264" t="str">
            <v>RODRIGO</v>
          </cell>
          <cell r="M2264" t="str">
            <v>RAQUEL BARBOSA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  <cell r="H2265" t="str">
            <v>INGREDIENTS</v>
          </cell>
          <cell r="I2265" t="str">
            <v>INGREDIENTS</v>
          </cell>
          <cell r="J2265" t="str">
            <v>JOEL ELEOTÉRIO</v>
          </cell>
          <cell r="K2265" t="str">
            <v>ITAMBÉ</v>
          </cell>
          <cell r="L2265" t="str">
            <v>MAURICIO</v>
          </cell>
          <cell r="M2265" t="str">
            <v>JOEL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  <cell r="H2266" t="str">
            <v>DISTRIBUIÇÃO</v>
          </cell>
          <cell r="I2266" t="str">
            <v>FOOD SERVICE</v>
          </cell>
          <cell r="J2266" t="str">
            <v>FLAC 3</v>
          </cell>
          <cell r="K2266" t="str">
            <v>LACTALIS</v>
          </cell>
          <cell r="L2266" t="str">
            <v>RODRIGO</v>
          </cell>
          <cell r="M2266" t="str">
            <v>RAQUEL BARBOSA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  <cell r="H2267" t="str">
            <v>DISTRIBUIÇÃO</v>
          </cell>
          <cell r="I2267" t="str">
            <v>FOOD SERVICE</v>
          </cell>
          <cell r="J2267" t="str">
            <v>FLAC 5</v>
          </cell>
          <cell r="K2267" t="str">
            <v>LACTALIS</v>
          </cell>
          <cell r="L2267" t="str">
            <v>RODRIGO</v>
          </cell>
          <cell r="M2267" t="str">
            <v>RAQUEL BARBOSA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  <cell r="H2268" t="str">
            <v>DISTRIBUIÇÃO</v>
          </cell>
          <cell r="I2268" t="str">
            <v>FOOD SERVICE</v>
          </cell>
          <cell r="J2268" t="str">
            <v>FLAC 3</v>
          </cell>
          <cell r="K2268" t="str">
            <v>LACTALIS</v>
          </cell>
          <cell r="L2268" t="str">
            <v>RODRIGO</v>
          </cell>
          <cell r="M2268" t="str">
            <v>RAQUEL BARBOSA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  <cell r="H2269" t="str">
            <v>DISTRIBUIÇÃO</v>
          </cell>
          <cell r="I2269" t="str">
            <v>FOOD SERVICE</v>
          </cell>
          <cell r="J2269" t="str">
            <v>FLAC 5</v>
          </cell>
          <cell r="K2269" t="str">
            <v>LACTALIS</v>
          </cell>
          <cell r="L2269" t="str">
            <v>RODRIGO</v>
          </cell>
          <cell r="M2269" t="str">
            <v>RAQUEL BARBOSA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  <cell r="H2270" t="str">
            <v>DISTRIBUIÇÃO</v>
          </cell>
          <cell r="I2270" t="str">
            <v>FOOD SERVICE</v>
          </cell>
          <cell r="J2270" t="str">
            <v>FLAC 6</v>
          </cell>
          <cell r="K2270" t="str">
            <v>LACTALIS</v>
          </cell>
          <cell r="L2270" t="str">
            <v>RODRIGO</v>
          </cell>
          <cell r="M2270" t="str">
            <v>RAQUEL BARBOSA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  <cell r="H2271" t="str">
            <v>DISTRIBUIÇÃO</v>
          </cell>
          <cell r="I2271" t="str">
            <v>FOOD SERVICE</v>
          </cell>
          <cell r="J2271" t="str">
            <v>FLAC 5</v>
          </cell>
          <cell r="K2271" t="str">
            <v>LACTALIS</v>
          </cell>
          <cell r="L2271" t="str">
            <v>RODRIGO</v>
          </cell>
          <cell r="M2271" t="str">
            <v>RAQUEL BARBOSA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  <cell r="H2272" t="str">
            <v>DISTRIBUIÇÃO</v>
          </cell>
          <cell r="I2272" t="str">
            <v>FOOD SERVICE</v>
          </cell>
          <cell r="J2272" t="str">
            <v>FLAC 5</v>
          </cell>
          <cell r="K2272" t="str">
            <v>LACTALIS</v>
          </cell>
          <cell r="L2272" t="str">
            <v>RODRIGO</v>
          </cell>
          <cell r="M2272" t="str">
            <v>RAQUEL BARBOSA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  <cell r="H2273" t="str">
            <v>INGREDIENTS</v>
          </cell>
          <cell r="I2273" t="str">
            <v>INGREDIENTS</v>
          </cell>
          <cell r="J2273" t="str">
            <v>MARCELO RODRIGUES</v>
          </cell>
          <cell r="K2273" t="str">
            <v>LACTALIS</v>
          </cell>
          <cell r="L2273" t="str">
            <v>MAURICIO</v>
          </cell>
          <cell r="M2273" t="str">
            <v>MARCELO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  <cell r="H2274" t="str">
            <v>INGREDIENTS</v>
          </cell>
          <cell r="I2274" t="str">
            <v>INGREDIENTS</v>
          </cell>
          <cell r="J2274" t="str">
            <v>JOEL ELEOTÉRIO</v>
          </cell>
          <cell r="K2274" t="str">
            <v>LACTALIS</v>
          </cell>
          <cell r="L2274" t="str">
            <v>MAURICIO</v>
          </cell>
          <cell r="M2274" t="str">
            <v>JOEL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  <cell r="H2275" t="str">
            <v>INGREDIENTS</v>
          </cell>
          <cell r="I2275" t="str">
            <v>INGREDIENTS</v>
          </cell>
          <cell r="J2275" t="str">
            <v>MARCELO RODRIGUES</v>
          </cell>
          <cell r="K2275" t="str">
            <v>LACTALIS</v>
          </cell>
          <cell r="L2275" t="str">
            <v>MAURICIO</v>
          </cell>
          <cell r="M2275" t="str">
            <v>MARCELO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  <cell r="H2276" t="str">
            <v>INGREDIENTS</v>
          </cell>
          <cell r="I2276" t="str">
            <v>INGREDIENTS</v>
          </cell>
          <cell r="J2276" t="str">
            <v>JOEL ELEOTÉRIO</v>
          </cell>
          <cell r="K2276" t="str">
            <v>LACTALIS</v>
          </cell>
          <cell r="L2276" t="str">
            <v>MAURICIO</v>
          </cell>
          <cell r="M2276" t="str">
            <v>JOEL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  <cell r="H2277" t="str">
            <v>INGREDIENTS</v>
          </cell>
          <cell r="I2277" t="str">
            <v>INGREDIENTS</v>
          </cell>
          <cell r="J2277" t="str">
            <v>TATIANA NITTA</v>
          </cell>
          <cell r="K2277" t="str">
            <v>LACTALIS</v>
          </cell>
          <cell r="L2277" t="str">
            <v>MAURICIO</v>
          </cell>
          <cell r="M2277" t="str">
            <v>TATIANA NITTA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  <cell r="H2278" t="str">
            <v>INGREDIENTS</v>
          </cell>
          <cell r="I2278" t="str">
            <v>INGREDIENTS</v>
          </cell>
          <cell r="J2278" t="str">
            <v>MARCELO RODRIGUES</v>
          </cell>
          <cell r="K2278" t="str">
            <v>LACTALIS</v>
          </cell>
          <cell r="L2278" t="str">
            <v>MAURICIO</v>
          </cell>
          <cell r="M2278" t="str">
            <v>MARCELO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  <cell r="H2279" t="str">
            <v>INGREDIENTS</v>
          </cell>
          <cell r="I2279" t="str">
            <v>INGREDIENTS</v>
          </cell>
          <cell r="J2279" t="str">
            <v>MARCELO RODRIGUES</v>
          </cell>
          <cell r="K2279" t="str">
            <v>LACTALIS</v>
          </cell>
          <cell r="L2279" t="str">
            <v>MAURICIO</v>
          </cell>
          <cell r="M2279" t="str">
            <v>MARCELO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  <cell r="H2280" t="str">
            <v>INGREDIENTS</v>
          </cell>
          <cell r="I2280" t="str">
            <v>INGREDIENTS</v>
          </cell>
          <cell r="J2280" t="str">
            <v>JOEL ELEOTÉRIO</v>
          </cell>
          <cell r="K2280" t="str">
            <v>LACTALIS</v>
          </cell>
          <cell r="L2280" t="str">
            <v>MAURICIO</v>
          </cell>
          <cell r="M2280" t="str">
            <v>JOEL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  <cell r="H2281" t="str">
            <v>INGREDIENTS</v>
          </cell>
          <cell r="I2281" t="str">
            <v>INGREDIENTS</v>
          </cell>
          <cell r="J2281" t="str">
            <v>MARCELO RODRIGUES</v>
          </cell>
          <cell r="K2281" t="str">
            <v>LACTALIS</v>
          </cell>
          <cell r="L2281" t="str">
            <v>MAURICIO</v>
          </cell>
          <cell r="M2281" t="str">
            <v>MARCELO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  <cell r="H2282" t="str">
            <v>INGREDIENTS</v>
          </cell>
          <cell r="I2282" t="str">
            <v>INGREDIENTS</v>
          </cell>
          <cell r="J2282" t="str">
            <v>MARCELO RODRIGUES</v>
          </cell>
          <cell r="K2282" t="str">
            <v>LACTALIS</v>
          </cell>
          <cell r="L2282" t="str">
            <v>MAURICIO</v>
          </cell>
          <cell r="M2282" t="str">
            <v>MARCELO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  <cell r="H2283" t="str">
            <v>INGREDIENTS</v>
          </cell>
          <cell r="I2283" t="str">
            <v>INGREDIENTS</v>
          </cell>
          <cell r="J2283" t="str">
            <v>JOEL ELEOTÉRIO</v>
          </cell>
          <cell r="K2283" t="str">
            <v>LACTALIS</v>
          </cell>
          <cell r="L2283" t="str">
            <v>MAURICIO</v>
          </cell>
          <cell r="M2283" t="str">
            <v>JOEL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  <cell r="H2284" t="str">
            <v>INGREDIENTS</v>
          </cell>
          <cell r="I2284" t="str">
            <v>INGREDIENTS</v>
          </cell>
          <cell r="J2284" t="str">
            <v>MARCELO RODRIGUES</v>
          </cell>
          <cell r="K2284" t="str">
            <v>LACTALIS</v>
          </cell>
          <cell r="L2284" t="str">
            <v>MAURICIO</v>
          </cell>
          <cell r="M2284" t="str">
            <v>MARCELO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  <cell r="H2285" t="str">
            <v>INGREDIENTS</v>
          </cell>
          <cell r="I2285" t="str">
            <v>INGREDIENTS</v>
          </cell>
          <cell r="J2285" t="str">
            <v>JOEL ELEOTÉRIO</v>
          </cell>
          <cell r="K2285" t="str">
            <v>LACTALIS</v>
          </cell>
          <cell r="L2285" t="str">
            <v>MAURICIO</v>
          </cell>
          <cell r="M2285" t="str">
            <v>JOEL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  <cell r="H2286" t="str">
            <v>INGREDIENTS</v>
          </cell>
          <cell r="I2286" t="str">
            <v>INGREDIENTS</v>
          </cell>
          <cell r="J2286" t="str">
            <v>JOEL ELEOTÉRIO</v>
          </cell>
          <cell r="K2286" t="str">
            <v>LACTALIS</v>
          </cell>
          <cell r="L2286" t="str">
            <v>MAURICIO</v>
          </cell>
          <cell r="M2286" t="str">
            <v>JOEL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  <cell r="H2287" t="str">
            <v>INGREDIENTS</v>
          </cell>
          <cell r="I2287" t="str">
            <v>INGREDIENTS</v>
          </cell>
          <cell r="J2287" t="str">
            <v>JOEL ELEOTÉRIO</v>
          </cell>
          <cell r="K2287" t="str">
            <v>LACTALIS</v>
          </cell>
          <cell r="L2287" t="str">
            <v>MAURICIO</v>
          </cell>
          <cell r="M2287" t="str">
            <v>JOEL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  <cell r="H2288" t="str">
            <v>INGREDIENTS</v>
          </cell>
          <cell r="I2288" t="str">
            <v>INGREDIENTS</v>
          </cell>
          <cell r="J2288" t="str">
            <v>JOEL ELEOTÉRIO</v>
          </cell>
          <cell r="K2288" t="str">
            <v>LACTALIS</v>
          </cell>
          <cell r="L2288" t="str">
            <v>MAURICIO</v>
          </cell>
          <cell r="M2288" t="str">
            <v>JOEL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  <cell r="H2289" t="str">
            <v>INGREDIENTS</v>
          </cell>
          <cell r="I2289" t="str">
            <v>INGREDIENTS</v>
          </cell>
          <cell r="J2289" t="str">
            <v>JOEL ELEOTÉRIO</v>
          </cell>
          <cell r="K2289" t="str">
            <v>LACTALIS</v>
          </cell>
          <cell r="L2289" t="str">
            <v>MAURICIO</v>
          </cell>
          <cell r="M2289" t="str">
            <v>JOEL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  <cell r="H2290" t="str">
            <v>INGREDIENTS</v>
          </cell>
          <cell r="I2290" t="str">
            <v>INGREDIENTS</v>
          </cell>
          <cell r="J2290" t="str">
            <v>MARCELO RODRIGUES</v>
          </cell>
          <cell r="K2290" t="str">
            <v>LACTALIS</v>
          </cell>
          <cell r="L2290" t="str">
            <v>MAURICIO</v>
          </cell>
          <cell r="M2290" t="str">
            <v>MARCELO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  <cell r="H2291" t="str">
            <v>INGREDIENTS</v>
          </cell>
          <cell r="I2291" t="str">
            <v>INGREDIENTS</v>
          </cell>
          <cell r="J2291" t="str">
            <v>JOEL ELEOTÉRIO</v>
          </cell>
          <cell r="K2291" t="str">
            <v>LACTALIS</v>
          </cell>
          <cell r="L2291" t="str">
            <v>MAURICIO</v>
          </cell>
          <cell r="M2291" t="str">
            <v>JOEL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  <cell r="H2292" t="str">
            <v>INGREDIENTS</v>
          </cell>
          <cell r="I2292" t="str">
            <v>INGREDIENTS</v>
          </cell>
          <cell r="J2292" t="str">
            <v>MARCELO RODRIGUES</v>
          </cell>
          <cell r="K2292" t="str">
            <v>LACTALIS</v>
          </cell>
          <cell r="L2292" t="str">
            <v>MAURICIO</v>
          </cell>
          <cell r="M2292" t="str">
            <v>MARCELO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  <cell r="H2293" t="str">
            <v>INGREDIENTS</v>
          </cell>
          <cell r="I2293" t="str">
            <v>INGREDIENTS</v>
          </cell>
          <cell r="J2293" t="str">
            <v>MARCELO RODRIGUES</v>
          </cell>
          <cell r="K2293" t="str">
            <v>LACTALIS</v>
          </cell>
          <cell r="L2293" t="str">
            <v>MAURICIO</v>
          </cell>
          <cell r="M2293" t="str">
            <v>MARCELO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  <cell r="H2294" t="str">
            <v>DISTRIBUIÇÃO</v>
          </cell>
          <cell r="I2294" t="str">
            <v>FOOD SERVICE</v>
          </cell>
          <cell r="J2294" t="str">
            <v>FLAC 5</v>
          </cell>
          <cell r="K2294" t="str">
            <v>LACTALIS</v>
          </cell>
          <cell r="L2294" t="str">
            <v>RODRIGO</v>
          </cell>
          <cell r="M2294" t="str">
            <v>RAQUEL BARBOSA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  <cell r="H2295" t="str">
            <v>DISTRIBUIÇÃO</v>
          </cell>
          <cell r="I2295" t="str">
            <v>FOOD SERVICE</v>
          </cell>
          <cell r="J2295" t="str">
            <v>FLAC 6</v>
          </cell>
          <cell r="K2295" t="str">
            <v>LACTALIS</v>
          </cell>
          <cell r="L2295" t="str">
            <v>RODRIGO</v>
          </cell>
          <cell r="M2295" t="str">
            <v>RAQUEL BARBOSA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  <cell r="H2296" t="str">
            <v>INGREDIENTS</v>
          </cell>
          <cell r="I2296" t="str">
            <v>INGREDIENTS</v>
          </cell>
          <cell r="J2296" t="str">
            <v>HENRIQUE FERREIRA</v>
          </cell>
          <cell r="K2296" t="str">
            <v>ITAMBÉ</v>
          </cell>
          <cell r="L2296" t="str">
            <v>MAURICIO</v>
          </cell>
          <cell r="M2296" t="str">
            <v>JOEL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  <cell r="H2297" t="str">
            <v>DISTRIBUIÇÃO</v>
          </cell>
          <cell r="I2297" t="str">
            <v>FOOD SERVICE</v>
          </cell>
          <cell r="J2297" t="str">
            <v>FLAC 5</v>
          </cell>
          <cell r="K2297" t="str">
            <v>LACTALIS</v>
          </cell>
          <cell r="L2297" t="str">
            <v>RODRIGO</v>
          </cell>
          <cell r="M2297" t="str">
            <v>RAQUEL BARBOSA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  <cell r="H2298" t="str">
            <v>DISTRIBUIÇÃO</v>
          </cell>
          <cell r="I2298" t="str">
            <v>FOOD SERVICE</v>
          </cell>
          <cell r="J2298" t="str">
            <v>FLAC 5</v>
          </cell>
          <cell r="K2298" t="str">
            <v>LACTALIS</v>
          </cell>
          <cell r="L2298" t="str">
            <v>RODRIGO</v>
          </cell>
          <cell r="M2298" t="str">
            <v>RAQUEL BARBOSA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  <cell r="H2299" t="str">
            <v>DISTRIBUIÇÃO</v>
          </cell>
          <cell r="I2299" t="str">
            <v>FOOD SERVICE</v>
          </cell>
          <cell r="J2299" t="str">
            <v>FLAC 2</v>
          </cell>
          <cell r="K2299" t="str">
            <v>LACTALIS</v>
          </cell>
          <cell r="L2299" t="str">
            <v>RODRIGO</v>
          </cell>
          <cell r="M2299" t="str">
            <v>RAQUEL BARBOSA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  <cell r="H2300" t="str">
            <v>INGREDIENTS</v>
          </cell>
          <cell r="I2300" t="str">
            <v>INGREDIENTS</v>
          </cell>
          <cell r="J2300" t="str">
            <v>TATIANA NITTA</v>
          </cell>
          <cell r="K2300" t="str">
            <v>ITAMBÉ</v>
          </cell>
          <cell r="L2300" t="str">
            <v>MAURICIO</v>
          </cell>
          <cell r="M2300" t="str">
            <v>TATIANA NITTA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  <cell r="H2301" t="str">
            <v>DISTRIBUIÇÃO</v>
          </cell>
          <cell r="I2301" t="str">
            <v>FOOD SERVICE</v>
          </cell>
          <cell r="J2301" t="str">
            <v>FLAC 5</v>
          </cell>
          <cell r="K2301" t="str">
            <v>LACTALIS</v>
          </cell>
          <cell r="L2301" t="str">
            <v>RODRIGO</v>
          </cell>
          <cell r="M2301" t="str">
            <v>RAQUEL BARBOSA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  <cell r="H2302" t="str">
            <v>DISTRIBUIÇÃO</v>
          </cell>
          <cell r="I2302" t="str">
            <v>FOOD SERVICE</v>
          </cell>
          <cell r="J2302" t="str">
            <v>FLAC 8</v>
          </cell>
          <cell r="K2302" t="str">
            <v>LACTALIS</v>
          </cell>
          <cell r="L2302" t="str">
            <v>RODRIGO</v>
          </cell>
          <cell r="M2302" t="str">
            <v>RAQUEL BARBOSA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  <cell r="H2303" t="str">
            <v>DISTRIBUIÇÃO</v>
          </cell>
          <cell r="I2303" t="str">
            <v>FOOD SERVICE</v>
          </cell>
          <cell r="J2303" t="str">
            <v>FLAC 5</v>
          </cell>
          <cell r="K2303" t="str">
            <v>LACTALIS</v>
          </cell>
          <cell r="L2303" t="str">
            <v>RODRIGO</v>
          </cell>
          <cell r="M2303" t="str">
            <v>RAQUEL BARBOSA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  <cell r="H2304" t="str">
            <v>OUTROS</v>
          </cell>
          <cell r="I2304" t="str">
            <v>OUTROS</v>
          </cell>
          <cell r="J2304" t="str">
            <v>SERVIÇO TIROL</v>
          </cell>
          <cell r="K2304" t="str">
            <v>OUTROS</v>
          </cell>
          <cell r="L2304" t="str">
            <v>OUTROS</v>
          </cell>
          <cell r="M2304" t="str">
            <v>SERVIÇO TIROL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  <cell r="H2305" t="str">
            <v>QSR</v>
          </cell>
          <cell r="I2305" t="str">
            <v>FOOD SERVICE</v>
          </cell>
          <cell r="J2305" t="str">
            <v>ANA MENIQUETE</v>
          </cell>
          <cell r="K2305" t="str">
            <v>LACTALIS</v>
          </cell>
          <cell r="L2305" t="str">
            <v>PEDRO</v>
          </cell>
          <cell r="M2305" t="str">
            <v>ANA MENIQUETE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  <cell r="H2306" t="str">
            <v>INGREDIENTS</v>
          </cell>
          <cell r="I2306" t="str">
            <v>INGREDIENTS</v>
          </cell>
          <cell r="J2306" t="str">
            <v>HENRIQUE FERREIRA</v>
          </cell>
          <cell r="K2306" t="str">
            <v>ITAMBÉ</v>
          </cell>
          <cell r="L2306" t="str">
            <v>MAURICIO</v>
          </cell>
          <cell r="M2306" t="str">
            <v>JOEL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  <cell r="H2307" t="str">
            <v>DISTRIBUIÇÃO</v>
          </cell>
          <cell r="I2307" t="str">
            <v>FOOD SERVICE</v>
          </cell>
          <cell r="J2307" t="str">
            <v>FLAC 5</v>
          </cell>
          <cell r="K2307" t="str">
            <v>LACTALIS</v>
          </cell>
          <cell r="L2307" t="str">
            <v>RODRIGO</v>
          </cell>
          <cell r="M2307" t="str">
            <v>RAQUEL BARBOSA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  <cell r="H2308" t="str">
            <v>DISTRIBUIÇÃO</v>
          </cell>
          <cell r="I2308" t="str">
            <v>FOOD SERVICE</v>
          </cell>
          <cell r="J2308" t="str">
            <v>FLAC 3</v>
          </cell>
          <cell r="K2308" t="str">
            <v>LACTALIS</v>
          </cell>
          <cell r="L2308" t="str">
            <v>RODRIGO</v>
          </cell>
          <cell r="M2308" t="str">
            <v>RAQUEL BARBOSA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  <cell r="H2309" t="str">
            <v>DISTRIBUIÇÃO</v>
          </cell>
          <cell r="I2309" t="str">
            <v>FOOD SERVICE</v>
          </cell>
          <cell r="J2309" t="str">
            <v>FLAC 5</v>
          </cell>
          <cell r="K2309" t="str">
            <v>LACTALIS</v>
          </cell>
          <cell r="L2309" t="str">
            <v>RODRIGO</v>
          </cell>
          <cell r="M2309" t="str">
            <v>RAQUEL BARBOSA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  <cell r="H2310" t="str">
            <v>DISTRIBUIÇÃO</v>
          </cell>
          <cell r="I2310" t="str">
            <v>FOOD SERVICE</v>
          </cell>
          <cell r="J2310" t="str">
            <v>FLAC 6</v>
          </cell>
          <cell r="K2310" t="str">
            <v>LACTALIS</v>
          </cell>
          <cell r="L2310" t="str">
            <v>RODRIGO</v>
          </cell>
          <cell r="M2310" t="str">
            <v>RAQUEL BARBOSA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  <cell r="H2311" t="str">
            <v>DISTRIBUIÇÃO</v>
          </cell>
          <cell r="I2311" t="str">
            <v>FOOD SERVICE</v>
          </cell>
          <cell r="J2311" t="str">
            <v>FLAC 2</v>
          </cell>
          <cell r="K2311" t="str">
            <v>LACTALIS</v>
          </cell>
          <cell r="L2311" t="str">
            <v>RODRIGO</v>
          </cell>
          <cell r="M2311" t="str">
            <v>RAQUEL BARBOSA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  <cell r="H2312" t="str">
            <v>INGREDIENTS</v>
          </cell>
          <cell r="I2312" t="str">
            <v>INGREDIENTS</v>
          </cell>
          <cell r="J2312" t="str">
            <v>MARCELO RODRIGUES</v>
          </cell>
          <cell r="K2312" t="str">
            <v>LACTALIS</v>
          </cell>
          <cell r="L2312" t="str">
            <v>MAURICIO</v>
          </cell>
          <cell r="M2312" t="str">
            <v>MARCELO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  <cell r="H2313" t="str">
            <v>DISTRIBUIÇÃO</v>
          </cell>
          <cell r="I2313" t="str">
            <v>FOOD SERVICE</v>
          </cell>
          <cell r="J2313" t="str">
            <v>FLAC 2</v>
          </cell>
          <cell r="K2313" t="str">
            <v>LACTALIS</v>
          </cell>
          <cell r="L2313" t="str">
            <v>RODRIGO</v>
          </cell>
          <cell r="M2313" t="str">
            <v>RAQUEL BARBOSA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  <cell r="H2314" t="str">
            <v>DISTRIBUIÇÃO</v>
          </cell>
          <cell r="I2314" t="str">
            <v>FOOD SERVICE</v>
          </cell>
          <cell r="J2314" t="str">
            <v>CLAUDIO JORGE/LUIZ</v>
          </cell>
          <cell r="K2314" t="str">
            <v>ITAMBÉ</v>
          </cell>
          <cell r="L2314" t="str">
            <v>RODRIGO</v>
          </cell>
          <cell r="M2314" t="str">
            <v>MARIA LOURDES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  <cell r="H2315" t="str">
            <v>DISTRIBUIÇÃO</v>
          </cell>
          <cell r="I2315" t="str">
            <v>FOOD SERVICE</v>
          </cell>
          <cell r="J2315" t="str">
            <v>WH FOOD SERVICE CE</v>
          </cell>
          <cell r="K2315" t="str">
            <v>ITAMBÉ</v>
          </cell>
          <cell r="L2315" t="str">
            <v>RODRIGO</v>
          </cell>
          <cell r="M2315" t="str">
            <v>MARIA LOURDES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  <cell r="H2316" t="str">
            <v>INGREDIENTS</v>
          </cell>
          <cell r="I2316" t="str">
            <v>INGREDIENTS</v>
          </cell>
          <cell r="J2316" t="str">
            <v>JOEL ELEOTÉRIO</v>
          </cell>
          <cell r="K2316" t="str">
            <v>LACTALIS</v>
          </cell>
          <cell r="L2316" t="str">
            <v>MAURICIO</v>
          </cell>
          <cell r="M2316" t="str">
            <v>JOEL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  <cell r="H2317" t="str">
            <v>DISTRIBUIÇÃO</v>
          </cell>
          <cell r="I2317" t="str">
            <v>FOOD SERVICE</v>
          </cell>
          <cell r="J2317" t="str">
            <v>FLAC 5</v>
          </cell>
          <cell r="K2317" t="str">
            <v>LACTALIS</v>
          </cell>
          <cell r="L2317" t="str">
            <v>RODRIGO</v>
          </cell>
          <cell r="M2317" t="str">
            <v>RAQUEL BARBOSA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  <cell r="H2318" t="str">
            <v>DISTRIBUIÇÃO</v>
          </cell>
          <cell r="I2318" t="str">
            <v>FOOD SERVICE</v>
          </cell>
          <cell r="J2318" t="str">
            <v>FLAC 5</v>
          </cell>
          <cell r="K2318" t="str">
            <v>LACTALIS</v>
          </cell>
          <cell r="L2318" t="str">
            <v>RODRIGO</v>
          </cell>
          <cell r="M2318" t="str">
            <v>RAQUEL BARBOSA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  <cell r="H2319" t="str">
            <v>INGREDIENTS</v>
          </cell>
          <cell r="I2319" t="str">
            <v>INGREDIENTS</v>
          </cell>
          <cell r="J2319" t="str">
            <v>TATIANA NITTA</v>
          </cell>
          <cell r="K2319" t="str">
            <v>LACTALIS</v>
          </cell>
          <cell r="L2319" t="str">
            <v>MAURICIO</v>
          </cell>
          <cell r="M2319" t="str">
            <v>TATIANA NITTA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  <cell r="H2320" t="str">
            <v>DISTRIBUIÇÃO</v>
          </cell>
          <cell r="I2320" t="str">
            <v>FOOD SERVICE</v>
          </cell>
          <cell r="J2320" t="str">
            <v>FLAC 2</v>
          </cell>
          <cell r="K2320" t="str">
            <v>LACTALIS</v>
          </cell>
          <cell r="L2320" t="str">
            <v>RODRIGO</v>
          </cell>
          <cell r="M2320" t="str">
            <v>RAQUEL BARBOSA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  <cell r="H2321" t="str">
            <v>DISTRIBUIÇÃO</v>
          </cell>
          <cell r="I2321" t="str">
            <v>FOOD SERVICE</v>
          </cell>
          <cell r="J2321" t="str">
            <v>FLAC 5</v>
          </cell>
          <cell r="K2321" t="str">
            <v>LACTALIS</v>
          </cell>
          <cell r="L2321" t="str">
            <v>RODRIGO</v>
          </cell>
          <cell r="M2321" t="str">
            <v>RAQUEL BARBOSA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  <cell r="H2322" t="str">
            <v>DISTRIBUIÇÃO</v>
          </cell>
          <cell r="I2322" t="str">
            <v>FOOD SERVICE</v>
          </cell>
          <cell r="J2322" t="str">
            <v>VAGO SP</v>
          </cell>
          <cell r="K2322" t="str">
            <v>ITAMBÉ</v>
          </cell>
          <cell r="L2322" t="str">
            <v>RODRIGO</v>
          </cell>
          <cell r="M2322" t="str">
            <v>RAQUEL BARBOSA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  <cell r="H2323" t="str">
            <v>DISTRIBUIÇÃO</v>
          </cell>
          <cell r="I2323" t="str">
            <v>FOOD SERVICE</v>
          </cell>
          <cell r="J2323" t="str">
            <v>FLAC 5</v>
          </cell>
          <cell r="K2323" t="str">
            <v>LACTALIS</v>
          </cell>
          <cell r="L2323" t="str">
            <v>RODRIGO</v>
          </cell>
          <cell r="M2323" t="str">
            <v>RAQUEL BARBOSA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  <cell r="H2324" t="str">
            <v>DISTRIBUIÇÃO</v>
          </cell>
          <cell r="I2324" t="str">
            <v>FOOD SERVICE</v>
          </cell>
          <cell r="J2324" t="str">
            <v>FLAC 5</v>
          </cell>
          <cell r="K2324" t="str">
            <v>LACTALIS</v>
          </cell>
          <cell r="L2324" t="str">
            <v>RODRIGO</v>
          </cell>
          <cell r="M2324" t="str">
            <v>RAQUEL BARBOSA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  <cell r="H2325" t="str">
            <v>DISTRIBUIÇÃO</v>
          </cell>
          <cell r="I2325" t="str">
            <v>FOOD SERVICE</v>
          </cell>
          <cell r="J2325" t="str">
            <v>FLAC 5</v>
          </cell>
          <cell r="K2325" t="str">
            <v>LACTALIS</v>
          </cell>
          <cell r="L2325" t="str">
            <v>RODRIGO</v>
          </cell>
          <cell r="M2325" t="str">
            <v>RAQUEL BARBOSA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  <cell r="H2326" t="str">
            <v>DISTRIBUIÇÃO</v>
          </cell>
          <cell r="I2326" t="str">
            <v>FOOD SERVICE</v>
          </cell>
          <cell r="J2326" t="str">
            <v>FLAC 5</v>
          </cell>
          <cell r="K2326" t="str">
            <v>LACTALIS</v>
          </cell>
          <cell r="L2326" t="str">
            <v>RODRIGO</v>
          </cell>
          <cell r="M2326" t="str">
            <v>RAQUEL BARBOSA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  <cell r="H2327" t="str">
            <v>DISTRIBUIÇÃO</v>
          </cell>
          <cell r="I2327" t="str">
            <v>FOOD SERVICE</v>
          </cell>
          <cell r="J2327" t="str">
            <v>WH FOOD SERVICE CE</v>
          </cell>
          <cell r="K2327" t="str">
            <v>ITAMBÉ</v>
          </cell>
          <cell r="L2327" t="str">
            <v>RODRIGO</v>
          </cell>
          <cell r="M2327" t="str">
            <v>MARIA LOURDES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  <cell r="H2328" t="str">
            <v>DISTRIBUIÇÃO</v>
          </cell>
          <cell r="I2328" t="str">
            <v>FOOD SERVICE</v>
          </cell>
          <cell r="J2328" t="str">
            <v>CLAUDIO JORGE/LUIZ</v>
          </cell>
          <cell r="K2328" t="str">
            <v>ITAMBÉ</v>
          </cell>
          <cell r="L2328" t="str">
            <v>RODRIGO</v>
          </cell>
          <cell r="M2328" t="str">
            <v>MARIA LOURDES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  <cell r="H2329" t="str">
            <v>DISTRIBUIÇÃO</v>
          </cell>
          <cell r="I2329" t="str">
            <v>FOOD SERVICE</v>
          </cell>
          <cell r="J2329" t="str">
            <v>CLAUDIO JORGE</v>
          </cell>
          <cell r="K2329" t="str">
            <v>ITAMBÉ</v>
          </cell>
          <cell r="L2329" t="str">
            <v>RODRIGO</v>
          </cell>
          <cell r="M2329" t="str">
            <v>MARIA LOURDES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  <cell r="H2330" t="str">
            <v>DISTRIBUIÇÃO</v>
          </cell>
          <cell r="I2330" t="str">
            <v>FOOD SERVICE</v>
          </cell>
          <cell r="J2330" t="str">
            <v>FLAC 5</v>
          </cell>
          <cell r="K2330" t="str">
            <v>LACTALIS</v>
          </cell>
          <cell r="L2330" t="str">
            <v>RODRIGO</v>
          </cell>
          <cell r="M2330" t="str">
            <v>RAQUEL BARBOSA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  <cell r="H2331" t="str">
            <v>INGREDIENTS</v>
          </cell>
          <cell r="I2331" t="str">
            <v>INGREDIENTS</v>
          </cell>
          <cell r="J2331" t="str">
            <v>HENRIQUE FERREIRA</v>
          </cell>
          <cell r="K2331" t="str">
            <v>ITAMBÉ</v>
          </cell>
          <cell r="L2331" t="str">
            <v>MAURICIO</v>
          </cell>
          <cell r="M2331" t="str">
            <v>JOEL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  <cell r="H2332" t="str">
            <v>DISTRIBUIÇÃO</v>
          </cell>
          <cell r="I2332" t="str">
            <v>FOOD SERVICE</v>
          </cell>
          <cell r="J2332" t="str">
            <v>MARCELO DUARTE</v>
          </cell>
          <cell r="K2332" t="str">
            <v>LACTALIS</v>
          </cell>
          <cell r="L2332" t="str">
            <v>RODRIGO</v>
          </cell>
          <cell r="M2332" t="str">
            <v>JESSICA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  <cell r="H2333" t="str">
            <v>INGREDIENTS</v>
          </cell>
          <cell r="I2333" t="str">
            <v>INGREDIENTS</v>
          </cell>
          <cell r="J2333" t="str">
            <v>JOEL ELEOTÉRIO</v>
          </cell>
          <cell r="K2333" t="str">
            <v>LACTALIS</v>
          </cell>
          <cell r="L2333" t="str">
            <v>MAURICIO</v>
          </cell>
          <cell r="M2333" t="str">
            <v>JOEL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  <cell r="H2334" t="str">
            <v>DISTRIBUIÇÃO</v>
          </cell>
          <cell r="I2334" t="str">
            <v>FOOD SERVICE</v>
          </cell>
          <cell r="J2334" t="str">
            <v>WH FOOD SERVICE CE</v>
          </cell>
          <cell r="K2334" t="str">
            <v>ITAMBÉ</v>
          </cell>
          <cell r="L2334" t="str">
            <v>RODRIGO</v>
          </cell>
          <cell r="M2334" t="str">
            <v>MARIA LOURDES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  <cell r="H2335" t="str">
            <v>DISTRIBUIÇÃO</v>
          </cell>
          <cell r="I2335" t="str">
            <v>FOOD SERVICE</v>
          </cell>
          <cell r="J2335" t="str">
            <v>MARCELO DUARTE</v>
          </cell>
          <cell r="K2335" t="str">
            <v>ITAMBÉ</v>
          </cell>
          <cell r="L2335" t="str">
            <v>RODRIGO</v>
          </cell>
          <cell r="M2335" t="str">
            <v>JESSICA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  <cell r="H2336" t="str">
            <v>DISTRIBUIÇÃO</v>
          </cell>
          <cell r="I2336" t="str">
            <v>FOOD SERVICE</v>
          </cell>
          <cell r="J2336" t="str">
            <v>FLAC 5</v>
          </cell>
          <cell r="K2336" t="str">
            <v>LACTALIS</v>
          </cell>
          <cell r="L2336" t="str">
            <v>RODRIGO</v>
          </cell>
          <cell r="M2336" t="str">
            <v>RAQUEL BARBOSA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  <cell r="H2337" t="str">
            <v>DISTRIBUIÇÃO</v>
          </cell>
          <cell r="I2337" t="str">
            <v>FOOD SERVICE</v>
          </cell>
          <cell r="J2337" t="str">
            <v>CLAUDIO JORGE/LUIZ</v>
          </cell>
          <cell r="K2337" t="str">
            <v>ITAMBÉ</v>
          </cell>
          <cell r="L2337" t="str">
            <v>RODRIGO</v>
          </cell>
          <cell r="M2337" t="str">
            <v>MARIA LOURDES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  <cell r="H2338" t="str">
            <v>INGREDIENTS</v>
          </cell>
          <cell r="I2338" t="str">
            <v>INGREDIENTS</v>
          </cell>
          <cell r="J2338" t="str">
            <v>TATIANA NITTA</v>
          </cell>
          <cell r="K2338" t="str">
            <v>LACTALIS</v>
          </cell>
          <cell r="L2338" t="str">
            <v>MAURICIO</v>
          </cell>
          <cell r="M2338" t="str">
            <v>TATIANA NITTA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  <cell r="H2339" t="str">
            <v>INGREDIENTS</v>
          </cell>
          <cell r="I2339" t="str">
            <v>INGREDIENTS</v>
          </cell>
          <cell r="J2339" t="str">
            <v>HENRIQUE FERREIRA</v>
          </cell>
          <cell r="K2339" t="str">
            <v>ITAMBÉ</v>
          </cell>
          <cell r="L2339" t="str">
            <v>MAURICIO</v>
          </cell>
          <cell r="M2339" t="str">
            <v>JOEL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  <cell r="H2340" t="str">
            <v>DISTRIBUIÇÃO</v>
          </cell>
          <cell r="I2340" t="str">
            <v>FOOD SERVICE</v>
          </cell>
          <cell r="J2340" t="str">
            <v>FLAC 2</v>
          </cell>
          <cell r="K2340" t="str">
            <v>LACTALIS</v>
          </cell>
          <cell r="L2340" t="str">
            <v>RODRIGO</v>
          </cell>
          <cell r="M2340" t="str">
            <v>RAQUEL BARBOSA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  <cell r="H2341" t="str">
            <v>DISTRIBUIÇÃO</v>
          </cell>
          <cell r="I2341" t="str">
            <v>FOOD SERVICE</v>
          </cell>
          <cell r="J2341" t="str">
            <v>FLAC 6</v>
          </cell>
          <cell r="K2341" t="str">
            <v>LACTALIS</v>
          </cell>
          <cell r="L2341" t="str">
            <v>RODRIGO</v>
          </cell>
          <cell r="M2341" t="str">
            <v>RAQUEL BARBOSA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  <cell r="H2342" t="str">
            <v>DISTRIBUIÇÃO</v>
          </cell>
          <cell r="I2342" t="str">
            <v>FOOD SERVICE</v>
          </cell>
          <cell r="J2342" t="str">
            <v>FLAC 5</v>
          </cell>
          <cell r="K2342" t="str">
            <v>LACTALIS</v>
          </cell>
          <cell r="L2342" t="str">
            <v>RODRIGO</v>
          </cell>
          <cell r="M2342" t="str">
            <v>RAQUEL BARBOSA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  <cell r="H2343" t="str">
            <v>INGREDIENTS</v>
          </cell>
          <cell r="I2343" t="str">
            <v>INGREDIENTS</v>
          </cell>
          <cell r="J2343" t="str">
            <v>HENRIQUE FERREIRA</v>
          </cell>
          <cell r="K2343" t="str">
            <v>LACTALIS</v>
          </cell>
          <cell r="L2343" t="str">
            <v>MAURICIO</v>
          </cell>
          <cell r="M2343" t="str">
            <v>JOEL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  <cell r="H2344" t="str">
            <v>DISTRIBUIÇÃO</v>
          </cell>
          <cell r="I2344" t="str">
            <v>FOOD SERVICE</v>
          </cell>
          <cell r="J2344" t="str">
            <v>FLAC 2</v>
          </cell>
          <cell r="K2344" t="str">
            <v>LACTALIS</v>
          </cell>
          <cell r="L2344" t="str">
            <v>RODRIGO</v>
          </cell>
          <cell r="M2344" t="str">
            <v>RAQUEL BARBOSA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  <cell r="H2345" t="str">
            <v>DISTRIBUIÇÃO</v>
          </cell>
          <cell r="I2345" t="str">
            <v>FOOD SERVICE</v>
          </cell>
          <cell r="J2345" t="str">
            <v>FLAC 2</v>
          </cell>
          <cell r="K2345" t="str">
            <v>LACTALIS</v>
          </cell>
          <cell r="L2345" t="str">
            <v>RODRIGO</v>
          </cell>
          <cell r="M2345" t="str">
            <v>RAQUEL BARBOSA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  <cell r="H2346" t="str">
            <v>DISTRIBUIÇÃO</v>
          </cell>
          <cell r="I2346" t="str">
            <v>FOOD SERVICE</v>
          </cell>
          <cell r="J2346" t="str">
            <v>JULIANA CORDEIRO</v>
          </cell>
          <cell r="K2346" t="str">
            <v>ITAMBÉ</v>
          </cell>
          <cell r="L2346" t="str">
            <v>RODRIGO</v>
          </cell>
          <cell r="M2346" t="str">
            <v>JESSICA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  <cell r="H2347" t="str">
            <v>DISTRIBUIÇÃO</v>
          </cell>
          <cell r="I2347" t="str">
            <v>FOOD SERVICE</v>
          </cell>
          <cell r="J2347" t="str">
            <v>FLAC 3</v>
          </cell>
          <cell r="K2347" t="str">
            <v>LACTALIS</v>
          </cell>
          <cell r="L2347" t="str">
            <v>RODRIGO</v>
          </cell>
          <cell r="M2347" t="str">
            <v>RAQUEL BARBOSA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  <cell r="H2348" t="str">
            <v>DISTRIBUIÇÃO</v>
          </cell>
          <cell r="I2348" t="str">
            <v>FOOD SERVICE</v>
          </cell>
          <cell r="J2348" t="str">
            <v>CLAUDIO JORGE/MARIA LAURA</v>
          </cell>
          <cell r="K2348" t="str">
            <v>LACTALIS</v>
          </cell>
          <cell r="L2348" t="str">
            <v>RODRIGO</v>
          </cell>
          <cell r="M2348" t="str">
            <v>MARCO AURELIO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  <cell r="H2349" t="str">
            <v>INGREDIENTS</v>
          </cell>
          <cell r="I2349" t="str">
            <v>INGREDIENTS</v>
          </cell>
          <cell r="J2349" t="str">
            <v>HENRIQUE FERREIRA</v>
          </cell>
          <cell r="K2349" t="str">
            <v>ITAMBÉ</v>
          </cell>
          <cell r="L2349" t="str">
            <v>MAURICIO</v>
          </cell>
          <cell r="M2349" t="str">
            <v>JOEL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  <cell r="H2350" t="str">
            <v>DISTRIBUIÇÃO</v>
          </cell>
          <cell r="I2350" t="str">
            <v>FOOD SERVICE</v>
          </cell>
          <cell r="J2350" t="str">
            <v>FLAC 4</v>
          </cell>
          <cell r="K2350" t="str">
            <v>LACTALIS</v>
          </cell>
          <cell r="L2350" t="str">
            <v>RODRIGO</v>
          </cell>
          <cell r="M2350" t="str">
            <v>RAQUEL BARBOSA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  <cell r="H2351" t="str">
            <v>DISTRIBUIÇÃO</v>
          </cell>
          <cell r="I2351" t="str">
            <v>FOOD SERVICE</v>
          </cell>
          <cell r="J2351" t="str">
            <v>FLAC 4</v>
          </cell>
          <cell r="K2351" t="str">
            <v>LACTALIS</v>
          </cell>
          <cell r="L2351" t="str">
            <v>RODRIGO</v>
          </cell>
          <cell r="M2351" t="str">
            <v>RAQUEL BARBOSA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  <cell r="H2352" t="str">
            <v>INGREDIENTS</v>
          </cell>
          <cell r="I2352" t="str">
            <v>INGREDIENTS</v>
          </cell>
          <cell r="J2352" t="str">
            <v>HENRIQUE FERREIRA</v>
          </cell>
          <cell r="K2352" t="str">
            <v>ITAMBÉ</v>
          </cell>
          <cell r="L2352" t="str">
            <v>MAURICIO</v>
          </cell>
          <cell r="M2352" t="str">
            <v>JOEL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  <cell r="H2353" t="str">
            <v>DISTRIBUIÇÃO</v>
          </cell>
          <cell r="I2353" t="str">
            <v>FOOD SERVICE</v>
          </cell>
          <cell r="J2353" t="str">
            <v>CLAUDIO JORGE/AMANDA SANDS</v>
          </cell>
          <cell r="K2353" t="str">
            <v>LACTALIS</v>
          </cell>
          <cell r="L2353" t="str">
            <v>RODRIGO</v>
          </cell>
          <cell r="M2353" t="str">
            <v>MARIA LOURDES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  <cell r="H2354" t="str">
            <v>DISTRIBUIÇÃO</v>
          </cell>
          <cell r="I2354" t="str">
            <v>FOOD SERVICE</v>
          </cell>
          <cell r="J2354" t="str">
            <v>FLAC 5</v>
          </cell>
          <cell r="K2354" t="str">
            <v>LACTALIS</v>
          </cell>
          <cell r="L2354" t="str">
            <v>RODRIGO</v>
          </cell>
          <cell r="M2354" t="str">
            <v>RAQUEL BARBOSA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  <cell r="H2355" t="str">
            <v>INGREDIENTS</v>
          </cell>
          <cell r="I2355" t="str">
            <v>INGREDIENTS</v>
          </cell>
          <cell r="J2355" t="str">
            <v>HENRIQUE FERREIRA</v>
          </cell>
          <cell r="K2355" t="str">
            <v>ITAMBÉ</v>
          </cell>
          <cell r="L2355" t="str">
            <v>MAURICIO</v>
          </cell>
          <cell r="M2355" t="str">
            <v>JOEL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  <cell r="H2356" t="str">
            <v>INGREDIENTS</v>
          </cell>
          <cell r="I2356" t="str">
            <v>INGREDIENTS</v>
          </cell>
          <cell r="J2356" t="str">
            <v>MARCELO RODRIGUES</v>
          </cell>
          <cell r="K2356" t="str">
            <v>LACTALIS</v>
          </cell>
          <cell r="L2356" t="str">
            <v>MAURICIO</v>
          </cell>
          <cell r="M2356" t="str">
            <v>MARCELO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  <cell r="H2357" t="str">
            <v>INGREDIENTS</v>
          </cell>
          <cell r="I2357" t="str">
            <v>INGREDIENTS</v>
          </cell>
          <cell r="J2357" t="str">
            <v>MARCELO RODRIGUES</v>
          </cell>
          <cell r="K2357" t="str">
            <v>LACTALIS</v>
          </cell>
          <cell r="L2357" t="str">
            <v>MAURICIO</v>
          </cell>
          <cell r="M2357" t="str">
            <v>MARCELO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  <cell r="H2358" t="str">
            <v>DISTRIBUIÇÃO</v>
          </cell>
          <cell r="I2358" t="str">
            <v>FOOD SERVICE</v>
          </cell>
          <cell r="J2358" t="str">
            <v>FLAC 7</v>
          </cell>
          <cell r="K2358" t="str">
            <v>LACTALIS</v>
          </cell>
          <cell r="L2358" t="str">
            <v>RODRIGO</v>
          </cell>
          <cell r="M2358" t="str">
            <v>RAQUEL BARBOSA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  <cell r="H2359" t="str">
            <v>DISTRIBUIÇÃO</v>
          </cell>
          <cell r="I2359" t="str">
            <v>FOOD SERVICE</v>
          </cell>
          <cell r="J2359" t="str">
            <v>FLAC 5</v>
          </cell>
          <cell r="K2359" t="str">
            <v>LACTALIS</v>
          </cell>
          <cell r="L2359" t="str">
            <v>RODRIGO</v>
          </cell>
          <cell r="M2359" t="str">
            <v>RAQUEL BARBOSA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  <cell r="H2360" t="str">
            <v>DISTRIBUIÇÃO</v>
          </cell>
          <cell r="I2360" t="str">
            <v>FOOD SERVICE</v>
          </cell>
          <cell r="J2360" t="str">
            <v>FLAC 6</v>
          </cell>
          <cell r="K2360" t="str">
            <v>LACTALIS</v>
          </cell>
          <cell r="L2360" t="str">
            <v>RODRIGO</v>
          </cell>
          <cell r="M2360" t="str">
            <v>RAQUEL BARBOSA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  <cell r="H2361" t="str">
            <v>DISTRIBUIÇÃO</v>
          </cell>
          <cell r="I2361" t="str">
            <v>FOOD SERVICE</v>
          </cell>
          <cell r="J2361" t="str">
            <v>FLAC 5</v>
          </cell>
          <cell r="K2361" t="str">
            <v>LACTALIS</v>
          </cell>
          <cell r="L2361" t="str">
            <v>RODRIGO</v>
          </cell>
          <cell r="M2361" t="str">
            <v>RAQUEL BARBOSA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  <cell r="H2362" t="str">
            <v>DISTRIBUIÇÃO</v>
          </cell>
          <cell r="I2362" t="str">
            <v>FOOD SERVICE</v>
          </cell>
          <cell r="J2362" t="str">
            <v>FLAC 6</v>
          </cell>
          <cell r="K2362" t="str">
            <v>LACTALIS</v>
          </cell>
          <cell r="L2362" t="str">
            <v>RODRIGO</v>
          </cell>
          <cell r="M2362" t="str">
            <v>RAQUEL BARBOSA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  <cell r="H2363" t="str">
            <v>INGREDIENTS</v>
          </cell>
          <cell r="I2363" t="str">
            <v>INGREDIENTS</v>
          </cell>
          <cell r="J2363" t="str">
            <v>JOEL ELEOTÉRIO</v>
          </cell>
          <cell r="K2363" t="str">
            <v>LACTALIS</v>
          </cell>
          <cell r="L2363" t="str">
            <v>MAURICIO</v>
          </cell>
          <cell r="M2363" t="str">
            <v>JOEL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  <cell r="H2364" t="str">
            <v>INGREDIENTS</v>
          </cell>
          <cell r="I2364" t="str">
            <v>INGREDIENTS</v>
          </cell>
          <cell r="J2364" t="str">
            <v>JOEL ELEOTÉRIO</v>
          </cell>
          <cell r="K2364" t="str">
            <v>LACTALIS</v>
          </cell>
          <cell r="L2364" t="str">
            <v>MAURICIO</v>
          </cell>
          <cell r="M2364" t="str">
            <v>JOEL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  <cell r="H2365" t="str">
            <v>DISTRIBUIÇÃO</v>
          </cell>
          <cell r="I2365" t="str">
            <v>FOOD SERVICE</v>
          </cell>
          <cell r="J2365" t="str">
            <v>FLAC 5</v>
          </cell>
          <cell r="K2365" t="str">
            <v>LACTALIS</v>
          </cell>
          <cell r="L2365" t="str">
            <v>RODRIGO</v>
          </cell>
          <cell r="M2365" t="str">
            <v>RAQUEL BARBOSA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  <cell r="H2366" t="str">
            <v>INGREDIENTS</v>
          </cell>
          <cell r="I2366" t="str">
            <v>INGREDIENTS</v>
          </cell>
          <cell r="J2366" t="str">
            <v>HENRIQUE FERREIRA</v>
          </cell>
          <cell r="K2366" t="str">
            <v>ITAMBÉ</v>
          </cell>
          <cell r="L2366" t="str">
            <v>MAURICIO</v>
          </cell>
          <cell r="M2366" t="str">
            <v>JOEL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  <cell r="H2367" t="str">
            <v>INGREDIENTS</v>
          </cell>
          <cell r="I2367" t="str">
            <v>INGREDIENTS</v>
          </cell>
          <cell r="J2367" t="str">
            <v>JOEL ELEOTÉRIO</v>
          </cell>
          <cell r="K2367" t="str">
            <v>LACTALIS</v>
          </cell>
          <cell r="L2367" t="str">
            <v>MAURICIO</v>
          </cell>
          <cell r="M2367" t="str">
            <v>JOEL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  <cell r="H2368" t="str">
            <v>INGREDIENTS</v>
          </cell>
          <cell r="I2368" t="str">
            <v>INGREDIENTS</v>
          </cell>
          <cell r="J2368" t="str">
            <v>MARCELO RODRIGUES</v>
          </cell>
          <cell r="K2368" t="str">
            <v>LACTALIS</v>
          </cell>
          <cell r="L2368" t="str">
            <v>MAURICIO</v>
          </cell>
          <cell r="M2368" t="str">
            <v>MARCELO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  <cell r="H2369" t="str">
            <v>QSR</v>
          </cell>
          <cell r="I2369" t="str">
            <v>FOOD SERVICE</v>
          </cell>
          <cell r="J2369" t="str">
            <v>ANA MENIQUETE</v>
          </cell>
          <cell r="K2369" t="str">
            <v>ITAMBÉ</v>
          </cell>
          <cell r="L2369" t="str">
            <v>PEDRO</v>
          </cell>
          <cell r="M2369" t="str">
            <v>ANA MENIQUETE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  <cell r="H2370" t="str">
            <v>DISTRIBUIÇÃO</v>
          </cell>
          <cell r="I2370" t="str">
            <v>FOOD SERVICE</v>
          </cell>
          <cell r="J2370" t="str">
            <v>FLAC 6</v>
          </cell>
          <cell r="K2370" t="str">
            <v>LACTALIS</v>
          </cell>
          <cell r="L2370" t="str">
            <v>RODRIGO</v>
          </cell>
          <cell r="M2370" t="str">
            <v>RAQUEL BARBOSA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  <cell r="H2371" t="str">
            <v>DISTRIBUIÇÃO</v>
          </cell>
          <cell r="I2371" t="str">
            <v>FOOD SERVICE</v>
          </cell>
          <cell r="J2371" t="str">
            <v>FLAC 5</v>
          </cell>
          <cell r="K2371" t="str">
            <v>LACTALIS</v>
          </cell>
          <cell r="L2371" t="str">
            <v>RODRIGO</v>
          </cell>
          <cell r="M2371" t="str">
            <v>RAQUEL BARBOSA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  <cell r="H2372" t="str">
            <v>QSR</v>
          </cell>
          <cell r="I2372" t="str">
            <v>FOOD SERVICE</v>
          </cell>
          <cell r="J2372" t="str">
            <v>ANA MENIQUETE</v>
          </cell>
          <cell r="K2372" t="str">
            <v>LACTALIS</v>
          </cell>
          <cell r="L2372" t="str">
            <v>PEDRO</v>
          </cell>
          <cell r="M2372" t="str">
            <v>ANA MENIQUETE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  <cell r="H2373" t="str">
            <v>INGREDIENTS</v>
          </cell>
          <cell r="I2373" t="str">
            <v>INGREDIENTS</v>
          </cell>
          <cell r="J2373" t="str">
            <v>MARCELO RODRIGUES</v>
          </cell>
          <cell r="K2373" t="str">
            <v>LACTALIS</v>
          </cell>
          <cell r="L2373" t="str">
            <v>MAURICIO</v>
          </cell>
          <cell r="M2373" t="str">
            <v>MARCELO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  <cell r="H2374" t="str">
            <v>INGREDIENTS</v>
          </cell>
          <cell r="I2374" t="str">
            <v>INGREDIENTS</v>
          </cell>
          <cell r="J2374" t="str">
            <v>MARCELO RODRIGUES</v>
          </cell>
          <cell r="K2374" t="str">
            <v>LACTALIS</v>
          </cell>
          <cell r="L2374" t="str">
            <v>MAURICIO</v>
          </cell>
          <cell r="M2374" t="str">
            <v>MARCELO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  <cell r="H2375" t="str">
            <v>DISTRIBUIÇÃO</v>
          </cell>
          <cell r="I2375" t="str">
            <v>FOOD SERVICE</v>
          </cell>
          <cell r="J2375" t="str">
            <v>CLAUDIO JORGE/LUIZ</v>
          </cell>
          <cell r="K2375" t="str">
            <v>ITAMBÉ</v>
          </cell>
          <cell r="L2375" t="str">
            <v>RODRIGO</v>
          </cell>
          <cell r="M2375" t="str">
            <v>MARIA LOURDES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  <cell r="H2376" t="str">
            <v>QSR</v>
          </cell>
          <cell r="I2376" t="str">
            <v>FOOD SERVICE</v>
          </cell>
          <cell r="J2376" t="str">
            <v>VAGO QSR</v>
          </cell>
          <cell r="K2376" t="str">
            <v>ITAMBÉ</v>
          </cell>
          <cell r="L2376" t="str">
            <v>PEDRO</v>
          </cell>
          <cell r="M2376" t="str">
            <v>VAGO QSR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  <cell r="H2377" t="str">
            <v>DISTRIBUIÇÃO</v>
          </cell>
          <cell r="I2377" t="str">
            <v>FOOD SERVICE</v>
          </cell>
          <cell r="J2377" t="str">
            <v>FLAC 5</v>
          </cell>
          <cell r="K2377" t="str">
            <v>LACTALIS</v>
          </cell>
          <cell r="L2377" t="str">
            <v>RODRIGO</v>
          </cell>
          <cell r="M2377" t="str">
            <v>RAQUEL BARBOSA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  <cell r="H2378" t="str">
            <v>DISTRIBUIÇÃO</v>
          </cell>
          <cell r="I2378" t="str">
            <v>FOOD SERVICE</v>
          </cell>
          <cell r="J2378" t="str">
            <v>FLAC 5</v>
          </cell>
          <cell r="K2378" t="str">
            <v>LACTALIS</v>
          </cell>
          <cell r="L2378" t="str">
            <v>RODRIGO</v>
          </cell>
          <cell r="M2378" t="str">
            <v>RAQUEL BARBOSA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  <cell r="H2379" t="str">
            <v>DISTRIBUIÇÃO</v>
          </cell>
          <cell r="I2379" t="str">
            <v>FOOD SERVICE</v>
          </cell>
          <cell r="J2379" t="str">
            <v>FLAC 5</v>
          </cell>
          <cell r="K2379" t="str">
            <v>LACTALIS</v>
          </cell>
          <cell r="L2379" t="str">
            <v>RODRIGO</v>
          </cell>
          <cell r="M2379" t="str">
            <v>RAQUEL BARBOSA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  <cell r="H2380" t="str">
            <v>INGREDIENTS</v>
          </cell>
          <cell r="I2380" t="str">
            <v>INGREDIENTS</v>
          </cell>
          <cell r="J2380" t="str">
            <v>MARCELO RODRIGUES</v>
          </cell>
          <cell r="K2380" t="str">
            <v>ITAMBÉ</v>
          </cell>
          <cell r="L2380" t="str">
            <v>MAURICIO</v>
          </cell>
          <cell r="M2380" t="str">
            <v>MARCELO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  <cell r="H2381" t="str">
            <v>DISTRIBUIÇÃO</v>
          </cell>
          <cell r="I2381" t="str">
            <v>FOOD SERVICE</v>
          </cell>
          <cell r="J2381" t="str">
            <v>MARCELO DUARTE</v>
          </cell>
          <cell r="K2381" t="str">
            <v>ITAMBÉ</v>
          </cell>
          <cell r="L2381" t="str">
            <v>RODRIGO</v>
          </cell>
          <cell r="M2381" t="str">
            <v>JESSICA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  <cell r="H2382" t="str">
            <v>DISTRIBUIÇÃO</v>
          </cell>
          <cell r="I2382" t="str">
            <v>FOOD SERVICE</v>
          </cell>
          <cell r="J2382" t="str">
            <v>MARCELO DUARTE</v>
          </cell>
          <cell r="K2382" t="str">
            <v>ITAMBÉ</v>
          </cell>
          <cell r="L2382" t="str">
            <v>RODRIGO</v>
          </cell>
          <cell r="M2382" t="str">
            <v>JESSICA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  <cell r="H2383" t="str">
            <v>DISTRIBUIÇÃO</v>
          </cell>
          <cell r="I2383" t="str">
            <v>FOOD SERVICE</v>
          </cell>
          <cell r="J2383" t="str">
            <v>ALEXANDRE BONANI</v>
          </cell>
          <cell r="K2383" t="str">
            <v>ITAMBÉ</v>
          </cell>
          <cell r="L2383" t="str">
            <v>RODRIGO</v>
          </cell>
          <cell r="M2383" t="str">
            <v>ALEXANDRE BONANI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  <cell r="H2384" t="str">
            <v>DISTRIBUIÇÃO</v>
          </cell>
          <cell r="I2384" t="str">
            <v>FOOD SERVICE</v>
          </cell>
          <cell r="J2384" t="str">
            <v>LUCIANA MARTINS</v>
          </cell>
          <cell r="K2384" t="str">
            <v>ITAMBÉ</v>
          </cell>
          <cell r="L2384" t="str">
            <v>RODRIGO</v>
          </cell>
          <cell r="M2384" t="str">
            <v>JESSICA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  <cell r="H2385" t="str">
            <v>DISTRIBUIÇÃO</v>
          </cell>
          <cell r="I2385" t="str">
            <v>FOOD SERVICE</v>
          </cell>
          <cell r="J2385" t="str">
            <v>SP ITB FS FLAC REP.E COMERCIO</v>
          </cell>
          <cell r="K2385" t="str">
            <v>ITAMBÉ</v>
          </cell>
          <cell r="L2385" t="str">
            <v>RODRIGO</v>
          </cell>
          <cell r="M2385" t="str">
            <v>RAQUEL BARBOSA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  <cell r="H2386" t="str">
            <v>DISTRIBUIÇÃO</v>
          </cell>
          <cell r="I2386" t="str">
            <v>FOOD SERVICE</v>
          </cell>
          <cell r="J2386" t="str">
            <v>CLAUDIO JORGE/LUIZ</v>
          </cell>
          <cell r="K2386" t="str">
            <v>ITAMBÉ</v>
          </cell>
          <cell r="L2386" t="str">
            <v>RODRIGO</v>
          </cell>
          <cell r="M2386" t="str">
            <v>MARIA LOURDES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  <cell r="H2387" t="str">
            <v>DISTRIBUIÇÃO</v>
          </cell>
          <cell r="I2387" t="str">
            <v>FOOD SERVICE</v>
          </cell>
          <cell r="J2387" t="str">
            <v>MARCELO DUARTE</v>
          </cell>
          <cell r="K2387" t="str">
            <v>ITAMBÉ</v>
          </cell>
          <cell r="L2387" t="str">
            <v>RODRIGO</v>
          </cell>
          <cell r="M2387" t="str">
            <v>JESSICA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  <cell r="H2388" t="str">
            <v>INGREDIENTS</v>
          </cell>
          <cell r="I2388" t="str">
            <v>INGREDIENTS</v>
          </cell>
          <cell r="J2388" t="str">
            <v>DUAS RODAS</v>
          </cell>
          <cell r="K2388" t="str">
            <v>ITAMBÉ</v>
          </cell>
          <cell r="L2388" t="str">
            <v>MAURICIO</v>
          </cell>
          <cell r="M2388" t="str">
            <v>TATIANA NITTA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  <cell r="H2389" t="str">
            <v>DISTRIBUIÇÃO</v>
          </cell>
          <cell r="I2389" t="str">
            <v>FOOD SERVICE</v>
          </cell>
          <cell r="J2389" t="str">
            <v>MARCELO DUARTE</v>
          </cell>
          <cell r="K2389" t="str">
            <v>ITAMBÉ</v>
          </cell>
          <cell r="L2389" t="str">
            <v>RODRIGO</v>
          </cell>
          <cell r="M2389" t="str">
            <v>JESSICA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  <cell r="H2390" t="str">
            <v>INGREDIENTS</v>
          </cell>
          <cell r="I2390" t="str">
            <v>INGREDIENTS</v>
          </cell>
          <cell r="J2390" t="str">
            <v>DUAS RODAS</v>
          </cell>
          <cell r="K2390" t="str">
            <v>ITAMBÉ</v>
          </cell>
          <cell r="L2390" t="str">
            <v>MAURICIO</v>
          </cell>
          <cell r="M2390" t="str">
            <v>MARCELO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  <cell r="H2391" t="str">
            <v>INGREDIENTS</v>
          </cell>
          <cell r="I2391" t="str">
            <v>INGREDIENTS</v>
          </cell>
          <cell r="J2391" t="str">
            <v>HENRIQUE FERREIRA</v>
          </cell>
          <cell r="K2391" t="str">
            <v>ITAMBÉ</v>
          </cell>
          <cell r="L2391" t="str">
            <v>MAURICIO</v>
          </cell>
          <cell r="M2391" t="str">
            <v>JOEL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  <cell r="H2392" t="str">
            <v>INGREDIENTS</v>
          </cell>
          <cell r="I2392" t="str">
            <v>INGREDIENTS</v>
          </cell>
          <cell r="J2392" t="str">
            <v>HENRIQUE FERREIRA</v>
          </cell>
          <cell r="K2392" t="str">
            <v>ITAMBÉ</v>
          </cell>
          <cell r="L2392" t="str">
            <v>MAURICIO</v>
          </cell>
          <cell r="M2392" t="str">
            <v>JOEL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  <cell r="H2393" t="str">
            <v>DISTRIBUIÇÃO</v>
          </cell>
          <cell r="I2393" t="str">
            <v>FOOD SERVICE</v>
          </cell>
          <cell r="J2393" t="str">
            <v>WH FOOD SERVICE CE</v>
          </cell>
          <cell r="K2393" t="str">
            <v>ITAMBÉ</v>
          </cell>
          <cell r="L2393" t="str">
            <v>RODRIGO</v>
          </cell>
          <cell r="M2393" t="str">
            <v>MARIA LOURDES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  <cell r="H2394" t="str">
            <v>INGREDIENTS</v>
          </cell>
          <cell r="I2394" t="str">
            <v>INGREDIENTS</v>
          </cell>
          <cell r="J2394" t="str">
            <v>JOEL ELEOTÉRIO</v>
          </cell>
          <cell r="K2394" t="str">
            <v>LACTALIS</v>
          </cell>
          <cell r="L2394" t="str">
            <v>MAURICIO</v>
          </cell>
          <cell r="M2394" t="str">
            <v>JOEL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  <cell r="H2395" t="str">
            <v>DISTRIBUIÇÃO</v>
          </cell>
          <cell r="I2395" t="str">
            <v>FOOD SERVICE</v>
          </cell>
          <cell r="J2395" t="str">
            <v>WH FOOD SERVICE CE</v>
          </cell>
          <cell r="K2395" t="str">
            <v>ITAMBÉ</v>
          </cell>
          <cell r="L2395" t="str">
            <v>RODRIGO</v>
          </cell>
          <cell r="M2395" t="str">
            <v>MARIA LOURDES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  <cell r="H2396" t="str">
            <v>DISTRIBUIÇÃO</v>
          </cell>
          <cell r="I2396" t="str">
            <v>FOOD SERVICE</v>
          </cell>
          <cell r="J2396" t="str">
            <v>MARCELO DUARTE</v>
          </cell>
          <cell r="K2396" t="str">
            <v>ITAMBÉ</v>
          </cell>
          <cell r="L2396" t="str">
            <v>RODRIGO</v>
          </cell>
          <cell r="M2396" t="str">
            <v>JESSICA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  <cell r="H2397" t="str">
            <v>DISTRIBUIÇÃO</v>
          </cell>
          <cell r="I2397" t="str">
            <v>FOOD SERVICE</v>
          </cell>
          <cell r="J2397" t="str">
            <v>MARCELO DUARTE</v>
          </cell>
          <cell r="K2397" t="str">
            <v>ITAMBÉ</v>
          </cell>
          <cell r="L2397" t="str">
            <v>RODRIGO</v>
          </cell>
          <cell r="M2397" t="str">
            <v>JESSICA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  <cell r="H2398" t="str">
            <v>DISTRIBUIÇÃO</v>
          </cell>
          <cell r="I2398" t="str">
            <v>FOOD SERVICE</v>
          </cell>
          <cell r="J2398" t="str">
            <v>CLAUDIO JORGE</v>
          </cell>
          <cell r="K2398" t="str">
            <v>ITAMBÉ</v>
          </cell>
          <cell r="L2398" t="str">
            <v>RODRIGO</v>
          </cell>
          <cell r="M2398" t="str">
            <v>MARCO AURELIO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  <cell r="H2399" t="str">
            <v>INGREDIENTS</v>
          </cell>
          <cell r="I2399" t="str">
            <v>INGREDIENTS</v>
          </cell>
          <cell r="J2399" t="str">
            <v>MARCELO RODRIGUES</v>
          </cell>
          <cell r="K2399" t="str">
            <v>ITAMBÉ</v>
          </cell>
          <cell r="L2399" t="str">
            <v>MAURICIO</v>
          </cell>
          <cell r="M2399" t="str">
            <v>MARCELO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  <cell r="H2400" t="str">
            <v>INGREDIENTS</v>
          </cell>
          <cell r="I2400" t="str">
            <v>INGREDIENTS</v>
          </cell>
          <cell r="J2400" t="str">
            <v>HENRIQUE FERREIRA</v>
          </cell>
          <cell r="K2400" t="str">
            <v>ITAMBÉ</v>
          </cell>
          <cell r="L2400" t="str">
            <v>MAURICIO</v>
          </cell>
          <cell r="M2400" t="str">
            <v>JOEL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  <cell r="H2401" t="str">
            <v>DISTRIBUIÇÃO</v>
          </cell>
          <cell r="I2401" t="str">
            <v>FOOD SERVICE</v>
          </cell>
          <cell r="J2401" t="str">
            <v>CELIO/MARANATHA</v>
          </cell>
          <cell r="K2401" t="str">
            <v>LACTALIS</v>
          </cell>
          <cell r="L2401" t="str">
            <v>RODRIGO</v>
          </cell>
          <cell r="M2401" t="str">
            <v>CELIO MARTINS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  <cell r="H2402" t="str">
            <v>INGREDIENTS</v>
          </cell>
          <cell r="I2402" t="str">
            <v>INGREDIENTS</v>
          </cell>
          <cell r="J2402" t="str">
            <v>HENRIQUE FERREIRA</v>
          </cell>
          <cell r="K2402" t="str">
            <v>ITAMBÉ</v>
          </cell>
          <cell r="L2402" t="str">
            <v>MAURICIO</v>
          </cell>
          <cell r="M2402" t="str">
            <v>JOEL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  <cell r="H2403" t="str">
            <v>DISTRIBUIÇÃO</v>
          </cell>
          <cell r="I2403" t="str">
            <v>FOOD SERVICE</v>
          </cell>
          <cell r="J2403" t="str">
            <v>JESSICA CARLA</v>
          </cell>
          <cell r="K2403" t="str">
            <v>ITAMBÉ</v>
          </cell>
          <cell r="L2403" t="str">
            <v>RODRIGO</v>
          </cell>
          <cell r="M2403" t="str">
            <v>JESSICA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  <cell r="H2404" t="str">
            <v>INGREDIENTS</v>
          </cell>
          <cell r="I2404" t="str">
            <v>INGREDIENTS</v>
          </cell>
          <cell r="J2404" t="str">
            <v>JOEL ELEOTÉRIO</v>
          </cell>
          <cell r="K2404" t="str">
            <v>ITAMBÉ</v>
          </cell>
          <cell r="L2404" t="str">
            <v>MAURICIO</v>
          </cell>
          <cell r="M2404" t="str">
            <v>JOEL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  <cell r="H2405" t="str">
            <v>DISTRIBUIÇÃO</v>
          </cell>
          <cell r="I2405" t="str">
            <v>FOOD SERVICE</v>
          </cell>
          <cell r="J2405" t="str">
            <v>GUILHERME NASCIMENTO</v>
          </cell>
          <cell r="K2405" t="str">
            <v>ITAMBÉ</v>
          </cell>
          <cell r="L2405" t="str">
            <v>RODRIGO</v>
          </cell>
          <cell r="M2405" t="str">
            <v>ALEXANDRO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  <cell r="H2406" t="str">
            <v>DISTRIBUIÇÃO</v>
          </cell>
          <cell r="I2406" t="str">
            <v>FOOD SERVICE</v>
          </cell>
          <cell r="J2406" t="str">
            <v>CLAUDIO JORGE/LUIZ</v>
          </cell>
          <cell r="K2406" t="str">
            <v>ITAMBÉ</v>
          </cell>
          <cell r="L2406" t="str">
            <v>RODRIGO</v>
          </cell>
          <cell r="M2406" t="str">
            <v>MARIA LOURDES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  <cell r="H2407" t="str">
            <v>DISTRIBUIÇÃO</v>
          </cell>
          <cell r="I2407" t="str">
            <v>FOOD SERVICE</v>
          </cell>
          <cell r="J2407" t="str">
            <v>FLAC 5</v>
          </cell>
          <cell r="K2407" t="str">
            <v>LACTALIS</v>
          </cell>
          <cell r="L2407" t="str">
            <v>RODRIGO</v>
          </cell>
          <cell r="M2407" t="str">
            <v>RAQUEL BARBOSA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  <cell r="H2408" t="str">
            <v>INGREDIENTS</v>
          </cell>
          <cell r="I2408" t="str">
            <v>INGREDIENTS</v>
          </cell>
          <cell r="J2408" t="str">
            <v>JOEL ELEOTÉRIO</v>
          </cell>
          <cell r="K2408" t="str">
            <v>ITAMBÉ</v>
          </cell>
          <cell r="L2408" t="str">
            <v>MAURICIO</v>
          </cell>
          <cell r="M2408" t="str">
            <v>JOEL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  <cell r="H2409" t="str">
            <v>DISTRIBUIÇÃO</v>
          </cell>
          <cell r="I2409" t="str">
            <v>FOOD SERVICE</v>
          </cell>
          <cell r="J2409" t="str">
            <v>FLAC 3</v>
          </cell>
          <cell r="K2409" t="str">
            <v>LACTALIS</v>
          </cell>
          <cell r="L2409" t="str">
            <v>RODRIGO</v>
          </cell>
          <cell r="M2409" t="str">
            <v>RAQUEL BARBOSA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  <cell r="H2410" t="str">
            <v>DISTRIBUIÇÃO</v>
          </cell>
          <cell r="I2410" t="str">
            <v>FOOD SERVICE</v>
          </cell>
          <cell r="J2410" t="str">
            <v>FLAC 2</v>
          </cell>
          <cell r="K2410" t="str">
            <v>LACTALIS</v>
          </cell>
          <cell r="L2410" t="str">
            <v>RODRIGO</v>
          </cell>
          <cell r="M2410" t="str">
            <v>RAQUEL BARBOSA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  <cell r="H2411" t="str">
            <v>DISTRIBUIÇÃO</v>
          </cell>
          <cell r="I2411" t="str">
            <v>FOOD SERVICE</v>
          </cell>
          <cell r="J2411" t="str">
            <v>FLAC 2</v>
          </cell>
          <cell r="K2411" t="str">
            <v>LACTALIS</v>
          </cell>
          <cell r="L2411" t="str">
            <v>RODRIGO</v>
          </cell>
          <cell r="M2411" t="str">
            <v>RAQUEL BARBOSA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  <cell r="H2412" t="str">
            <v>DISTRIBUIÇÃO</v>
          </cell>
          <cell r="I2412" t="str">
            <v>FOOD SERVICE</v>
          </cell>
          <cell r="J2412" t="str">
            <v>LUCIANA MARTINS</v>
          </cell>
          <cell r="K2412" t="str">
            <v>LACTALIS</v>
          </cell>
          <cell r="L2412" t="str">
            <v>RODRIGO</v>
          </cell>
          <cell r="M2412" t="str">
            <v>JESSICA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  <cell r="H2413" t="str">
            <v>INGREDIENTS</v>
          </cell>
          <cell r="I2413" t="str">
            <v>INGREDIENTS</v>
          </cell>
          <cell r="J2413" t="str">
            <v>MARCELO RODRIGUES</v>
          </cell>
          <cell r="K2413" t="str">
            <v>LACTALIS</v>
          </cell>
          <cell r="L2413" t="str">
            <v>MAURICIO</v>
          </cell>
          <cell r="M2413" t="str">
            <v>MARCELO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  <cell r="H2414" t="str">
            <v>DISTRIBUIÇÃO</v>
          </cell>
          <cell r="I2414" t="str">
            <v>FOOD SERVICE</v>
          </cell>
          <cell r="J2414" t="str">
            <v>CLAUDIO JORGE/LUIZ</v>
          </cell>
          <cell r="K2414" t="str">
            <v>ITAMBÉ</v>
          </cell>
          <cell r="L2414" t="str">
            <v>RODRIGO</v>
          </cell>
          <cell r="M2414" t="str">
            <v>MARIA LOURDES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  <cell r="H2415" t="str">
            <v>INGREDIENTS</v>
          </cell>
          <cell r="I2415" t="str">
            <v>INGREDIENTS</v>
          </cell>
          <cell r="J2415" t="str">
            <v>MARCELO RODRIGUES</v>
          </cell>
          <cell r="K2415" t="str">
            <v>ITAMBÉ</v>
          </cell>
          <cell r="L2415" t="str">
            <v>MAURICIO</v>
          </cell>
          <cell r="M2415" t="str">
            <v>MARCELO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  <cell r="H2416" t="str">
            <v>INGREDIENTS</v>
          </cell>
          <cell r="I2416" t="str">
            <v>INGREDIENTS</v>
          </cell>
          <cell r="J2416" t="str">
            <v>JOEL ELEOTÉRIO</v>
          </cell>
          <cell r="K2416" t="str">
            <v>LACTALIS</v>
          </cell>
          <cell r="L2416" t="str">
            <v>MAURICIO</v>
          </cell>
          <cell r="M2416" t="str">
            <v>JOEL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  <cell r="H2417" t="str">
            <v>INGREDIENTS</v>
          </cell>
          <cell r="I2417" t="str">
            <v>INGREDIENTS</v>
          </cell>
          <cell r="J2417" t="str">
            <v>TATIANA NITTA</v>
          </cell>
          <cell r="K2417" t="str">
            <v>ITAMBÉ</v>
          </cell>
          <cell r="L2417" t="str">
            <v>MAURICIO</v>
          </cell>
          <cell r="M2417" t="str">
            <v>TATIANA NITTA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  <cell r="H2418" t="str">
            <v>DISTRIBUIÇÃO</v>
          </cell>
          <cell r="I2418" t="str">
            <v>FOOD SERVICE</v>
          </cell>
          <cell r="J2418" t="str">
            <v>FLAC 2</v>
          </cell>
          <cell r="K2418" t="str">
            <v>LACTALIS</v>
          </cell>
          <cell r="L2418" t="str">
            <v>RODRIGO</v>
          </cell>
          <cell r="M2418" t="str">
            <v>RAQUEL BARBOSA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  <cell r="H2419" t="str">
            <v>DISTRIBUIÇÃO</v>
          </cell>
          <cell r="I2419" t="str">
            <v>FOOD SERVICE</v>
          </cell>
          <cell r="J2419" t="str">
            <v>FLAC 2</v>
          </cell>
          <cell r="K2419" t="str">
            <v>LACTALIS</v>
          </cell>
          <cell r="L2419" t="str">
            <v>RODRIGO</v>
          </cell>
          <cell r="M2419" t="str">
            <v>RAQUEL BARBOSA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  <cell r="H2420" t="str">
            <v>DISTRIBUIÇÃO</v>
          </cell>
          <cell r="I2420" t="str">
            <v>FOOD SERVICE</v>
          </cell>
          <cell r="J2420" t="str">
            <v>FLAC 3</v>
          </cell>
          <cell r="K2420" t="str">
            <v>LACTALIS</v>
          </cell>
          <cell r="L2420" t="str">
            <v>RODRIGO</v>
          </cell>
          <cell r="M2420" t="str">
            <v>RAQUEL BARBOSA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  <cell r="H2421" t="str">
            <v>DISTRIBUIÇÃO</v>
          </cell>
          <cell r="I2421" t="str">
            <v>FOOD SERVICE</v>
          </cell>
          <cell r="J2421" t="str">
            <v>FLAC 5</v>
          </cell>
          <cell r="K2421" t="str">
            <v>LACTALIS</v>
          </cell>
          <cell r="L2421" t="str">
            <v>RODRIGO</v>
          </cell>
          <cell r="M2421" t="str">
            <v>RAQUEL BARBOSA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  <cell r="H2422" t="str">
            <v>DISTRIBUIÇÃO</v>
          </cell>
          <cell r="I2422" t="str">
            <v>FOOD SERVICE</v>
          </cell>
          <cell r="J2422" t="str">
            <v>ANGELICA BATISTELA</v>
          </cell>
          <cell r="K2422" t="str">
            <v>ITAMBÉ</v>
          </cell>
          <cell r="L2422" t="str">
            <v>RODRIGO</v>
          </cell>
          <cell r="M2422" t="str">
            <v>ANGELICA BATISTELA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  <cell r="H2423" t="str">
            <v>DISTRIBUIÇÃO</v>
          </cell>
          <cell r="I2423" t="str">
            <v>FOOD SERVICE</v>
          </cell>
          <cell r="J2423" t="str">
            <v>FLAC 6</v>
          </cell>
          <cell r="K2423" t="str">
            <v>LACTALIS</v>
          </cell>
          <cell r="L2423" t="str">
            <v>RODRIGO</v>
          </cell>
          <cell r="M2423" t="str">
            <v>RAQUEL BARBOSA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  <cell r="H2424" t="str">
            <v>DISTRIBUIÇÃO</v>
          </cell>
          <cell r="I2424" t="str">
            <v>FOOD SERVICE</v>
          </cell>
          <cell r="J2424" t="str">
            <v>FLAC 2</v>
          </cell>
          <cell r="K2424" t="str">
            <v>LACTALIS</v>
          </cell>
          <cell r="L2424" t="str">
            <v>RODRIGO</v>
          </cell>
          <cell r="M2424" t="str">
            <v>RAQUEL BARBOSA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  <cell r="H2425" t="str">
            <v>DISTRIBUIÇÃO</v>
          </cell>
          <cell r="I2425" t="str">
            <v>FOOD SERVICE</v>
          </cell>
          <cell r="J2425" t="str">
            <v>FLAC 5</v>
          </cell>
          <cell r="K2425" t="str">
            <v>LACTALIS</v>
          </cell>
          <cell r="L2425" t="str">
            <v>RODRIGO</v>
          </cell>
          <cell r="M2425" t="str">
            <v>RAQUEL BARBOSA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  <cell r="H2426" t="str">
            <v>QSR</v>
          </cell>
          <cell r="I2426" t="str">
            <v>FOOD SERVICE</v>
          </cell>
          <cell r="J2426" t="str">
            <v>VAGO QSR</v>
          </cell>
          <cell r="K2426" t="str">
            <v>ITAMBÉ</v>
          </cell>
          <cell r="L2426" t="str">
            <v>PEDRO</v>
          </cell>
          <cell r="M2426" t="str">
            <v>VAGO QSR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  <cell r="H2427" t="str">
            <v>INGREDIENTS</v>
          </cell>
          <cell r="I2427" t="str">
            <v>INGREDIENTS</v>
          </cell>
          <cell r="J2427" t="str">
            <v>DUAS RODAS</v>
          </cell>
          <cell r="K2427" t="str">
            <v>ITAMBÉ</v>
          </cell>
          <cell r="L2427" t="str">
            <v>MAURICIO</v>
          </cell>
          <cell r="M2427" t="str">
            <v>MARCELO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  <cell r="H2428" t="str">
            <v>DISTRIBUIÇÃO</v>
          </cell>
          <cell r="I2428" t="str">
            <v>FOOD SERVICE</v>
          </cell>
          <cell r="J2428" t="str">
            <v>FLAC 7</v>
          </cell>
          <cell r="K2428" t="str">
            <v>LACTALIS</v>
          </cell>
          <cell r="L2428" t="str">
            <v>RODRIGO</v>
          </cell>
          <cell r="M2428" t="str">
            <v>RAQUEL BARBOSA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  <cell r="H2429" t="str">
            <v>INGREDIENTS</v>
          </cell>
          <cell r="I2429" t="str">
            <v>INGREDIENTS</v>
          </cell>
          <cell r="J2429" t="str">
            <v>JOEL ELEOTÉRIO</v>
          </cell>
          <cell r="K2429" t="str">
            <v>LACTALIS</v>
          </cell>
          <cell r="L2429" t="str">
            <v>MAURICIO</v>
          </cell>
          <cell r="M2429" t="str">
            <v>JOEL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  <cell r="H2430" t="str">
            <v>DISTRIBUIÇÃO</v>
          </cell>
          <cell r="I2430" t="str">
            <v>FOOD SERVICE</v>
          </cell>
          <cell r="J2430" t="str">
            <v>FLAC 10</v>
          </cell>
          <cell r="K2430" t="str">
            <v>LACTALIS</v>
          </cell>
          <cell r="L2430" t="str">
            <v>RODRIGO</v>
          </cell>
          <cell r="M2430" t="str">
            <v>RAQUEL BARBOSA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  <cell r="H2431" t="str">
            <v>DISTRIBUIÇÃO</v>
          </cell>
          <cell r="I2431" t="str">
            <v>FOOD SERVICE</v>
          </cell>
          <cell r="J2431" t="str">
            <v>FLAC 5</v>
          </cell>
          <cell r="K2431" t="str">
            <v>LACTALIS</v>
          </cell>
          <cell r="L2431" t="str">
            <v>RODRIGO</v>
          </cell>
          <cell r="M2431" t="str">
            <v>RAQUEL BARBOSA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  <cell r="H2432" t="str">
            <v>DISTRIBUIÇÃO</v>
          </cell>
          <cell r="I2432" t="str">
            <v>FOOD SERVICE</v>
          </cell>
          <cell r="J2432" t="str">
            <v>FLAC 3</v>
          </cell>
          <cell r="K2432" t="str">
            <v>LACTALIS</v>
          </cell>
          <cell r="L2432" t="str">
            <v>RODRIGO</v>
          </cell>
          <cell r="M2432" t="str">
            <v>RAQUEL BARBOSA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  <cell r="H2433" t="str">
            <v>DISTRIBUIÇÃO</v>
          </cell>
          <cell r="I2433" t="str">
            <v>FOOD SERVICE</v>
          </cell>
          <cell r="J2433" t="str">
            <v>TC REPRESENTAÇÕES</v>
          </cell>
          <cell r="K2433" t="str">
            <v>ITAMBÉ</v>
          </cell>
          <cell r="L2433" t="str">
            <v>RODRIGO</v>
          </cell>
          <cell r="M2433" t="str">
            <v>MARCO AURELIO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  <cell r="H2434" t="str">
            <v>INGREDIENTS</v>
          </cell>
          <cell r="I2434" t="str">
            <v>INGREDIENTS</v>
          </cell>
          <cell r="J2434" t="str">
            <v>MARCELO RODRIGUES</v>
          </cell>
          <cell r="K2434" t="str">
            <v>LACTALIS</v>
          </cell>
          <cell r="L2434" t="str">
            <v>MAURICIO</v>
          </cell>
          <cell r="M2434" t="str">
            <v>MARCELO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  <cell r="H2435" t="str">
            <v>INGREDIENTS</v>
          </cell>
          <cell r="I2435" t="str">
            <v>INGREDIENTS</v>
          </cell>
          <cell r="J2435" t="str">
            <v>JOEL ELEOTÉRIO</v>
          </cell>
          <cell r="K2435" t="str">
            <v>LACTALIS</v>
          </cell>
          <cell r="L2435" t="str">
            <v>MAURICIO</v>
          </cell>
          <cell r="M2435" t="str">
            <v>JOEL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  <cell r="H2436" t="str">
            <v>DISTRIBUIÇÃO</v>
          </cell>
          <cell r="I2436" t="str">
            <v>FOOD SERVICE</v>
          </cell>
          <cell r="J2436" t="str">
            <v>FLAC 5</v>
          </cell>
          <cell r="K2436" t="str">
            <v>LACTALIS</v>
          </cell>
          <cell r="L2436" t="str">
            <v>RODRIGO</v>
          </cell>
          <cell r="M2436" t="str">
            <v>RAQUEL BARBOSA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  <cell r="H2437" t="str">
            <v>DISTRIBUIÇÃO</v>
          </cell>
          <cell r="I2437" t="str">
            <v>FOOD SERVICE</v>
          </cell>
          <cell r="J2437" t="str">
            <v>FLAC 6</v>
          </cell>
          <cell r="K2437" t="str">
            <v>LACTALIS</v>
          </cell>
          <cell r="L2437" t="str">
            <v>RODRIGO</v>
          </cell>
          <cell r="M2437" t="str">
            <v>RAQUEL BARBOSA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  <cell r="H2438" t="str">
            <v>DISTRIBUIÇÃO</v>
          </cell>
          <cell r="I2438" t="str">
            <v>FOOD SERVICE</v>
          </cell>
          <cell r="J2438" t="str">
            <v>FLAC 5</v>
          </cell>
          <cell r="K2438" t="str">
            <v>LACTALIS</v>
          </cell>
          <cell r="L2438" t="str">
            <v>RODRIGO</v>
          </cell>
          <cell r="M2438" t="str">
            <v>RAQUEL BARBOSA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  <cell r="H2439" t="str">
            <v>DISTRIBUIÇÃO</v>
          </cell>
          <cell r="I2439" t="str">
            <v>FOOD SERVICE</v>
          </cell>
          <cell r="J2439" t="str">
            <v>SP ITB FS FLAC REP.E COMERCIO</v>
          </cell>
          <cell r="K2439" t="str">
            <v>ITAMBÉ</v>
          </cell>
          <cell r="L2439" t="str">
            <v>RODRIGO</v>
          </cell>
          <cell r="M2439" t="str">
            <v>RAQUEL BARBOSA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  <cell r="H2440" t="str">
            <v>INGREDIENTS</v>
          </cell>
          <cell r="I2440" t="str">
            <v>INGREDIENTS</v>
          </cell>
          <cell r="J2440" t="str">
            <v>MARCELO RODRIGUES</v>
          </cell>
          <cell r="K2440" t="str">
            <v>ITAMBÉ</v>
          </cell>
          <cell r="L2440" t="str">
            <v>MAURICIO</v>
          </cell>
          <cell r="M2440" t="str">
            <v>MARCELO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  <cell r="H2441" t="str">
            <v>DISTRIBUIÇÃO</v>
          </cell>
          <cell r="I2441" t="str">
            <v>FOOD SERVICE</v>
          </cell>
          <cell r="J2441" t="str">
            <v>CLAUDIO JORGE</v>
          </cell>
          <cell r="K2441" t="str">
            <v>LACTALIS</v>
          </cell>
          <cell r="L2441" t="str">
            <v>RODRIGO</v>
          </cell>
          <cell r="M2441" t="str">
            <v>MARCO AURELIO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  <cell r="H2442" t="str">
            <v>DISTRIBUIÇÃO</v>
          </cell>
          <cell r="I2442" t="str">
            <v>FOOD SERVICE</v>
          </cell>
          <cell r="J2442" t="str">
            <v>FLAC 2</v>
          </cell>
          <cell r="K2442" t="str">
            <v>LACTALIS</v>
          </cell>
          <cell r="L2442" t="str">
            <v>RODRIGO</v>
          </cell>
          <cell r="M2442" t="str">
            <v>RAQUEL BARBOSA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  <cell r="H2443" t="str">
            <v>INGREDIENTS</v>
          </cell>
          <cell r="I2443" t="str">
            <v>INGREDIENTS</v>
          </cell>
          <cell r="J2443" t="str">
            <v>HENRIQUE FERREIRA</v>
          </cell>
          <cell r="K2443" t="str">
            <v>ITAMBÉ</v>
          </cell>
          <cell r="L2443" t="str">
            <v>MAURICIO</v>
          </cell>
          <cell r="M2443" t="str">
            <v>JOEL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  <cell r="H2444" t="str">
            <v>INGREDIENTS</v>
          </cell>
          <cell r="I2444" t="str">
            <v>INGREDIENTS</v>
          </cell>
          <cell r="J2444" t="str">
            <v>MARCELO RODRIGUES</v>
          </cell>
          <cell r="K2444" t="str">
            <v>LACTALIS</v>
          </cell>
          <cell r="L2444" t="str">
            <v>MAURICIO</v>
          </cell>
          <cell r="M2444" t="str">
            <v>MARCELO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  <cell r="H2445" t="str">
            <v>DISTRIBUIÇÃO</v>
          </cell>
          <cell r="I2445" t="str">
            <v>FOOD SERVICE</v>
          </cell>
          <cell r="J2445" t="str">
            <v>MARCELO SILVA</v>
          </cell>
          <cell r="K2445" t="str">
            <v>ITAMBÉ</v>
          </cell>
          <cell r="L2445" t="str">
            <v>RODRIGO</v>
          </cell>
          <cell r="M2445" t="str">
            <v>CELIO MARTINS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  <cell r="H2446" t="str">
            <v>DISTRIBUIÇÃO</v>
          </cell>
          <cell r="I2446" t="str">
            <v>FOOD SERVICE</v>
          </cell>
          <cell r="J2446" t="str">
            <v>FLAC 3</v>
          </cell>
          <cell r="K2446" t="str">
            <v>LACTALIS</v>
          </cell>
          <cell r="L2446" t="str">
            <v>RODRIGO</v>
          </cell>
          <cell r="M2446" t="str">
            <v>RAQUEL BARBOSA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  <cell r="H2447" t="str">
            <v>DISTRIBUIÇÃO</v>
          </cell>
          <cell r="I2447" t="str">
            <v>FOOD SERVICE</v>
          </cell>
          <cell r="J2447" t="str">
            <v>FLAC 5</v>
          </cell>
          <cell r="K2447" t="str">
            <v>LACTALIS</v>
          </cell>
          <cell r="L2447" t="str">
            <v>RODRIGO</v>
          </cell>
          <cell r="M2447" t="str">
            <v>RAQUEL BARBOSA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  <cell r="H2448" t="str">
            <v>INGREDIENTS</v>
          </cell>
          <cell r="I2448" t="str">
            <v>INGREDIENTS</v>
          </cell>
          <cell r="J2448" t="str">
            <v>MARCELO RODRIGUES</v>
          </cell>
          <cell r="K2448" t="str">
            <v>LACTALIS</v>
          </cell>
          <cell r="L2448" t="str">
            <v>MAURICIO</v>
          </cell>
          <cell r="M2448" t="str">
            <v>MARCELO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  <cell r="H2449" t="str">
            <v>INGREDIENTS</v>
          </cell>
          <cell r="I2449" t="str">
            <v>INGREDIENTS</v>
          </cell>
          <cell r="J2449" t="str">
            <v>MARCELO RODRIGUES</v>
          </cell>
          <cell r="K2449" t="str">
            <v>LACTALIS</v>
          </cell>
          <cell r="L2449" t="str">
            <v>MAURICIO</v>
          </cell>
          <cell r="M2449" t="str">
            <v>MARCELO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  <cell r="H2450" t="str">
            <v>DISTRIBUIÇÃO</v>
          </cell>
          <cell r="I2450" t="str">
            <v>FOOD SERVICE</v>
          </cell>
          <cell r="J2450" t="str">
            <v>FLAC 5</v>
          </cell>
          <cell r="K2450" t="str">
            <v>LACTALIS</v>
          </cell>
          <cell r="L2450" t="str">
            <v>RODRIGO</v>
          </cell>
          <cell r="M2450" t="str">
            <v>RAQUEL BARBOSA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  <cell r="H2451" t="str">
            <v>DISTRIBUIÇÃO</v>
          </cell>
          <cell r="I2451" t="str">
            <v>FOOD SERVICE</v>
          </cell>
          <cell r="J2451" t="str">
            <v>FLAC 5</v>
          </cell>
          <cell r="K2451" t="str">
            <v>LACTALIS</v>
          </cell>
          <cell r="L2451" t="str">
            <v>RODRIGO</v>
          </cell>
          <cell r="M2451" t="str">
            <v>RAQUEL BARBOSA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  <cell r="H2452" t="str">
            <v>DISTRIBUIÇÃO</v>
          </cell>
          <cell r="I2452" t="str">
            <v>FOOD SERVICE</v>
          </cell>
          <cell r="J2452" t="str">
            <v>MARCELO DUARTE</v>
          </cell>
          <cell r="K2452" t="str">
            <v>ITAMBÉ</v>
          </cell>
          <cell r="L2452" t="str">
            <v>RODRIGO</v>
          </cell>
          <cell r="M2452" t="str">
            <v>JESSICA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  <cell r="H2453" t="str">
            <v>DISTRIBUIÇÃO</v>
          </cell>
          <cell r="I2453" t="str">
            <v>FOOD SERVICE</v>
          </cell>
          <cell r="J2453" t="str">
            <v>FLAC 5</v>
          </cell>
          <cell r="K2453" t="str">
            <v>LACTALIS</v>
          </cell>
          <cell r="L2453" t="str">
            <v>RODRIGO</v>
          </cell>
          <cell r="M2453" t="str">
            <v>RAQUEL BARBOSA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  <cell r="H2454" t="str">
            <v>DISTRIBUIÇÃO</v>
          </cell>
          <cell r="I2454" t="str">
            <v>FOOD SERVICE</v>
          </cell>
          <cell r="J2454" t="str">
            <v>VAGO SP</v>
          </cell>
          <cell r="K2454" t="str">
            <v>ITAMBÉ</v>
          </cell>
          <cell r="L2454" t="str">
            <v>RODRIGO</v>
          </cell>
          <cell r="M2454" t="str">
            <v>RAQUEL BARBOSA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  <cell r="H2455" t="str">
            <v>INGREDIENTS</v>
          </cell>
          <cell r="I2455" t="str">
            <v>INGREDIENTS</v>
          </cell>
          <cell r="J2455" t="str">
            <v>MARCELO RODRIGUES</v>
          </cell>
          <cell r="K2455" t="str">
            <v>LACTALIS</v>
          </cell>
          <cell r="L2455" t="str">
            <v>MAURICIO</v>
          </cell>
          <cell r="M2455" t="str">
            <v>MARCELO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  <cell r="H2456" t="str">
            <v>DISTRIBUIÇÃO</v>
          </cell>
          <cell r="I2456" t="str">
            <v>FOOD SERVICE</v>
          </cell>
          <cell r="J2456" t="str">
            <v>FLAC 5</v>
          </cell>
          <cell r="K2456" t="str">
            <v>LACTALIS</v>
          </cell>
          <cell r="L2456" t="str">
            <v>RODRIGO</v>
          </cell>
          <cell r="M2456" t="str">
            <v>RAQUEL BARBOSA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  <cell r="H2457" t="str">
            <v>DISTRIBUIÇÃO</v>
          </cell>
          <cell r="I2457" t="str">
            <v>FOOD SERVICE</v>
          </cell>
          <cell r="J2457" t="str">
            <v>FLAC 2</v>
          </cell>
          <cell r="K2457" t="str">
            <v>LACTALIS</v>
          </cell>
          <cell r="L2457" t="str">
            <v>RODRIGO</v>
          </cell>
          <cell r="M2457" t="str">
            <v>RAQUEL BARBOSA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  <cell r="H2458" t="str">
            <v>DISTRIBUIÇÃO</v>
          </cell>
          <cell r="I2458" t="str">
            <v>FOOD SERVICE</v>
          </cell>
          <cell r="J2458" t="str">
            <v>CLAUDIO JORGE</v>
          </cell>
          <cell r="K2458" t="str">
            <v>LACTALIS</v>
          </cell>
          <cell r="L2458" t="str">
            <v>RODRIGO</v>
          </cell>
          <cell r="M2458" t="str">
            <v>MARCO AURELIO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  <cell r="H2459" t="str">
            <v>INGREDIENTS</v>
          </cell>
          <cell r="I2459" t="str">
            <v>INGREDIENTS</v>
          </cell>
          <cell r="J2459" t="str">
            <v>HENRIQUE FERREIRA</v>
          </cell>
          <cell r="K2459" t="str">
            <v>ITAMBÉ</v>
          </cell>
          <cell r="L2459" t="str">
            <v>MAURICIO</v>
          </cell>
          <cell r="M2459" t="str">
            <v>JOEL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  <cell r="H2460" t="str">
            <v>INGREDIENTS</v>
          </cell>
          <cell r="I2460" t="str">
            <v>INGREDIENTS</v>
          </cell>
          <cell r="J2460" t="str">
            <v>MARCELO RODRIGUES</v>
          </cell>
          <cell r="K2460" t="str">
            <v>ITAMBÉ</v>
          </cell>
          <cell r="L2460" t="str">
            <v>MAURICIO</v>
          </cell>
          <cell r="M2460" t="str">
            <v>MARCELO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  <cell r="H2461" t="str">
            <v>INGREDIENTS</v>
          </cell>
          <cell r="I2461" t="str">
            <v>INGREDIENTS</v>
          </cell>
          <cell r="J2461" t="str">
            <v>SP ITB FS IKM REPRESENTACOES</v>
          </cell>
          <cell r="K2461" t="str">
            <v>ITAMBÉ</v>
          </cell>
          <cell r="L2461" t="str">
            <v>MAURICIO</v>
          </cell>
          <cell r="M2461" t="str">
            <v>TATIANA NITTA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  <cell r="H2462" t="str">
            <v>DISTRIBUIÇÃO</v>
          </cell>
          <cell r="I2462" t="str">
            <v>FOOD SERVICE</v>
          </cell>
          <cell r="J2462" t="str">
            <v>FLAC 2</v>
          </cell>
          <cell r="K2462" t="str">
            <v>LACTALIS</v>
          </cell>
          <cell r="L2462" t="str">
            <v>RODRIGO</v>
          </cell>
          <cell r="M2462" t="str">
            <v>RAQUEL BARBOSA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  <cell r="H2463" t="str">
            <v>INGREDIENTS</v>
          </cell>
          <cell r="I2463" t="str">
            <v>INGREDIENTS</v>
          </cell>
          <cell r="J2463" t="str">
            <v>HENRIQUE FERREIRA</v>
          </cell>
          <cell r="K2463" t="str">
            <v>ITAMBÉ</v>
          </cell>
          <cell r="L2463" t="str">
            <v>MAURICIO</v>
          </cell>
          <cell r="M2463" t="str">
            <v>JOEL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  <cell r="H2464" t="str">
            <v>QSR</v>
          </cell>
          <cell r="I2464" t="str">
            <v>FOOD SERVICE</v>
          </cell>
          <cell r="J2464" t="str">
            <v>NUTRI</v>
          </cell>
          <cell r="K2464" t="str">
            <v>LACTALIS</v>
          </cell>
          <cell r="L2464" t="str">
            <v>PEDRO</v>
          </cell>
          <cell r="M2464" t="str">
            <v>VAGO QSR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  <cell r="H2465" t="str">
            <v>DISTRIBUIÇÃO</v>
          </cell>
          <cell r="I2465" t="str">
            <v>FOOD SERVICE</v>
          </cell>
          <cell r="J2465" t="str">
            <v>CLAUDIO JORGE/LUIZ</v>
          </cell>
          <cell r="K2465" t="str">
            <v>ITAMBÉ</v>
          </cell>
          <cell r="L2465" t="str">
            <v>RODRIGO</v>
          </cell>
          <cell r="M2465" t="str">
            <v>MARIA LOURDES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  <cell r="H2466" t="str">
            <v>DISTRIBUIÇÃO</v>
          </cell>
          <cell r="I2466" t="str">
            <v>FOOD SERVICE</v>
          </cell>
          <cell r="J2466" t="str">
            <v>ANGELICA BATISTELA</v>
          </cell>
          <cell r="K2466" t="str">
            <v>LACTALIS</v>
          </cell>
          <cell r="L2466" t="str">
            <v>RODRIGO</v>
          </cell>
          <cell r="M2466" t="str">
            <v>ANGELICA BATISTELA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  <cell r="H2467" t="str">
            <v>DISTRIBUIÇÃO</v>
          </cell>
          <cell r="I2467" t="str">
            <v>FOOD SERVICE</v>
          </cell>
          <cell r="J2467" t="str">
            <v>FLAC 10</v>
          </cell>
          <cell r="K2467" t="str">
            <v>LACTALIS</v>
          </cell>
          <cell r="L2467" t="str">
            <v>RODRIGO</v>
          </cell>
          <cell r="M2467" t="str">
            <v>RAQUEL BARBOSA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  <cell r="H2468" t="str">
            <v>DISTRIBUIÇÃO</v>
          </cell>
          <cell r="I2468" t="str">
            <v>FOOD SERVICE</v>
          </cell>
          <cell r="J2468" t="str">
            <v>FLAC 3</v>
          </cell>
          <cell r="K2468" t="str">
            <v>LACTALIS</v>
          </cell>
          <cell r="L2468" t="str">
            <v>RODRIGO</v>
          </cell>
          <cell r="M2468" t="str">
            <v>RAQUEL BARBOSA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  <cell r="H2469" t="str">
            <v>DISTRIBUIÇÃO</v>
          </cell>
          <cell r="I2469" t="str">
            <v>FOOD SERVICE</v>
          </cell>
          <cell r="J2469" t="str">
            <v>FLAC 5</v>
          </cell>
          <cell r="K2469" t="str">
            <v>LACTALIS</v>
          </cell>
          <cell r="L2469" t="str">
            <v>RODRIGO</v>
          </cell>
          <cell r="M2469" t="str">
            <v>RAQUEL BARBOSA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  <cell r="H2470" t="str">
            <v>DISTRIBUIÇÃO</v>
          </cell>
          <cell r="I2470" t="str">
            <v>FOOD SERVICE</v>
          </cell>
          <cell r="J2470" t="str">
            <v>FLAC 3</v>
          </cell>
          <cell r="K2470" t="str">
            <v>LACTALIS</v>
          </cell>
          <cell r="L2470" t="str">
            <v>RODRIGO</v>
          </cell>
          <cell r="M2470" t="str">
            <v>RAQUEL BARBOSA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  <cell r="H2471" t="str">
            <v>DISTRIBUIÇÃO</v>
          </cell>
          <cell r="I2471" t="str">
            <v>FOOD SERVICE</v>
          </cell>
          <cell r="J2471" t="str">
            <v>FLAC 10</v>
          </cell>
          <cell r="K2471" t="str">
            <v>LACTALIS</v>
          </cell>
          <cell r="L2471" t="str">
            <v>RODRIGO</v>
          </cell>
          <cell r="M2471" t="str">
            <v>RAQUEL BARBOSA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  <cell r="H2472" t="str">
            <v>DISTRIBUIÇÃO</v>
          </cell>
          <cell r="I2472" t="str">
            <v>FOOD SERVICE</v>
          </cell>
          <cell r="J2472" t="str">
            <v>FLAC 10</v>
          </cell>
          <cell r="K2472" t="str">
            <v>LACTALIS</v>
          </cell>
          <cell r="L2472" t="str">
            <v>RODRIGO</v>
          </cell>
          <cell r="M2472" t="str">
            <v>RAQUEL BARBOSA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  <cell r="H2473" t="str">
            <v>DISTRIBUIÇÃO</v>
          </cell>
          <cell r="I2473" t="str">
            <v>FOOD SERVICE</v>
          </cell>
          <cell r="J2473" t="str">
            <v>FLAC 4</v>
          </cell>
          <cell r="K2473" t="str">
            <v>LACTALIS</v>
          </cell>
          <cell r="L2473" t="str">
            <v>RODRIGO</v>
          </cell>
          <cell r="M2473" t="str">
            <v>RAQUEL BARBOSA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  <cell r="H2474" t="str">
            <v>DISTRIBUIÇÃO</v>
          </cell>
          <cell r="I2474" t="str">
            <v>FOOD SERVICE</v>
          </cell>
          <cell r="J2474" t="str">
            <v>WH FOOD SERVICE CE</v>
          </cell>
          <cell r="K2474" t="str">
            <v>ITAMBÉ</v>
          </cell>
          <cell r="L2474" t="str">
            <v>RODRIGO</v>
          </cell>
          <cell r="M2474" t="str">
            <v>MARIA LOURDES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  <cell r="H2475" t="str">
            <v>INGREDIENTS</v>
          </cell>
          <cell r="I2475" t="str">
            <v>INGREDIENTS</v>
          </cell>
          <cell r="J2475" t="str">
            <v>HENRIQUE FERREIRA</v>
          </cell>
          <cell r="K2475" t="str">
            <v>ITAMBÉ</v>
          </cell>
          <cell r="L2475" t="str">
            <v>MAURICIO</v>
          </cell>
          <cell r="M2475" t="str">
            <v>JOEL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  <cell r="H2476" t="str">
            <v>DISTRIBUIÇÃO</v>
          </cell>
          <cell r="I2476" t="str">
            <v>FOOD SERVICE</v>
          </cell>
          <cell r="J2476" t="str">
            <v>MARCELO DUARTE</v>
          </cell>
          <cell r="K2476" t="str">
            <v>ITAMBÉ</v>
          </cell>
          <cell r="L2476" t="str">
            <v>RODRIGO</v>
          </cell>
          <cell r="M2476" t="str">
            <v>JESSICA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  <cell r="H2477" t="str">
            <v>DISTRIBUIÇÃO</v>
          </cell>
          <cell r="I2477" t="str">
            <v>FOOD SERVICE</v>
          </cell>
          <cell r="J2477" t="str">
            <v>CLAUDIO JORGE/LUIZ</v>
          </cell>
          <cell r="K2477" t="str">
            <v>ITAMBÉ</v>
          </cell>
          <cell r="L2477" t="str">
            <v>RODRIGO</v>
          </cell>
          <cell r="M2477" t="str">
            <v>MARIA LOURDES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  <cell r="H2478" t="str">
            <v>QSR</v>
          </cell>
          <cell r="I2478" t="str">
            <v>FOOD SERVICE</v>
          </cell>
          <cell r="J2478" t="str">
            <v>NUTRI</v>
          </cell>
          <cell r="K2478" t="str">
            <v>ITAMBÉ</v>
          </cell>
          <cell r="L2478" t="str">
            <v>PEDRO</v>
          </cell>
          <cell r="M2478" t="str">
            <v>VAGO QSR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  <cell r="H2479" t="str">
            <v>DISTRIBUIÇÃO</v>
          </cell>
          <cell r="I2479" t="str">
            <v>FOOD SERVICE</v>
          </cell>
          <cell r="J2479" t="str">
            <v>WH FOOD SERVICE CE</v>
          </cell>
          <cell r="K2479" t="str">
            <v>ITAMBÉ</v>
          </cell>
          <cell r="L2479" t="str">
            <v>RODRIGO</v>
          </cell>
          <cell r="M2479" t="str">
            <v>MARIA LOURDES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  <cell r="H2480" t="str">
            <v>DISTRIBUIÇÃO</v>
          </cell>
          <cell r="I2480" t="str">
            <v>FOOD SERVICE</v>
          </cell>
          <cell r="J2480" t="str">
            <v>CLAUDIO JORGE/LUIZ</v>
          </cell>
          <cell r="K2480" t="str">
            <v>ITAMBÉ</v>
          </cell>
          <cell r="L2480" t="str">
            <v>RODRIGO</v>
          </cell>
          <cell r="M2480" t="str">
            <v>MARIA LOURDES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  <cell r="H2481" t="str">
            <v>DISTRIBUIÇÃO</v>
          </cell>
          <cell r="I2481" t="str">
            <v>FOOD SERVICE</v>
          </cell>
          <cell r="J2481" t="str">
            <v>SP ITB FS FLAC REP.E COMERCIO</v>
          </cell>
          <cell r="K2481" t="str">
            <v>ITAMBÉ</v>
          </cell>
          <cell r="L2481" t="str">
            <v>RODRIGO</v>
          </cell>
          <cell r="M2481" t="str">
            <v>RAQUEL BARBOSA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  <cell r="H2482" t="str">
            <v>DISTRIBUIÇÃO</v>
          </cell>
          <cell r="I2482" t="str">
            <v>FOOD SERVICE</v>
          </cell>
          <cell r="J2482" t="str">
            <v>CLAUDIO JORGE/LUIZ</v>
          </cell>
          <cell r="K2482" t="str">
            <v>ITAMBÉ</v>
          </cell>
          <cell r="L2482" t="str">
            <v>RODRIGO</v>
          </cell>
          <cell r="M2482" t="str">
            <v>MARIA LOURDES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  <cell r="H2483" t="str">
            <v>DISTRIBUIÇÃO</v>
          </cell>
          <cell r="I2483" t="str">
            <v>FOOD SERVICE</v>
          </cell>
          <cell r="J2483" t="str">
            <v>WH FOOD SERVICE CE</v>
          </cell>
          <cell r="K2483" t="str">
            <v>ITAMBÉ</v>
          </cell>
          <cell r="L2483" t="str">
            <v>RODRIGO</v>
          </cell>
          <cell r="M2483" t="str">
            <v>MARIA LOURDES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  <cell r="H2484" t="str">
            <v>QSR</v>
          </cell>
          <cell r="I2484" t="str">
            <v>FOOD SERVICE</v>
          </cell>
          <cell r="J2484" t="str">
            <v>VAGO QSR</v>
          </cell>
          <cell r="K2484" t="str">
            <v>ITAMBÉ</v>
          </cell>
          <cell r="L2484" t="str">
            <v>PEDRO</v>
          </cell>
          <cell r="M2484" t="str">
            <v>VAGO QSR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  <cell r="H2485" t="str">
            <v>DISTRIBUIÇÃO</v>
          </cell>
          <cell r="I2485" t="str">
            <v>FOOD SERVICE</v>
          </cell>
          <cell r="J2485" t="str">
            <v>MARCELO DUARTE</v>
          </cell>
          <cell r="K2485" t="str">
            <v>ITAMBÉ</v>
          </cell>
          <cell r="L2485" t="str">
            <v>RODRIGO</v>
          </cell>
          <cell r="M2485" t="str">
            <v>JESSICA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  <cell r="H2486" t="str">
            <v>DISTRIBUIÇÃO</v>
          </cell>
          <cell r="I2486" t="str">
            <v>FOOD SERVICE</v>
          </cell>
          <cell r="J2486" t="str">
            <v>CLAUDIO JORGE/LUIZ</v>
          </cell>
          <cell r="K2486" t="str">
            <v>ITAMBÉ</v>
          </cell>
          <cell r="L2486" t="str">
            <v>RODRIGO</v>
          </cell>
          <cell r="M2486" t="str">
            <v>MARIA LOURDES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  <cell r="H2487" t="str">
            <v>DISTRIBUIÇÃO</v>
          </cell>
          <cell r="I2487" t="str">
            <v>FOOD SERVICE</v>
          </cell>
          <cell r="J2487" t="str">
            <v>CLAUDIO JORGE/LUIZ</v>
          </cell>
          <cell r="K2487" t="str">
            <v>ITAMBÉ</v>
          </cell>
          <cell r="L2487" t="str">
            <v>RODRIGO</v>
          </cell>
          <cell r="M2487" t="str">
            <v>MARIA LOURDES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  <cell r="H2488" t="str">
            <v>DISTRIBUIÇÃO</v>
          </cell>
          <cell r="I2488" t="str">
            <v>FOOD SERVICE</v>
          </cell>
          <cell r="J2488" t="str">
            <v>WH FOOD SERVICE CE</v>
          </cell>
          <cell r="K2488" t="str">
            <v>ITAMBÉ</v>
          </cell>
          <cell r="L2488" t="str">
            <v>RODRIGO</v>
          </cell>
          <cell r="M2488" t="str">
            <v>MARIA LOURDES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  <cell r="H2489" t="str">
            <v>DISTRIBUIÇÃO</v>
          </cell>
          <cell r="I2489" t="str">
            <v>FOOD SERVICE</v>
          </cell>
          <cell r="J2489" t="str">
            <v>CLAUDIO JORGE/LUIZ</v>
          </cell>
          <cell r="K2489" t="str">
            <v>ITAMBÉ</v>
          </cell>
          <cell r="L2489" t="str">
            <v>RODRIGO</v>
          </cell>
          <cell r="M2489" t="str">
            <v>MARIA LOURDES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  <cell r="H2490" t="str">
            <v>INGREDIENTS</v>
          </cell>
          <cell r="I2490" t="str">
            <v>INGREDIENTS</v>
          </cell>
          <cell r="J2490" t="str">
            <v>DUAS RODAS</v>
          </cell>
          <cell r="K2490" t="str">
            <v>ITAMBÉ</v>
          </cell>
          <cell r="L2490" t="str">
            <v>MAURICIO</v>
          </cell>
          <cell r="M2490" t="str">
            <v>MARCELO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  <cell r="H2491" t="str">
            <v>DISTRIBUIÇÃO</v>
          </cell>
          <cell r="I2491" t="str">
            <v>FOOD SERVICE</v>
          </cell>
          <cell r="J2491" t="str">
            <v>WH FOOD SERVICE CE</v>
          </cell>
          <cell r="K2491" t="str">
            <v>ITAMBÉ</v>
          </cell>
          <cell r="L2491" t="str">
            <v>RODRIGO</v>
          </cell>
          <cell r="M2491" t="str">
            <v>MARIA LOURDES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  <cell r="H2492" t="str">
            <v>INGREDIENTS</v>
          </cell>
          <cell r="I2492" t="str">
            <v>INGREDIENTS</v>
          </cell>
          <cell r="J2492" t="str">
            <v>DUAS RODAS</v>
          </cell>
          <cell r="K2492" t="str">
            <v>ITAMBÉ</v>
          </cell>
          <cell r="L2492" t="str">
            <v>MAURICIO</v>
          </cell>
          <cell r="M2492" t="str">
            <v>MARCELO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  <cell r="H2493" t="str">
            <v>INGREDIENTS</v>
          </cell>
          <cell r="I2493" t="str">
            <v>INGREDIENTS</v>
          </cell>
          <cell r="J2493" t="str">
            <v>MG ITB FS GRAFNÇA REPRES</v>
          </cell>
          <cell r="K2493" t="str">
            <v>ITAMBÉ</v>
          </cell>
          <cell r="L2493" t="str">
            <v>MAURICIO</v>
          </cell>
          <cell r="M2493" t="str">
            <v>TATIANA NITTA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  <cell r="H2494" t="str">
            <v>DISTRIBUIÇÃO</v>
          </cell>
          <cell r="I2494" t="str">
            <v>FOOD SERVICE</v>
          </cell>
          <cell r="J2494" t="str">
            <v>FLAC 2</v>
          </cell>
          <cell r="K2494" t="str">
            <v>LACTALIS</v>
          </cell>
          <cell r="L2494" t="str">
            <v>RODRIGO</v>
          </cell>
          <cell r="M2494" t="str">
            <v>RAQUEL BARBOSA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  <cell r="H2495" t="str">
            <v>QSR</v>
          </cell>
          <cell r="I2495" t="str">
            <v>FOOD SERVICE</v>
          </cell>
          <cell r="J2495" t="str">
            <v>NUTRI</v>
          </cell>
          <cell r="K2495" t="str">
            <v>ITAMBÉ</v>
          </cell>
          <cell r="L2495" t="str">
            <v>PEDRO</v>
          </cell>
          <cell r="M2495" t="str">
            <v>VAGO QSR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  <cell r="H2496" t="str">
            <v>INGREDIENTS</v>
          </cell>
          <cell r="I2496" t="str">
            <v>INGREDIENTS</v>
          </cell>
          <cell r="J2496" t="str">
            <v>MARCELO RODRIGUES</v>
          </cell>
          <cell r="K2496" t="str">
            <v>LACTALIS</v>
          </cell>
          <cell r="L2496" t="str">
            <v>MAURICIO</v>
          </cell>
          <cell r="M2496" t="str">
            <v>MARCELO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  <cell r="H2497" t="str">
            <v>DISTRIBUIÇÃO</v>
          </cell>
          <cell r="I2497" t="str">
            <v>FOOD SERVICE</v>
          </cell>
          <cell r="J2497" t="str">
            <v>FLAC 6</v>
          </cell>
          <cell r="K2497" t="str">
            <v>LACTALIS</v>
          </cell>
          <cell r="L2497" t="str">
            <v>RODRIGO</v>
          </cell>
          <cell r="M2497" t="str">
            <v>RAQUEL BARBOSA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  <cell r="H2498" t="str">
            <v>DISTRIBUIÇÃO</v>
          </cell>
          <cell r="I2498" t="str">
            <v>FOOD SERVICE</v>
          </cell>
          <cell r="J2498" t="str">
            <v>WH FOOD SERVICE CE</v>
          </cell>
          <cell r="K2498" t="str">
            <v>ITAMBÉ</v>
          </cell>
          <cell r="L2498" t="str">
            <v>RODRIGO</v>
          </cell>
          <cell r="M2498" t="str">
            <v>MARIA LOURDES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  <cell r="H2499" t="str">
            <v>DISTRIBUIÇÃO</v>
          </cell>
          <cell r="I2499" t="str">
            <v>FOOD SERVICE</v>
          </cell>
          <cell r="J2499" t="str">
            <v>CLAUDIO JORGE/LUIZ</v>
          </cell>
          <cell r="K2499" t="str">
            <v>ITAMBÉ</v>
          </cell>
          <cell r="L2499" t="str">
            <v>RODRIGO</v>
          </cell>
          <cell r="M2499" t="str">
            <v>MARIA LOURDES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  <cell r="H2500" t="str">
            <v>QSR</v>
          </cell>
          <cell r="I2500" t="str">
            <v>FOOD SERVICE</v>
          </cell>
          <cell r="J2500" t="str">
            <v>NUTRI</v>
          </cell>
          <cell r="K2500" t="str">
            <v>LACTALIS</v>
          </cell>
          <cell r="L2500" t="str">
            <v>PEDRO</v>
          </cell>
          <cell r="M2500" t="str">
            <v>VAGO QSR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  <cell r="H2501" t="str">
            <v>INGREDIENTS</v>
          </cell>
          <cell r="I2501" t="str">
            <v>INGREDIENTS</v>
          </cell>
          <cell r="J2501" t="str">
            <v>MARCELO RODRIGUES</v>
          </cell>
          <cell r="K2501" t="str">
            <v>LACTALIS</v>
          </cell>
          <cell r="L2501" t="str">
            <v>MAURICIO</v>
          </cell>
          <cell r="M2501" t="str">
            <v>MARCELO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  <cell r="H2502" t="str">
            <v>INGREDIENTS</v>
          </cell>
          <cell r="I2502" t="str">
            <v>INGREDIENTS</v>
          </cell>
          <cell r="J2502" t="str">
            <v>JOEL ELEOTÉRIO</v>
          </cell>
          <cell r="K2502" t="str">
            <v>LACTALIS</v>
          </cell>
          <cell r="L2502" t="str">
            <v>MAURICIO</v>
          </cell>
          <cell r="M2502" t="str">
            <v>JOEL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  <cell r="H2503" t="str">
            <v>INGREDIENTS</v>
          </cell>
          <cell r="I2503" t="str">
            <v>INGREDIENTS</v>
          </cell>
          <cell r="J2503" t="str">
            <v>SP ITB FS IKM REPRESENTACOES</v>
          </cell>
          <cell r="K2503" t="str">
            <v>ITAMBÉ</v>
          </cell>
          <cell r="L2503" t="str">
            <v>MAURICIO</v>
          </cell>
          <cell r="M2503" t="str">
            <v>TATIANA NITTA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  <cell r="H2504" t="str">
            <v>INGREDIENTS</v>
          </cell>
          <cell r="I2504" t="str">
            <v>INGREDIENTS</v>
          </cell>
          <cell r="J2504" t="str">
            <v>TATIANA NITTA</v>
          </cell>
          <cell r="K2504" t="str">
            <v>ITAMBÉ</v>
          </cell>
          <cell r="L2504" t="str">
            <v>MAURICIO</v>
          </cell>
          <cell r="M2504" t="str">
            <v>TATIANA NITTA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  <cell r="H2505" t="str">
            <v>QSR</v>
          </cell>
          <cell r="I2505" t="str">
            <v>FOOD SERVICE</v>
          </cell>
          <cell r="J2505" t="str">
            <v>ANA MENIQUETE</v>
          </cell>
          <cell r="K2505" t="str">
            <v>ITAMBÉ</v>
          </cell>
          <cell r="L2505" t="str">
            <v>PEDRO</v>
          </cell>
          <cell r="M2505" t="str">
            <v>ANA MENIQUETE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  <cell r="H2506" t="str">
            <v>QSR</v>
          </cell>
          <cell r="I2506" t="str">
            <v>FOOD SERVICE</v>
          </cell>
          <cell r="J2506" t="str">
            <v>VAGO QSR</v>
          </cell>
          <cell r="K2506" t="str">
            <v>ITAMBÉ</v>
          </cell>
          <cell r="L2506" t="str">
            <v>PEDRO</v>
          </cell>
          <cell r="M2506" t="str">
            <v>VAGO QSR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  <cell r="H2507" t="str">
            <v>DISTRIBUIÇÃO</v>
          </cell>
          <cell r="I2507" t="str">
            <v>FOOD SERVICE</v>
          </cell>
          <cell r="J2507" t="str">
            <v>FLAC 5</v>
          </cell>
          <cell r="K2507" t="str">
            <v>LACTALIS</v>
          </cell>
          <cell r="L2507" t="str">
            <v>RODRIGO</v>
          </cell>
          <cell r="M2507" t="str">
            <v>RAQUEL BARBOSA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  <cell r="H2508" t="str">
            <v>QSR</v>
          </cell>
          <cell r="I2508" t="str">
            <v>FOOD SERVICE</v>
          </cell>
          <cell r="J2508" t="str">
            <v>NUTRI</v>
          </cell>
          <cell r="K2508" t="str">
            <v>ITAMBÉ</v>
          </cell>
          <cell r="L2508" t="str">
            <v>PEDRO</v>
          </cell>
          <cell r="M2508" t="str">
            <v>VAGO QSR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  <cell r="H2509" t="str">
            <v>QSR</v>
          </cell>
          <cell r="I2509" t="str">
            <v>FOOD SERVICE</v>
          </cell>
          <cell r="J2509" t="str">
            <v>NUTRI</v>
          </cell>
          <cell r="K2509" t="str">
            <v>ITAMBÉ</v>
          </cell>
          <cell r="L2509" t="str">
            <v>PEDRO</v>
          </cell>
          <cell r="M2509" t="str">
            <v>VAGO QSR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  <cell r="H2510" t="str">
            <v>DISTRIBUIÇÃO</v>
          </cell>
          <cell r="I2510" t="str">
            <v>FOOD SERVICE</v>
          </cell>
          <cell r="J2510" t="str">
            <v>FLAC 5</v>
          </cell>
          <cell r="K2510" t="str">
            <v>LACTALIS</v>
          </cell>
          <cell r="L2510" t="str">
            <v>RODRIGO</v>
          </cell>
          <cell r="M2510" t="str">
            <v>RAQUEL BARBOSA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  <cell r="H2511" t="str">
            <v>DISTRIBUIÇÃO</v>
          </cell>
          <cell r="I2511" t="str">
            <v>FOOD SERVICE</v>
          </cell>
          <cell r="J2511" t="str">
            <v>CLAUDIO JORGE/LUIZ</v>
          </cell>
          <cell r="K2511" t="str">
            <v>ITAMBÉ</v>
          </cell>
          <cell r="L2511" t="str">
            <v>RODRIGO</v>
          </cell>
          <cell r="M2511" t="str">
            <v>MARIA LOURDES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  <cell r="H2512" t="str">
            <v>INGREDIENTS</v>
          </cell>
          <cell r="I2512" t="str">
            <v>INGREDIENTS</v>
          </cell>
          <cell r="J2512" t="str">
            <v>TATIANA NITTA</v>
          </cell>
          <cell r="K2512" t="str">
            <v>ITAMBÉ</v>
          </cell>
          <cell r="L2512" t="str">
            <v>MAURICIO</v>
          </cell>
          <cell r="M2512" t="str">
            <v>TATIANA NITTA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  <cell r="H2513" t="str">
            <v>DISTRIBUIÇÃO</v>
          </cell>
          <cell r="I2513" t="str">
            <v>FOOD SERVICE</v>
          </cell>
          <cell r="J2513" t="str">
            <v>FLAC 2</v>
          </cell>
          <cell r="K2513" t="str">
            <v>LACTALIS</v>
          </cell>
          <cell r="L2513" t="str">
            <v>RODRIGO</v>
          </cell>
          <cell r="M2513" t="str">
            <v>RAQUEL BARBOSA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  <cell r="H2514" t="str">
            <v>DISTRIBUIÇÃO</v>
          </cell>
          <cell r="I2514" t="str">
            <v>FOOD SERVICE</v>
          </cell>
          <cell r="J2514" t="str">
            <v>MARCELO SILVA</v>
          </cell>
          <cell r="K2514" t="str">
            <v>ITAMBÉ</v>
          </cell>
          <cell r="L2514" t="str">
            <v>RODRIGO</v>
          </cell>
          <cell r="M2514" t="str">
            <v>CELIO MARTINS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  <cell r="H2515" t="str">
            <v>QSR</v>
          </cell>
          <cell r="I2515" t="str">
            <v>FOOD SERVICE</v>
          </cell>
          <cell r="J2515" t="str">
            <v>NUTRI</v>
          </cell>
          <cell r="K2515" t="str">
            <v>ITAMBÉ</v>
          </cell>
          <cell r="L2515" t="str">
            <v>PEDRO</v>
          </cell>
          <cell r="M2515" t="str">
            <v>VAGO QSR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  <cell r="H2516" t="str">
            <v>DISTRIBUIÇÃO</v>
          </cell>
          <cell r="I2516" t="str">
            <v>FOOD SERVICE</v>
          </cell>
          <cell r="J2516" t="str">
            <v>FLAC 5</v>
          </cell>
          <cell r="K2516" t="str">
            <v>LACTALIS</v>
          </cell>
          <cell r="L2516" t="str">
            <v>RODRIGO</v>
          </cell>
          <cell r="M2516" t="str">
            <v>RAQUEL BARBOSA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  <cell r="H2517" t="str">
            <v>INGREDIENTS</v>
          </cell>
          <cell r="I2517" t="str">
            <v>INGREDIENTS</v>
          </cell>
          <cell r="J2517" t="str">
            <v>TATIANA NITTA</v>
          </cell>
          <cell r="K2517" t="str">
            <v>ITAMBÉ</v>
          </cell>
          <cell r="L2517" t="str">
            <v>MAURICIO</v>
          </cell>
          <cell r="M2517" t="str">
            <v>TATIANA NITTA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  <cell r="H2518" t="str">
            <v>DISTRIBUIÇÃO</v>
          </cell>
          <cell r="I2518" t="str">
            <v>FOOD SERVICE</v>
          </cell>
          <cell r="J2518" t="str">
            <v>FLAC 4</v>
          </cell>
          <cell r="K2518" t="str">
            <v>LACTALIS</v>
          </cell>
          <cell r="L2518" t="str">
            <v>RODRIGO</v>
          </cell>
          <cell r="M2518" t="str">
            <v>RAQUEL BARBOSA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  <cell r="H2519" t="str">
            <v>DISTRIBUIÇÃO</v>
          </cell>
          <cell r="I2519" t="str">
            <v>FOOD SERVICE</v>
          </cell>
          <cell r="J2519" t="str">
            <v>VAGO SP</v>
          </cell>
          <cell r="K2519" t="str">
            <v>ITAMBÉ</v>
          </cell>
          <cell r="L2519" t="str">
            <v>RODRIGO</v>
          </cell>
          <cell r="M2519" t="str">
            <v>RAQUEL BARBOSA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  <cell r="H2520" t="str">
            <v>QSR</v>
          </cell>
          <cell r="I2520" t="str">
            <v>FOOD SERVICE</v>
          </cell>
          <cell r="J2520" t="str">
            <v>VAGO QSR</v>
          </cell>
          <cell r="K2520" t="str">
            <v>LACTALIS</v>
          </cell>
          <cell r="L2520" t="str">
            <v>PEDRO</v>
          </cell>
          <cell r="M2520" t="str">
            <v>VAGO QSR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  <cell r="H2521" t="str">
            <v>INGREDIENTS</v>
          </cell>
          <cell r="I2521" t="str">
            <v>INGREDIENTS</v>
          </cell>
          <cell r="J2521" t="str">
            <v>TATIANA NITTA</v>
          </cell>
          <cell r="K2521" t="str">
            <v>ITAMBÉ</v>
          </cell>
          <cell r="L2521" t="str">
            <v>MAURICIO</v>
          </cell>
          <cell r="M2521" t="str">
            <v>TATIANA NITTA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  <cell r="H2522" t="str">
            <v>DISTRIBUIÇÃO</v>
          </cell>
          <cell r="I2522" t="str">
            <v>FOOD SERVICE</v>
          </cell>
          <cell r="J2522" t="str">
            <v>ANGELICA BATISTELA</v>
          </cell>
          <cell r="K2522" t="str">
            <v>LACTALIS</v>
          </cell>
          <cell r="L2522" t="str">
            <v>RODRIGO</v>
          </cell>
          <cell r="M2522" t="str">
            <v>ANGELICA BATISTELA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  <cell r="H2523" t="str">
            <v>DISTRIBUIÇÃO</v>
          </cell>
          <cell r="I2523" t="str">
            <v>FOOD SERVICE</v>
          </cell>
          <cell r="J2523" t="str">
            <v>FLAC 10</v>
          </cell>
          <cell r="K2523" t="str">
            <v>LACTALIS</v>
          </cell>
          <cell r="L2523" t="str">
            <v>RODRIGO</v>
          </cell>
          <cell r="M2523" t="str">
            <v>RAQUEL BARBOSA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  <cell r="H2524" t="str">
            <v>DISTRIBUIÇÃO</v>
          </cell>
          <cell r="I2524" t="str">
            <v>FOOD SERVICE</v>
          </cell>
          <cell r="J2524" t="str">
            <v>ANGELICA BATISTELA</v>
          </cell>
          <cell r="K2524" t="str">
            <v>LACTALIS</v>
          </cell>
          <cell r="L2524" t="str">
            <v>RODRIGO</v>
          </cell>
          <cell r="M2524" t="str">
            <v>ANGELICA BATISTELA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  <cell r="H2525" t="str">
            <v>DISTRIBUIÇÃO</v>
          </cell>
          <cell r="I2525" t="str">
            <v>FOOD SERVICE</v>
          </cell>
          <cell r="J2525" t="str">
            <v>FLAC 6</v>
          </cell>
          <cell r="K2525" t="str">
            <v>LACTALIS</v>
          </cell>
          <cell r="L2525" t="str">
            <v>RODRIGO</v>
          </cell>
          <cell r="M2525" t="str">
            <v>RAQUEL BARBOSA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  <cell r="H2526" t="str">
            <v>DISTRIBUIÇÃO</v>
          </cell>
          <cell r="I2526" t="str">
            <v>FOOD SERVICE</v>
          </cell>
          <cell r="J2526" t="str">
            <v>RAQUEL BARBOSA</v>
          </cell>
          <cell r="K2526" t="str">
            <v>LACTALIS</v>
          </cell>
          <cell r="L2526" t="str">
            <v>RODRIGO</v>
          </cell>
          <cell r="M2526" t="str">
            <v>RAQUEL BARBOSA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  <cell r="H2527" t="str">
            <v>DISTRIBUIÇÃO</v>
          </cell>
          <cell r="I2527" t="str">
            <v>FOOD SERVICE</v>
          </cell>
          <cell r="J2527" t="str">
            <v>FLAC 5</v>
          </cell>
          <cell r="K2527" t="str">
            <v>LACTALIS</v>
          </cell>
          <cell r="L2527" t="str">
            <v>RODRIGO</v>
          </cell>
          <cell r="M2527" t="str">
            <v>RAQUEL BARBOSA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  <cell r="H2528" t="str">
            <v>DISTRIBUIÇÃO</v>
          </cell>
          <cell r="I2528" t="str">
            <v>FOOD SERVICE</v>
          </cell>
          <cell r="J2528" t="str">
            <v>FLAC 10</v>
          </cell>
          <cell r="K2528" t="str">
            <v>LACTALIS</v>
          </cell>
          <cell r="L2528" t="str">
            <v>RODRIGO</v>
          </cell>
          <cell r="M2528" t="str">
            <v>RAQUEL BARBOSA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  <cell r="H2529" t="str">
            <v>DISTRIBUIÇÃO</v>
          </cell>
          <cell r="I2529" t="str">
            <v>FOOD SERVICE</v>
          </cell>
          <cell r="J2529" t="str">
            <v>FLAC 7</v>
          </cell>
          <cell r="K2529" t="str">
            <v>LACTALIS</v>
          </cell>
          <cell r="L2529" t="str">
            <v>RODRIGO</v>
          </cell>
          <cell r="M2529" t="str">
            <v>RAQUEL BARBOSA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  <cell r="H2530" t="str">
            <v>QSR</v>
          </cell>
          <cell r="I2530" t="str">
            <v>FOOD SERVICE</v>
          </cell>
          <cell r="J2530" t="str">
            <v>VAGO QSR</v>
          </cell>
          <cell r="K2530" t="str">
            <v>ITAMBÉ</v>
          </cell>
          <cell r="L2530" t="str">
            <v>PEDRO</v>
          </cell>
          <cell r="M2530" t="str">
            <v>VAGO QSR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  <cell r="H2531" t="str">
            <v>DISTRIBUIÇÃO</v>
          </cell>
          <cell r="I2531" t="str">
            <v>FOOD SERVICE</v>
          </cell>
          <cell r="J2531" t="str">
            <v>SP ITB FS FLAC REP.E COMERCIO</v>
          </cell>
          <cell r="K2531" t="str">
            <v>ITAMBÉ</v>
          </cell>
          <cell r="L2531" t="str">
            <v>RODRIGO</v>
          </cell>
          <cell r="M2531" t="str">
            <v>RAQUEL BARBOSA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  <cell r="H2532" t="str">
            <v>DISTRIBUIÇÃO</v>
          </cell>
          <cell r="I2532" t="str">
            <v>FOOD SERVICE</v>
          </cell>
          <cell r="J2532" t="str">
            <v>CLAUDIO JORGE/LUIZ</v>
          </cell>
          <cell r="K2532" t="str">
            <v>ITAMBÉ</v>
          </cell>
          <cell r="L2532" t="str">
            <v>RODRIGO</v>
          </cell>
          <cell r="M2532" t="str">
            <v>MARIA LOURDES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  <cell r="H2533" t="str">
            <v>DISTRIBUIÇÃO</v>
          </cell>
          <cell r="I2533" t="str">
            <v>FOOD SERVICE</v>
          </cell>
          <cell r="J2533" t="str">
            <v>FLAC 5</v>
          </cell>
          <cell r="K2533" t="str">
            <v>LACTALIS</v>
          </cell>
          <cell r="L2533" t="str">
            <v>RODRIGO</v>
          </cell>
          <cell r="M2533" t="str">
            <v>RAQUEL BARBOSA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  <cell r="H2534" t="str">
            <v>DISTRIBUIÇÃO</v>
          </cell>
          <cell r="I2534" t="str">
            <v>FOOD SERVICE</v>
          </cell>
          <cell r="J2534" t="str">
            <v>FLAC 10</v>
          </cell>
          <cell r="K2534" t="str">
            <v>LACTALIS</v>
          </cell>
          <cell r="L2534" t="str">
            <v>RODRIGO</v>
          </cell>
          <cell r="M2534" t="str">
            <v>RAQUEL BARBOSA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  <cell r="H2535" t="str">
            <v>DISTRIBUIÇÃO</v>
          </cell>
          <cell r="I2535" t="str">
            <v>FOOD SERVICE</v>
          </cell>
          <cell r="J2535" t="str">
            <v>FLAC 6</v>
          </cell>
          <cell r="K2535" t="str">
            <v>LACTALIS</v>
          </cell>
          <cell r="L2535" t="str">
            <v>RODRIGO</v>
          </cell>
          <cell r="M2535" t="str">
            <v>RAQUEL BARBOSA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  <cell r="H2536" t="str">
            <v>INGREDIENTS</v>
          </cell>
          <cell r="I2536" t="str">
            <v>INGREDIENTS</v>
          </cell>
          <cell r="J2536" t="str">
            <v>TATIANA NITTA</v>
          </cell>
          <cell r="K2536" t="str">
            <v>ITAMBÉ</v>
          </cell>
          <cell r="L2536" t="str">
            <v>MAURICIO</v>
          </cell>
          <cell r="M2536" t="str">
            <v>TATIANA NITTA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  <cell r="H2537" t="str">
            <v>INGREDIENTS</v>
          </cell>
          <cell r="I2537" t="str">
            <v>INGREDIENTS</v>
          </cell>
          <cell r="J2537" t="str">
            <v>HENRIQUE FERREIRA</v>
          </cell>
          <cell r="K2537" t="str">
            <v>ITAMBÉ</v>
          </cell>
          <cell r="L2537" t="str">
            <v>MAURICIO</v>
          </cell>
          <cell r="M2537" t="str">
            <v>JOEL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  <cell r="H2538" t="str">
            <v>DISTRIBUIÇÃO</v>
          </cell>
          <cell r="I2538" t="str">
            <v>FOOD SERVICE</v>
          </cell>
          <cell r="J2538" t="str">
            <v>MARCELO DUARTE</v>
          </cell>
          <cell r="K2538" t="str">
            <v>LACTALIS</v>
          </cell>
          <cell r="L2538" t="str">
            <v>RODRIGO</v>
          </cell>
          <cell r="M2538" t="str">
            <v>JESSICA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  <cell r="H2539" t="str">
            <v>DISTRIBUIÇÃO</v>
          </cell>
          <cell r="I2539" t="str">
            <v>FOOD SERVICE</v>
          </cell>
          <cell r="J2539" t="str">
            <v>SP ITB FS FLAC REP.E COMERCIO</v>
          </cell>
          <cell r="K2539" t="str">
            <v>ITAMBÉ</v>
          </cell>
          <cell r="L2539" t="str">
            <v>RODRIGO</v>
          </cell>
          <cell r="M2539" t="str">
            <v>RAQUEL BARBOSA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  <cell r="H2540" t="str">
            <v>DISTRIBUIÇÃO</v>
          </cell>
          <cell r="I2540" t="str">
            <v>FOOD SERVICE</v>
          </cell>
          <cell r="J2540" t="str">
            <v>FLAC 2</v>
          </cell>
          <cell r="K2540" t="str">
            <v>LACTALIS</v>
          </cell>
          <cell r="L2540" t="str">
            <v>RODRIGO</v>
          </cell>
          <cell r="M2540" t="str">
            <v>RAQUEL BARBOSA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  <cell r="H2541" t="str">
            <v>INGREDIENTS</v>
          </cell>
          <cell r="I2541" t="str">
            <v>INGREDIENTS</v>
          </cell>
          <cell r="J2541" t="str">
            <v>MARCELO RODRIGUES</v>
          </cell>
          <cell r="K2541" t="str">
            <v>ITAMBÉ</v>
          </cell>
          <cell r="L2541" t="str">
            <v>MAURICIO</v>
          </cell>
          <cell r="M2541" t="str">
            <v>MARCELO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  <cell r="H2542" t="str">
            <v>DISTRIBUIÇÃO</v>
          </cell>
          <cell r="I2542" t="str">
            <v>FOOD SERVICE</v>
          </cell>
          <cell r="J2542" t="str">
            <v>FLAC 5</v>
          </cell>
          <cell r="K2542" t="str">
            <v>LACTALIS</v>
          </cell>
          <cell r="L2542" t="str">
            <v>RODRIGO</v>
          </cell>
          <cell r="M2542" t="str">
            <v>RAQUEL BARBOSA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  <cell r="H2543" t="str">
            <v>INGREDIENTS</v>
          </cell>
          <cell r="I2543" t="str">
            <v>INGREDIENTS</v>
          </cell>
          <cell r="J2543" t="str">
            <v>JOEL ELEOTÉRIO</v>
          </cell>
          <cell r="K2543" t="str">
            <v>ITAMBÉ</v>
          </cell>
          <cell r="L2543" t="str">
            <v>MAURICIO</v>
          </cell>
          <cell r="M2543" t="str">
            <v>JOEL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  <cell r="H2544" t="str">
            <v>INGREDIENTS</v>
          </cell>
          <cell r="I2544" t="str">
            <v>INGREDIENTS</v>
          </cell>
          <cell r="J2544" t="str">
            <v>DUAS RODAS</v>
          </cell>
          <cell r="K2544" t="str">
            <v>ITAMBÉ</v>
          </cell>
          <cell r="L2544" t="str">
            <v>MAURICIO</v>
          </cell>
          <cell r="M2544" t="str">
            <v>MARCELO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  <cell r="H2545" t="str">
            <v>DISTRIBUIÇÃO</v>
          </cell>
          <cell r="I2545" t="str">
            <v>FOOD SERVICE</v>
          </cell>
          <cell r="J2545" t="str">
            <v>ANGELICA BATISTELA</v>
          </cell>
          <cell r="K2545" t="str">
            <v>LACTALIS</v>
          </cell>
          <cell r="L2545" t="str">
            <v>RODRIGO</v>
          </cell>
          <cell r="M2545" t="str">
            <v>ANGELICA BATISTELA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  <cell r="H2546" t="str">
            <v>DISTRIBUIÇÃO</v>
          </cell>
          <cell r="I2546" t="str">
            <v>FOOD SERVICE</v>
          </cell>
          <cell r="J2546" t="str">
            <v>FLAC 5</v>
          </cell>
          <cell r="K2546" t="str">
            <v>LACTALIS</v>
          </cell>
          <cell r="L2546" t="str">
            <v>RODRIGO</v>
          </cell>
          <cell r="M2546" t="str">
            <v>RAQUEL BARBOSA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  <cell r="H2547" t="str">
            <v>INGREDIENTS</v>
          </cell>
          <cell r="I2547" t="str">
            <v>INGREDIENTS</v>
          </cell>
          <cell r="J2547" t="str">
            <v>JOEL ELEOTÉRIO</v>
          </cell>
          <cell r="K2547" t="str">
            <v>LACTALIS</v>
          </cell>
          <cell r="L2547" t="str">
            <v>MAURICIO</v>
          </cell>
          <cell r="M2547" t="str">
            <v>JOEL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  <cell r="H2548" t="str">
            <v>DISTRIBUIÇÃO</v>
          </cell>
          <cell r="I2548" t="str">
            <v>FOOD SERVICE</v>
          </cell>
          <cell r="J2548" t="str">
            <v>FLAC 10</v>
          </cell>
          <cell r="K2548" t="str">
            <v>LACTALIS</v>
          </cell>
          <cell r="L2548" t="str">
            <v>RODRIGO</v>
          </cell>
          <cell r="M2548" t="str">
            <v>RAQUEL BARBOSA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  <cell r="H2549" t="str">
            <v>DISTRIBUIÇÃO</v>
          </cell>
          <cell r="I2549" t="str">
            <v>FOOD SERVICE</v>
          </cell>
          <cell r="J2549" t="str">
            <v>FLAC 10</v>
          </cell>
          <cell r="K2549" t="str">
            <v>LACTALIS</v>
          </cell>
          <cell r="L2549" t="str">
            <v>RODRIGO</v>
          </cell>
          <cell r="M2549" t="str">
            <v>RAQUEL BARBOSA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  <cell r="H2550" t="str">
            <v>DISTRIBUIÇÃO</v>
          </cell>
          <cell r="I2550" t="str">
            <v>FOOD SERVICE</v>
          </cell>
          <cell r="J2550" t="str">
            <v>MARCELO SILVA</v>
          </cell>
          <cell r="K2550" t="str">
            <v>ITAMBÉ</v>
          </cell>
          <cell r="L2550" t="str">
            <v>RODRIGO</v>
          </cell>
          <cell r="M2550" t="str">
            <v>CELIO MARTINS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  <cell r="H2551" t="str">
            <v>DISTRIBUIÇÃO</v>
          </cell>
          <cell r="I2551" t="str">
            <v>FOOD SERVICE</v>
          </cell>
          <cell r="J2551" t="str">
            <v>CLAUDIO JORGE</v>
          </cell>
          <cell r="K2551" t="str">
            <v>LACTALIS</v>
          </cell>
          <cell r="L2551" t="str">
            <v>RODRIGO</v>
          </cell>
          <cell r="M2551" t="str">
            <v>MARIA LOURDES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  <cell r="H2552" t="str">
            <v>DISTRIBUIÇÃO</v>
          </cell>
          <cell r="I2552" t="str">
            <v>FOOD SERVICE</v>
          </cell>
          <cell r="J2552" t="str">
            <v>FLAC 5</v>
          </cell>
          <cell r="K2552" t="str">
            <v>ITAMBÉ</v>
          </cell>
          <cell r="L2552" t="str">
            <v>RODRIGO</v>
          </cell>
          <cell r="M2552" t="str">
            <v>RAQUEL BARBOSA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  <cell r="H2553" t="str">
            <v>DISTRIBUIÇÃO</v>
          </cell>
          <cell r="I2553" t="str">
            <v>FOOD SERVICE</v>
          </cell>
          <cell r="J2553" t="str">
            <v>FLAC 5</v>
          </cell>
          <cell r="K2553" t="str">
            <v>LACTALIS</v>
          </cell>
          <cell r="L2553" t="str">
            <v>RODRIGO</v>
          </cell>
          <cell r="M2553" t="str">
            <v>RAQUEL BARBOSA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  <cell r="H2554" t="str">
            <v>OUTROS</v>
          </cell>
          <cell r="I2554" t="str">
            <v>OUTROS</v>
          </cell>
          <cell r="J2554" t="str">
            <v>OUTROS</v>
          </cell>
          <cell r="K2554" t="str">
            <v>OUTROS</v>
          </cell>
          <cell r="L2554" t="str">
            <v>OUTROS</v>
          </cell>
          <cell r="M2554" t="str">
            <v>OUTROS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  <cell r="H2555" t="str">
            <v>DISTRIBUIÇÃO</v>
          </cell>
          <cell r="I2555" t="str">
            <v>FOOD SERVICE</v>
          </cell>
          <cell r="J2555" t="str">
            <v>FLAC 3</v>
          </cell>
          <cell r="K2555" t="str">
            <v>LACTALIS</v>
          </cell>
          <cell r="L2555" t="str">
            <v>RODRIGO</v>
          </cell>
          <cell r="M2555" t="str">
            <v>RAQUEL BARBOSA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  <cell r="H2556" t="str">
            <v>DISTRIBUIÇÃO</v>
          </cell>
          <cell r="I2556" t="str">
            <v>FOOD SERVICE</v>
          </cell>
          <cell r="J2556" t="str">
            <v>FLAC 10</v>
          </cell>
          <cell r="K2556" t="str">
            <v>LACTALIS</v>
          </cell>
          <cell r="L2556" t="str">
            <v>RODRIGO</v>
          </cell>
          <cell r="M2556" t="str">
            <v>RAQUEL BARBOSA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  <cell r="H2557" t="str">
            <v>DISTRIBUIÇÃO</v>
          </cell>
          <cell r="I2557" t="str">
            <v>FOOD SERVICE</v>
          </cell>
          <cell r="J2557" t="str">
            <v>FLAC 2</v>
          </cell>
          <cell r="K2557" t="str">
            <v>LACTALIS</v>
          </cell>
          <cell r="L2557" t="str">
            <v>RODRIGO</v>
          </cell>
          <cell r="M2557" t="str">
            <v>RAQUEL BARBOSA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  <cell r="H2558" t="str">
            <v>INGREDIENTS</v>
          </cell>
          <cell r="I2558" t="str">
            <v>INGREDIENTS</v>
          </cell>
          <cell r="J2558" t="str">
            <v>JOEL ELEOTÉRIO</v>
          </cell>
          <cell r="K2558" t="str">
            <v>LACTALIS</v>
          </cell>
          <cell r="L2558" t="str">
            <v>MAURICIO</v>
          </cell>
          <cell r="M2558" t="str">
            <v>JOEL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  <cell r="H2559" t="str">
            <v>INGREDIENTS</v>
          </cell>
          <cell r="I2559" t="str">
            <v>INGREDIENTS</v>
          </cell>
          <cell r="J2559" t="str">
            <v>MARCELO RODRIGUES</v>
          </cell>
          <cell r="K2559" t="str">
            <v>LACTALIS</v>
          </cell>
          <cell r="L2559" t="str">
            <v>MAURICIO</v>
          </cell>
          <cell r="M2559" t="str">
            <v>MARCELO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  <cell r="H2560" t="str">
            <v>INGREDIENTS</v>
          </cell>
          <cell r="I2560" t="str">
            <v>INGREDIENTS</v>
          </cell>
          <cell r="J2560" t="str">
            <v>MARCELO RODRIGUES</v>
          </cell>
          <cell r="K2560" t="str">
            <v>LACTALIS</v>
          </cell>
          <cell r="L2560" t="str">
            <v>MAURICIO</v>
          </cell>
          <cell r="M2560" t="str">
            <v>MARCELO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  <cell r="H2561" t="str">
            <v>INGREDIENTS</v>
          </cell>
          <cell r="I2561" t="str">
            <v>INGREDIENTS</v>
          </cell>
          <cell r="J2561" t="str">
            <v>HENRIQUE FERREIRA</v>
          </cell>
          <cell r="K2561" t="str">
            <v>LACTALIS</v>
          </cell>
          <cell r="L2561" t="str">
            <v>MAURICIO</v>
          </cell>
          <cell r="M2561" t="str">
            <v>JOEL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  <cell r="H2562" t="str">
            <v>DISTRIBUIÇÃO</v>
          </cell>
          <cell r="I2562" t="str">
            <v>FOOD SERVICE</v>
          </cell>
          <cell r="J2562" t="str">
            <v>FLAC 10</v>
          </cell>
          <cell r="K2562" t="str">
            <v>LACTALIS</v>
          </cell>
          <cell r="L2562" t="str">
            <v>RODRIGO</v>
          </cell>
          <cell r="M2562" t="str">
            <v>RAQUEL BARBOSA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  <cell r="H2563" t="str">
            <v>DISTRIBUIÇÃO</v>
          </cell>
          <cell r="I2563" t="str">
            <v>FOOD SERVICE</v>
          </cell>
          <cell r="J2563" t="str">
            <v>FLAC 10</v>
          </cell>
          <cell r="K2563" t="str">
            <v>LACTALIS</v>
          </cell>
          <cell r="L2563" t="str">
            <v>RODRIGO</v>
          </cell>
          <cell r="M2563" t="str">
            <v>RAQUEL BARBOSA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  <cell r="H2564" t="str">
            <v>QSR</v>
          </cell>
          <cell r="I2564" t="str">
            <v>FOOD SERVICE</v>
          </cell>
          <cell r="J2564" t="str">
            <v>ANA MENIQUETE</v>
          </cell>
          <cell r="K2564" t="str">
            <v>ITAMBÉ</v>
          </cell>
          <cell r="L2564" t="str">
            <v>PEDRO</v>
          </cell>
          <cell r="M2564" t="str">
            <v>ANA MENIQUETE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  <cell r="H2565" t="str">
            <v>DISTRIBUIÇÃO</v>
          </cell>
          <cell r="I2565" t="str">
            <v>FOOD SERVICE</v>
          </cell>
          <cell r="J2565" t="str">
            <v>WH FOOD SERVICE CE</v>
          </cell>
          <cell r="K2565" t="str">
            <v>ITAMBÉ</v>
          </cell>
          <cell r="L2565" t="str">
            <v>RODRIGO</v>
          </cell>
          <cell r="M2565" t="str">
            <v>MARIA LOURDES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  <cell r="H2566" t="str">
            <v>DISTRIBUIÇÃO</v>
          </cell>
          <cell r="I2566" t="str">
            <v>FOOD SERVICE</v>
          </cell>
          <cell r="J2566" t="str">
            <v>CLAUDIO JORGE/LUIZ</v>
          </cell>
          <cell r="K2566" t="str">
            <v>ITAMBÉ</v>
          </cell>
          <cell r="L2566" t="str">
            <v>RODRIGO</v>
          </cell>
          <cell r="M2566" t="str">
            <v>MARIA LOURDES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  <cell r="H2567" t="str">
            <v>INGREDIENTS</v>
          </cell>
          <cell r="I2567" t="str">
            <v>INGREDIENTS</v>
          </cell>
          <cell r="J2567" t="str">
            <v>JOEL ELEOTÉRIO</v>
          </cell>
          <cell r="K2567" t="str">
            <v>LACTALIS</v>
          </cell>
          <cell r="L2567" t="str">
            <v>MAURICIO</v>
          </cell>
          <cell r="M2567" t="str">
            <v>JOEL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  <cell r="H2568" t="str">
            <v>QSR</v>
          </cell>
          <cell r="I2568" t="str">
            <v>FOOD SERVICE</v>
          </cell>
          <cell r="J2568" t="str">
            <v>VAGO QSR</v>
          </cell>
          <cell r="K2568" t="str">
            <v>ITAMBÉ</v>
          </cell>
          <cell r="L2568" t="str">
            <v>PEDRO</v>
          </cell>
          <cell r="M2568" t="str">
            <v>VAGO QSR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  <cell r="H2569" t="str">
            <v>INGREDIENTS</v>
          </cell>
          <cell r="I2569" t="str">
            <v>INGREDIENTS</v>
          </cell>
          <cell r="J2569" t="str">
            <v>DUAS RODAS</v>
          </cell>
          <cell r="K2569" t="str">
            <v>ITAMBÉ</v>
          </cell>
          <cell r="L2569" t="str">
            <v>MAURICIO</v>
          </cell>
          <cell r="M2569" t="str">
            <v>MARCELO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  <cell r="H2570" t="str">
            <v>DISTRIBUIÇÃO</v>
          </cell>
          <cell r="I2570" t="str">
            <v>FOOD SERVICE</v>
          </cell>
          <cell r="J2570" t="str">
            <v>CLAUDIO JORGE/LUIZ</v>
          </cell>
          <cell r="K2570" t="str">
            <v>ITAMBÉ</v>
          </cell>
          <cell r="L2570" t="str">
            <v>RODRIGO</v>
          </cell>
          <cell r="M2570" t="str">
            <v>MARIA LOURDES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  <cell r="H2571" t="str">
            <v>DISTRIBUIÇÃO</v>
          </cell>
          <cell r="I2571" t="str">
            <v>FOOD SERVICE</v>
          </cell>
          <cell r="J2571" t="str">
            <v>JULIANA CORDEIRO</v>
          </cell>
          <cell r="K2571" t="str">
            <v>ITAMBÉ</v>
          </cell>
          <cell r="L2571" t="str">
            <v>RODRIGO</v>
          </cell>
          <cell r="M2571" t="str">
            <v>JESSICA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  <cell r="H2572" t="str">
            <v>INGREDIENTS</v>
          </cell>
          <cell r="I2572" t="str">
            <v>INGREDIENTS</v>
          </cell>
          <cell r="J2572" t="str">
            <v>SP ITB FS IKM REPRESENTACOES</v>
          </cell>
          <cell r="K2572" t="str">
            <v>ITAMBÉ</v>
          </cell>
          <cell r="L2572" t="str">
            <v>MAURICIO</v>
          </cell>
          <cell r="M2572" t="str">
            <v>TATIANA NITTA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  <cell r="H2573" t="str">
            <v>DISTRIBUIÇÃO</v>
          </cell>
          <cell r="I2573" t="str">
            <v>FOOD SERVICE</v>
          </cell>
          <cell r="J2573" t="str">
            <v>CLAUDIO JORGE/LUIZ</v>
          </cell>
          <cell r="K2573" t="str">
            <v>ITAMBÉ</v>
          </cell>
          <cell r="L2573" t="str">
            <v>RODRIGO</v>
          </cell>
          <cell r="M2573" t="str">
            <v>MARIA LOURDES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  <cell r="H2574" t="str">
            <v>DISTRIBUIÇÃO</v>
          </cell>
          <cell r="I2574" t="str">
            <v>FOOD SERVICE</v>
          </cell>
          <cell r="J2574" t="str">
            <v>CLAUDIO JORGE/LUIZ</v>
          </cell>
          <cell r="K2574" t="str">
            <v>ITAMBÉ</v>
          </cell>
          <cell r="L2574" t="str">
            <v>RODRIGO</v>
          </cell>
          <cell r="M2574" t="str">
            <v>MARIA LOURDES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  <cell r="H2575" t="str">
            <v>INGREDIENTS</v>
          </cell>
          <cell r="I2575" t="str">
            <v>INGREDIENTS</v>
          </cell>
          <cell r="J2575" t="str">
            <v>TATIANA NITTA</v>
          </cell>
          <cell r="K2575" t="str">
            <v>ITAMBÉ</v>
          </cell>
          <cell r="L2575" t="str">
            <v>MAURICIO</v>
          </cell>
          <cell r="M2575" t="str">
            <v>TATIANA NITTA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  <cell r="H2576" t="str">
            <v>INGREDIENTS</v>
          </cell>
          <cell r="I2576" t="str">
            <v>INGREDIENTS</v>
          </cell>
          <cell r="J2576" t="str">
            <v>TATIANA NITTA</v>
          </cell>
          <cell r="K2576" t="str">
            <v>ITAMBÉ</v>
          </cell>
          <cell r="L2576" t="str">
            <v>MAURICIO</v>
          </cell>
          <cell r="M2576" t="str">
            <v>TATIANA NITTA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  <cell r="H2577" t="str">
            <v>INGREDIENTS</v>
          </cell>
          <cell r="I2577" t="str">
            <v>INGREDIENTS</v>
          </cell>
          <cell r="J2577" t="str">
            <v>DLUM</v>
          </cell>
          <cell r="K2577" t="str">
            <v>LACTALIS</v>
          </cell>
          <cell r="L2577" t="str">
            <v>MAURICIO</v>
          </cell>
          <cell r="M2577" t="str">
            <v>JOEL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  <cell r="H2578" t="str">
            <v>DISTRIBUIÇÃO</v>
          </cell>
          <cell r="I2578" t="str">
            <v>FOOD SERVICE</v>
          </cell>
          <cell r="J2578" t="str">
            <v>FLAC 10</v>
          </cell>
          <cell r="K2578" t="str">
            <v>LACTALIS</v>
          </cell>
          <cell r="L2578" t="str">
            <v>RODRIGO</v>
          </cell>
          <cell r="M2578" t="str">
            <v>RAQUEL BARBOSA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  <cell r="H2579" t="str">
            <v>DISTRIBUIÇÃO</v>
          </cell>
          <cell r="I2579" t="str">
            <v>FOOD SERVICE</v>
          </cell>
          <cell r="J2579" t="str">
            <v>FLAC 6</v>
          </cell>
          <cell r="K2579" t="str">
            <v>LACTALIS</v>
          </cell>
          <cell r="L2579" t="str">
            <v>RODRIGO</v>
          </cell>
          <cell r="M2579" t="str">
            <v>RAQUEL BARBOSA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  <cell r="H2580" t="str">
            <v>DISTRIBUIÇÃO</v>
          </cell>
          <cell r="I2580" t="str">
            <v>FOOD SERVICE</v>
          </cell>
          <cell r="J2580" t="str">
            <v>CLAUDIO JORGE/LUIZ</v>
          </cell>
          <cell r="K2580" t="str">
            <v>ITAMBÉ</v>
          </cell>
          <cell r="L2580" t="str">
            <v>RODRIGO</v>
          </cell>
          <cell r="M2580" t="str">
            <v>MARIA LOURDES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  <cell r="H2581" t="str">
            <v>DISTRIBUIÇÃO</v>
          </cell>
          <cell r="I2581" t="str">
            <v>FOOD SERVICE</v>
          </cell>
          <cell r="J2581" t="str">
            <v>ANGELICA BATISTELA</v>
          </cell>
          <cell r="K2581" t="str">
            <v>LACTALIS</v>
          </cell>
          <cell r="L2581" t="str">
            <v>RODRIGO</v>
          </cell>
          <cell r="M2581" t="str">
            <v>ANGELICA BATISTELA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  <cell r="H2582" t="str">
            <v>INGREDIENTS</v>
          </cell>
          <cell r="I2582" t="str">
            <v>INGREDIENTS</v>
          </cell>
          <cell r="J2582" t="str">
            <v>TATIANA NITTA</v>
          </cell>
          <cell r="K2582" t="str">
            <v>ITAMBÉ</v>
          </cell>
          <cell r="L2582" t="str">
            <v>MAURICIO</v>
          </cell>
          <cell r="M2582" t="str">
            <v>TATIANA NITTA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  <cell r="H2583" t="str">
            <v>DISTRIBUIÇÃO</v>
          </cell>
          <cell r="I2583" t="str">
            <v>FOOD SERVICE</v>
          </cell>
          <cell r="J2583" t="str">
            <v>FLAC 7</v>
          </cell>
          <cell r="K2583" t="str">
            <v>LACTALIS</v>
          </cell>
          <cell r="L2583" t="str">
            <v>RODRIGO</v>
          </cell>
          <cell r="M2583" t="str">
            <v>RAQUEL BARBOSA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  <cell r="H2584" t="str">
            <v>DISTRIBUIÇÃO</v>
          </cell>
          <cell r="I2584" t="str">
            <v>FOOD SERVICE</v>
          </cell>
          <cell r="J2584" t="str">
            <v>FLAC 10</v>
          </cell>
          <cell r="K2584" t="str">
            <v>LACTALIS</v>
          </cell>
          <cell r="L2584" t="str">
            <v>RODRIGO</v>
          </cell>
          <cell r="M2584" t="str">
            <v>RAQUEL BARBOSA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  <cell r="H2585" t="str">
            <v>DISTRIBUIÇÃO</v>
          </cell>
          <cell r="I2585" t="str">
            <v>FOOD SERVICE</v>
          </cell>
          <cell r="J2585" t="str">
            <v>ANGELICA BATISTELA</v>
          </cell>
          <cell r="K2585" t="str">
            <v>LACTALIS</v>
          </cell>
          <cell r="L2585" t="str">
            <v>RODRIGO</v>
          </cell>
          <cell r="M2585" t="str">
            <v>ANGELICA BATISTELA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  <cell r="H2586" t="str">
            <v>INGREDIENTS</v>
          </cell>
          <cell r="I2586" t="str">
            <v>INGREDIENTS</v>
          </cell>
          <cell r="J2586" t="str">
            <v>TATIANA NITTA</v>
          </cell>
          <cell r="K2586" t="str">
            <v>ITAMBÉ</v>
          </cell>
          <cell r="L2586" t="str">
            <v>MAURICIO</v>
          </cell>
          <cell r="M2586" t="str">
            <v>TATIANA NITTA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  <cell r="H2587" t="str">
            <v>DISTRIBUIÇÃO</v>
          </cell>
          <cell r="I2587" t="str">
            <v>FOOD SERVICE</v>
          </cell>
          <cell r="J2587" t="str">
            <v>FLAC 5</v>
          </cell>
          <cell r="K2587" t="str">
            <v>LACTALIS</v>
          </cell>
          <cell r="L2587" t="str">
            <v>RODRIGO</v>
          </cell>
          <cell r="M2587" t="str">
            <v>RAQUEL BARBOSA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  <cell r="H2588" t="str">
            <v>DISTRIBUIÇÃO</v>
          </cell>
          <cell r="I2588" t="str">
            <v>FOOD SERVICE</v>
          </cell>
          <cell r="J2588" t="str">
            <v>FLAC 1</v>
          </cell>
          <cell r="K2588" t="str">
            <v>LACTALIS</v>
          </cell>
          <cell r="L2588" t="str">
            <v>RODRIGO</v>
          </cell>
          <cell r="M2588" t="str">
            <v>RAQUEL BARBOSA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  <cell r="H2589" t="str">
            <v>DISTRIBUIÇÃO</v>
          </cell>
          <cell r="I2589" t="str">
            <v>FOOD SERVICE</v>
          </cell>
          <cell r="J2589" t="str">
            <v>MARCELO SILVA</v>
          </cell>
          <cell r="K2589" t="str">
            <v>ITAMBÉ</v>
          </cell>
          <cell r="L2589" t="str">
            <v>RODRIGO</v>
          </cell>
          <cell r="M2589" t="str">
            <v>CELIO MARTINS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  <cell r="H2590" t="str">
            <v>DISTRIBUIÇÃO</v>
          </cell>
          <cell r="I2590" t="str">
            <v>FOOD SERVICE</v>
          </cell>
          <cell r="J2590" t="str">
            <v>FLAC 10</v>
          </cell>
          <cell r="K2590" t="str">
            <v>LACTALIS</v>
          </cell>
          <cell r="L2590" t="str">
            <v>RODRIGO</v>
          </cell>
          <cell r="M2590" t="str">
            <v>RAQUEL BARBOSA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  <cell r="H2591" t="str">
            <v>INGREDIENTS</v>
          </cell>
          <cell r="I2591" t="str">
            <v>INGREDIENTS</v>
          </cell>
          <cell r="J2591" t="str">
            <v>TATIANA NITTA</v>
          </cell>
          <cell r="K2591" t="str">
            <v>ITAMBÉ</v>
          </cell>
          <cell r="L2591" t="str">
            <v>MAURICIO</v>
          </cell>
          <cell r="M2591" t="str">
            <v>TATIANA NITTA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  <cell r="H2592" t="str">
            <v>DISTRIBUIÇÃO</v>
          </cell>
          <cell r="I2592" t="str">
            <v>FOOD SERVICE</v>
          </cell>
          <cell r="J2592" t="str">
            <v>FLAC 10</v>
          </cell>
          <cell r="K2592" t="str">
            <v>LACTALIS</v>
          </cell>
          <cell r="L2592" t="str">
            <v>RODRIGO</v>
          </cell>
          <cell r="M2592" t="str">
            <v>RAQUEL BARBOSA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  <cell r="H2593" t="str">
            <v>INGREDIENTS</v>
          </cell>
          <cell r="I2593" t="str">
            <v>INGREDIENTS</v>
          </cell>
          <cell r="J2593" t="str">
            <v>MARCELO RODRIGUES</v>
          </cell>
          <cell r="K2593" t="str">
            <v>LACTALIS</v>
          </cell>
          <cell r="L2593" t="str">
            <v>MAURICIO</v>
          </cell>
          <cell r="M2593" t="str">
            <v>MARCELO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  <cell r="H2594" t="str">
            <v>INGREDIENTS</v>
          </cell>
          <cell r="I2594" t="str">
            <v>INGREDIENTS</v>
          </cell>
          <cell r="J2594" t="str">
            <v>HENRIQUE FERREIRA</v>
          </cell>
          <cell r="K2594" t="str">
            <v>ITAMBÉ</v>
          </cell>
          <cell r="L2594" t="str">
            <v>MAURICIO</v>
          </cell>
          <cell r="M2594" t="str">
            <v>JOEL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  <cell r="H2595" t="str">
            <v>DISTRIBUIÇÃO</v>
          </cell>
          <cell r="I2595" t="str">
            <v>FOOD SERVICE</v>
          </cell>
          <cell r="J2595" t="str">
            <v>FLAC 10</v>
          </cell>
          <cell r="K2595" t="str">
            <v>LACTALIS</v>
          </cell>
          <cell r="L2595" t="str">
            <v>RODRIGO</v>
          </cell>
          <cell r="M2595" t="str">
            <v>RAQUEL BARBOSA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  <cell r="H2596" t="str">
            <v>DISTRIBUIÇÃO</v>
          </cell>
          <cell r="I2596" t="str">
            <v>FOOD SERVICE</v>
          </cell>
          <cell r="J2596" t="str">
            <v>FLAC 10</v>
          </cell>
          <cell r="K2596" t="str">
            <v>LACTALIS</v>
          </cell>
          <cell r="L2596" t="str">
            <v>RODRIGO</v>
          </cell>
          <cell r="M2596" t="str">
            <v>RAQUEL BARBOSA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  <cell r="H2597" t="str">
            <v>DISTRIBUIÇÃO</v>
          </cell>
          <cell r="I2597" t="str">
            <v>FOOD SERVICE</v>
          </cell>
          <cell r="J2597" t="str">
            <v>FLAC 10</v>
          </cell>
          <cell r="K2597" t="str">
            <v>LACTALIS</v>
          </cell>
          <cell r="L2597" t="str">
            <v>RODRIGO</v>
          </cell>
          <cell r="M2597" t="str">
            <v>RAQUEL BARBOSA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  <cell r="H2598" t="str">
            <v>INGREDIENTS</v>
          </cell>
          <cell r="I2598" t="str">
            <v>INGREDIENTS</v>
          </cell>
          <cell r="J2598" t="str">
            <v>MARCELO RODRIGUES</v>
          </cell>
          <cell r="K2598" t="str">
            <v>ITAMBÉ</v>
          </cell>
          <cell r="L2598" t="str">
            <v>MAURICIO</v>
          </cell>
          <cell r="M2598" t="str">
            <v>MARCELO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  <cell r="H2599" t="str">
            <v>DISTRIBUIÇÃO</v>
          </cell>
          <cell r="I2599" t="str">
            <v>FOOD SERVICE</v>
          </cell>
          <cell r="J2599" t="str">
            <v>FLAC 6</v>
          </cell>
          <cell r="K2599" t="str">
            <v>LACTALIS</v>
          </cell>
          <cell r="L2599" t="str">
            <v>RODRIGO</v>
          </cell>
          <cell r="M2599" t="str">
            <v>RAQUEL BARBOSA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  <cell r="H2600" t="str">
            <v>DISTRIBUIÇÃO</v>
          </cell>
          <cell r="I2600" t="str">
            <v>FOOD SERVICE</v>
          </cell>
          <cell r="J2600" t="str">
            <v>MARCELO SILVA</v>
          </cell>
          <cell r="K2600" t="str">
            <v>ITAMBÉ</v>
          </cell>
          <cell r="L2600" t="str">
            <v>RODRIGO</v>
          </cell>
          <cell r="M2600" t="str">
            <v>CELIO MARTINS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  <cell r="H2601" t="str">
            <v>INGREDIENTS</v>
          </cell>
          <cell r="I2601" t="str">
            <v>INGREDIENTS</v>
          </cell>
          <cell r="J2601" t="str">
            <v>HENRIQUE FERREIRA</v>
          </cell>
          <cell r="K2601" t="str">
            <v>LACTALIS</v>
          </cell>
          <cell r="L2601" t="str">
            <v>MAURICIO</v>
          </cell>
          <cell r="M2601" t="str">
            <v>JOEL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  <cell r="H2602" t="str">
            <v>INGREDIENTS</v>
          </cell>
          <cell r="I2602" t="str">
            <v>INGREDIENTS</v>
          </cell>
          <cell r="J2602" t="str">
            <v>JOEL ELEOTÉRIO</v>
          </cell>
          <cell r="K2602" t="str">
            <v>ITAMBÉ</v>
          </cell>
          <cell r="L2602" t="str">
            <v>MAURICIO</v>
          </cell>
          <cell r="M2602" t="str">
            <v>JOEL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  <cell r="H2603" t="str">
            <v>DISTRIBUIÇÃO</v>
          </cell>
          <cell r="I2603" t="str">
            <v>FOOD SERVICE</v>
          </cell>
          <cell r="J2603" t="str">
            <v>FLAC 5</v>
          </cell>
          <cell r="K2603" t="str">
            <v>LACTALIS</v>
          </cell>
          <cell r="L2603" t="str">
            <v>RODRIGO</v>
          </cell>
          <cell r="M2603" t="str">
            <v>RAQUEL BARBOSA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  <cell r="H2604" t="str">
            <v>INGREDIENTS</v>
          </cell>
          <cell r="I2604" t="str">
            <v>INGREDIENTS</v>
          </cell>
          <cell r="J2604" t="str">
            <v>JOEL ELEOTÉRIO</v>
          </cell>
          <cell r="K2604" t="str">
            <v>ITAMBÉ</v>
          </cell>
          <cell r="L2604" t="str">
            <v>MAURICIO</v>
          </cell>
          <cell r="M2604" t="str">
            <v>JOEL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  <cell r="H2605" t="str">
            <v>DISTRIBUIÇÃO</v>
          </cell>
          <cell r="I2605" t="str">
            <v>FOOD SERVICE</v>
          </cell>
          <cell r="J2605" t="str">
            <v>FLAC 5</v>
          </cell>
          <cell r="K2605" t="str">
            <v>LACTALIS</v>
          </cell>
          <cell r="L2605" t="str">
            <v>RODRIGO</v>
          </cell>
          <cell r="M2605" t="str">
            <v>RAQUEL BARBOSA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  <cell r="H2606" t="str">
            <v>DISTRIBUIÇÃO</v>
          </cell>
          <cell r="I2606" t="str">
            <v>FOOD SERVICE</v>
          </cell>
          <cell r="J2606" t="str">
            <v>FLAC 5</v>
          </cell>
          <cell r="K2606" t="str">
            <v>LACTALIS</v>
          </cell>
          <cell r="L2606" t="str">
            <v>RODRIGO</v>
          </cell>
          <cell r="M2606" t="str">
            <v>RAQUEL BARBOSA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  <cell r="H2607" t="str">
            <v>DISTRIBUIÇÃO</v>
          </cell>
          <cell r="I2607" t="str">
            <v>FOOD SERVICE</v>
          </cell>
          <cell r="J2607" t="str">
            <v>FLAC 2</v>
          </cell>
          <cell r="K2607" t="str">
            <v>LACTALIS</v>
          </cell>
          <cell r="L2607" t="str">
            <v>RODRIGO</v>
          </cell>
          <cell r="M2607" t="str">
            <v>RAQUEL BARBOSA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  <cell r="H2608" t="str">
            <v>INGREDIENTS</v>
          </cell>
          <cell r="I2608" t="str">
            <v>INGREDIENTS</v>
          </cell>
          <cell r="J2608" t="str">
            <v>JOEL ELEOTÉRIO</v>
          </cell>
          <cell r="K2608" t="str">
            <v>ITAMBÉ</v>
          </cell>
          <cell r="L2608" t="str">
            <v>MAURICIO</v>
          </cell>
          <cell r="M2608" t="str">
            <v>JOEL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  <cell r="H2609" t="str">
            <v>DISTRIBUIÇÃO</v>
          </cell>
          <cell r="I2609" t="str">
            <v>FOOD SERVICE</v>
          </cell>
          <cell r="J2609" t="str">
            <v>FLAC 2</v>
          </cell>
          <cell r="K2609" t="str">
            <v>LACTALIS</v>
          </cell>
          <cell r="L2609" t="str">
            <v>RODRIGO</v>
          </cell>
          <cell r="M2609" t="str">
            <v>RAQUEL BARBOSA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  <cell r="H2610" t="str">
            <v>DISTRIBUIÇÃO</v>
          </cell>
          <cell r="I2610" t="str">
            <v>FOOD SERVICE</v>
          </cell>
          <cell r="J2610" t="str">
            <v>FLAC 6</v>
          </cell>
          <cell r="K2610" t="str">
            <v>LACTALIS</v>
          </cell>
          <cell r="L2610" t="str">
            <v>RODRIGO</v>
          </cell>
          <cell r="M2610" t="str">
            <v>RAQUEL BARBOSA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  <cell r="H2611" t="str">
            <v>DISTRIBUIÇÃO</v>
          </cell>
          <cell r="I2611" t="str">
            <v>FOOD SERVICE</v>
          </cell>
          <cell r="J2611" t="str">
            <v>FLAC 10</v>
          </cell>
          <cell r="K2611" t="str">
            <v>LACTALIS</v>
          </cell>
          <cell r="L2611" t="str">
            <v>RODRIGO</v>
          </cell>
          <cell r="M2611" t="str">
            <v>RAQUEL BARBOSA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  <cell r="H2612" t="str">
            <v>DISTRIBUIÇÃO</v>
          </cell>
          <cell r="I2612" t="str">
            <v>FOOD SERVICE</v>
          </cell>
          <cell r="J2612" t="str">
            <v>JULIANA CORDEIRO</v>
          </cell>
          <cell r="K2612" t="str">
            <v>LACTALIS</v>
          </cell>
          <cell r="L2612" t="str">
            <v>RODRIGO</v>
          </cell>
          <cell r="M2612" t="str">
            <v>JESSICA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  <cell r="H2613" t="str">
            <v>QSR</v>
          </cell>
          <cell r="I2613" t="str">
            <v>FOOD SERVICE</v>
          </cell>
          <cell r="J2613" t="str">
            <v>ANA MENIQUETE</v>
          </cell>
          <cell r="K2613" t="str">
            <v>LACTALIS</v>
          </cell>
          <cell r="L2613" t="str">
            <v>PEDRO</v>
          </cell>
          <cell r="M2613" t="str">
            <v>ANA MENIQUETE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  <cell r="H2614" t="str">
            <v>DISTRIBUIÇÃO</v>
          </cell>
          <cell r="I2614" t="str">
            <v>FOOD SERVICE</v>
          </cell>
          <cell r="J2614" t="str">
            <v>FLAC 5</v>
          </cell>
          <cell r="K2614" t="str">
            <v>LACTALIS</v>
          </cell>
          <cell r="L2614" t="str">
            <v>RODRIGO</v>
          </cell>
          <cell r="M2614" t="str">
            <v>RAQUEL BARBOSA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  <cell r="H2615" t="str">
            <v>DISTRIBUIÇÃO</v>
          </cell>
          <cell r="I2615" t="str">
            <v>FOOD SERVICE</v>
          </cell>
          <cell r="J2615" t="str">
            <v>MARCELO SILVA</v>
          </cell>
          <cell r="K2615" t="str">
            <v>ITAMBÉ</v>
          </cell>
          <cell r="L2615" t="str">
            <v>RODRIGO</v>
          </cell>
          <cell r="M2615" t="str">
            <v>CELIO MARTINS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  <cell r="H2616" t="str">
            <v>INGREDIENTS</v>
          </cell>
          <cell r="I2616" t="str">
            <v>INGREDIENTS</v>
          </cell>
          <cell r="J2616" t="str">
            <v>DUAS RODAS</v>
          </cell>
          <cell r="K2616" t="str">
            <v>ITAMBÉ</v>
          </cell>
          <cell r="L2616" t="str">
            <v>MAURICIO</v>
          </cell>
          <cell r="M2616" t="str">
            <v>TATIANA NITTA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  <cell r="H2617" t="str">
            <v>QSR</v>
          </cell>
          <cell r="I2617" t="str">
            <v>FOOD SERVICE</v>
          </cell>
          <cell r="J2617" t="str">
            <v>ANA MENIQUETE</v>
          </cell>
          <cell r="K2617" t="str">
            <v>LACTALIS</v>
          </cell>
          <cell r="L2617" t="str">
            <v>PEDRO</v>
          </cell>
          <cell r="M2617" t="str">
            <v>ANA MENIQUETE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  <cell r="H2618" t="str">
            <v>DISTRIBUIÇÃO</v>
          </cell>
          <cell r="I2618" t="str">
            <v>FOOD SERVICE</v>
          </cell>
          <cell r="J2618" t="str">
            <v>FLAC 8</v>
          </cell>
          <cell r="K2618" t="str">
            <v>LACTALIS</v>
          </cell>
          <cell r="L2618" t="str">
            <v>RODRIGO</v>
          </cell>
          <cell r="M2618" t="str">
            <v>RAQUEL BARBOSA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  <cell r="H2619" t="str">
            <v>DISTRIBUIÇÃO</v>
          </cell>
          <cell r="I2619" t="str">
            <v>FOOD SERVICE</v>
          </cell>
          <cell r="J2619" t="str">
            <v>FLAC 2</v>
          </cell>
          <cell r="K2619" t="str">
            <v>LACTALIS</v>
          </cell>
          <cell r="L2619" t="str">
            <v>RODRIGO</v>
          </cell>
          <cell r="M2619" t="str">
            <v>RAQUEL BARBOSA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  <cell r="H2620" t="str">
            <v>DISTRIBUIÇÃO</v>
          </cell>
          <cell r="I2620" t="str">
            <v>FOOD SERVICE</v>
          </cell>
          <cell r="J2620" t="str">
            <v>CLAUDIO JORGE</v>
          </cell>
          <cell r="K2620" t="str">
            <v>ITAMBÉ</v>
          </cell>
          <cell r="L2620" t="str">
            <v>RODRIGO</v>
          </cell>
          <cell r="M2620" t="str">
            <v>MARCO AURELIO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  <cell r="H2621" t="str">
            <v>DISTRIBUIÇÃO</v>
          </cell>
          <cell r="I2621" t="str">
            <v>FOOD SERVICE</v>
          </cell>
          <cell r="J2621" t="str">
            <v>FLAC 10</v>
          </cell>
          <cell r="K2621" t="str">
            <v>LACTALIS</v>
          </cell>
          <cell r="L2621" t="str">
            <v>RODRIGO</v>
          </cell>
          <cell r="M2621" t="str">
            <v>RAQUEL BARBOSA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  <cell r="H2622" t="str">
            <v>DISTRIBUIÇÃO</v>
          </cell>
          <cell r="I2622" t="str">
            <v>FOOD SERVICE</v>
          </cell>
          <cell r="J2622" t="str">
            <v>CLAUDIO JORGE</v>
          </cell>
          <cell r="K2622" t="str">
            <v>ITAMBÉ</v>
          </cell>
          <cell r="L2622" t="str">
            <v>RODRIGO</v>
          </cell>
          <cell r="M2622" t="str">
            <v>MARCO AURELIO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  <cell r="H2623" t="str">
            <v>DISTRIBUIÇÃO</v>
          </cell>
          <cell r="I2623" t="str">
            <v>FOOD SERVICE</v>
          </cell>
          <cell r="J2623" t="str">
            <v>ANGELICA BATISTELA</v>
          </cell>
          <cell r="K2623" t="str">
            <v>ITAMBÉ</v>
          </cell>
          <cell r="L2623" t="str">
            <v>RODRIGO</v>
          </cell>
          <cell r="M2623" t="str">
            <v>ANGELICA BATISTELA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  <cell r="H2624" t="str">
            <v>INGREDIENTS</v>
          </cell>
          <cell r="I2624" t="str">
            <v>INGREDIENTS</v>
          </cell>
          <cell r="J2624" t="str">
            <v>HENRIQUE FERREIRA</v>
          </cell>
          <cell r="K2624" t="str">
            <v>ITAMBÉ</v>
          </cell>
          <cell r="L2624" t="str">
            <v>MAURICIO</v>
          </cell>
          <cell r="M2624" t="str">
            <v>JOEL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  <cell r="H2625" t="str">
            <v>INGREDIENTS</v>
          </cell>
          <cell r="I2625" t="str">
            <v>INGREDIENTS</v>
          </cell>
          <cell r="J2625" t="str">
            <v>HENRIQUE FERREIRA</v>
          </cell>
          <cell r="K2625" t="str">
            <v>LACTALIS</v>
          </cell>
          <cell r="L2625" t="str">
            <v>MAURICIO</v>
          </cell>
          <cell r="M2625" t="str">
            <v>JOEL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  <cell r="H2626" t="str">
            <v>DISTRIBUIÇÃO</v>
          </cell>
          <cell r="I2626" t="str">
            <v>FOOD SERVICE</v>
          </cell>
          <cell r="J2626" t="str">
            <v>FLAC 5</v>
          </cell>
          <cell r="K2626" t="str">
            <v>LACTALIS</v>
          </cell>
          <cell r="L2626" t="str">
            <v>RODRIGO</v>
          </cell>
          <cell r="M2626" t="str">
            <v>RAQUEL BARBOSA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  <cell r="H2627" t="str">
            <v>DISTRIBUIÇÃO</v>
          </cell>
          <cell r="I2627" t="str">
            <v>FOOD SERVICE</v>
          </cell>
          <cell r="J2627" t="str">
            <v>FLAC 10</v>
          </cell>
          <cell r="K2627" t="str">
            <v>LACTALIS</v>
          </cell>
          <cell r="L2627" t="str">
            <v>RODRIGO</v>
          </cell>
          <cell r="M2627" t="str">
            <v>RAQUEL BARBOSA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  <cell r="H2628" t="str">
            <v>DISTRIBUIÇÃO</v>
          </cell>
          <cell r="I2628" t="str">
            <v>FOOD SERVICE</v>
          </cell>
          <cell r="J2628" t="str">
            <v>FLAC 1</v>
          </cell>
          <cell r="K2628" t="str">
            <v>LACTALIS</v>
          </cell>
          <cell r="L2628" t="str">
            <v>RODRIGO</v>
          </cell>
          <cell r="M2628" t="str">
            <v>RAQUEL BARBOSA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  <cell r="H2629" t="str">
            <v>INGREDIENTS</v>
          </cell>
          <cell r="I2629" t="str">
            <v>INGREDIENTS</v>
          </cell>
          <cell r="J2629" t="str">
            <v>MARCELO RODRIGUES</v>
          </cell>
          <cell r="K2629" t="str">
            <v>LACTALIS</v>
          </cell>
          <cell r="L2629" t="str">
            <v>MAURICIO</v>
          </cell>
          <cell r="M2629" t="str">
            <v>MARCELO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  <cell r="H2630" t="str">
            <v>DISTRIBUIÇÃO</v>
          </cell>
          <cell r="I2630" t="str">
            <v>FOOD SERVICE</v>
          </cell>
          <cell r="J2630" t="str">
            <v>FLAC 8</v>
          </cell>
          <cell r="K2630" t="str">
            <v>LACTALIS</v>
          </cell>
          <cell r="L2630" t="str">
            <v>RODRIGO</v>
          </cell>
          <cell r="M2630" t="str">
            <v>RAQUEL BARBOSA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  <cell r="H2631" t="str">
            <v>INGREDIENTS</v>
          </cell>
          <cell r="I2631" t="str">
            <v>INGREDIENTS</v>
          </cell>
          <cell r="J2631" t="str">
            <v>JOEL ELEOTÉRIO</v>
          </cell>
          <cell r="K2631" t="str">
            <v>ITAMBÉ</v>
          </cell>
          <cell r="L2631" t="str">
            <v>MAURICIO</v>
          </cell>
          <cell r="M2631" t="str">
            <v>JOEL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  <cell r="H2632" t="str">
            <v>DISTRIBUIÇÃO</v>
          </cell>
          <cell r="I2632" t="str">
            <v>FOOD SERVICE</v>
          </cell>
          <cell r="J2632" t="str">
            <v>CLAUDIO JORGE/LUIZ</v>
          </cell>
          <cell r="K2632" t="str">
            <v>ITAMBÉ</v>
          </cell>
          <cell r="L2632" t="str">
            <v>RODRIGO</v>
          </cell>
          <cell r="M2632" t="str">
            <v>MARIA LOURDES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  <cell r="H2633" t="str">
            <v>DISTRIBUIÇÃO</v>
          </cell>
          <cell r="I2633" t="str">
            <v>FOOD SERVICE</v>
          </cell>
          <cell r="J2633" t="str">
            <v>ANGELICA BATISTELA</v>
          </cell>
          <cell r="K2633" t="str">
            <v>LACTALIS</v>
          </cell>
          <cell r="L2633" t="str">
            <v>RODRIGO</v>
          </cell>
          <cell r="M2633" t="str">
            <v>ANGELICA BATISTELA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  <cell r="H2634" t="str">
            <v>QSR</v>
          </cell>
          <cell r="I2634" t="str">
            <v>FOOD SERVICE</v>
          </cell>
          <cell r="J2634" t="str">
            <v>ANA MENIQUETE</v>
          </cell>
          <cell r="K2634" t="str">
            <v>LACTALIS</v>
          </cell>
          <cell r="L2634" t="str">
            <v>PEDRO</v>
          </cell>
          <cell r="M2634" t="str">
            <v>ANA MENIQUETE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  <cell r="H2635" t="str">
            <v>QSR</v>
          </cell>
          <cell r="I2635" t="str">
            <v>FOOD SERVICE</v>
          </cell>
          <cell r="J2635" t="str">
            <v>NUTRI</v>
          </cell>
          <cell r="K2635" t="str">
            <v>ITAMBÉ</v>
          </cell>
          <cell r="L2635" t="str">
            <v>PEDRO</v>
          </cell>
          <cell r="M2635" t="str">
            <v>VAGO QSR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  <cell r="H2636" t="str">
            <v>INGREDIENTS</v>
          </cell>
          <cell r="I2636" t="str">
            <v>INGREDIENTS</v>
          </cell>
          <cell r="J2636" t="str">
            <v>JOEL ELEOTÉRIO</v>
          </cell>
          <cell r="K2636" t="str">
            <v>LACTALIS</v>
          </cell>
          <cell r="L2636" t="str">
            <v>MAURICIO</v>
          </cell>
          <cell r="M2636" t="str">
            <v>JOEL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  <cell r="H2637" t="str">
            <v>DISTRIBUIÇÃO</v>
          </cell>
          <cell r="I2637" t="str">
            <v>FOOD SERVICE</v>
          </cell>
          <cell r="J2637" t="str">
            <v>FLAC 2</v>
          </cell>
          <cell r="K2637" t="str">
            <v>LACTALIS</v>
          </cell>
          <cell r="L2637" t="str">
            <v>RODRIGO</v>
          </cell>
          <cell r="M2637" t="str">
            <v>RAQUEL BARBOSA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  <cell r="H2638" t="str">
            <v>DISTRIBUIÇÃO</v>
          </cell>
          <cell r="I2638" t="str">
            <v>FOOD SERVICE</v>
          </cell>
          <cell r="J2638" t="str">
            <v>MARCELO DUARTE</v>
          </cell>
          <cell r="K2638" t="str">
            <v>ITAMBÉ</v>
          </cell>
          <cell r="L2638" t="str">
            <v>RODRIGO</v>
          </cell>
          <cell r="M2638" t="str">
            <v>JESSICA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  <cell r="H2639" t="str">
            <v>DISTRIBUIÇÃO</v>
          </cell>
          <cell r="I2639" t="str">
            <v>FOOD SERVICE</v>
          </cell>
          <cell r="J2639" t="str">
            <v>FLAC 5</v>
          </cell>
          <cell r="K2639" t="str">
            <v>LACTALIS</v>
          </cell>
          <cell r="L2639" t="str">
            <v>RODRIGO</v>
          </cell>
          <cell r="M2639" t="str">
            <v>RAQUEL BARBOSA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  <cell r="H2640" t="str">
            <v>DISTRIBUIÇÃO</v>
          </cell>
          <cell r="I2640" t="str">
            <v>FOOD SERVICE</v>
          </cell>
          <cell r="J2640" t="str">
            <v>FLAC 1</v>
          </cell>
          <cell r="K2640" t="str">
            <v>LACTALIS</v>
          </cell>
          <cell r="L2640" t="str">
            <v>RODRIGO</v>
          </cell>
          <cell r="M2640" t="str">
            <v>RAQUEL BARBOSA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  <cell r="H2641" t="str">
            <v>DISTRIBUIÇÃO</v>
          </cell>
          <cell r="I2641" t="str">
            <v>FOOD SERVICE</v>
          </cell>
          <cell r="J2641" t="str">
            <v>FLAC 6</v>
          </cell>
          <cell r="K2641" t="str">
            <v>LACTALIS</v>
          </cell>
          <cell r="L2641" t="str">
            <v>RODRIGO</v>
          </cell>
          <cell r="M2641" t="str">
            <v>RAQUEL BARBOSA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  <cell r="H2642" t="str">
            <v>DISTRIBUIÇÃO</v>
          </cell>
          <cell r="I2642" t="str">
            <v>FOOD SERVICE</v>
          </cell>
          <cell r="J2642" t="str">
            <v>FLAC 2</v>
          </cell>
          <cell r="K2642" t="str">
            <v>LACTALIS</v>
          </cell>
          <cell r="L2642" t="str">
            <v>RODRIGO</v>
          </cell>
          <cell r="M2642" t="str">
            <v>RAQUEL BARBOSA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  <cell r="H2643" t="str">
            <v>DISTRIBUIÇÃO</v>
          </cell>
          <cell r="I2643" t="str">
            <v>FOOD SERVICE</v>
          </cell>
          <cell r="J2643" t="str">
            <v>FLAC 2</v>
          </cell>
          <cell r="K2643" t="str">
            <v>LACTALIS</v>
          </cell>
          <cell r="L2643" t="str">
            <v>RODRIGO</v>
          </cell>
          <cell r="M2643" t="str">
            <v>RAQUEL BARBOSA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  <cell r="H2644" t="str">
            <v>DISTRIBUIÇÃO</v>
          </cell>
          <cell r="I2644" t="str">
            <v>FOOD SERVICE</v>
          </cell>
          <cell r="J2644" t="str">
            <v>FLAC 2</v>
          </cell>
          <cell r="K2644" t="str">
            <v>LACTALIS</v>
          </cell>
          <cell r="L2644" t="str">
            <v>RODRIGO</v>
          </cell>
          <cell r="M2644" t="str">
            <v>RAQUEL BARBOSA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  <cell r="H2645" t="str">
            <v>DISTRIBUIÇÃO</v>
          </cell>
          <cell r="I2645" t="str">
            <v>FOOD SERVICE</v>
          </cell>
          <cell r="J2645" t="str">
            <v>FLAC 3</v>
          </cell>
          <cell r="K2645" t="str">
            <v>LACTALIS</v>
          </cell>
          <cell r="L2645" t="str">
            <v>RODRIGO</v>
          </cell>
          <cell r="M2645" t="str">
            <v>RAQUEL BARBOSA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  <cell r="H2646" t="str">
            <v>QSR</v>
          </cell>
          <cell r="I2646" t="str">
            <v>FOOD SERVICE</v>
          </cell>
          <cell r="J2646" t="str">
            <v>NUTRI</v>
          </cell>
          <cell r="K2646" t="str">
            <v>ITAMBÉ</v>
          </cell>
          <cell r="L2646" t="str">
            <v>PEDRO</v>
          </cell>
          <cell r="M2646" t="str">
            <v>VAGO QSR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  <cell r="H2647" t="str">
            <v>DISTRIBUIÇÃO</v>
          </cell>
          <cell r="I2647" t="str">
            <v>FOOD SERVICE</v>
          </cell>
          <cell r="J2647" t="str">
            <v>FLAC 8</v>
          </cell>
          <cell r="K2647" t="str">
            <v>LACTALIS</v>
          </cell>
          <cell r="L2647" t="str">
            <v>RODRIGO</v>
          </cell>
          <cell r="M2647" t="str">
            <v>RAQUEL BARBOSA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  <cell r="H2648" t="str">
            <v>QSR</v>
          </cell>
          <cell r="I2648" t="str">
            <v>FOOD SERVICE</v>
          </cell>
          <cell r="J2648" t="str">
            <v>NUTRI</v>
          </cell>
          <cell r="K2648" t="str">
            <v>ITAMBÉ</v>
          </cell>
          <cell r="L2648" t="str">
            <v>PEDRO</v>
          </cell>
          <cell r="M2648" t="str">
            <v>VAGO QSR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  <cell r="H2649" t="str">
            <v>INGREDIENTS</v>
          </cell>
          <cell r="I2649" t="str">
            <v>INGREDIENTS</v>
          </cell>
          <cell r="J2649" t="str">
            <v>HENRIQUE FERREIRA</v>
          </cell>
          <cell r="K2649" t="str">
            <v>ITAMBÉ</v>
          </cell>
          <cell r="L2649" t="str">
            <v>MAURICIO</v>
          </cell>
          <cell r="M2649" t="str">
            <v>JOEL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  <cell r="H2650" t="str">
            <v>DISTRIBUIÇÃO</v>
          </cell>
          <cell r="I2650" t="str">
            <v>FOOD SERVICE</v>
          </cell>
          <cell r="J2650" t="str">
            <v>FLAC 2</v>
          </cell>
          <cell r="K2650" t="str">
            <v>LACTALIS</v>
          </cell>
          <cell r="L2650" t="str">
            <v>RODRIGO</v>
          </cell>
          <cell r="M2650" t="str">
            <v>RAQUEL BARBOSA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  <cell r="H2651" t="str">
            <v>DISTRIBUIÇÃO</v>
          </cell>
          <cell r="I2651" t="str">
            <v>FOOD SERVICE</v>
          </cell>
          <cell r="J2651" t="str">
            <v>MARCELO DUARTE</v>
          </cell>
          <cell r="K2651" t="str">
            <v>ITAMBÉ</v>
          </cell>
          <cell r="L2651" t="str">
            <v>RODRIGO</v>
          </cell>
          <cell r="M2651" t="str">
            <v>JESSICA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  <cell r="H2652" t="str">
            <v>DISTRIBUIÇÃO</v>
          </cell>
          <cell r="I2652" t="str">
            <v>FOOD SERVICE</v>
          </cell>
          <cell r="J2652" t="str">
            <v>DIGMA REPR LTDA</v>
          </cell>
          <cell r="K2652" t="str">
            <v>ITAMBÉ</v>
          </cell>
          <cell r="L2652" t="str">
            <v>RODRIGO</v>
          </cell>
          <cell r="M2652" t="str">
            <v>MARIA LOURDES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  <cell r="H2653" t="str">
            <v>DISTRIBUIÇÃO</v>
          </cell>
          <cell r="I2653" t="str">
            <v>FOOD SERVICE</v>
          </cell>
          <cell r="J2653" t="str">
            <v>FLAC 1</v>
          </cell>
          <cell r="K2653" t="str">
            <v>LACTALIS</v>
          </cell>
          <cell r="L2653" t="str">
            <v>RODRIGO</v>
          </cell>
          <cell r="M2653" t="str">
            <v>RAQUEL BARBOSA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  <cell r="H2654" t="str">
            <v>QSR</v>
          </cell>
          <cell r="I2654" t="str">
            <v>FOOD SERVICE</v>
          </cell>
          <cell r="J2654" t="str">
            <v>NUTRI</v>
          </cell>
          <cell r="K2654" t="str">
            <v>ITAMBÉ</v>
          </cell>
          <cell r="L2654" t="str">
            <v>PEDRO</v>
          </cell>
          <cell r="M2654" t="str">
            <v>VAGO QSR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  <cell r="H2655" t="str">
            <v>INGREDIENTS</v>
          </cell>
          <cell r="I2655" t="str">
            <v>INGREDIENTS</v>
          </cell>
          <cell r="J2655" t="str">
            <v>MARCELO RODRIGUES</v>
          </cell>
          <cell r="K2655" t="str">
            <v>LACTALIS</v>
          </cell>
          <cell r="L2655" t="str">
            <v>MAURICIO</v>
          </cell>
          <cell r="M2655" t="str">
            <v>MARCELO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  <cell r="H2656" t="str">
            <v>DISTRIBUIÇÃO</v>
          </cell>
          <cell r="I2656" t="str">
            <v>FOOD SERVICE</v>
          </cell>
          <cell r="J2656" t="str">
            <v>FLAC 10</v>
          </cell>
          <cell r="K2656" t="str">
            <v>LACTALIS</v>
          </cell>
          <cell r="L2656" t="str">
            <v>RODRIGO</v>
          </cell>
          <cell r="M2656" t="str">
            <v>RAQUEL BARBOSA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  <cell r="H2657" t="str">
            <v>QSR</v>
          </cell>
          <cell r="I2657" t="str">
            <v>FOOD SERVICE</v>
          </cell>
          <cell r="J2657" t="str">
            <v>VAGO QSR</v>
          </cell>
          <cell r="K2657" t="str">
            <v>LACTALIS</v>
          </cell>
          <cell r="L2657" t="str">
            <v>PEDRO</v>
          </cell>
          <cell r="M2657" t="str">
            <v>VAGO QSR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  <cell r="H2658" t="str">
            <v>INGREDIENTS</v>
          </cell>
          <cell r="I2658" t="str">
            <v>INGREDIENTS</v>
          </cell>
          <cell r="J2658" t="str">
            <v>MARCELO RODRIGUES</v>
          </cell>
          <cell r="K2658" t="str">
            <v>ITAMBÉ</v>
          </cell>
          <cell r="L2658" t="str">
            <v>MAURICIO</v>
          </cell>
          <cell r="M2658" t="str">
            <v>MARCELO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  <cell r="H2659" t="str">
            <v>DISTRIBUIÇÃO</v>
          </cell>
          <cell r="I2659" t="str">
            <v>FOOD SERVICE</v>
          </cell>
          <cell r="J2659" t="str">
            <v>CLAUDIO JORGE</v>
          </cell>
          <cell r="K2659" t="str">
            <v>ITAMBÉ</v>
          </cell>
          <cell r="L2659" t="str">
            <v>RODRIGO</v>
          </cell>
          <cell r="M2659" t="str">
            <v>MARCO AURELIO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  <cell r="H2660" t="str">
            <v>INGREDIENTS</v>
          </cell>
          <cell r="I2660" t="str">
            <v>INGREDIENTS</v>
          </cell>
          <cell r="J2660" t="str">
            <v>HENRIQUE FERREIRA</v>
          </cell>
          <cell r="K2660" t="str">
            <v>LACTALIS</v>
          </cell>
          <cell r="L2660" t="str">
            <v>MAURICIO</v>
          </cell>
          <cell r="M2660" t="str">
            <v>JOEL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  <cell r="H2661" t="str">
            <v>INGREDIENTS</v>
          </cell>
          <cell r="I2661" t="str">
            <v>INGREDIENTS</v>
          </cell>
          <cell r="J2661" t="str">
            <v>JOEL ELEOTÉRIO</v>
          </cell>
          <cell r="K2661" t="str">
            <v>LACTALIS</v>
          </cell>
          <cell r="L2661" t="str">
            <v>MAURICIO</v>
          </cell>
          <cell r="M2661" t="str">
            <v>JOEL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  <cell r="H2662" t="str">
            <v>INGREDIENTS</v>
          </cell>
          <cell r="I2662" t="str">
            <v>INGREDIENTS</v>
          </cell>
          <cell r="J2662" t="str">
            <v>TATIANA NITTA</v>
          </cell>
          <cell r="K2662" t="str">
            <v>LACTALIS</v>
          </cell>
          <cell r="L2662" t="str">
            <v>MAURICIO</v>
          </cell>
          <cell r="M2662" t="str">
            <v>TATIANA NITTA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  <cell r="H2663" t="str">
            <v>DISTRIBUIÇÃO</v>
          </cell>
          <cell r="I2663" t="str">
            <v>FOOD SERVICE</v>
          </cell>
          <cell r="J2663" t="str">
            <v>FLAC 6</v>
          </cell>
          <cell r="K2663" t="str">
            <v>LACTALIS</v>
          </cell>
          <cell r="L2663" t="str">
            <v>RODRIGO</v>
          </cell>
          <cell r="M2663" t="str">
            <v>RAQUEL BARBOSA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  <cell r="H2664" t="str">
            <v>INGREDIENTS</v>
          </cell>
          <cell r="I2664" t="str">
            <v>INGREDIENTS</v>
          </cell>
          <cell r="J2664" t="str">
            <v>MARCELO RODRIGUES</v>
          </cell>
          <cell r="K2664" t="str">
            <v>LACTALIS</v>
          </cell>
          <cell r="L2664" t="str">
            <v>MAURICIO</v>
          </cell>
          <cell r="M2664" t="str">
            <v>MARCELO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  <cell r="H2665" t="str">
            <v>DISTRIBUIÇÃO</v>
          </cell>
          <cell r="I2665" t="str">
            <v>FOOD SERVICE</v>
          </cell>
          <cell r="J2665" t="str">
            <v>FLAC 4</v>
          </cell>
          <cell r="K2665" t="str">
            <v>LACTALIS</v>
          </cell>
          <cell r="L2665" t="str">
            <v>RODRIGO</v>
          </cell>
          <cell r="M2665" t="str">
            <v>RAQUEL BARBOSA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  <cell r="H2666" t="str">
            <v>DISTRIBUIÇÃO</v>
          </cell>
          <cell r="I2666" t="str">
            <v>FOOD SERVICE</v>
          </cell>
          <cell r="J2666" t="str">
            <v>FLAC 5</v>
          </cell>
          <cell r="K2666" t="str">
            <v>LACTALIS</v>
          </cell>
          <cell r="L2666" t="str">
            <v>RODRIGO</v>
          </cell>
          <cell r="M2666" t="str">
            <v>RAQUEL BARBOSA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  <cell r="H2667" t="str">
            <v>DISTRIBUIÇÃO</v>
          </cell>
          <cell r="I2667" t="str">
            <v>FOOD SERVICE</v>
          </cell>
          <cell r="J2667" t="str">
            <v>FLAC 7</v>
          </cell>
          <cell r="K2667" t="str">
            <v>LACTALIS</v>
          </cell>
          <cell r="L2667" t="str">
            <v>RODRIGO</v>
          </cell>
          <cell r="M2667" t="str">
            <v>RAQUEL BARBOSA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  <cell r="H2668" t="str">
            <v>DISTRIBUIÇÃO</v>
          </cell>
          <cell r="I2668" t="str">
            <v>FOOD SERVICE</v>
          </cell>
          <cell r="J2668" t="str">
            <v>WH FOOD SERVICE CE</v>
          </cell>
          <cell r="K2668" t="str">
            <v>ITAMBÉ</v>
          </cell>
          <cell r="L2668" t="str">
            <v>RODRIGO</v>
          </cell>
          <cell r="M2668" t="str">
            <v>MARIA LOURDES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  <cell r="H2669" t="str">
            <v>DISTRIBUIÇÃO</v>
          </cell>
          <cell r="I2669" t="str">
            <v>FOOD SERVICE</v>
          </cell>
          <cell r="J2669" t="str">
            <v>FLAC 5</v>
          </cell>
          <cell r="K2669" t="str">
            <v>LACTALIS</v>
          </cell>
          <cell r="L2669" t="str">
            <v>RODRIGO</v>
          </cell>
          <cell r="M2669" t="str">
            <v>RAQUEL BARBOSA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  <cell r="H2670" t="str">
            <v>DISTRIBUIÇÃO</v>
          </cell>
          <cell r="I2670" t="str">
            <v>FOOD SERVICE</v>
          </cell>
          <cell r="J2670" t="str">
            <v>FLAC 2</v>
          </cell>
          <cell r="K2670" t="str">
            <v>LACTALIS</v>
          </cell>
          <cell r="L2670" t="str">
            <v>RODRIGO</v>
          </cell>
          <cell r="M2670" t="str">
            <v>RAQUEL BARBOSA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  <cell r="H2671" t="str">
            <v>DISTRIBUIÇÃO</v>
          </cell>
          <cell r="I2671" t="str">
            <v>FOOD SERVICE</v>
          </cell>
          <cell r="J2671" t="str">
            <v>FLAC 5</v>
          </cell>
          <cell r="K2671" t="str">
            <v>LACTALIS</v>
          </cell>
          <cell r="L2671" t="str">
            <v>RODRIGO</v>
          </cell>
          <cell r="M2671" t="str">
            <v>RAQUEL BARBOSA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  <cell r="H2672" t="str">
            <v>INGREDIENTS</v>
          </cell>
          <cell r="I2672" t="str">
            <v>INGREDIENTS</v>
          </cell>
          <cell r="J2672" t="str">
            <v>MARCELO RODRIGUES</v>
          </cell>
          <cell r="K2672" t="str">
            <v>LACTALIS</v>
          </cell>
          <cell r="L2672" t="str">
            <v>MAURICIO</v>
          </cell>
          <cell r="M2672" t="str">
            <v>MARCELO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  <cell r="H2673" t="str">
            <v>INGREDIENTS</v>
          </cell>
          <cell r="I2673" t="str">
            <v>INGREDIENTS</v>
          </cell>
          <cell r="J2673" t="str">
            <v>MG ITB FS HENRIQUE WAGNER</v>
          </cell>
          <cell r="K2673" t="str">
            <v>ITAMBÉ</v>
          </cell>
          <cell r="L2673" t="str">
            <v>MAURICIO</v>
          </cell>
          <cell r="M2673" t="str">
            <v>TATIANA NITTA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  <cell r="H2674" t="str">
            <v>DISTRIBUIÇÃO</v>
          </cell>
          <cell r="I2674" t="str">
            <v>FOOD SERVICE</v>
          </cell>
          <cell r="J2674" t="str">
            <v>FLAC 1</v>
          </cell>
          <cell r="K2674" t="str">
            <v>LACTALIS</v>
          </cell>
          <cell r="L2674" t="str">
            <v>RODRIGO</v>
          </cell>
          <cell r="M2674" t="str">
            <v>RAQUEL BARBOSA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  <cell r="H2675" t="str">
            <v>DISTRIBUIÇÃO</v>
          </cell>
          <cell r="I2675" t="str">
            <v>FOOD SERVICE</v>
          </cell>
          <cell r="J2675" t="str">
            <v>FLAC 2</v>
          </cell>
          <cell r="K2675" t="str">
            <v>LACTALIS</v>
          </cell>
          <cell r="L2675" t="str">
            <v>RODRIGO</v>
          </cell>
          <cell r="M2675" t="str">
            <v>RAQUEL BARBOSA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  <cell r="H2676" t="str">
            <v>INGREDIENTS</v>
          </cell>
          <cell r="I2676" t="str">
            <v>INGREDIENTS</v>
          </cell>
          <cell r="J2676" t="str">
            <v>TATIANA NITTA</v>
          </cell>
          <cell r="K2676" t="str">
            <v>ITAMBÉ</v>
          </cell>
          <cell r="L2676" t="str">
            <v>MAURICIO</v>
          </cell>
          <cell r="M2676" t="str">
            <v>TATIANA NITTA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  <cell r="H2677" t="str">
            <v>INGREDIENTS</v>
          </cell>
          <cell r="I2677" t="str">
            <v>INGREDIENTS</v>
          </cell>
          <cell r="J2677" t="str">
            <v>MARCELO RODRIGUES</v>
          </cell>
          <cell r="K2677" t="str">
            <v>ITAMBÉ</v>
          </cell>
          <cell r="L2677" t="str">
            <v>MAURICIO</v>
          </cell>
          <cell r="M2677" t="str">
            <v>MARCELO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  <cell r="H2678" t="str">
            <v>DISTRIBUIÇÃO</v>
          </cell>
          <cell r="I2678" t="str">
            <v>FOOD SERVICE</v>
          </cell>
          <cell r="J2678" t="str">
            <v>FLAC 5</v>
          </cell>
          <cell r="K2678" t="str">
            <v>LACTALIS</v>
          </cell>
          <cell r="L2678" t="str">
            <v>RODRIGO</v>
          </cell>
          <cell r="M2678" t="str">
            <v>RAQUEL BARBOSA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  <cell r="H2679" t="str">
            <v>DISTRIBUIÇÃO</v>
          </cell>
          <cell r="I2679" t="str">
            <v>FOOD SERVICE</v>
          </cell>
          <cell r="J2679" t="str">
            <v>FLAC 5</v>
          </cell>
          <cell r="K2679" t="str">
            <v>LACTALIS</v>
          </cell>
          <cell r="L2679" t="str">
            <v>RODRIGO</v>
          </cell>
          <cell r="M2679" t="str">
            <v>RAQUEL BARBOSA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  <cell r="H2680" t="str">
            <v>DISTRIBUIÇÃO</v>
          </cell>
          <cell r="I2680" t="str">
            <v>FOOD SERVICE</v>
          </cell>
          <cell r="J2680" t="str">
            <v>MARCELO SILVA</v>
          </cell>
          <cell r="K2680" t="str">
            <v>ITAMBÉ</v>
          </cell>
          <cell r="L2680" t="str">
            <v>RODRIGO</v>
          </cell>
          <cell r="M2680" t="str">
            <v>CELIO MARTINS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  <cell r="H2681" t="str">
            <v>DISTRIBUIÇÃO</v>
          </cell>
          <cell r="I2681" t="str">
            <v>FOOD SERVICE</v>
          </cell>
          <cell r="J2681" t="str">
            <v>WH FOOD SERVICE CE</v>
          </cell>
          <cell r="K2681" t="str">
            <v>ITAMBÉ</v>
          </cell>
          <cell r="L2681" t="str">
            <v>RODRIGO</v>
          </cell>
          <cell r="M2681" t="str">
            <v>MARIA LOURDES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  <cell r="H2682" t="str">
            <v>DISTRIBUIÇÃO</v>
          </cell>
          <cell r="I2682" t="str">
            <v>FOOD SERVICE</v>
          </cell>
          <cell r="J2682" t="str">
            <v>FLAC 8</v>
          </cell>
          <cell r="K2682" t="str">
            <v>LACTALIS</v>
          </cell>
          <cell r="L2682" t="str">
            <v>RODRIGO</v>
          </cell>
          <cell r="M2682" t="str">
            <v>RAQUEL BARBOSA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  <cell r="H2683" t="str">
            <v>INGREDIENTS</v>
          </cell>
          <cell r="I2683" t="str">
            <v>INGREDIENTS</v>
          </cell>
          <cell r="J2683" t="str">
            <v>JOEL ELEOTÉRIO</v>
          </cell>
          <cell r="K2683" t="str">
            <v>ITAMBÉ</v>
          </cell>
          <cell r="L2683" t="str">
            <v>MAURICIO</v>
          </cell>
          <cell r="M2683" t="str">
            <v>JOEL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  <cell r="H2684" t="str">
            <v>QSR</v>
          </cell>
          <cell r="I2684" t="str">
            <v>FOOD SERVICE</v>
          </cell>
          <cell r="J2684" t="str">
            <v>VAGO QSR</v>
          </cell>
          <cell r="K2684" t="str">
            <v>ITAMBÉ</v>
          </cell>
          <cell r="L2684" t="str">
            <v>PEDRO</v>
          </cell>
          <cell r="M2684" t="str">
            <v>VAGO QSR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  <cell r="H2685" t="str">
            <v>INGREDIENTS</v>
          </cell>
          <cell r="I2685" t="str">
            <v>INGREDIENTS</v>
          </cell>
          <cell r="J2685" t="str">
            <v>MG ITB FS HENRIQUE WAGNER</v>
          </cell>
          <cell r="K2685" t="str">
            <v>ITAMBÉ</v>
          </cell>
          <cell r="L2685" t="str">
            <v>MAURICIO</v>
          </cell>
          <cell r="M2685" t="str">
            <v>TATIANA NITTA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  <cell r="H2686" t="str">
            <v>INGREDIENTS</v>
          </cell>
          <cell r="I2686" t="str">
            <v>INGREDIENTS</v>
          </cell>
          <cell r="J2686" t="str">
            <v>BA ITB FS ML FLAVORS</v>
          </cell>
          <cell r="K2686" t="str">
            <v>ITAMBÉ</v>
          </cell>
          <cell r="L2686" t="str">
            <v>MAURICIO</v>
          </cell>
          <cell r="M2686" t="str">
            <v>JOEL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  <cell r="H2687" t="str">
            <v>DISTRIBUIÇÃO</v>
          </cell>
          <cell r="I2687" t="str">
            <v>FOOD SERVICE</v>
          </cell>
          <cell r="J2687" t="str">
            <v>FLAC 5</v>
          </cell>
          <cell r="K2687" t="str">
            <v>LACTALIS</v>
          </cell>
          <cell r="L2687" t="str">
            <v>RODRIGO</v>
          </cell>
          <cell r="M2687" t="str">
            <v>RAQUEL BARBOSA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  <cell r="H2688" t="str">
            <v>DISTRIBUIÇÃO</v>
          </cell>
          <cell r="I2688" t="str">
            <v>FOOD SERVICE</v>
          </cell>
          <cell r="J2688" t="str">
            <v>FLAC 5</v>
          </cell>
          <cell r="K2688" t="str">
            <v>LACTALIS</v>
          </cell>
          <cell r="L2688" t="str">
            <v>RODRIGO</v>
          </cell>
          <cell r="M2688" t="str">
            <v>RAQUEL BARBOSA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  <cell r="H2689" t="str">
            <v>DISTRIBUIÇÃO</v>
          </cell>
          <cell r="I2689" t="str">
            <v>FOOD SERVICE</v>
          </cell>
          <cell r="J2689" t="str">
            <v>FLAC 3</v>
          </cell>
          <cell r="K2689" t="str">
            <v>LACTALIS</v>
          </cell>
          <cell r="L2689" t="str">
            <v>RODRIGO</v>
          </cell>
          <cell r="M2689" t="str">
            <v>RAQUEL BARBOSA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  <cell r="H2690" t="str">
            <v>DISTRIBUIÇÃO</v>
          </cell>
          <cell r="I2690" t="str">
            <v>FOOD SERVICE</v>
          </cell>
          <cell r="J2690" t="str">
            <v>CLAUDIO JORGE/LUIZ</v>
          </cell>
          <cell r="K2690" t="str">
            <v>ITAMBÉ</v>
          </cell>
          <cell r="L2690" t="str">
            <v>RODRIGO</v>
          </cell>
          <cell r="M2690" t="str">
            <v>MARIA LOURDES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  <cell r="H2691" t="str">
            <v>QSR</v>
          </cell>
          <cell r="I2691" t="str">
            <v>FOOD SERVICE</v>
          </cell>
          <cell r="J2691" t="str">
            <v>ANA MENIQUETE</v>
          </cell>
          <cell r="K2691" t="str">
            <v>ITAMBÉ</v>
          </cell>
          <cell r="L2691" t="str">
            <v>PEDRO</v>
          </cell>
          <cell r="M2691" t="str">
            <v>ANA MENIQUETE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  <cell r="H2692" t="str">
            <v>DISTRIBUIÇÃO</v>
          </cell>
          <cell r="I2692" t="str">
            <v>FOOD SERVICE</v>
          </cell>
          <cell r="J2692" t="str">
            <v>LUCIANA MARTINS</v>
          </cell>
          <cell r="K2692" t="str">
            <v>ITAMBÉ</v>
          </cell>
          <cell r="L2692" t="str">
            <v>RODRIGO</v>
          </cell>
          <cell r="M2692" t="str">
            <v>JESSICA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  <cell r="H2693" t="str">
            <v>DISTRIBUIÇÃO</v>
          </cell>
          <cell r="I2693" t="str">
            <v>FOOD SERVICE</v>
          </cell>
          <cell r="J2693" t="str">
            <v>FLAC 5</v>
          </cell>
          <cell r="K2693" t="str">
            <v>LACTALIS</v>
          </cell>
          <cell r="L2693" t="str">
            <v>RODRIGO</v>
          </cell>
          <cell r="M2693" t="str">
            <v>RAQUEL BARBOSA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  <cell r="H2694" t="str">
            <v>DISTRIBUIÇÃO</v>
          </cell>
          <cell r="I2694" t="str">
            <v>FOOD SERVICE</v>
          </cell>
          <cell r="J2694" t="str">
            <v>FLAC 3</v>
          </cell>
          <cell r="K2694" t="str">
            <v>LACTALIS</v>
          </cell>
          <cell r="L2694" t="str">
            <v>RODRIGO</v>
          </cell>
          <cell r="M2694" t="str">
            <v>RAQUEL BARBOSA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  <cell r="H2695" t="str">
            <v>DISTRIBUIÇÃO</v>
          </cell>
          <cell r="I2695" t="str">
            <v>FOOD SERVICE</v>
          </cell>
          <cell r="J2695" t="str">
            <v>CLAUDIO JORGE/LUIZ</v>
          </cell>
          <cell r="K2695" t="str">
            <v>ITAMBÉ</v>
          </cell>
          <cell r="L2695" t="str">
            <v>RODRIGO</v>
          </cell>
          <cell r="M2695" t="str">
            <v>MARIA LOURDES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  <cell r="H2696" t="str">
            <v>DISTRIBUIÇÃO</v>
          </cell>
          <cell r="I2696" t="str">
            <v>FOOD SERVICE</v>
          </cell>
          <cell r="J2696" t="str">
            <v>CLAUDIO JORGE/LUIZ</v>
          </cell>
          <cell r="K2696" t="str">
            <v>ITAMBÉ</v>
          </cell>
          <cell r="L2696" t="str">
            <v>RODRIGO</v>
          </cell>
          <cell r="M2696" t="str">
            <v>MARIA LOURDES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  <cell r="H2697" t="str">
            <v>DISTRIBUIÇÃO</v>
          </cell>
          <cell r="I2697" t="str">
            <v>FOOD SERVICE</v>
          </cell>
          <cell r="J2697" t="str">
            <v>FLAC 4</v>
          </cell>
          <cell r="K2697" t="str">
            <v>LACTALIS</v>
          </cell>
          <cell r="L2697" t="str">
            <v>RODRIGO</v>
          </cell>
          <cell r="M2697" t="str">
            <v>RAQUEL BARBOSA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  <cell r="H2698" t="str">
            <v>INGREDIENTS</v>
          </cell>
          <cell r="I2698" t="str">
            <v>INGREDIENTS</v>
          </cell>
          <cell r="J2698" t="str">
            <v>DUAS RODAS</v>
          </cell>
          <cell r="K2698" t="str">
            <v>ITAMBÉ</v>
          </cell>
          <cell r="L2698" t="str">
            <v>MAURICIO</v>
          </cell>
          <cell r="M2698" t="str">
            <v>TATIANA NITTA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  <cell r="H2699" t="str">
            <v>DISTRIBUIÇÃO</v>
          </cell>
          <cell r="I2699" t="str">
            <v>FOOD SERVICE</v>
          </cell>
          <cell r="J2699" t="str">
            <v>VAGO SP</v>
          </cell>
          <cell r="K2699" t="str">
            <v>LACTALIS</v>
          </cell>
          <cell r="L2699" t="str">
            <v>RODRIGO</v>
          </cell>
          <cell r="M2699" t="str">
            <v>RAQUEL BARBOSA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  <cell r="H2700" t="str">
            <v>DISTRIBUIÇÃO</v>
          </cell>
          <cell r="I2700" t="str">
            <v>FOOD SERVICE</v>
          </cell>
          <cell r="J2700" t="str">
            <v>JULIANA CORDEIRO</v>
          </cell>
          <cell r="K2700" t="str">
            <v>ITAMBÉ</v>
          </cell>
          <cell r="L2700" t="str">
            <v>RODRIGO</v>
          </cell>
          <cell r="M2700" t="str">
            <v>JESSICA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  <cell r="H2701" t="str">
            <v>DISTRIBUIÇÃO</v>
          </cell>
          <cell r="I2701" t="str">
            <v>FOOD SERVICE</v>
          </cell>
          <cell r="J2701" t="str">
            <v>FLAC 2</v>
          </cell>
          <cell r="K2701" t="str">
            <v>LACTALIS</v>
          </cell>
          <cell r="L2701" t="str">
            <v>RODRIGO</v>
          </cell>
          <cell r="M2701" t="str">
            <v>RAQUEL BARBOSA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  <cell r="H2702" t="str">
            <v>DISTRIBUIÇÃO</v>
          </cell>
          <cell r="I2702" t="str">
            <v>FOOD SERVICE</v>
          </cell>
          <cell r="J2702" t="str">
            <v>FLAC 4</v>
          </cell>
          <cell r="K2702" t="str">
            <v>LACTALIS</v>
          </cell>
          <cell r="L2702" t="str">
            <v>RODRIGO</v>
          </cell>
          <cell r="M2702" t="str">
            <v>RAQUEL BARBOSA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  <cell r="H2703" t="str">
            <v>DISTRIBUIÇÃO</v>
          </cell>
          <cell r="I2703" t="str">
            <v>FOOD SERVICE</v>
          </cell>
          <cell r="J2703" t="str">
            <v>MARCELO SILVA</v>
          </cell>
          <cell r="K2703" t="str">
            <v>LACTALIS</v>
          </cell>
          <cell r="L2703" t="str">
            <v>RODRIGO</v>
          </cell>
          <cell r="M2703" t="str">
            <v>CELIO MARTINS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  <cell r="H2704" t="str">
            <v>DISTRIBUIÇÃO</v>
          </cell>
          <cell r="I2704" t="str">
            <v>FOOD SERVICE</v>
          </cell>
          <cell r="J2704" t="str">
            <v>FLAC 6</v>
          </cell>
          <cell r="K2704" t="str">
            <v>LACTALIS</v>
          </cell>
          <cell r="L2704" t="str">
            <v>RODRIGO</v>
          </cell>
          <cell r="M2704" t="str">
            <v>RAQUEL BARBOSA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  <cell r="H2705" t="str">
            <v>DISTRIBUIÇÃO</v>
          </cell>
          <cell r="I2705" t="str">
            <v>FOOD SERVICE</v>
          </cell>
          <cell r="J2705" t="str">
            <v>FLAC 4</v>
          </cell>
          <cell r="K2705" t="str">
            <v>LACTALIS</v>
          </cell>
          <cell r="L2705" t="str">
            <v>RODRIGO</v>
          </cell>
          <cell r="M2705" t="str">
            <v>RAQUEL BARBOSA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  <cell r="H2706" t="str">
            <v>INGREDIENTS</v>
          </cell>
          <cell r="I2706" t="str">
            <v>INGREDIENTS</v>
          </cell>
          <cell r="J2706" t="str">
            <v>MARCELO RODRIGUES</v>
          </cell>
          <cell r="K2706" t="str">
            <v>ITAMBÉ</v>
          </cell>
          <cell r="L2706" t="str">
            <v>MAURICIO</v>
          </cell>
          <cell r="M2706" t="str">
            <v>MARCELO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  <cell r="H2707" t="str">
            <v>DISTRIBUIÇÃO</v>
          </cell>
          <cell r="I2707" t="str">
            <v>FOOD SERVICE</v>
          </cell>
          <cell r="J2707" t="str">
            <v>FLAC 6</v>
          </cell>
          <cell r="K2707" t="str">
            <v>LACTALIS</v>
          </cell>
          <cell r="L2707" t="str">
            <v>RODRIGO</v>
          </cell>
          <cell r="M2707" t="str">
            <v>RAQUEL BARBOSA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  <cell r="H2708" t="str">
            <v>INGREDIENTS</v>
          </cell>
          <cell r="I2708" t="str">
            <v>INGREDIENTS</v>
          </cell>
          <cell r="J2708" t="str">
            <v>TATIANA NITTA</v>
          </cell>
          <cell r="K2708" t="str">
            <v>ITAMBÉ</v>
          </cell>
          <cell r="L2708" t="str">
            <v>MAURICIO</v>
          </cell>
          <cell r="M2708" t="str">
            <v>TATIANA NITTA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  <cell r="H2709" t="str">
            <v>QSR</v>
          </cell>
          <cell r="I2709" t="str">
            <v>FOOD SERVICE</v>
          </cell>
          <cell r="J2709" t="str">
            <v>NUTRI</v>
          </cell>
          <cell r="K2709" t="str">
            <v>ITAMBÉ</v>
          </cell>
          <cell r="L2709" t="str">
            <v>PEDRO</v>
          </cell>
          <cell r="M2709" t="str">
            <v>VAGO QSR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  <cell r="H2710" t="str">
            <v>INGREDIENTS</v>
          </cell>
          <cell r="I2710" t="str">
            <v>INGREDIENTS</v>
          </cell>
          <cell r="J2710" t="str">
            <v>HENRIQUE FERREIRA</v>
          </cell>
          <cell r="K2710" t="str">
            <v>ITAMBÉ</v>
          </cell>
          <cell r="L2710" t="str">
            <v>MAURICIO</v>
          </cell>
          <cell r="M2710" t="str">
            <v>JOEL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  <cell r="H2711" t="str">
            <v>DISTRIBUIÇÃO</v>
          </cell>
          <cell r="I2711" t="str">
            <v>FOOD SERVICE</v>
          </cell>
          <cell r="J2711" t="str">
            <v>FLAC 10</v>
          </cell>
          <cell r="K2711" t="str">
            <v>LACTALIS</v>
          </cell>
          <cell r="L2711" t="str">
            <v>RODRIGO</v>
          </cell>
          <cell r="M2711" t="str">
            <v>RAQUEL BARBOSA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  <cell r="H2712" t="str">
            <v>INGREDIENTS</v>
          </cell>
          <cell r="I2712" t="str">
            <v>INGREDIENTS</v>
          </cell>
          <cell r="J2712" t="str">
            <v>JOEL ELEOTÉRIO</v>
          </cell>
          <cell r="K2712" t="str">
            <v>LACTALIS</v>
          </cell>
          <cell r="L2712" t="str">
            <v>MAURICIO</v>
          </cell>
          <cell r="M2712" t="str">
            <v>JOEL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  <cell r="H2713" t="str">
            <v>INGREDIENTS</v>
          </cell>
          <cell r="I2713" t="str">
            <v>INGREDIENTS</v>
          </cell>
          <cell r="J2713" t="str">
            <v>JOEL ELEOTÉRIO</v>
          </cell>
          <cell r="K2713" t="str">
            <v>LACTALIS</v>
          </cell>
          <cell r="L2713" t="str">
            <v>MAURICIO</v>
          </cell>
          <cell r="M2713" t="str">
            <v>JOEL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  <cell r="H2714" t="str">
            <v>DISTRIBUIÇÃO</v>
          </cell>
          <cell r="I2714" t="str">
            <v>FOOD SERVICE</v>
          </cell>
          <cell r="J2714" t="str">
            <v>FLAC 5</v>
          </cell>
          <cell r="K2714" t="str">
            <v>LACTALIS</v>
          </cell>
          <cell r="L2714" t="str">
            <v>RODRIGO</v>
          </cell>
          <cell r="M2714" t="str">
            <v>RAQUEL BARBOSA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  <cell r="H2715" t="str">
            <v>DISTRIBUIÇÃO</v>
          </cell>
          <cell r="I2715" t="str">
            <v>FOOD SERVICE</v>
          </cell>
          <cell r="J2715" t="str">
            <v>FLAC 6</v>
          </cell>
          <cell r="K2715" t="str">
            <v>LACTALIS</v>
          </cell>
          <cell r="L2715" t="str">
            <v>RODRIGO</v>
          </cell>
          <cell r="M2715" t="str">
            <v>RAQUEL BARBOSA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  <cell r="H2716" t="str">
            <v>INGREDIENTS</v>
          </cell>
          <cell r="I2716" t="str">
            <v>INGREDIENTS</v>
          </cell>
          <cell r="J2716" t="str">
            <v>HENRIQUE FERREIRA</v>
          </cell>
          <cell r="K2716" t="str">
            <v>ITAMBÉ</v>
          </cell>
          <cell r="L2716" t="str">
            <v>MAURICIO</v>
          </cell>
          <cell r="M2716" t="str">
            <v>JOEL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  <cell r="H2717" t="str">
            <v>DISTRIBUIÇÃO</v>
          </cell>
          <cell r="I2717" t="str">
            <v>FOOD SERVICE</v>
          </cell>
          <cell r="J2717" t="str">
            <v>FLAC 3</v>
          </cell>
          <cell r="K2717" t="str">
            <v>LACTALIS</v>
          </cell>
          <cell r="L2717" t="str">
            <v>RODRIGO</v>
          </cell>
          <cell r="M2717" t="str">
            <v>RAQUEL BARBOSA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  <cell r="H2718" t="str">
            <v>DISTRIBUIÇÃO</v>
          </cell>
          <cell r="I2718" t="str">
            <v>FOOD SERVICE</v>
          </cell>
          <cell r="J2718" t="str">
            <v>FLAC 3</v>
          </cell>
          <cell r="K2718" t="str">
            <v>LACTALIS</v>
          </cell>
          <cell r="L2718" t="str">
            <v>RODRIGO</v>
          </cell>
          <cell r="M2718" t="str">
            <v>RAQUEL BARBOSA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  <cell r="H2719" t="str">
            <v>DISTRIBUIÇÃO</v>
          </cell>
          <cell r="I2719" t="str">
            <v>FOOD SERVICE</v>
          </cell>
          <cell r="J2719" t="str">
            <v>FLAC 6</v>
          </cell>
          <cell r="K2719" t="str">
            <v>LACTALIS</v>
          </cell>
          <cell r="L2719" t="str">
            <v>RODRIGO</v>
          </cell>
          <cell r="M2719" t="str">
            <v>RAQUEL BARBOSA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  <cell r="H2720" t="str">
            <v>DISTRIBUIÇÃO</v>
          </cell>
          <cell r="I2720" t="str">
            <v>FOOD SERVICE</v>
          </cell>
          <cell r="J2720" t="str">
            <v>FLAC 6</v>
          </cell>
          <cell r="K2720" t="str">
            <v>LACTALIS</v>
          </cell>
          <cell r="L2720" t="str">
            <v>RODRIGO</v>
          </cell>
          <cell r="M2720" t="str">
            <v>RAQUEL BARBOSA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  <cell r="H2721" t="str">
            <v>DISTRIBUIÇÃO</v>
          </cell>
          <cell r="I2721" t="str">
            <v>FOOD SERVICE</v>
          </cell>
          <cell r="J2721" t="str">
            <v>FLAC 5</v>
          </cell>
          <cell r="K2721" t="str">
            <v>LACTALIS</v>
          </cell>
          <cell r="L2721" t="str">
            <v>RODRIGO</v>
          </cell>
          <cell r="M2721" t="str">
            <v>RAQUEL BARBOSA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  <cell r="H2722" t="str">
            <v>DISTRIBUIÇÃO</v>
          </cell>
          <cell r="I2722" t="str">
            <v>FOOD SERVICE</v>
          </cell>
          <cell r="J2722" t="str">
            <v>FLAC 5</v>
          </cell>
          <cell r="K2722" t="str">
            <v>LACTALIS</v>
          </cell>
          <cell r="L2722" t="str">
            <v>RODRIGO</v>
          </cell>
          <cell r="M2722" t="str">
            <v>RAQUEL BARBOSA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  <cell r="H2723" t="str">
            <v>DISTRIBUIÇÃO</v>
          </cell>
          <cell r="I2723" t="str">
            <v>FOOD SERVICE</v>
          </cell>
          <cell r="J2723" t="str">
            <v>WH FOOD SERVICE CE</v>
          </cell>
          <cell r="K2723" t="str">
            <v>ITAMBÉ</v>
          </cell>
          <cell r="L2723" t="str">
            <v>RODRIGO</v>
          </cell>
          <cell r="M2723" t="str">
            <v>MARIA LOURDES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  <cell r="H2724" t="str">
            <v>DISTRIBUIÇÃO</v>
          </cell>
          <cell r="I2724" t="str">
            <v>FOOD SERVICE</v>
          </cell>
          <cell r="J2724" t="str">
            <v>FLAC 4</v>
          </cell>
          <cell r="K2724" t="str">
            <v>LACTALIS</v>
          </cell>
          <cell r="L2724" t="str">
            <v>RODRIGO</v>
          </cell>
          <cell r="M2724" t="str">
            <v>RAQUEL BARBOSA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  <cell r="H2725" t="str">
            <v>DISTRIBUIÇÃO</v>
          </cell>
          <cell r="I2725" t="str">
            <v>FOOD SERVICE</v>
          </cell>
          <cell r="J2725" t="str">
            <v>FLAC 3</v>
          </cell>
          <cell r="K2725" t="str">
            <v>LACTALIS</v>
          </cell>
          <cell r="L2725" t="str">
            <v>RODRIGO</v>
          </cell>
          <cell r="M2725" t="str">
            <v>RAQUEL BARBOSA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  <cell r="H2726" t="str">
            <v>DISTRIBUIÇÃO</v>
          </cell>
          <cell r="I2726" t="str">
            <v>FOOD SERVICE</v>
          </cell>
          <cell r="J2726" t="str">
            <v>FLAC 3</v>
          </cell>
          <cell r="K2726" t="str">
            <v>LACTALIS</v>
          </cell>
          <cell r="L2726" t="str">
            <v>RODRIGO</v>
          </cell>
          <cell r="M2726" t="str">
            <v>RAQUEL BARBOSA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  <cell r="H2727" t="str">
            <v>INGREDIENTS</v>
          </cell>
          <cell r="I2727" t="str">
            <v>INGREDIENTS</v>
          </cell>
          <cell r="J2727" t="str">
            <v>JOEL ELEOTÉRIO</v>
          </cell>
          <cell r="K2727" t="str">
            <v>ITAMBÉ</v>
          </cell>
          <cell r="L2727" t="str">
            <v>MAURICIO</v>
          </cell>
          <cell r="M2727" t="str">
            <v>JOEL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  <cell r="H2728" t="str">
            <v>DISTRIBUIÇÃO</v>
          </cell>
          <cell r="I2728" t="str">
            <v>FOOD SERVICE</v>
          </cell>
          <cell r="J2728" t="str">
            <v>FLAC 4</v>
          </cell>
          <cell r="K2728" t="str">
            <v>LACTALIS</v>
          </cell>
          <cell r="L2728" t="str">
            <v>RODRIGO</v>
          </cell>
          <cell r="M2728" t="str">
            <v>RAQUEL BARBOSA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  <cell r="H2729" t="str">
            <v>DISTRIBUIÇÃO</v>
          </cell>
          <cell r="I2729" t="str">
            <v>FOOD SERVICE</v>
          </cell>
          <cell r="J2729" t="str">
            <v>FLAC 5</v>
          </cell>
          <cell r="K2729" t="str">
            <v>LACTALIS</v>
          </cell>
          <cell r="L2729" t="str">
            <v>RODRIGO</v>
          </cell>
          <cell r="M2729" t="str">
            <v>RAQUEL BARBOSA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  <cell r="H2730" t="str">
            <v>DISTRIBUIÇÃO</v>
          </cell>
          <cell r="I2730" t="str">
            <v>FOOD SERVICE</v>
          </cell>
          <cell r="J2730" t="str">
            <v>MARCELO DUARTE</v>
          </cell>
          <cell r="K2730" t="str">
            <v>ITAMBÉ</v>
          </cell>
          <cell r="L2730" t="str">
            <v>RODRIGO</v>
          </cell>
          <cell r="M2730" t="str">
            <v>JESSICA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  <cell r="H2731" t="str">
            <v>DISTRIBUIÇÃO</v>
          </cell>
          <cell r="I2731" t="str">
            <v>FOOD SERVICE</v>
          </cell>
          <cell r="J2731" t="str">
            <v>FLAC 2</v>
          </cell>
          <cell r="K2731" t="str">
            <v>LACTALIS</v>
          </cell>
          <cell r="L2731" t="str">
            <v>RODRIGO</v>
          </cell>
          <cell r="M2731" t="str">
            <v>RAQUEL BARBOSA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  <cell r="H2732" t="str">
            <v>DISTRIBUIÇÃO</v>
          </cell>
          <cell r="I2732" t="str">
            <v>FOOD SERVICE</v>
          </cell>
          <cell r="J2732" t="str">
            <v>CLAUDIO JORGE</v>
          </cell>
          <cell r="K2732" t="str">
            <v>ITAMBÉ</v>
          </cell>
          <cell r="L2732" t="str">
            <v>RODRIGO</v>
          </cell>
          <cell r="M2732" t="str">
            <v>MARCO AURELIO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  <cell r="H2733" t="str">
            <v>INGREDIENTS</v>
          </cell>
          <cell r="I2733" t="str">
            <v>INGREDIENTS</v>
          </cell>
          <cell r="J2733" t="str">
            <v>MARCELO RODRIGUES</v>
          </cell>
          <cell r="K2733" t="str">
            <v>LACTALIS</v>
          </cell>
          <cell r="L2733" t="str">
            <v>MAURICIO</v>
          </cell>
          <cell r="M2733" t="str">
            <v>MARCELO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  <cell r="H2734" t="str">
            <v>INGREDIENTS</v>
          </cell>
          <cell r="I2734" t="str">
            <v>INGREDIENTS</v>
          </cell>
          <cell r="J2734" t="str">
            <v>DLUM</v>
          </cell>
          <cell r="K2734" t="str">
            <v>LACTALIS</v>
          </cell>
          <cell r="L2734" t="str">
            <v>MAURICIO</v>
          </cell>
          <cell r="M2734" t="str">
            <v>JOEL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  <cell r="H2735" t="str">
            <v>DISTRIBUIÇÃO</v>
          </cell>
          <cell r="I2735" t="str">
            <v>FOOD SERVICE</v>
          </cell>
          <cell r="J2735" t="str">
            <v>FLAC 4</v>
          </cell>
          <cell r="K2735" t="str">
            <v>LACTALIS</v>
          </cell>
          <cell r="L2735" t="str">
            <v>RODRIGO</v>
          </cell>
          <cell r="M2735" t="str">
            <v>RAQUEL BARBOSA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  <cell r="H2736" t="str">
            <v>INGREDIENTS</v>
          </cell>
          <cell r="I2736" t="str">
            <v>INGREDIENTS</v>
          </cell>
          <cell r="J2736" t="str">
            <v>JOEL ELEOTÉRIO</v>
          </cell>
          <cell r="K2736" t="str">
            <v>LACTALIS</v>
          </cell>
          <cell r="L2736" t="str">
            <v>MAURICIO</v>
          </cell>
          <cell r="M2736" t="str">
            <v>JOEL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  <cell r="H2737" t="str">
            <v>DISTRIBUIÇÃO</v>
          </cell>
          <cell r="I2737" t="str">
            <v>FOOD SERVICE</v>
          </cell>
          <cell r="J2737" t="str">
            <v>FLAC 5</v>
          </cell>
          <cell r="K2737" t="str">
            <v>LACTALIS</v>
          </cell>
          <cell r="L2737" t="str">
            <v>RODRIGO</v>
          </cell>
          <cell r="M2737" t="str">
            <v>RAQUEL BARBOSA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  <cell r="H2738" t="str">
            <v>DISTRIBUIÇÃO</v>
          </cell>
          <cell r="I2738" t="str">
            <v>FOOD SERVICE</v>
          </cell>
          <cell r="J2738" t="str">
            <v>FLAC 2</v>
          </cell>
          <cell r="K2738" t="str">
            <v>LACTALIS</v>
          </cell>
          <cell r="L2738" t="str">
            <v>RODRIGO</v>
          </cell>
          <cell r="M2738" t="str">
            <v>RAQUEL BARBOSA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  <cell r="H2739" t="str">
            <v>DISTRIBUIÇÃO</v>
          </cell>
          <cell r="I2739" t="str">
            <v>FOOD SERVICE</v>
          </cell>
          <cell r="J2739" t="str">
            <v>FLAC 3</v>
          </cell>
          <cell r="K2739" t="str">
            <v>LACTALIS</v>
          </cell>
          <cell r="L2739" t="str">
            <v>RODRIGO</v>
          </cell>
          <cell r="M2739" t="str">
            <v>RAQUEL BARBOSA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  <cell r="H2740" t="str">
            <v>DISTRIBUIÇÃO</v>
          </cell>
          <cell r="I2740" t="str">
            <v>FOOD SERVICE</v>
          </cell>
          <cell r="J2740" t="str">
            <v>FLAC 3</v>
          </cell>
          <cell r="K2740" t="str">
            <v>LACTALIS</v>
          </cell>
          <cell r="L2740" t="str">
            <v>RODRIGO</v>
          </cell>
          <cell r="M2740" t="str">
            <v>RAQUEL BARBOSA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  <cell r="H2741" t="str">
            <v>DISTRIBUIÇÃO</v>
          </cell>
          <cell r="I2741" t="str">
            <v>FOOD SERVICE</v>
          </cell>
          <cell r="J2741" t="str">
            <v>FLAC 2</v>
          </cell>
          <cell r="K2741" t="str">
            <v>LACTALIS</v>
          </cell>
          <cell r="L2741" t="str">
            <v>RODRIGO</v>
          </cell>
          <cell r="M2741" t="str">
            <v>RAQUEL BARBOSA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  <cell r="H2742" t="str">
            <v>INGREDIENTS</v>
          </cell>
          <cell r="I2742" t="str">
            <v>INGREDIENTS</v>
          </cell>
          <cell r="J2742" t="str">
            <v>SP ITB FS LUIZ PEREIRA</v>
          </cell>
          <cell r="K2742" t="str">
            <v>ITAMBÉ</v>
          </cell>
          <cell r="L2742" t="str">
            <v>MAURICIO</v>
          </cell>
          <cell r="M2742" t="str">
            <v>TATIANA NITTA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  <cell r="H2743" t="str">
            <v>DISTRIBUIÇÃO</v>
          </cell>
          <cell r="I2743" t="str">
            <v>FOOD SERVICE</v>
          </cell>
          <cell r="J2743" t="str">
            <v>CLAUDIO JORGE/AMANDA SANDS</v>
          </cell>
          <cell r="K2743" t="str">
            <v>ITAMBÉ</v>
          </cell>
          <cell r="L2743" t="str">
            <v>RODRIGO</v>
          </cell>
          <cell r="M2743" t="str">
            <v>MARIA LOURDES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  <cell r="H2744" t="str">
            <v>DISTRIBUIÇÃO</v>
          </cell>
          <cell r="I2744" t="str">
            <v>FOOD SERVICE</v>
          </cell>
          <cell r="J2744" t="str">
            <v>FLAC 6</v>
          </cell>
          <cell r="K2744" t="str">
            <v>LACTALIS</v>
          </cell>
          <cell r="L2744" t="str">
            <v>RODRIGO</v>
          </cell>
          <cell r="M2744" t="str">
            <v>RAQUEL BARBOSA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  <cell r="H2745" t="str">
            <v>DISTRIBUIÇÃO</v>
          </cell>
          <cell r="I2745" t="str">
            <v>FOOD SERVICE</v>
          </cell>
          <cell r="J2745" t="str">
            <v>FLAC 10</v>
          </cell>
          <cell r="K2745" t="str">
            <v>LACTALIS</v>
          </cell>
          <cell r="L2745" t="str">
            <v>RODRIGO</v>
          </cell>
          <cell r="M2745" t="str">
            <v>RAQUEL BARBOSA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  <cell r="H2746" t="str">
            <v>INGREDIENTS</v>
          </cell>
          <cell r="I2746" t="str">
            <v>INGREDIENTS</v>
          </cell>
          <cell r="J2746" t="str">
            <v>JOEL ELEOTÉRIO</v>
          </cell>
          <cell r="K2746" t="str">
            <v>ITAMBÉ</v>
          </cell>
          <cell r="L2746" t="str">
            <v>MAURICIO</v>
          </cell>
          <cell r="M2746" t="str">
            <v>JOEL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  <cell r="H2747" t="str">
            <v>DISTRIBUIÇÃO</v>
          </cell>
          <cell r="I2747" t="str">
            <v>FOOD SERVICE</v>
          </cell>
          <cell r="J2747" t="str">
            <v>ALEXANDRE BONANI</v>
          </cell>
          <cell r="K2747" t="str">
            <v>LACTALIS</v>
          </cell>
          <cell r="L2747" t="str">
            <v>RODRIGO</v>
          </cell>
          <cell r="M2747" t="str">
            <v>ALEXANDRE BONANI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  <cell r="H2748" t="str">
            <v>DISTRIBUIÇÃO</v>
          </cell>
          <cell r="I2748" t="str">
            <v>FOOD SERVICE</v>
          </cell>
          <cell r="J2748" t="str">
            <v>FLAC 6</v>
          </cell>
          <cell r="K2748" t="str">
            <v>LACTALIS</v>
          </cell>
          <cell r="L2748" t="str">
            <v>RODRIGO</v>
          </cell>
          <cell r="M2748" t="str">
            <v>RAQUEL BARBOSA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  <cell r="H2749" t="str">
            <v>INGREDIENTS</v>
          </cell>
          <cell r="I2749" t="str">
            <v>INGREDIENTS</v>
          </cell>
          <cell r="J2749" t="str">
            <v>DLUM</v>
          </cell>
          <cell r="K2749" t="str">
            <v>LACTALIS</v>
          </cell>
          <cell r="L2749" t="str">
            <v>MAURICIO</v>
          </cell>
          <cell r="M2749" t="str">
            <v>JOEL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  <cell r="H2750" t="str">
            <v>DISTRIBUIÇÃO</v>
          </cell>
          <cell r="I2750" t="str">
            <v>FOOD SERVICE</v>
          </cell>
          <cell r="J2750" t="str">
            <v>FLAC 5</v>
          </cell>
          <cell r="K2750" t="str">
            <v>LACTALIS</v>
          </cell>
          <cell r="L2750" t="str">
            <v>RODRIGO</v>
          </cell>
          <cell r="M2750" t="str">
            <v>RAQUEL BARBOSA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  <cell r="H2751" t="str">
            <v>DISTRIBUIÇÃO</v>
          </cell>
          <cell r="I2751" t="str">
            <v>FOOD SERVICE</v>
          </cell>
          <cell r="J2751" t="str">
            <v>FLAC 2</v>
          </cell>
          <cell r="K2751" t="str">
            <v>LACTALIS</v>
          </cell>
          <cell r="L2751" t="str">
            <v>RODRIGO</v>
          </cell>
          <cell r="M2751" t="str">
            <v>RAQUEL BARBOSA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  <cell r="H2752" t="str">
            <v>DISTRIBUIÇÃO</v>
          </cell>
          <cell r="I2752" t="str">
            <v>FOOD SERVICE</v>
          </cell>
          <cell r="J2752" t="str">
            <v>FLAC 4</v>
          </cell>
          <cell r="K2752" t="str">
            <v>LACTALIS</v>
          </cell>
          <cell r="L2752" t="str">
            <v>RODRIGO</v>
          </cell>
          <cell r="M2752" t="str">
            <v>RAQUEL BARBOSA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  <cell r="H2753" t="str">
            <v>DISTRIBUIÇÃO</v>
          </cell>
          <cell r="I2753" t="str">
            <v>FOOD SERVICE</v>
          </cell>
          <cell r="J2753" t="str">
            <v>FLAC 5</v>
          </cell>
          <cell r="K2753" t="str">
            <v>LACTALIS</v>
          </cell>
          <cell r="L2753" t="str">
            <v>RODRIGO</v>
          </cell>
          <cell r="M2753" t="str">
            <v>RAQUEL BARBOSA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  <cell r="H2754" t="str">
            <v>DISTRIBUIÇÃO</v>
          </cell>
          <cell r="I2754" t="str">
            <v>FOOD SERVICE</v>
          </cell>
          <cell r="J2754" t="str">
            <v>FLAC 4</v>
          </cell>
          <cell r="K2754" t="str">
            <v>LACTALIS</v>
          </cell>
          <cell r="L2754" t="str">
            <v>RODRIGO</v>
          </cell>
          <cell r="M2754" t="str">
            <v>RAQUEL BARBOSA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  <cell r="H2755" t="str">
            <v>INGREDIENTS</v>
          </cell>
          <cell r="I2755" t="str">
            <v>INGREDIENTS</v>
          </cell>
          <cell r="J2755" t="str">
            <v>MARCELO RODRIGUES</v>
          </cell>
          <cell r="K2755" t="str">
            <v>LACTALIS</v>
          </cell>
          <cell r="L2755" t="str">
            <v>MAURICIO</v>
          </cell>
          <cell r="M2755" t="str">
            <v>MARCELO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  <cell r="H2756" t="str">
            <v>QSR</v>
          </cell>
          <cell r="I2756" t="str">
            <v>FOOD SERVICE</v>
          </cell>
          <cell r="J2756" t="str">
            <v>NUTRI</v>
          </cell>
          <cell r="K2756" t="str">
            <v>LACTALIS</v>
          </cell>
          <cell r="L2756" t="str">
            <v>PEDRO</v>
          </cell>
          <cell r="M2756" t="str">
            <v>VAGO QSR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  <cell r="H2757" t="str">
            <v>DISTRIBUIÇÃO</v>
          </cell>
          <cell r="I2757" t="str">
            <v>FOOD SERVICE</v>
          </cell>
          <cell r="J2757" t="str">
            <v>ANGELICA BATISTELA</v>
          </cell>
          <cell r="K2757" t="str">
            <v>LACTALIS</v>
          </cell>
          <cell r="L2757" t="str">
            <v>RODRIGO</v>
          </cell>
          <cell r="M2757" t="str">
            <v>ANGELICA BATISTELA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  <cell r="H2758" t="str">
            <v>QSR</v>
          </cell>
          <cell r="I2758" t="str">
            <v>FOOD SERVICE</v>
          </cell>
          <cell r="J2758" t="str">
            <v>NUTRI</v>
          </cell>
          <cell r="K2758" t="str">
            <v>LACTALIS</v>
          </cell>
          <cell r="L2758" t="str">
            <v>PEDRO</v>
          </cell>
          <cell r="M2758" t="str">
            <v>VAGO QSR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  <cell r="H2759" t="str">
            <v>INGREDIENTS</v>
          </cell>
          <cell r="I2759" t="str">
            <v>INGREDIENTS</v>
          </cell>
          <cell r="J2759" t="str">
            <v>JOEL ELEOTÉRIO</v>
          </cell>
          <cell r="K2759" t="str">
            <v>LACTALIS</v>
          </cell>
          <cell r="L2759" t="str">
            <v>MAURICIO</v>
          </cell>
          <cell r="M2759" t="str">
            <v>JOEL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  <cell r="H2760" t="str">
            <v>DISTRIBUIÇÃO</v>
          </cell>
          <cell r="I2760" t="str">
            <v>FOOD SERVICE</v>
          </cell>
          <cell r="J2760" t="str">
            <v>ANGELICA BATISTELA</v>
          </cell>
          <cell r="K2760" t="str">
            <v>LACTALIS</v>
          </cell>
          <cell r="L2760" t="str">
            <v>RODRIGO</v>
          </cell>
          <cell r="M2760" t="str">
            <v>ANGELICA BATISTELA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  <cell r="H2761" t="str">
            <v>DISTRIBUIÇÃO</v>
          </cell>
          <cell r="I2761" t="str">
            <v>FOOD SERVICE</v>
          </cell>
          <cell r="J2761" t="str">
            <v>FLAC 10</v>
          </cell>
          <cell r="K2761" t="str">
            <v>LACTALIS</v>
          </cell>
          <cell r="L2761" t="str">
            <v>RODRIGO</v>
          </cell>
          <cell r="M2761" t="str">
            <v>RAQUEL BARBOSA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  <cell r="H2762" t="str">
            <v>DISTRIBUIÇÃO</v>
          </cell>
          <cell r="I2762" t="str">
            <v>FOOD SERVICE</v>
          </cell>
          <cell r="J2762" t="str">
            <v>FLAC 5</v>
          </cell>
          <cell r="K2762" t="str">
            <v>LACTALIS</v>
          </cell>
          <cell r="L2762" t="str">
            <v>RODRIGO</v>
          </cell>
          <cell r="M2762" t="str">
            <v>RAQUEL BARBOSA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  <cell r="H2763" t="str">
            <v>QSR</v>
          </cell>
          <cell r="I2763" t="str">
            <v>FOOD SERVICE</v>
          </cell>
          <cell r="J2763" t="str">
            <v>VAGO QSR</v>
          </cell>
          <cell r="K2763" t="str">
            <v>LACTALIS</v>
          </cell>
          <cell r="L2763" t="str">
            <v>PEDRO</v>
          </cell>
          <cell r="M2763" t="str">
            <v>VAGO QSR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  <cell r="H2764" t="str">
            <v>INGREDIENTS</v>
          </cell>
          <cell r="I2764" t="str">
            <v>INGREDIENTS</v>
          </cell>
          <cell r="J2764" t="str">
            <v>HENRIQUE FERREIRA</v>
          </cell>
          <cell r="K2764" t="str">
            <v>ITAMBÉ</v>
          </cell>
          <cell r="L2764" t="str">
            <v>MAURICIO</v>
          </cell>
          <cell r="M2764" t="str">
            <v>JOEL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  <cell r="H2765" t="str">
            <v>INGREDIENTS</v>
          </cell>
          <cell r="I2765" t="str">
            <v>INGREDIENTS</v>
          </cell>
          <cell r="J2765" t="str">
            <v>TATIANA NITTA</v>
          </cell>
          <cell r="K2765" t="str">
            <v>ITAMBÉ</v>
          </cell>
          <cell r="L2765" t="str">
            <v>MAURICIO</v>
          </cell>
          <cell r="M2765" t="str">
            <v>TATIANA NITTA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  <cell r="H2766" t="str">
            <v>DISTRIBUIÇÃO</v>
          </cell>
          <cell r="I2766" t="str">
            <v>FOOD SERVICE</v>
          </cell>
          <cell r="J2766" t="str">
            <v>FLAC 2</v>
          </cell>
          <cell r="K2766" t="str">
            <v>LACTALIS</v>
          </cell>
          <cell r="L2766" t="str">
            <v>RODRIGO</v>
          </cell>
          <cell r="M2766" t="str">
            <v>RAQUEL BARBOSA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  <cell r="H2767" t="str">
            <v>DISTRIBUIÇÃO</v>
          </cell>
          <cell r="I2767" t="str">
            <v>FOOD SERVICE</v>
          </cell>
          <cell r="J2767" t="str">
            <v>FLAC 2</v>
          </cell>
          <cell r="K2767" t="str">
            <v>LACTALIS</v>
          </cell>
          <cell r="L2767" t="str">
            <v>RODRIGO</v>
          </cell>
          <cell r="M2767" t="str">
            <v>RAQUEL BARBOSA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  <cell r="H2768" t="str">
            <v>INGREDIENTS</v>
          </cell>
          <cell r="I2768" t="str">
            <v>INGREDIENTS</v>
          </cell>
          <cell r="J2768" t="str">
            <v>DLUM</v>
          </cell>
          <cell r="K2768" t="str">
            <v>LACTALIS</v>
          </cell>
          <cell r="L2768" t="str">
            <v>MAURICIO</v>
          </cell>
          <cell r="M2768" t="str">
            <v>JOEL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  <cell r="H2769" t="str">
            <v>DISTRIBUIÇÃO</v>
          </cell>
          <cell r="I2769" t="str">
            <v>FOOD SERVICE</v>
          </cell>
          <cell r="J2769" t="str">
            <v>WH FOOD SERVICE CE</v>
          </cell>
          <cell r="K2769" t="str">
            <v>ITAMBÉ</v>
          </cell>
          <cell r="L2769" t="str">
            <v>RODRIGO</v>
          </cell>
          <cell r="M2769" t="str">
            <v>MARIA LOURDES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  <cell r="H2770" t="str">
            <v>DISTRIBUIÇÃO</v>
          </cell>
          <cell r="I2770" t="str">
            <v>FOOD SERVICE</v>
          </cell>
          <cell r="J2770" t="str">
            <v>FLAC 3</v>
          </cell>
          <cell r="K2770" t="str">
            <v>LACTALIS</v>
          </cell>
          <cell r="L2770" t="str">
            <v>RODRIGO</v>
          </cell>
          <cell r="M2770" t="str">
            <v>RAQUEL BARBOSA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  <cell r="H2771" t="str">
            <v>DISTRIBUIÇÃO</v>
          </cell>
          <cell r="I2771" t="str">
            <v>FOOD SERVICE</v>
          </cell>
          <cell r="J2771" t="str">
            <v>FLAC 7</v>
          </cell>
          <cell r="K2771" t="str">
            <v>LACTALIS</v>
          </cell>
          <cell r="L2771" t="str">
            <v>RODRIGO</v>
          </cell>
          <cell r="M2771" t="str">
            <v>RAQUEL BARBOSA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  <cell r="H2772" t="str">
            <v>DISTRIBUIÇÃO</v>
          </cell>
          <cell r="I2772" t="str">
            <v>FOOD SERVICE</v>
          </cell>
          <cell r="J2772" t="str">
            <v>FLAC 2</v>
          </cell>
          <cell r="K2772" t="str">
            <v>LACTALIS</v>
          </cell>
          <cell r="L2772" t="str">
            <v>RODRIGO</v>
          </cell>
          <cell r="M2772" t="str">
            <v>RAQUEL BARBOSA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  <cell r="H2773" t="str">
            <v>DISTRIBUIÇÃO</v>
          </cell>
          <cell r="I2773" t="str">
            <v>FOOD SERVICE</v>
          </cell>
          <cell r="J2773" t="str">
            <v>MARCELO DUARTE</v>
          </cell>
          <cell r="K2773" t="str">
            <v>ITAMBÉ</v>
          </cell>
          <cell r="L2773" t="str">
            <v>RODRIGO</v>
          </cell>
          <cell r="M2773" t="str">
            <v>JESSICA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  <cell r="H2774" t="str">
            <v>DISTRIBUIÇÃO</v>
          </cell>
          <cell r="I2774" t="str">
            <v>FOOD SERVICE</v>
          </cell>
          <cell r="J2774" t="str">
            <v>FLAC 10</v>
          </cell>
          <cell r="K2774" t="str">
            <v>LACTALIS</v>
          </cell>
          <cell r="L2774" t="str">
            <v>RODRIGO</v>
          </cell>
          <cell r="M2774" t="str">
            <v>RAQUEL BARBOSA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  <cell r="H2775" t="str">
            <v>DISTRIBUIÇÃO</v>
          </cell>
          <cell r="I2775" t="str">
            <v>FOOD SERVICE</v>
          </cell>
          <cell r="J2775" t="str">
            <v>FLAC 10</v>
          </cell>
          <cell r="K2775" t="str">
            <v>LACTALIS</v>
          </cell>
          <cell r="L2775" t="str">
            <v>RODRIGO</v>
          </cell>
          <cell r="M2775" t="str">
            <v>RAQUEL BARBOSA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  <cell r="H2776" t="str">
            <v>DISTRIBUIÇÃO</v>
          </cell>
          <cell r="I2776" t="str">
            <v>FOOD SERVICE</v>
          </cell>
          <cell r="J2776" t="str">
            <v>FLAC 10</v>
          </cell>
          <cell r="K2776" t="str">
            <v>LACTALIS</v>
          </cell>
          <cell r="L2776" t="str">
            <v>RODRIGO</v>
          </cell>
          <cell r="M2776" t="str">
            <v>RAQUEL BARBOSA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  <cell r="H2777" t="str">
            <v>DISTRIBUIÇÃO</v>
          </cell>
          <cell r="I2777" t="str">
            <v>FOOD SERVICE</v>
          </cell>
          <cell r="J2777" t="str">
            <v>FLAC 2</v>
          </cell>
          <cell r="K2777" t="str">
            <v>LACTALIS</v>
          </cell>
          <cell r="L2777" t="str">
            <v>RODRIGO</v>
          </cell>
          <cell r="M2777" t="str">
            <v>RAQUEL BARBOSA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  <cell r="H2778" t="str">
            <v>INGREDIENTS</v>
          </cell>
          <cell r="I2778" t="str">
            <v>INGREDIENTS</v>
          </cell>
          <cell r="J2778" t="str">
            <v>DLUM</v>
          </cell>
          <cell r="K2778" t="str">
            <v>LACTALIS</v>
          </cell>
          <cell r="L2778" t="str">
            <v>MAURICIO</v>
          </cell>
          <cell r="M2778" t="str">
            <v>JOEL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  <cell r="H2779" t="str">
            <v>DISTRIBUIÇÃO</v>
          </cell>
          <cell r="I2779" t="str">
            <v>FOOD SERVICE</v>
          </cell>
          <cell r="J2779" t="str">
            <v>FLAC 6</v>
          </cell>
          <cell r="K2779" t="str">
            <v>LACTALIS</v>
          </cell>
          <cell r="L2779" t="str">
            <v>RODRIGO</v>
          </cell>
          <cell r="M2779" t="str">
            <v>RAQUEL BARBOSA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  <cell r="H2780" t="str">
            <v>DISTRIBUIÇÃO</v>
          </cell>
          <cell r="I2780" t="str">
            <v>FOOD SERVICE</v>
          </cell>
          <cell r="J2780" t="str">
            <v>FLAC 1</v>
          </cell>
          <cell r="K2780" t="str">
            <v>LACTALIS</v>
          </cell>
          <cell r="L2780" t="str">
            <v>RODRIGO</v>
          </cell>
          <cell r="M2780" t="str">
            <v>RAQUEL BARBOSA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  <cell r="H2781" t="str">
            <v>DISTRIBUIÇÃO</v>
          </cell>
          <cell r="I2781" t="str">
            <v>FOOD SERVICE</v>
          </cell>
          <cell r="J2781" t="str">
            <v>VAGO SP</v>
          </cell>
          <cell r="K2781" t="str">
            <v>LACTALIS</v>
          </cell>
          <cell r="L2781" t="str">
            <v>RODRIGO</v>
          </cell>
          <cell r="M2781" t="str">
            <v>RAQUEL BARBOSA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  <cell r="H2782" t="str">
            <v>DISTRIBUIÇÃO</v>
          </cell>
          <cell r="I2782" t="str">
            <v>FOOD SERVICE</v>
          </cell>
          <cell r="J2782" t="str">
            <v>FLAC 4</v>
          </cell>
          <cell r="K2782" t="str">
            <v>LACTALIS</v>
          </cell>
          <cell r="L2782" t="str">
            <v>RODRIGO</v>
          </cell>
          <cell r="M2782" t="str">
            <v>RAQUEL BARBOSA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  <cell r="H2783" t="str">
            <v>DISTRIBUIÇÃO</v>
          </cell>
          <cell r="I2783" t="str">
            <v>FOOD SERVICE</v>
          </cell>
          <cell r="J2783" t="str">
            <v>FLAC 1</v>
          </cell>
          <cell r="K2783" t="str">
            <v>LACTALIS</v>
          </cell>
          <cell r="L2783" t="str">
            <v>RODRIGO</v>
          </cell>
          <cell r="M2783" t="str">
            <v>RAQUEL BARBOSA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  <cell r="H2784" t="str">
            <v>DISTRIBUIÇÃO</v>
          </cell>
          <cell r="I2784" t="str">
            <v>FOOD SERVICE</v>
          </cell>
          <cell r="J2784" t="str">
            <v>GUILHERME NASCIMENTO</v>
          </cell>
          <cell r="K2784" t="str">
            <v>LACTALIS</v>
          </cell>
          <cell r="L2784" t="str">
            <v>RODRIGO</v>
          </cell>
          <cell r="M2784" t="str">
            <v>ALEXANDRO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  <cell r="H2785" t="str">
            <v>QSR</v>
          </cell>
          <cell r="I2785" t="str">
            <v>FOOD SERVICE</v>
          </cell>
          <cell r="J2785" t="str">
            <v>VAGO QSR</v>
          </cell>
          <cell r="K2785" t="str">
            <v>ITAMBÉ</v>
          </cell>
          <cell r="L2785" t="str">
            <v>PEDRO</v>
          </cell>
          <cell r="M2785" t="str">
            <v>VAGO QSR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  <cell r="H2786" t="str">
            <v>DISTRIBUIÇÃO</v>
          </cell>
          <cell r="I2786" t="str">
            <v>FOOD SERVICE</v>
          </cell>
          <cell r="J2786" t="str">
            <v>FLAC 5</v>
          </cell>
          <cell r="K2786" t="str">
            <v>LACTALIS</v>
          </cell>
          <cell r="L2786" t="str">
            <v>RODRIGO</v>
          </cell>
          <cell r="M2786" t="str">
            <v>RAQUEL BARBOSA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  <cell r="H2787" t="str">
            <v>DISTRIBUIÇÃO</v>
          </cell>
          <cell r="I2787" t="str">
            <v>FOOD SERVICE</v>
          </cell>
          <cell r="J2787" t="str">
            <v>CLAUDIO JORGE/AMANDA SANDS</v>
          </cell>
          <cell r="K2787" t="str">
            <v>LACTALIS</v>
          </cell>
          <cell r="L2787" t="str">
            <v>RODRIGO</v>
          </cell>
          <cell r="M2787" t="str">
            <v>MARIA LOURDES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  <cell r="H2788" t="str">
            <v>QSR</v>
          </cell>
          <cell r="I2788" t="str">
            <v>FOOD SERVICE</v>
          </cell>
          <cell r="J2788" t="str">
            <v>VAGO QSR</v>
          </cell>
          <cell r="K2788" t="str">
            <v>LACTALIS</v>
          </cell>
          <cell r="L2788" t="str">
            <v>PEDRO</v>
          </cell>
          <cell r="M2788" t="str">
            <v>VAGO QSR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  <cell r="H2789" t="str">
            <v>INGREDIENTS</v>
          </cell>
          <cell r="I2789" t="str">
            <v>INGREDIENTS</v>
          </cell>
          <cell r="J2789" t="str">
            <v>HENRIQUE FERREIRA</v>
          </cell>
          <cell r="K2789" t="str">
            <v>ITAMBÉ</v>
          </cell>
          <cell r="L2789" t="str">
            <v>MAURICIO</v>
          </cell>
          <cell r="M2789" t="str">
            <v>JOEL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  <cell r="H2790" t="str">
            <v>DISTRIBUIÇÃO</v>
          </cell>
          <cell r="I2790" t="str">
            <v>FOOD SERVICE</v>
          </cell>
          <cell r="J2790" t="str">
            <v>FLAC 6</v>
          </cell>
          <cell r="K2790" t="str">
            <v>LACTALIS</v>
          </cell>
          <cell r="L2790" t="str">
            <v>RODRIGO</v>
          </cell>
          <cell r="M2790" t="str">
            <v>RAQUEL BARBOSA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  <cell r="H2791" t="str">
            <v>DISTRIBUIÇÃO</v>
          </cell>
          <cell r="I2791" t="str">
            <v>FOOD SERVICE</v>
          </cell>
          <cell r="J2791" t="str">
            <v>FLAC 4</v>
          </cell>
          <cell r="K2791" t="str">
            <v>LACTALIS</v>
          </cell>
          <cell r="L2791" t="str">
            <v>RODRIGO</v>
          </cell>
          <cell r="M2791" t="str">
            <v>RAQUEL BARBOSA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  <cell r="H2792" t="str">
            <v>DISTRIBUIÇÃO</v>
          </cell>
          <cell r="I2792" t="str">
            <v>FOOD SERVICE</v>
          </cell>
          <cell r="J2792" t="str">
            <v>LUCIANA MARTINS</v>
          </cell>
          <cell r="K2792" t="str">
            <v>ITAMBÉ</v>
          </cell>
          <cell r="L2792" t="str">
            <v>RODRIGO</v>
          </cell>
          <cell r="M2792" t="str">
            <v>JESSICA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  <cell r="H2793" t="str">
            <v>INGREDIENTS</v>
          </cell>
          <cell r="I2793" t="str">
            <v>INGREDIENTS</v>
          </cell>
          <cell r="J2793" t="str">
            <v>MARCELO RODRIGUES</v>
          </cell>
          <cell r="K2793" t="str">
            <v>LACTALIS</v>
          </cell>
          <cell r="L2793" t="str">
            <v>MAURICIO</v>
          </cell>
          <cell r="M2793" t="str">
            <v>MARCELO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  <cell r="H2794" t="str">
            <v>DISTRIBUIÇÃO</v>
          </cell>
          <cell r="I2794" t="str">
            <v>FOOD SERVICE</v>
          </cell>
          <cell r="J2794" t="str">
            <v>FLAC 2</v>
          </cell>
          <cell r="K2794" t="str">
            <v>LACTALIS</v>
          </cell>
          <cell r="L2794" t="str">
            <v>RODRIGO</v>
          </cell>
          <cell r="M2794" t="str">
            <v>RAQUEL BARBOSA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  <cell r="H2795" t="str">
            <v>INGREDIENTS</v>
          </cell>
          <cell r="I2795" t="str">
            <v>INGREDIENTS</v>
          </cell>
          <cell r="J2795" t="str">
            <v>HENRIQUE FERREIRA</v>
          </cell>
          <cell r="K2795" t="str">
            <v>ITAMBÉ</v>
          </cell>
          <cell r="L2795" t="str">
            <v>MAURICIO</v>
          </cell>
          <cell r="M2795" t="str">
            <v>JOEL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  <cell r="H2796" t="str">
            <v>DISTRIBUIÇÃO</v>
          </cell>
          <cell r="I2796" t="str">
            <v>FOOD SERVICE</v>
          </cell>
          <cell r="J2796" t="str">
            <v>JESSICA CARLA</v>
          </cell>
          <cell r="K2796" t="str">
            <v>LACTALIS</v>
          </cell>
          <cell r="L2796" t="str">
            <v>RODRIGO</v>
          </cell>
          <cell r="M2796" t="str">
            <v>JESSICA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  <cell r="H2797" t="str">
            <v>DISTRIBUIÇÃO</v>
          </cell>
          <cell r="I2797" t="str">
            <v>FOOD SERVICE</v>
          </cell>
          <cell r="J2797" t="str">
            <v>MARCELO SILVA</v>
          </cell>
          <cell r="K2797" t="str">
            <v>ITAMBÉ</v>
          </cell>
          <cell r="L2797" t="str">
            <v>RODRIGO</v>
          </cell>
          <cell r="M2797" t="str">
            <v>CELIO MARTINS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  <cell r="H2798" t="str">
            <v>DISTRIBUIÇÃO</v>
          </cell>
          <cell r="I2798" t="str">
            <v>FOOD SERVICE</v>
          </cell>
          <cell r="J2798" t="str">
            <v>FLAC 5</v>
          </cell>
          <cell r="K2798" t="str">
            <v>LACTALIS</v>
          </cell>
          <cell r="L2798" t="str">
            <v>RODRIGO</v>
          </cell>
          <cell r="M2798" t="str">
            <v>RAQUEL BARBOSA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  <cell r="H2799" t="str">
            <v>DISTRIBUIÇÃO</v>
          </cell>
          <cell r="I2799" t="str">
            <v>FOOD SERVICE</v>
          </cell>
          <cell r="J2799" t="str">
            <v>FLAC 2</v>
          </cell>
          <cell r="K2799" t="str">
            <v>LACTALIS</v>
          </cell>
          <cell r="L2799" t="str">
            <v>RODRIGO</v>
          </cell>
          <cell r="M2799" t="str">
            <v>RAQUEL BARBOSA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  <cell r="H2800" t="str">
            <v>INGREDIENTS</v>
          </cell>
          <cell r="I2800" t="str">
            <v>INGREDIENTS</v>
          </cell>
          <cell r="J2800" t="str">
            <v>HENRIQUE FERREIRA</v>
          </cell>
          <cell r="K2800" t="str">
            <v>ITAMBÉ</v>
          </cell>
          <cell r="L2800" t="str">
            <v>MAURICIO</v>
          </cell>
          <cell r="M2800" t="str">
            <v>JOEL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  <cell r="H2801" t="str">
            <v>INGREDIENTS</v>
          </cell>
          <cell r="I2801" t="str">
            <v>INGREDIENTS</v>
          </cell>
          <cell r="J2801" t="str">
            <v>DUAS RODAS</v>
          </cell>
          <cell r="K2801" t="str">
            <v>ITAMBÉ</v>
          </cell>
          <cell r="L2801" t="str">
            <v>MAURICIO</v>
          </cell>
          <cell r="M2801" t="str">
            <v>MARCELO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  <cell r="H2802" t="str">
            <v>DISTRIBUIÇÃO</v>
          </cell>
          <cell r="I2802" t="str">
            <v>FOOD SERVICE</v>
          </cell>
          <cell r="J2802" t="str">
            <v>MARCELO SILVA</v>
          </cell>
          <cell r="K2802" t="str">
            <v>ITAMBÉ</v>
          </cell>
          <cell r="L2802" t="str">
            <v>RODRIGO</v>
          </cell>
          <cell r="M2802" t="str">
            <v>CELIO MARTINS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  <cell r="H2803" t="str">
            <v>DISTRIBUIÇÃO</v>
          </cell>
          <cell r="I2803" t="str">
            <v>FOOD SERVICE</v>
          </cell>
          <cell r="J2803" t="str">
            <v>FLAC 3</v>
          </cell>
          <cell r="K2803" t="str">
            <v>LACTALIS</v>
          </cell>
          <cell r="L2803" t="str">
            <v>RODRIGO</v>
          </cell>
          <cell r="M2803" t="str">
            <v>RAQUEL BARBOSA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  <cell r="H2804" t="str">
            <v>DISTRIBUIÇÃO</v>
          </cell>
          <cell r="I2804" t="str">
            <v>FOOD SERVICE</v>
          </cell>
          <cell r="J2804" t="str">
            <v>FLAC 3</v>
          </cell>
          <cell r="K2804" t="str">
            <v>LACTALIS</v>
          </cell>
          <cell r="L2804" t="str">
            <v>RODRIGO</v>
          </cell>
          <cell r="M2804" t="str">
            <v>RAQUEL BARBOSA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  <cell r="H2805" t="str">
            <v>DISTRIBUIÇÃO</v>
          </cell>
          <cell r="I2805" t="str">
            <v>FOOD SERVICE</v>
          </cell>
          <cell r="J2805" t="str">
            <v>FLAC 5</v>
          </cell>
          <cell r="K2805" t="str">
            <v>LACTALIS</v>
          </cell>
          <cell r="L2805" t="str">
            <v>RODRIGO</v>
          </cell>
          <cell r="M2805" t="str">
            <v>RAQUEL BARBOSA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  <cell r="H2806" t="str">
            <v>DISTRIBUIÇÃO</v>
          </cell>
          <cell r="I2806" t="str">
            <v>FOOD SERVICE</v>
          </cell>
          <cell r="J2806" t="str">
            <v>FLAC 1</v>
          </cell>
          <cell r="K2806" t="str">
            <v>LACTALIS</v>
          </cell>
          <cell r="L2806" t="str">
            <v>RODRIGO</v>
          </cell>
          <cell r="M2806" t="str">
            <v>RAQUEL BARBOSA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  <cell r="H2807" t="str">
            <v>DISTRIBUIÇÃO</v>
          </cell>
          <cell r="I2807" t="str">
            <v>FOOD SERVICE</v>
          </cell>
          <cell r="J2807" t="str">
            <v>ALEXANDRE BONANI</v>
          </cell>
          <cell r="K2807" t="str">
            <v>LACTALIS</v>
          </cell>
          <cell r="L2807" t="str">
            <v>RODRIGO</v>
          </cell>
          <cell r="M2807" t="str">
            <v>ALEXANDRE BONANI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  <cell r="H2808" t="str">
            <v>DISTRIBUIÇÃO</v>
          </cell>
          <cell r="I2808" t="str">
            <v>FOOD SERVICE</v>
          </cell>
          <cell r="J2808" t="str">
            <v>WH FOOD SERVICE CE</v>
          </cell>
          <cell r="K2808" t="str">
            <v>ITAMBÉ</v>
          </cell>
          <cell r="L2808" t="str">
            <v>RODRIGO</v>
          </cell>
          <cell r="M2808" t="str">
            <v>MARIA LOURDES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  <cell r="H2809" t="str">
            <v>DISTRIBUIÇÃO</v>
          </cell>
          <cell r="I2809" t="str">
            <v>FOOD SERVICE</v>
          </cell>
          <cell r="J2809" t="str">
            <v>CLAUDIO JORGE</v>
          </cell>
          <cell r="K2809" t="str">
            <v>ITAMBÉ</v>
          </cell>
          <cell r="L2809" t="str">
            <v>RODRIGO</v>
          </cell>
          <cell r="M2809" t="str">
            <v>MARIA LOURDES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  <cell r="H2810" t="str">
            <v>INGREDIENTS</v>
          </cell>
          <cell r="I2810" t="str">
            <v>INGREDIENTS</v>
          </cell>
          <cell r="J2810" t="str">
            <v>HENRIQUE FERREIRA</v>
          </cell>
          <cell r="K2810" t="str">
            <v>LACTALIS</v>
          </cell>
          <cell r="L2810" t="str">
            <v>MAURICIO</v>
          </cell>
          <cell r="M2810" t="str">
            <v>JOEL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  <cell r="H2811" t="str">
            <v>DISTRIBUIÇÃO</v>
          </cell>
          <cell r="I2811" t="str">
            <v>FOOD SERVICE</v>
          </cell>
          <cell r="J2811" t="str">
            <v>SP ITB FS FLAC REP.E COMERCIO</v>
          </cell>
          <cell r="K2811" t="str">
            <v>LACTALIS</v>
          </cell>
          <cell r="L2811" t="str">
            <v>RODRIGO</v>
          </cell>
          <cell r="M2811" t="str">
            <v>RAQUEL BARBOSA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  <cell r="H2812" t="str">
            <v>DISTRIBUIÇÃO</v>
          </cell>
          <cell r="I2812" t="str">
            <v>FOOD SERVICE</v>
          </cell>
          <cell r="J2812" t="str">
            <v>FLAC 2</v>
          </cell>
          <cell r="K2812" t="str">
            <v>LACTALIS</v>
          </cell>
          <cell r="L2812" t="str">
            <v>RODRIGO</v>
          </cell>
          <cell r="M2812" t="str">
            <v>RAQUEL BARBOSA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  <cell r="H2813" t="str">
            <v>DISTRIBUIÇÃO</v>
          </cell>
          <cell r="I2813" t="str">
            <v>FOOD SERVICE</v>
          </cell>
          <cell r="J2813" t="str">
            <v>FLAC 3</v>
          </cell>
          <cell r="K2813" t="str">
            <v>LACTALIS</v>
          </cell>
          <cell r="L2813" t="str">
            <v>RODRIGO</v>
          </cell>
          <cell r="M2813" t="str">
            <v>RAQUEL BARBOSA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  <cell r="H2814" t="str">
            <v>INGREDIENTS</v>
          </cell>
          <cell r="I2814" t="str">
            <v>INGREDIENTS</v>
          </cell>
          <cell r="J2814" t="str">
            <v>HENRIQUE FERREIRA</v>
          </cell>
          <cell r="K2814" t="str">
            <v>ITAMBÉ</v>
          </cell>
          <cell r="L2814" t="str">
            <v>MAURICIO</v>
          </cell>
          <cell r="M2814" t="str">
            <v>JOEL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  <cell r="H2815" t="str">
            <v>INGREDIENTS</v>
          </cell>
          <cell r="I2815" t="str">
            <v>INGREDIENTS</v>
          </cell>
          <cell r="J2815" t="str">
            <v>MARCELO RODRIGUES</v>
          </cell>
          <cell r="K2815" t="str">
            <v>ITAMBÉ</v>
          </cell>
          <cell r="L2815" t="str">
            <v>MAURICIO</v>
          </cell>
          <cell r="M2815" t="str">
            <v>MARCELO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  <cell r="H2816" t="str">
            <v>DISTRIBUIÇÃO</v>
          </cell>
          <cell r="I2816" t="str">
            <v>FOOD SERVICE</v>
          </cell>
          <cell r="J2816" t="str">
            <v>FLAC 4</v>
          </cell>
          <cell r="K2816" t="str">
            <v>LACTALIS</v>
          </cell>
          <cell r="L2816" t="str">
            <v>RODRIGO</v>
          </cell>
          <cell r="M2816" t="str">
            <v>RAQUEL BARBOSA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  <cell r="H2817" t="str">
            <v>INGREDIENTS</v>
          </cell>
          <cell r="I2817" t="str">
            <v>INGREDIENTS</v>
          </cell>
          <cell r="J2817" t="str">
            <v>JOEL ELEOTÉRIO</v>
          </cell>
          <cell r="K2817" t="str">
            <v>ITAMBÉ</v>
          </cell>
          <cell r="L2817" t="str">
            <v>MAURICIO</v>
          </cell>
          <cell r="M2817" t="str">
            <v>JOEL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  <cell r="H2818" t="str">
            <v>INGREDIENTS</v>
          </cell>
          <cell r="I2818" t="str">
            <v>INGREDIENTS</v>
          </cell>
          <cell r="J2818" t="str">
            <v>JOEL ELEOTÉRIO</v>
          </cell>
          <cell r="K2818" t="str">
            <v>ITAMBÉ</v>
          </cell>
          <cell r="L2818" t="str">
            <v>MAURICIO</v>
          </cell>
          <cell r="M2818" t="str">
            <v>JOEL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  <cell r="H2819" t="str">
            <v>DISTRIBUIÇÃO</v>
          </cell>
          <cell r="I2819" t="str">
            <v>FOOD SERVICE</v>
          </cell>
          <cell r="J2819" t="str">
            <v>MARCELO SILVA</v>
          </cell>
          <cell r="K2819" t="str">
            <v>ITAMBÉ</v>
          </cell>
          <cell r="L2819" t="str">
            <v>RODRIGO</v>
          </cell>
          <cell r="M2819" t="str">
            <v>CELIO MARTINS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  <cell r="H2820" t="str">
            <v>DISTRIBUIÇÃO</v>
          </cell>
          <cell r="I2820" t="str">
            <v>FOOD SERVICE</v>
          </cell>
          <cell r="J2820" t="str">
            <v>FLAC 4</v>
          </cell>
          <cell r="K2820" t="str">
            <v>LACTALIS</v>
          </cell>
          <cell r="L2820" t="str">
            <v>RODRIGO</v>
          </cell>
          <cell r="M2820" t="str">
            <v>RAQUEL BARBOSA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  <cell r="H2821" t="str">
            <v>DISTRIBUIÇÃO</v>
          </cell>
          <cell r="I2821" t="str">
            <v>FOOD SERVICE</v>
          </cell>
          <cell r="J2821" t="str">
            <v>FLAC 10</v>
          </cell>
          <cell r="K2821" t="str">
            <v>LACTALIS</v>
          </cell>
          <cell r="L2821" t="str">
            <v>RODRIGO</v>
          </cell>
          <cell r="M2821" t="str">
            <v>RAQUEL BARBOSA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  <cell r="H2822" t="str">
            <v>DISTRIBUIÇÃO</v>
          </cell>
          <cell r="I2822" t="str">
            <v>FOOD SERVICE</v>
          </cell>
          <cell r="J2822" t="str">
            <v>FLAC 2</v>
          </cell>
          <cell r="K2822" t="str">
            <v>LACTALIS</v>
          </cell>
          <cell r="L2822" t="str">
            <v>RODRIGO</v>
          </cell>
          <cell r="M2822" t="str">
            <v>RAQUEL BARBOSA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  <cell r="H2823" t="str">
            <v>DISTRIBUIÇÃO</v>
          </cell>
          <cell r="I2823" t="str">
            <v>FOOD SERVICE</v>
          </cell>
          <cell r="J2823" t="str">
            <v>FLAC 6</v>
          </cell>
          <cell r="K2823" t="str">
            <v>LACTALIS</v>
          </cell>
          <cell r="L2823" t="str">
            <v>RODRIGO</v>
          </cell>
          <cell r="M2823" t="str">
            <v>RAQUEL BARBOSA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  <cell r="H2824" t="str">
            <v>INGREDIENTS</v>
          </cell>
          <cell r="I2824" t="str">
            <v>INGREDIENTS</v>
          </cell>
          <cell r="J2824" t="str">
            <v>DUAS RODAS</v>
          </cell>
          <cell r="K2824" t="str">
            <v>ITAMBÉ</v>
          </cell>
          <cell r="L2824" t="str">
            <v>MAURICIO</v>
          </cell>
          <cell r="M2824" t="str">
            <v>MARCELO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  <cell r="H2825" t="str">
            <v>DISTRIBUIÇÃO</v>
          </cell>
          <cell r="I2825" t="str">
            <v>FOOD SERVICE</v>
          </cell>
          <cell r="J2825" t="str">
            <v>VAGO SP</v>
          </cell>
          <cell r="K2825" t="str">
            <v>ITAMBÉ</v>
          </cell>
          <cell r="L2825" t="str">
            <v>RODRIGO</v>
          </cell>
          <cell r="M2825" t="str">
            <v>RAQUEL BARBOSA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  <cell r="H2826" t="str">
            <v>DISTRIBUIÇÃO</v>
          </cell>
          <cell r="I2826" t="str">
            <v>FOOD SERVICE</v>
          </cell>
          <cell r="J2826" t="str">
            <v>FLAC 3</v>
          </cell>
          <cell r="K2826" t="str">
            <v>LACTALIS</v>
          </cell>
          <cell r="L2826" t="str">
            <v>RODRIGO</v>
          </cell>
          <cell r="M2826" t="str">
            <v>RAQUEL BARBOSA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  <cell r="H2827" t="str">
            <v>INGREDIENTS</v>
          </cell>
          <cell r="I2827" t="str">
            <v>INGREDIENTS</v>
          </cell>
          <cell r="J2827" t="str">
            <v>TATIANA NITTA</v>
          </cell>
          <cell r="K2827" t="str">
            <v>ITAMBÉ</v>
          </cell>
          <cell r="L2827" t="str">
            <v>MAURICIO</v>
          </cell>
          <cell r="M2827" t="str">
            <v>TATIANA NITTA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  <cell r="H2828" t="str">
            <v>DISTRIBUIÇÃO</v>
          </cell>
          <cell r="I2828" t="str">
            <v>FOOD SERVICE</v>
          </cell>
          <cell r="J2828" t="str">
            <v>WH FOOD SERVICE CE</v>
          </cell>
          <cell r="K2828" t="str">
            <v>ITAMBÉ</v>
          </cell>
          <cell r="L2828" t="str">
            <v>RODRIGO</v>
          </cell>
          <cell r="M2828" t="str">
            <v>MARIA LOURDES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  <cell r="H2829" t="str">
            <v>DISTRIBUIÇÃO</v>
          </cell>
          <cell r="I2829" t="str">
            <v>FOOD SERVICE</v>
          </cell>
          <cell r="J2829" t="str">
            <v>CLAUDIO JORGE</v>
          </cell>
          <cell r="K2829" t="str">
            <v>LACTALIS</v>
          </cell>
          <cell r="L2829" t="str">
            <v>RODRIGO</v>
          </cell>
          <cell r="M2829" t="str">
            <v>MARIA LOURDES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  <cell r="H2830" t="str">
            <v>DISTRIBUIÇÃO</v>
          </cell>
          <cell r="I2830" t="str">
            <v>FOOD SERVICE</v>
          </cell>
          <cell r="J2830" t="str">
            <v>FLAC 10</v>
          </cell>
          <cell r="K2830" t="str">
            <v>LACTALIS</v>
          </cell>
          <cell r="L2830" t="str">
            <v>RODRIGO</v>
          </cell>
          <cell r="M2830" t="str">
            <v>RAQUEL BARBOSA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  <cell r="H2831" t="str">
            <v>INGREDIENTS</v>
          </cell>
          <cell r="I2831" t="str">
            <v>INGREDIENTS</v>
          </cell>
          <cell r="J2831" t="str">
            <v>DUAS RODAS</v>
          </cell>
          <cell r="K2831" t="str">
            <v>ITAMBÉ</v>
          </cell>
          <cell r="L2831" t="str">
            <v>MAURICIO</v>
          </cell>
          <cell r="M2831" t="str">
            <v>TATIANA NITTA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  <cell r="H2832" t="str">
            <v>DISTRIBUIÇÃO</v>
          </cell>
          <cell r="I2832" t="str">
            <v>FOOD SERVICE</v>
          </cell>
          <cell r="J2832" t="str">
            <v>WH FOOD SERVICE CE</v>
          </cell>
          <cell r="K2832" t="str">
            <v>ITAMBÉ</v>
          </cell>
          <cell r="L2832" t="str">
            <v>RODRIGO</v>
          </cell>
          <cell r="M2832" t="str">
            <v>MARIA LOURDES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  <cell r="H2833" t="str">
            <v>INGREDIENTS</v>
          </cell>
          <cell r="I2833" t="str">
            <v>INGREDIENTS</v>
          </cell>
          <cell r="J2833" t="str">
            <v>HENRIQUE FERREIRA</v>
          </cell>
          <cell r="K2833" t="str">
            <v>ITAMBÉ</v>
          </cell>
          <cell r="L2833" t="str">
            <v>MAURICIO</v>
          </cell>
          <cell r="M2833" t="str">
            <v>JOEL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  <cell r="H2834" t="str">
            <v>INGREDIENTS</v>
          </cell>
          <cell r="I2834" t="str">
            <v>INGREDIENTS</v>
          </cell>
          <cell r="J2834" t="str">
            <v>TATIANA NITTA</v>
          </cell>
          <cell r="K2834" t="str">
            <v>ITAMBÉ</v>
          </cell>
          <cell r="L2834" t="str">
            <v>MAURICIO</v>
          </cell>
          <cell r="M2834" t="str">
            <v>TATIANA NITTA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  <cell r="H2835" t="str">
            <v>DISTRIBUIÇÃO</v>
          </cell>
          <cell r="I2835" t="str">
            <v>FOOD SERVICE</v>
          </cell>
          <cell r="J2835" t="str">
            <v>FLAC 10</v>
          </cell>
          <cell r="K2835" t="str">
            <v>LACTALIS</v>
          </cell>
          <cell r="L2835" t="str">
            <v>RODRIGO</v>
          </cell>
          <cell r="M2835" t="str">
            <v>RAQUEL BARBOSA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  <cell r="H2836" t="str">
            <v>INGREDIENTS</v>
          </cell>
          <cell r="I2836" t="str">
            <v>INGREDIENTS</v>
          </cell>
          <cell r="J2836" t="str">
            <v>AM ITB FS I DA SILVA SANTOS</v>
          </cell>
          <cell r="K2836" t="str">
            <v>ITAMBÉ</v>
          </cell>
          <cell r="L2836" t="str">
            <v>MAURICIO</v>
          </cell>
          <cell r="M2836" t="str">
            <v>JOEL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  <cell r="H2837" t="str">
            <v>DISTRIBUIÇÃO</v>
          </cell>
          <cell r="I2837" t="str">
            <v>FOOD SERVICE</v>
          </cell>
          <cell r="J2837" t="str">
            <v>FLAC 2</v>
          </cell>
          <cell r="K2837" t="str">
            <v>LACTALIS</v>
          </cell>
          <cell r="L2837" t="str">
            <v>RODRIGO</v>
          </cell>
          <cell r="M2837" t="str">
            <v>RAQUEL BARBOSA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  <cell r="H2838" t="str">
            <v>INGREDIENTS</v>
          </cell>
          <cell r="I2838" t="str">
            <v>INGREDIENTS</v>
          </cell>
          <cell r="J2838" t="str">
            <v>JOEL ELEOTÉRIO</v>
          </cell>
          <cell r="K2838" t="str">
            <v>LACTALIS</v>
          </cell>
          <cell r="L2838" t="str">
            <v>MAURICIO</v>
          </cell>
          <cell r="M2838" t="str">
            <v>JOEL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  <cell r="H2839" t="str">
            <v>INGREDIENTS</v>
          </cell>
          <cell r="I2839" t="str">
            <v>INGREDIENTS</v>
          </cell>
          <cell r="J2839" t="str">
            <v>JOEL ELEOTÉRIO</v>
          </cell>
          <cell r="K2839" t="str">
            <v>ITAMBÉ</v>
          </cell>
          <cell r="L2839" t="str">
            <v>MAURICIO</v>
          </cell>
          <cell r="M2839" t="str">
            <v>JOEL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  <cell r="H2840" t="str">
            <v>INGREDIENTS</v>
          </cell>
          <cell r="I2840" t="str">
            <v>INGREDIENTS</v>
          </cell>
          <cell r="J2840" t="str">
            <v>HENRIQUE FERREIRA</v>
          </cell>
          <cell r="K2840" t="str">
            <v>LACTALIS</v>
          </cell>
          <cell r="L2840" t="str">
            <v>MAURICIO</v>
          </cell>
          <cell r="M2840" t="str">
            <v>JOEL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  <cell r="H2841" t="str">
            <v>DISTRIBUIÇÃO</v>
          </cell>
          <cell r="I2841" t="str">
            <v>FOOD SERVICE</v>
          </cell>
          <cell r="J2841" t="str">
            <v>CLAUDIO JORGE/LUIZ</v>
          </cell>
          <cell r="K2841" t="str">
            <v>ITAMBÉ</v>
          </cell>
          <cell r="L2841" t="str">
            <v>RODRIGO</v>
          </cell>
          <cell r="M2841" t="str">
            <v>MARIA LOURDES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  <cell r="H2842" t="str">
            <v>DISTRIBUIÇÃO</v>
          </cell>
          <cell r="I2842" t="str">
            <v>FOOD SERVICE</v>
          </cell>
          <cell r="J2842" t="str">
            <v>FLAC 10</v>
          </cell>
          <cell r="K2842" t="str">
            <v>LACTALIS</v>
          </cell>
          <cell r="L2842" t="str">
            <v>RODRIGO</v>
          </cell>
          <cell r="M2842" t="str">
            <v>RAQUEL BARBOSA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  <cell r="H2843" t="str">
            <v>DISTRIBUIÇÃO</v>
          </cell>
          <cell r="I2843" t="str">
            <v>FOOD SERVICE</v>
          </cell>
          <cell r="J2843" t="str">
            <v>CLAUDIO JORGE</v>
          </cell>
          <cell r="K2843" t="str">
            <v>ITAMBÉ</v>
          </cell>
          <cell r="L2843" t="str">
            <v>RODRIGO</v>
          </cell>
          <cell r="M2843" t="str">
            <v>MARCO AURELIO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  <cell r="H2844" t="str">
            <v>DISTRIBUIÇÃO</v>
          </cell>
          <cell r="I2844" t="str">
            <v>FOOD SERVICE</v>
          </cell>
          <cell r="J2844" t="str">
            <v>MARCELO SILVA</v>
          </cell>
          <cell r="K2844" t="str">
            <v>ITAMBÉ</v>
          </cell>
          <cell r="L2844" t="str">
            <v>RODRIGO</v>
          </cell>
          <cell r="M2844" t="str">
            <v>CELIO MARTINS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  <cell r="H2845" t="str">
            <v>DISTRIBUIÇÃO</v>
          </cell>
          <cell r="I2845" t="str">
            <v>FOOD SERVICE</v>
          </cell>
          <cell r="J2845" t="str">
            <v>FLAC 4</v>
          </cell>
          <cell r="K2845" t="str">
            <v>LACTALIS</v>
          </cell>
          <cell r="L2845" t="str">
            <v>RODRIGO</v>
          </cell>
          <cell r="M2845" t="str">
            <v>RAQUEL BARBOSA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  <cell r="H2846" t="str">
            <v>DISTRIBUIÇÃO</v>
          </cell>
          <cell r="I2846" t="str">
            <v>FOOD SERVICE</v>
          </cell>
          <cell r="J2846" t="str">
            <v>FLAC 4</v>
          </cell>
          <cell r="K2846" t="str">
            <v>LACTALIS</v>
          </cell>
          <cell r="L2846" t="str">
            <v>RODRIGO</v>
          </cell>
          <cell r="M2846" t="str">
            <v>RAQUEL BARBOSA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  <cell r="H2847" t="str">
            <v>INGREDIENTS</v>
          </cell>
          <cell r="I2847" t="str">
            <v>INGREDIENTS</v>
          </cell>
          <cell r="J2847" t="str">
            <v>MARCELO RODRIGUES</v>
          </cell>
          <cell r="K2847" t="str">
            <v>ITAMBÉ</v>
          </cell>
          <cell r="L2847" t="str">
            <v>MAURICIO</v>
          </cell>
          <cell r="M2847" t="str">
            <v>MARCELO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  <cell r="H2848" t="str">
            <v>INGREDIENTS</v>
          </cell>
          <cell r="I2848" t="str">
            <v>INGREDIENTS</v>
          </cell>
          <cell r="J2848" t="str">
            <v>TATIANA NITTA</v>
          </cell>
          <cell r="K2848" t="str">
            <v>ITAMBÉ</v>
          </cell>
          <cell r="L2848" t="str">
            <v>MAURICIO</v>
          </cell>
          <cell r="M2848" t="str">
            <v>TATIANA NITTA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  <cell r="H2849" t="str">
            <v>QSR</v>
          </cell>
          <cell r="I2849" t="str">
            <v>FOOD SERVICE</v>
          </cell>
          <cell r="J2849" t="str">
            <v>NUTRI</v>
          </cell>
          <cell r="K2849" t="str">
            <v>ITAMBÉ</v>
          </cell>
          <cell r="L2849" t="str">
            <v>PEDRO</v>
          </cell>
          <cell r="M2849" t="str">
            <v>VAGO QSR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  <cell r="H2850" t="str">
            <v>INGREDIENTS</v>
          </cell>
          <cell r="I2850" t="str">
            <v>INGREDIENTS</v>
          </cell>
          <cell r="J2850" t="str">
            <v>HENRIQUE FERREIRA</v>
          </cell>
          <cell r="K2850" t="str">
            <v>ITAMBÉ</v>
          </cell>
          <cell r="L2850" t="str">
            <v>MAURICIO</v>
          </cell>
          <cell r="M2850" t="str">
            <v>JOEL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  <cell r="H2851" t="str">
            <v>DISTRIBUIÇÃO</v>
          </cell>
          <cell r="I2851" t="str">
            <v>FOOD SERVICE</v>
          </cell>
          <cell r="J2851" t="str">
            <v>FLAC 10</v>
          </cell>
          <cell r="K2851" t="str">
            <v>LACTALIS</v>
          </cell>
          <cell r="L2851" t="str">
            <v>RODRIGO</v>
          </cell>
          <cell r="M2851" t="str">
            <v>RAQUEL BARBOSA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  <cell r="H2852" t="str">
            <v>INGREDIENTS</v>
          </cell>
          <cell r="I2852" t="str">
            <v>INGREDIENTS</v>
          </cell>
          <cell r="J2852" t="str">
            <v>MARCELO RODRIGUES</v>
          </cell>
          <cell r="K2852" t="str">
            <v>ITAMBÉ</v>
          </cell>
          <cell r="L2852" t="str">
            <v>MAURICIO</v>
          </cell>
          <cell r="M2852" t="str">
            <v>MARCELO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  <cell r="H2853" t="str">
            <v>DISTRIBUIÇÃO</v>
          </cell>
          <cell r="I2853" t="str">
            <v>FOOD SERVICE</v>
          </cell>
          <cell r="J2853" t="str">
            <v>FLAC 3</v>
          </cell>
          <cell r="K2853" t="str">
            <v>LACTALIS</v>
          </cell>
          <cell r="L2853" t="str">
            <v>RODRIGO</v>
          </cell>
          <cell r="M2853" t="str">
            <v>RAQUEL BARBOSA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  <cell r="H2854" t="str">
            <v>DISTRIBUIÇÃO</v>
          </cell>
          <cell r="I2854" t="str">
            <v>FOOD SERVICE</v>
          </cell>
          <cell r="J2854" t="str">
            <v>FLAC 3</v>
          </cell>
          <cell r="K2854" t="str">
            <v>LACTALIS</v>
          </cell>
          <cell r="L2854" t="str">
            <v>RODRIGO</v>
          </cell>
          <cell r="M2854" t="str">
            <v>RAQUEL BARBOSA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  <cell r="H2855" t="str">
            <v>DISTRIBUIÇÃO</v>
          </cell>
          <cell r="I2855" t="str">
            <v>FOOD SERVICE</v>
          </cell>
          <cell r="J2855" t="str">
            <v>FLAC 4</v>
          </cell>
          <cell r="K2855" t="str">
            <v>LACTALIS</v>
          </cell>
          <cell r="L2855" t="str">
            <v>RODRIGO</v>
          </cell>
          <cell r="M2855" t="str">
            <v>RAQUEL BARBOSA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  <cell r="H2856" t="str">
            <v>DISTRIBUIÇÃO</v>
          </cell>
          <cell r="I2856" t="str">
            <v>FOOD SERVICE</v>
          </cell>
          <cell r="J2856" t="str">
            <v>FLAC 4</v>
          </cell>
          <cell r="K2856" t="str">
            <v>LACTALIS</v>
          </cell>
          <cell r="L2856" t="str">
            <v>RODRIGO</v>
          </cell>
          <cell r="M2856" t="str">
            <v>RAQUEL BARBOSA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  <cell r="H2857" t="str">
            <v>DISTRIBUIÇÃO</v>
          </cell>
          <cell r="I2857" t="str">
            <v>FOOD SERVICE</v>
          </cell>
          <cell r="J2857" t="str">
            <v>FLAC 10</v>
          </cell>
          <cell r="K2857" t="str">
            <v>LACTALIS</v>
          </cell>
          <cell r="L2857" t="str">
            <v>RODRIGO</v>
          </cell>
          <cell r="M2857" t="str">
            <v>RAQUEL BARBOSA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  <cell r="H2858" t="str">
            <v>DISTRIBUIÇÃO</v>
          </cell>
          <cell r="I2858" t="str">
            <v>FOOD SERVICE</v>
          </cell>
          <cell r="J2858" t="str">
            <v>FLAC 2</v>
          </cell>
          <cell r="K2858" t="str">
            <v>LACTALIS</v>
          </cell>
          <cell r="L2858" t="str">
            <v>RODRIGO</v>
          </cell>
          <cell r="M2858" t="str">
            <v>RAQUEL BARBOSA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  <cell r="H2859" t="str">
            <v>INGREDIENTS</v>
          </cell>
          <cell r="I2859" t="str">
            <v>INGREDIENTS</v>
          </cell>
          <cell r="J2859" t="str">
            <v>TATIANA NITTA</v>
          </cell>
          <cell r="K2859" t="str">
            <v>ITAMBÉ</v>
          </cell>
          <cell r="L2859" t="str">
            <v>MAURICIO</v>
          </cell>
          <cell r="M2859" t="str">
            <v>TATIANA NITTA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  <cell r="H2860" t="str">
            <v>DISTRIBUIÇÃO</v>
          </cell>
          <cell r="I2860" t="str">
            <v>FOOD SERVICE</v>
          </cell>
          <cell r="J2860" t="str">
            <v>FLAC 6</v>
          </cell>
          <cell r="K2860" t="str">
            <v>LACTALIS</v>
          </cell>
          <cell r="L2860" t="str">
            <v>RODRIGO</v>
          </cell>
          <cell r="M2860" t="str">
            <v>RAQUEL BARBOSA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  <cell r="H2861" t="str">
            <v>QSR</v>
          </cell>
          <cell r="I2861" t="str">
            <v>FOOD SERVICE</v>
          </cell>
          <cell r="J2861" t="str">
            <v>NUTRI</v>
          </cell>
          <cell r="K2861" t="str">
            <v>ITAMBÉ</v>
          </cell>
          <cell r="L2861" t="str">
            <v>PEDRO</v>
          </cell>
          <cell r="M2861" t="str">
            <v>VAGO QSR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  <cell r="H2862" t="str">
            <v>DISTRIBUIÇÃO</v>
          </cell>
          <cell r="I2862" t="str">
            <v>FOOD SERVICE</v>
          </cell>
          <cell r="J2862" t="str">
            <v>FLAC 4</v>
          </cell>
          <cell r="K2862" t="str">
            <v>LACTALIS</v>
          </cell>
          <cell r="L2862" t="str">
            <v>RODRIGO</v>
          </cell>
          <cell r="M2862" t="str">
            <v>RAQUEL BARBOSA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  <cell r="H2863" t="str">
            <v>DISTRIBUIÇÃO</v>
          </cell>
          <cell r="I2863" t="str">
            <v>FOOD SERVICE</v>
          </cell>
          <cell r="J2863" t="str">
            <v>FLAC 2</v>
          </cell>
          <cell r="K2863" t="str">
            <v>LACTALIS</v>
          </cell>
          <cell r="L2863" t="str">
            <v>RODRIGO</v>
          </cell>
          <cell r="M2863" t="str">
            <v>RAQUEL BARBOSA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  <cell r="H2864" t="str">
            <v>INGREDIENTS</v>
          </cell>
          <cell r="I2864" t="str">
            <v>INGREDIENTS</v>
          </cell>
          <cell r="J2864" t="str">
            <v>MARCELO RODRIGUES</v>
          </cell>
          <cell r="K2864" t="str">
            <v>LACTALIS</v>
          </cell>
          <cell r="L2864" t="str">
            <v>MAURICIO</v>
          </cell>
          <cell r="M2864" t="str">
            <v>MARCELO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  <cell r="H2865" t="str">
            <v>DISTRIBUIÇÃO</v>
          </cell>
          <cell r="I2865" t="str">
            <v>FOOD SERVICE</v>
          </cell>
          <cell r="J2865" t="str">
            <v>FLAC 2</v>
          </cell>
          <cell r="K2865" t="str">
            <v>LACTALIS</v>
          </cell>
          <cell r="L2865" t="str">
            <v>RODRIGO</v>
          </cell>
          <cell r="M2865" t="str">
            <v>RAQUEL BARBOSA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  <cell r="H2866" t="str">
            <v>DISTRIBUIÇÃO</v>
          </cell>
          <cell r="I2866" t="str">
            <v>FOOD SERVICE</v>
          </cell>
          <cell r="J2866" t="str">
            <v>FLAC 5</v>
          </cell>
          <cell r="K2866" t="str">
            <v>LACTALIS</v>
          </cell>
          <cell r="L2866" t="str">
            <v>RODRIGO</v>
          </cell>
          <cell r="M2866" t="str">
            <v>RAQUEL BARBOSA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  <cell r="H2867" t="str">
            <v>INGREDIENTS</v>
          </cell>
          <cell r="I2867" t="str">
            <v>INGREDIENTS</v>
          </cell>
          <cell r="J2867" t="str">
            <v>SP ITB FS LUIZ PEREIRA</v>
          </cell>
          <cell r="K2867" t="str">
            <v>ITAMBÉ</v>
          </cell>
          <cell r="L2867" t="str">
            <v>MAURICIO</v>
          </cell>
          <cell r="M2867" t="str">
            <v>TATIANA NITTA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  <cell r="H2868" t="str">
            <v>DISTRIBUIÇÃO</v>
          </cell>
          <cell r="I2868" t="str">
            <v>FOOD SERVICE</v>
          </cell>
          <cell r="J2868" t="str">
            <v>FLAC 5</v>
          </cell>
          <cell r="K2868" t="str">
            <v>LACTALIS</v>
          </cell>
          <cell r="L2868" t="str">
            <v>RODRIGO</v>
          </cell>
          <cell r="M2868" t="str">
            <v>RAQUEL BARBOSA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  <cell r="H2869" t="str">
            <v>DISTRIBUIÇÃO</v>
          </cell>
          <cell r="I2869" t="str">
            <v>FOOD SERVICE</v>
          </cell>
          <cell r="J2869" t="str">
            <v>FLAC 4</v>
          </cell>
          <cell r="K2869" t="str">
            <v>LACTALIS</v>
          </cell>
          <cell r="L2869" t="str">
            <v>RODRIGO</v>
          </cell>
          <cell r="M2869" t="str">
            <v>RAQUEL BARBOSA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  <cell r="H2870" t="str">
            <v>DISTRIBUIÇÃO</v>
          </cell>
          <cell r="I2870" t="str">
            <v>FOOD SERVICE</v>
          </cell>
          <cell r="J2870" t="str">
            <v>FLAC 3</v>
          </cell>
          <cell r="K2870" t="str">
            <v>LACTALIS</v>
          </cell>
          <cell r="L2870" t="str">
            <v>RODRIGO</v>
          </cell>
          <cell r="M2870" t="str">
            <v>RAQUEL BARBOSA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  <cell r="H2871" t="str">
            <v>DISTRIBUIÇÃO</v>
          </cell>
          <cell r="I2871" t="str">
            <v>FOOD SERVICE</v>
          </cell>
          <cell r="J2871" t="str">
            <v>FLAC 3</v>
          </cell>
          <cell r="K2871" t="str">
            <v>LACTALIS</v>
          </cell>
          <cell r="L2871" t="str">
            <v>RODRIGO</v>
          </cell>
          <cell r="M2871" t="str">
            <v>RAQUEL BARBOSA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  <cell r="H2872" t="str">
            <v>DISTRIBUIÇÃO</v>
          </cell>
          <cell r="I2872" t="str">
            <v>FOOD SERVICE</v>
          </cell>
          <cell r="J2872" t="str">
            <v>FLAC 2</v>
          </cell>
          <cell r="K2872" t="str">
            <v>LACTALIS</v>
          </cell>
          <cell r="L2872" t="str">
            <v>RODRIGO</v>
          </cell>
          <cell r="M2872" t="str">
            <v>RAQUEL BARBOSA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  <cell r="H2873" t="str">
            <v>DISTRIBUIÇÃO</v>
          </cell>
          <cell r="I2873" t="str">
            <v>FOOD SERVICE</v>
          </cell>
          <cell r="J2873" t="str">
            <v>FLAC 2</v>
          </cell>
          <cell r="K2873" t="str">
            <v>LACTALIS</v>
          </cell>
          <cell r="L2873" t="str">
            <v>RODRIGO</v>
          </cell>
          <cell r="M2873" t="str">
            <v>RAQUEL BARBOSA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  <cell r="H2874" t="str">
            <v>QSR</v>
          </cell>
          <cell r="I2874" t="str">
            <v>FOOD SERVICE</v>
          </cell>
          <cell r="J2874" t="str">
            <v>ANA MENIQUETE</v>
          </cell>
          <cell r="K2874" t="str">
            <v>ITAMBÉ</v>
          </cell>
          <cell r="L2874" t="str">
            <v>PEDRO</v>
          </cell>
          <cell r="M2874" t="str">
            <v>ANA MENIQUETE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  <cell r="H2875" t="str">
            <v>INGREDIENTS</v>
          </cell>
          <cell r="I2875" t="str">
            <v>INGREDIENTS</v>
          </cell>
          <cell r="J2875" t="str">
            <v>MG ITB FS HENRIQUE WAGNER</v>
          </cell>
          <cell r="K2875" t="str">
            <v>ITAMBÉ</v>
          </cell>
          <cell r="L2875" t="str">
            <v>MAURICIO</v>
          </cell>
          <cell r="M2875" t="str">
            <v>TATIANA NITTA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  <cell r="H2876" t="str">
            <v>DISTRIBUIÇÃO</v>
          </cell>
          <cell r="I2876" t="str">
            <v>FOOD SERVICE</v>
          </cell>
          <cell r="J2876" t="str">
            <v>SP ITB FS FLAC REP.E COMERCIO</v>
          </cell>
          <cell r="K2876" t="str">
            <v>ITAMBÉ</v>
          </cell>
          <cell r="L2876" t="str">
            <v>RODRIGO</v>
          </cell>
          <cell r="M2876" t="str">
            <v>RAQUEL BARBOSA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  <cell r="H2877" t="str">
            <v>DISTRIBUIÇÃO</v>
          </cell>
          <cell r="I2877" t="str">
            <v>FOOD SERVICE</v>
          </cell>
          <cell r="J2877" t="str">
            <v>MARCELO SILVA</v>
          </cell>
          <cell r="K2877" t="str">
            <v>ITAMBÉ</v>
          </cell>
          <cell r="L2877" t="str">
            <v>RODRIGO</v>
          </cell>
          <cell r="M2877" t="str">
            <v>CELIO MARTINS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  <cell r="H2878" t="str">
            <v>DISTRIBUIÇÃO</v>
          </cell>
          <cell r="I2878" t="str">
            <v>FOOD SERVICE</v>
          </cell>
          <cell r="J2878" t="str">
            <v>FLAC 2</v>
          </cell>
          <cell r="K2878" t="str">
            <v>LACTALIS</v>
          </cell>
          <cell r="L2878" t="str">
            <v>RODRIGO</v>
          </cell>
          <cell r="M2878" t="str">
            <v>RAQUEL BARBOSA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  <cell r="H2879" t="str">
            <v>DISTRIBUIÇÃO</v>
          </cell>
          <cell r="I2879" t="str">
            <v>FOOD SERVICE</v>
          </cell>
          <cell r="J2879" t="str">
            <v>FLAC 2</v>
          </cell>
          <cell r="K2879" t="str">
            <v>LACTALIS</v>
          </cell>
          <cell r="L2879" t="str">
            <v>RODRIGO</v>
          </cell>
          <cell r="M2879" t="str">
            <v>RAQUEL BARBOSA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  <cell r="H2880" t="str">
            <v>DISTRIBUIÇÃO</v>
          </cell>
          <cell r="I2880" t="str">
            <v>FOOD SERVICE</v>
          </cell>
          <cell r="J2880" t="str">
            <v>CLAUDIO JORGE</v>
          </cell>
          <cell r="K2880" t="str">
            <v>ITAMBÉ</v>
          </cell>
          <cell r="L2880" t="str">
            <v>RODRIGO</v>
          </cell>
          <cell r="M2880" t="str">
            <v>MARIA LOURDES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  <cell r="H2881" t="str">
            <v>INGREDIENTS</v>
          </cell>
          <cell r="I2881" t="str">
            <v>INGREDIENTS</v>
          </cell>
          <cell r="J2881" t="str">
            <v>SP ITB FS LUIZ PEREIRA</v>
          </cell>
          <cell r="K2881" t="str">
            <v>ITAMBÉ</v>
          </cell>
          <cell r="L2881" t="str">
            <v>MAURICIO</v>
          </cell>
          <cell r="M2881" t="str">
            <v>TATIANA NITTA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  <cell r="H2882" t="str">
            <v>INGREDIENTS</v>
          </cell>
          <cell r="I2882" t="str">
            <v>INGREDIENTS</v>
          </cell>
          <cell r="J2882" t="str">
            <v>RJ ITB FS L T MARTINS</v>
          </cell>
          <cell r="K2882" t="str">
            <v>ITAMBÉ</v>
          </cell>
          <cell r="L2882" t="str">
            <v>MAURICIO</v>
          </cell>
          <cell r="M2882" t="str">
            <v>TATIANA NITTA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  <cell r="H2883" t="str">
            <v>QSR</v>
          </cell>
          <cell r="I2883" t="str">
            <v>FOOD SERVICE</v>
          </cell>
          <cell r="J2883" t="str">
            <v>VAGO QSR</v>
          </cell>
          <cell r="K2883" t="str">
            <v>ITAMBÉ</v>
          </cell>
          <cell r="L2883" t="str">
            <v>PEDRO</v>
          </cell>
          <cell r="M2883" t="str">
            <v>VAGO QSR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  <cell r="H2884" t="str">
            <v>INGREDIENTS</v>
          </cell>
          <cell r="I2884" t="str">
            <v>INGREDIENTS</v>
          </cell>
          <cell r="J2884" t="str">
            <v>MARCELO RODRIGUES</v>
          </cell>
          <cell r="K2884" t="str">
            <v>ITAMBÉ</v>
          </cell>
          <cell r="L2884" t="str">
            <v>MAURICIO</v>
          </cell>
          <cell r="M2884" t="str">
            <v>MARCELO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  <cell r="H2885" t="str">
            <v>QSR</v>
          </cell>
          <cell r="I2885" t="str">
            <v>FOOD SERVICE</v>
          </cell>
          <cell r="J2885" t="str">
            <v>VAGO QSR</v>
          </cell>
          <cell r="K2885" t="str">
            <v>ITAMBÉ</v>
          </cell>
          <cell r="L2885" t="str">
            <v>PEDRO</v>
          </cell>
          <cell r="M2885" t="str">
            <v>VAGO QSR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  <cell r="H2886" t="str">
            <v>QSR</v>
          </cell>
          <cell r="I2886" t="str">
            <v>FOOD SERVICE</v>
          </cell>
          <cell r="J2886" t="str">
            <v>VAGO QSR</v>
          </cell>
          <cell r="K2886" t="str">
            <v>ITAMBÉ</v>
          </cell>
          <cell r="L2886" t="str">
            <v>PEDRO</v>
          </cell>
          <cell r="M2886" t="str">
            <v>VAGO QSR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  <cell r="H2887" t="str">
            <v>QSR</v>
          </cell>
          <cell r="I2887" t="str">
            <v>FOOD SERVICE</v>
          </cell>
          <cell r="J2887" t="str">
            <v>VAGO QSR</v>
          </cell>
          <cell r="K2887" t="str">
            <v>ITAMBÉ</v>
          </cell>
          <cell r="L2887" t="str">
            <v>PEDRO</v>
          </cell>
          <cell r="M2887" t="str">
            <v>VAGO QSR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  <cell r="H2888" t="str">
            <v>QSR</v>
          </cell>
          <cell r="I2888" t="str">
            <v>FOOD SERVICE</v>
          </cell>
          <cell r="J2888" t="str">
            <v>VAGO QSR</v>
          </cell>
          <cell r="K2888" t="str">
            <v>ITAMBÉ</v>
          </cell>
          <cell r="L2888" t="str">
            <v>PEDRO</v>
          </cell>
          <cell r="M2888" t="str">
            <v>VAGO QSR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  <cell r="H2889" t="str">
            <v>QSR</v>
          </cell>
          <cell r="I2889" t="str">
            <v>FOOD SERVICE</v>
          </cell>
          <cell r="J2889" t="str">
            <v>VAGO QSR</v>
          </cell>
          <cell r="K2889" t="str">
            <v>ITAMBÉ</v>
          </cell>
          <cell r="L2889" t="str">
            <v>PEDRO</v>
          </cell>
          <cell r="M2889" t="str">
            <v>VAGO QSR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  <cell r="H2890" t="str">
            <v>QSR</v>
          </cell>
          <cell r="I2890" t="str">
            <v>FOOD SERVICE</v>
          </cell>
          <cell r="J2890" t="str">
            <v>VAGO QSR</v>
          </cell>
          <cell r="K2890" t="str">
            <v>ITAMBÉ</v>
          </cell>
          <cell r="L2890" t="str">
            <v>PEDRO</v>
          </cell>
          <cell r="M2890" t="str">
            <v>VAGO QSR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  <cell r="H2891" t="str">
            <v>QSR</v>
          </cell>
          <cell r="I2891" t="str">
            <v>FOOD SERVICE</v>
          </cell>
          <cell r="J2891" t="str">
            <v>VAGO QSR</v>
          </cell>
          <cell r="K2891" t="str">
            <v>ITAMBÉ</v>
          </cell>
          <cell r="L2891" t="str">
            <v>PEDRO</v>
          </cell>
          <cell r="M2891" t="str">
            <v>VAGO QSR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  <cell r="H2892" t="str">
            <v>QSR</v>
          </cell>
          <cell r="I2892" t="str">
            <v>FOOD SERVICE</v>
          </cell>
          <cell r="J2892" t="str">
            <v>VAGO QSR</v>
          </cell>
          <cell r="K2892" t="str">
            <v>ITAMBÉ</v>
          </cell>
          <cell r="L2892" t="str">
            <v>PEDRO</v>
          </cell>
          <cell r="M2892" t="str">
            <v>VAGO QSR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  <cell r="H2893" t="str">
            <v>QSR</v>
          </cell>
          <cell r="I2893" t="str">
            <v>FOOD SERVICE</v>
          </cell>
          <cell r="J2893" t="str">
            <v>VAGO QSR</v>
          </cell>
          <cell r="K2893" t="str">
            <v>ITAMBÉ</v>
          </cell>
          <cell r="L2893" t="str">
            <v>PEDRO</v>
          </cell>
          <cell r="M2893" t="str">
            <v>VAGO QSR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  <cell r="H2894" t="str">
            <v>QSR</v>
          </cell>
          <cell r="I2894" t="str">
            <v>FOOD SERVICE</v>
          </cell>
          <cell r="J2894" t="str">
            <v>VAGO QSR</v>
          </cell>
          <cell r="K2894" t="str">
            <v>ITAMBÉ</v>
          </cell>
          <cell r="L2894" t="str">
            <v>PEDRO</v>
          </cell>
          <cell r="M2894" t="str">
            <v>VAGO QSR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  <cell r="H2895" t="str">
            <v>QSR</v>
          </cell>
          <cell r="I2895" t="str">
            <v>FOOD SERVICE</v>
          </cell>
          <cell r="J2895" t="str">
            <v>VAGO QSR</v>
          </cell>
          <cell r="K2895" t="str">
            <v>ITAMBÉ</v>
          </cell>
          <cell r="L2895" t="str">
            <v>PEDRO</v>
          </cell>
          <cell r="M2895" t="str">
            <v>VAGO QSR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  <cell r="H2896" t="str">
            <v>QSR</v>
          </cell>
          <cell r="I2896" t="str">
            <v>FOOD SERVICE</v>
          </cell>
          <cell r="J2896" t="str">
            <v>VAGO QSR</v>
          </cell>
          <cell r="K2896" t="str">
            <v>ITAMBÉ</v>
          </cell>
          <cell r="L2896" t="str">
            <v>PEDRO</v>
          </cell>
          <cell r="M2896" t="str">
            <v>VAGO QSR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  <cell r="H2897" t="str">
            <v>QSR</v>
          </cell>
          <cell r="I2897" t="str">
            <v>FOOD SERVICE</v>
          </cell>
          <cell r="J2897" t="str">
            <v>VAGO QSR</v>
          </cell>
          <cell r="K2897" t="str">
            <v>ITAMBÉ</v>
          </cell>
          <cell r="L2897" t="str">
            <v>PEDRO</v>
          </cell>
          <cell r="M2897" t="str">
            <v>VAGO QSR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  <cell r="H2898" t="str">
            <v>QSR</v>
          </cell>
          <cell r="I2898" t="str">
            <v>FOOD SERVICE</v>
          </cell>
          <cell r="J2898" t="str">
            <v>VAGO QSR</v>
          </cell>
          <cell r="K2898" t="str">
            <v>ITAMBÉ</v>
          </cell>
          <cell r="L2898" t="str">
            <v>PEDRO</v>
          </cell>
          <cell r="M2898" t="str">
            <v>VAGO QSR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  <cell r="H2899" t="str">
            <v>QSR</v>
          </cell>
          <cell r="I2899" t="str">
            <v>FOOD SERVICE</v>
          </cell>
          <cell r="J2899" t="str">
            <v>VAGO QSR</v>
          </cell>
          <cell r="K2899" t="str">
            <v>ITAMBÉ</v>
          </cell>
          <cell r="L2899" t="str">
            <v>PEDRO</v>
          </cell>
          <cell r="M2899" t="str">
            <v>VAGO QSR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  <cell r="H2900" t="str">
            <v>QSR</v>
          </cell>
          <cell r="I2900" t="str">
            <v>FOOD SERVICE</v>
          </cell>
          <cell r="J2900" t="str">
            <v>VAGO QSR</v>
          </cell>
          <cell r="K2900" t="str">
            <v>ITAMBÉ</v>
          </cell>
          <cell r="L2900" t="str">
            <v>PEDRO</v>
          </cell>
          <cell r="M2900" t="str">
            <v>VAGO QSR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  <cell r="H2901" t="str">
            <v>QSR</v>
          </cell>
          <cell r="I2901" t="str">
            <v>FOOD SERVICE</v>
          </cell>
          <cell r="J2901" t="str">
            <v>VAGO QSR</v>
          </cell>
          <cell r="K2901" t="str">
            <v>ITAMBÉ</v>
          </cell>
          <cell r="L2901" t="str">
            <v>PEDRO</v>
          </cell>
          <cell r="M2901" t="str">
            <v>VAGO QSR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  <cell r="H2902" t="str">
            <v>DISTRIBUIÇÃO</v>
          </cell>
          <cell r="I2902" t="str">
            <v>FOOD SERVICE</v>
          </cell>
          <cell r="J2902" t="str">
            <v>FLAC 5</v>
          </cell>
          <cell r="K2902" t="str">
            <v>LACTALIS</v>
          </cell>
          <cell r="L2902" t="str">
            <v>RODRIGO</v>
          </cell>
          <cell r="M2902" t="str">
            <v>RAQUEL BARBOSA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  <cell r="H2903" t="str">
            <v>INGREDIENTS</v>
          </cell>
          <cell r="I2903" t="str">
            <v>INGREDIENTS</v>
          </cell>
          <cell r="J2903" t="str">
            <v>MARCELO RODRIGUES</v>
          </cell>
          <cell r="K2903" t="str">
            <v>ITAMBÉ</v>
          </cell>
          <cell r="L2903" t="str">
            <v>MAURICIO</v>
          </cell>
          <cell r="M2903" t="str">
            <v>MARCELO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  <cell r="H2904" t="str">
            <v>QSR</v>
          </cell>
          <cell r="I2904" t="str">
            <v>FOOD SERVICE</v>
          </cell>
          <cell r="J2904" t="str">
            <v>ANA MENIQUETE</v>
          </cell>
          <cell r="K2904" t="str">
            <v>LACTALIS</v>
          </cell>
          <cell r="L2904" t="str">
            <v>PEDRO</v>
          </cell>
          <cell r="M2904" t="str">
            <v>ANA MENIQUETE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  <cell r="H2905" t="str">
            <v>QSR</v>
          </cell>
          <cell r="I2905" t="str">
            <v>FOOD SERVICE</v>
          </cell>
          <cell r="J2905" t="str">
            <v>VAGO QSR</v>
          </cell>
          <cell r="K2905" t="str">
            <v>ITAMBÉ</v>
          </cell>
          <cell r="L2905" t="str">
            <v>PEDRO</v>
          </cell>
          <cell r="M2905" t="str">
            <v>VAGO QSR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  <cell r="H2906" t="str">
            <v>QSR</v>
          </cell>
          <cell r="I2906" t="str">
            <v>FOOD SERVICE</v>
          </cell>
          <cell r="J2906" t="str">
            <v>VAGO QSR</v>
          </cell>
          <cell r="K2906" t="str">
            <v>ITAMBÉ</v>
          </cell>
          <cell r="L2906" t="str">
            <v>PEDRO</v>
          </cell>
          <cell r="M2906" t="str">
            <v>VAGO QSR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  <cell r="H2907" t="str">
            <v>QSR</v>
          </cell>
          <cell r="I2907" t="str">
            <v>FOOD SERVICE</v>
          </cell>
          <cell r="J2907" t="str">
            <v>VAGO QSR</v>
          </cell>
          <cell r="K2907" t="str">
            <v>ITAMBÉ</v>
          </cell>
          <cell r="L2907" t="str">
            <v>PEDRO</v>
          </cell>
          <cell r="M2907" t="str">
            <v>VAGO QSR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  <cell r="H2908" t="str">
            <v>QSR</v>
          </cell>
          <cell r="I2908" t="str">
            <v>FOOD SERVICE</v>
          </cell>
          <cell r="J2908" t="str">
            <v>VAGO QSR</v>
          </cell>
          <cell r="K2908" t="str">
            <v>ITAMBÉ</v>
          </cell>
          <cell r="L2908" t="str">
            <v>PEDRO</v>
          </cell>
          <cell r="M2908" t="str">
            <v>VAGO QSR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  <cell r="H2909" t="str">
            <v>QSR</v>
          </cell>
          <cell r="I2909" t="str">
            <v>FOOD SERVICE</v>
          </cell>
          <cell r="J2909" t="str">
            <v>VAGO QSR</v>
          </cell>
          <cell r="K2909" t="str">
            <v>ITAMBÉ</v>
          </cell>
          <cell r="L2909" t="str">
            <v>PEDRO</v>
          </cell>
          <cell r="M2909" t="str">
            <v>VAGO QSR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  <cell r="H2910" t="str">
            <v>QSR</v>
          </cell>
          <cell r="I2910" t="str">
            <v>FOOD SERVICE</v>
          </cell>
          <cell r="J2910" t="str">
            <v>VAGO QSR</v>
          </cell>
          <cell r="K2910" t="str">
            <v>ITAMBÉ</v>
          </cell>
          <cell r="L2910" t="str">
            <v>PEDRO</v>
          </cell>
          <cell r="M2910" t="str">
            <v>VAGO QSR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  <cell r="H2911" t="str">
            <v>QSR</v>
          </cell>
          <cell r="I2911" t="str">
            <v>FOOD SERVICE</v>
          </cell>
          <cell r="J2911" t="str">
            <v>VAGO QSR</v>
          </cell>
          <cell r="K2911" t="str">
            <v>ITAMBÉ</v>
          </cell>
          <cell r="L2911" t="str">
            <v>PEDRO</v>
          </cell>
          <cell r="M2911" t="str">
            <v>VAGO QSR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  <cell r="H2912" t="str">
            <v>QSR</v>
          </cell>
          <cell r="I2912" t="str">
            <v>FOOD SERVICE</v>
          </cell>
          <cell r="J2912" t="str">
            <v>VAGO QSR</v>
          </cell>
          <cell r="K2912" t="str">
            <v>ITAMBÉ</v>
          </cell>
          <cell r="L2912" t="str">
            <v>PEDRO</v>
          </cell>
          <cell r="M2912" t="str">
            <v>VAGO QSR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  <cell r="H2913" t="str">
            <v>QSR</v>
          </cell>
          <cell r="I2913" t="str">
            <v>FOOD SERVICE</v>
          </cell>
          <cell r="J2913" t="str">
            <v>VAGO QSR</v>
          </cell>
          <cell r="K2913" t="str">
            <v>ITAMBÉ</v>
          </cell>
          <cell r="L2913" t="str">
            <v>PEDRO</v>
          </cell>
          <cell r="M2913" t="str">
            <v>VAGO QSR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  <cell r="H2914" t="str">
            <v>QSR</v>
          </cell>
          <cell r="I2914" t="str">
            <v>FOOD SERVICE</v>
          </cell>
          <cell r="J2914" t="str">
            <v>VAGO QSR</v>
          </cell>
          <cell r="K2914" t="str">
            <v>ITAMBÉ</v>
          </cell>
          <cell r="L2914" t="str">
            <v>PEDRO</v>
          </cell>
          <cell r="M2914" t="str">
            <v>VAGO QSR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  <cell r="H2915" t="str">
            <v>QSR</v>
          </cell>
          <cell r="I2915" t="str">
            <v>FOOD SERVICE</v>
          </cell>
          <cell r="J2915" t="str">
            <v>VAGO QSR</v>
          </cell>
          <cell r="K2915" t="str">
            <v>ITAMBÉ</v>
          </cell>
          <cell r="L2915" t="str">
            <v>PEDRO</v>
          </cell>
          <cell r="M2915" t="str">
            <v>VAGO QSR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  <cell r="H2916" t="str">
            <v>QSR</v>
          </cell>
          <cell r="I2916" t="str">
            <v>FOOD SERVICE</v>
          </cell>
          <cell r="J2916" t="str">
            <v>NUTRI</v>
          </cell>
          <cell r="K2916" t="str">
            <v>ITAMBÉ</v>
          </cell>
          <cell r="L2916" t="str">
            <v>PEDRO</v>
          </cell>
          <cell r="M2916" t="str">
            <v>VAGO QSR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  <cell r="H2917" t="str">
            <v>DISTRIBUIÇÃO</v>
          </cell>
          <cell r="I2917" t="str">
            <v>FOOD SERVICE</v>
          </cell>
          <cell r="J2917" t="str">
            <v>CLAUDIO JORGE</v>
          </cell>
          <cell r="K2917" t="str">
            <v>LACTALIS</v>
          </cell>
          <cell r="L2917" t="str">
            <v>RODRIGO</v>
          </cell>
          <cell r="M2917" t="str">
            <v>MARIA LOURDES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  <cell r="H2918" t="str">
            <v>DISTRIBUIÇÃO</v>
          </cell>
          <cell r="I2918" t="str">
            <v>FOOD SERVICE</v>
          </cell>
          <cell r="J2918" t="str">
            <v>FLAC 3</v>
          </cell>
          <cell r="K2918" t="str">
            <v>LACTALIS</v>
          </cell>
          <cell r="L2918" t="str">
            <v>RODRIGO</v>
          </cell>
          <cell r="M2918" t="str">
            <v>RAQUEL BARBOSA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  <cell r="H2919" t="str">
            <v>INGREDIENTS</v>
          </cell>
          <cell r="I2919" t="str">
            <v>INGREDIENTS</v>
          </cell>
          <cell r="J2919" t="str">
            <v>JOEL ELEOTÉRIO</v>
          </cell>
          <cell r="K2919" t="str">
            <v>ITAMBÉ</v>
          </cell>
          <cell r="L2919" t="str">
            <v>MAURICIO</v>
          </cell>
          <cell r="M2919" t="str">
            <v>JOEL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  <cell r="H2920" t="str">
            <v>DISTRIBUIÇÃO</v>
          </cell>
          <cell r="I2920" t="str">
            <v>FOOD SERVICE</v>
          </cell>
          <cell r="J2920" t="str">
            <v>ALEXANDRE BONANI</v>
          </cell>
          <cell r="K2920" t="str">
            <v>ITAMBÉ</v>
          </cell>
          <cell r="L2920" t="str">
            <v>RODRIGO</v>
          </cell>
          <cell r="M2920" t="str">
            <v>ALEXANDRE BONANI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  <cell r="H2921" t="str">
            <v>DISTRIBUIÇÃO</v>
          </cell>
          <cell r="I2921" t="str">
            <v>FOOD SERVICE</v>
          </cell>
          <cell r="J2921" t="str">
            <v>FLAC 2</v>
          </cell>
          <cell r="K2921" t="str">
            <v>LACTALIS</v>
          </cell>
          <cell r="L2921" t="str">
            <v>RODRIGO</v>
          </cell>
          <cell r="M2921" t="str">
            <v>RAQUEL BARBOSA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  <cell r="H2922" t="str">
            <v>DISTRIBUIÇÃO</v>
          </cell>
          <cell r="I2922" t="str">
            <v>FOOD SERVICE</v>
          </cell>
          <cell r="J2922" t="str">
            <v>FLAC 6</v>
          </cell>
          <cell r="K2922" t="str">
            <v>LACTALIS</v>
          </cell>
          <cell r="L2922" t="str">
            <v>RODRIGO</v>
          </cell>
          <cell r="M2922" t="str">
            <v>RAQUEL BARBOSA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  <cell r="H2923" t="str">
            <v>DISTRIBUIÇÃO</v>
          </cell>
          <cell r="I2923" t="str">
            <v>FOOD SERVICE</v>
          </cell>
          <cell r="J2923" t="str">
            <v>SP ITB FS FLAC REP.E COMERCIO</v>
          </cell>
          <cell r="K2923" t="str">
            <v>ITAMBÉ</v>
          </cell>
          <cell r="L2923" t="str">
            <v>RODRIGO</v>
          </cell>
          <cell r="M2923" t="str">
            <v>RAQUEL BARBOSA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  <cell r="H2924" t="str">
            <v>INGREDIENTS</v>
          </cell>
          <cell r="I2924" t="str">
            <v>INGREDIENTS</v>
          </cell>
          <cell r="J2924" t="str">
            <v>MARCELO RODRIGUES</v>
          </cell>
          <cell r="K2924" t="str">
            <v>ITAMBÉ</v>
          </cell>
          <cell r="L2924" t="str">
            <v>MAURICIO</v>
          </cell>
          <cell r="M2924" t="str">
            <v>MARCELO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  <cell r="H2925" t="str">
            <v>INGREDIENTS</v>
          </cell>
          <cell r="I2925" t="str">
            <v>INGREDIENTS</v>
          </cell>
          <cell r="J2925" t="str">
            <v>JOEL ELEOTÉRIO</v>
          </cell>
          <cell r="K2925" t="str">
            <v>LACTALIS</v>
          </cell>
          <cell r="L2925" t="str">
            <v>MAURICIO</v>
          </cell>
          <cell r="M2925" t="str">
            <v>JOEL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  <cell r="H2926" t="str">
            <v>INGREDIENTS</v>
          </cell>
          <cell r="I2926" t="str">
            <v>INGREDIENTS</v>
          </cell>
          <cell r="J2926" t="str">
            <v>MARCELO RODRIGUES</v>
          </cell>
          <cell r="K2926" t="str">
            <v>LACTALIS</v>
          </cell>
          <cell r="L2926" t="str">
            <v>MAURICIO</v>
          </cell>
          <cell r="M2926" t="str">
            <v>MARCELO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  <cell r="H2927" t="str">
            <v>INGREDIENTS</v>
          </cell>
          <cell r="I2927" t="str">
            <v>INGREDIENTS</v>
          </cell>
          <cell r="J2927" t="str">
            <v>MARCELO RODRIGUES</v>
          </cell>
          <cell r="K2927" t="str">
            <v>LACTALIS</v>
          </cell>
          <cell r="L2927" t="str">
            <v>MAURICIO</v>
          </cell>
          <cell r="M2927" t="str">
            <v>MARCELO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  <cell r="H2928" t="str">
            <v>QSR</v>
          </cell>
          <cell r="I2928" t="str">
            <v>FOOD SERVICE</v>
          </cell>
          <cell r="J2928" t="str">
            <v>ANA MENIQUETE</v>
          </cell>
          <cell r="K2928" t="str">
            <v>ITAMBÉ</v>
          </cell>
          <cell r="L2928" t="str">
            <v>PEDRO</v>
          </cell>
          <cell r="M2928" t="str">
            <v>ANA MENIQUETE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  <cell r="H2929" t="str">
            <v>DISTRIBUIÇÃO</v>
          </cell>
          <cell r="I2929" t="str">
            <v>FOOD SERVICE</v>
          </cell>
          <cell r="J2929" t="str">
            <v>MARCELO SILVA</v>
          </cell>
          <cell r="K2929" t="str">
            <v>ITAMBÉ</v>
          </cell>
          <cell r="L2929" t="str">
            <v>RODRIGO</v>
          </cell>
          <cell r="M2929" t="str">
            <v>CELIO MARTINS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  <cell r="H2930" t="str">
            <v>DISTRIBUIÇÃO</v>
          </cell>
          <cell r="I2930" t="str">
            <v>FOOD SERVICE</v>
          </cell>
          <cell r="J2930" t="str">
            <v>RAQUEL BARBOSA</v>
          </cell>
          <cell r="K2930" t="str">
            <v>ITAMBÉ</v>
          </cell>
          <cell r="L2930" t="str">
            <v>RODRIGO</v>
          </cell>
          <cell r="M2930" t="str">
            <v>RAQUEL BARBOSA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  <cell r="H2931" t="str">
            <v>DISTRIBUIÇÃO</v>
          </cell>
          <cell r="I2931" t="str">
            <v>FOOD SERVICE</v>
          </cell>
          <cell r="J2931" t="str">
            <v>ANGELICA BATISTELA</v>
          </cell>
          <cell r="K2931" t="str">
            <v>ITAMBÉ</v>
          </cell>
          <cell r="L2931" t="str">
            <v>RODRIGO</v>
          </cell>
          <cell r="M2931" t="str">
            <v>ANGELICA BATISTELA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  <cell r="H2932" t="str">
            <v>INGREDIENTS</v>
          </cell>
          <cell r="I2932" t="str">
            <v>INGREDIENTS</v>
          </cell>
          <cell r="J2932" t="str">
            <v>HENRIQUE FERREIRA</v>
          </cell>
          <cell r="K2932" t="str">
            <v>ITAMBÉ</v>
          </cell>
          <cell r="L2932" t="str">
            <v>MAURICIO</v>
          </cell>
          <cell r="M2932" t="str">
            <v>JOEL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  <cell r="H2933" t="str">
            <v>DISTRIBUIÇÃO</v>
          </cell>
          <cell r="I2933" t="str">
            <v>FOOD SERVICE</v>
          </cell>
          <cell r="J2933" t="str">
            <v>CELIO MARTINS</v>
          </cell>
          <cell r="K2933" t="str">
            <v>ITAMBÉ</v>
          </cell>
          <cell r="L2933" t="str">
            <v>RODRIGO</v>
          </cell>
          <cell r="M2933" t="str">
            <v>CELIO MARTINS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  <cell r="H2934" t="str">
            <v>DISTRIBUIÇÃO</v>
          </cell>
          <cell r="I2934" t="str">
            <v>FOOD SERVICE</v>
          </cell>
          <cell r="J2934" t="str">
            <v>GUILHERME NASCIMENTO</v>
          </cell>
          <cell r="K2934" t="str">
            <v>ITAMBÉ</v>
          </cell>
          <cell r="L2934" t="str">
            <v>RODRIGO</v>
          </cell>
          <cell r="M2934" t="str">
            <v>ALEXANDRO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  <cell r="H2935" t="str">
            <v>DISTRIBUIÇÃO</v>
          </cell>
          <cell r="I2935" t="str">
            <v>FOOD SERVICE</v>
          </cell>
          <cell r="J2935" t="str">
            <v>MARCELO SILVA</v>
          </cell>
          <cell r="K2935" t="str">
            <v>ITAMBÉ</v>
          </cell>
          <cell r="L2935" t="str">
            <v>RODRIGO</v>
          </cell>
          <cell r="M2935" t="str">
            <v>CELIO MARTINS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  <cell r="H2936" t="str">
            <v>DISTRIBUIÇÃO</v>
          </cell>
          <cell r="I2936" t="str">
            <v>FOOD SERVICE</v>
          </cell>
          <cell r="J2936" t="str">
            <v>SP ITB FS FLAC REP.E COMERCIO</v>
          </cell>
          <cell r="K2936" t="str">
            <v>ITAMBÉ</v>
          </cell>
          <cell r="L2936" t="str">
            <v>RODRIGO</v>
          </cell>
          <cell r="M2936" t="str">
            <v>RAQUEL BARBOSA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  <cell r="H2937" t="str">
            <v>DISTRIBUIÇÃO</v>
          </cell>
          <cell r="I2937" t="str">
            <v>FOOD SERVICE</v>
          </cell>
          <cell r="J2937" t="str">
            <v>ANGELICA BATISTELA</v>
          </cell>
          <cell r="K2937" t="str">
            <v>ITAMBÉ</v>
          </cell>
          <cell r="L2937" t="str">
            <v>RODRIGO</v>
          </cell>
          <cell r="M2937" t="str">
            <v>ANGELICA BATISTELA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  <cell r="H2938" t="str">
            <v>DISTRIBUIÇÃO</v>
          </cell>
          <cell r="I2938" t="str">
            <v>FOOD SERVICE</v>
          </cell>
          <cell r="J2938" t="str">
            <v>MARCELO DUARTE</v>
          </cell>
          <cell r="K2938" t="str">
            <v>ITAMBÉ</v>
          </cell>
          <cell r="L2938" t="str">
            <v>RODRIGO</v>
          </cell>
          <cell r="M2938" t="str">
            <v>JESSICA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  <cell r="H2939" t="str">
            <v>INGREDIENTS</v>
          </cell>
          <cell r="I2939" t="str">
            <v>INGREDIENTS</v>
          </cell>
          <cell r="J2939" t="str">
            <v>HENRIQUE FERREIRA</v>
          </cell>
          <cell r="K2939" t="str">
            <v>ITAMBÉ</v>
          </cell>
          <cell r="L2939" t="str">
            <v>MAURICIO</v>
          </cell>
          <cell r="M2939" t="str">
            <v>JOEL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  <cell r="H2940" t="str">
            <v>QSR</v>
          </cell>
          <cell r="I2940" t="str">
            <v>FOOD SERVICE</v>
          </cell>
          <cell r="J2940" t="str">
            <v>NUTRI</v>
          </cell>
          <cell r="K2940" t="str">
            <v>ITAMBÉ</v>
          </cell>
          <cell r="L2940" t="str">
            <v>PEDRO</v>
          </cell>
          <cell r="M2940" t="str">
            <v>VAGO QSR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  <cell r="H2941" t="str">
            <v>DISTRIBUIÇÃO</v>
          </cell>
          <cell r="I2941" t="str">
            <v>FOOD SERVICE</v>
          </cell>
          <cell r="J2941" t="str">
            <v>SP ITB FS FLAC REP.E COMERCIO</v>
          </cell>
          <cell r="K2941" t="str">
            <v>ITAMBÉ</v>
          </cell>
          <cell r="L2941" t="str">
            <v>RODRIGO</v>
          </cell>
          <cell r="M2941" t="str">
            <v>RAQUEL BARBOSA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  <cell r="H2942" t="str">
            <v>DISTRIBUIÇÃO</v>
          </cell>
          <cell r="I2942" t="str">
            <v>FOOD SERVICE</v>
          </cell>
          <cell r="J2942" t="str">
            <v>ANGELICA BATISTELA</v>
          </cell>
          <cell r="K2942" t="str">
            <v>ITAMBÉ</v>
          </cell>
          <cell r="L2942" t="str">
            <v>RODRIGO</v>
          </cell>
          <cell r="M2942" t="str">
            <v>ANGELICA BATISTELA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  <cell r="H2943" t="str">
            <v>DISTRIBUIÇÃO</v>
          </cell>
          <cell r="I2943" t="str">
            <v>FOOD SERVICE</v>
          </cell>
          <cell r="J2943" t="str">
            <v>MARCELO DUARTE</v>
          </cell>
          <cell r="K2943" t="str">
            <v>ITAMBÉ</v>
          </cell>
          <cell r="L2943" t="str">
            <v>RODRIGO</v>
          </cell>
          <cell r="M2943" t="str">
            <v>JESSICA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  <cell r="H2944" t="str">
            <v>INGREDIENTS</v>
          </cell>
          <cell r="I2944" t="str">
            <v>INGREDIENTS</v>
          </cell>
          <cell r="J2944" t="str">
            <v>MARCELO RODRIGUES</v>
          </cell>
          <cell r="K2944" t="str">
            <v>ITAMBÉ</v>
          </cell>
          <cell r="L2944" t="str">
            <v>MAURICIO</v>
          </cell>
          <cell r="M2944" t="str">
            <v>MARCELO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  <cell r="H2945" t="str">
            <v>DISTRIBUIÇÃO</v>
          </cell>
          <cell r="I2945" t="str">
            <v>FOOD SERVICE</v>
          </cell>
          <cell r="J2945" t="str">
            <v>ANGELICA BATISTELA</v>
          </cell>
          <cell r="K2945" t="str">
            <v>ITAMBÉ</v>
          </cell>
          <cell r="L2945" t="str">
            <v>RODRIGO</v>
          </cell>
          <cell r="M2945" t="str">
            <v>ANGELICA BATISTELA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  <cell r="H2946" t="str">
            <v>DISTRIBUIÇÃO</v>
          </cell>
          <cell r="I2946" t="str">
            <v>FOOD SERVICE</v>
          </cell>
          <cell r="J2946" t="str">
            <v>WH FOOD SERVICE CE</v>
          </cell>
          <cell r="K2946" t="str">
            <v>ITAMBÉ</v>
          </cell>
          <cell r="L2946" t="str">
            <v>RODRIGO</v>
          </cell>
          <cell r="M2946" t="str">
            <v>MARIA LOURDES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  <cell r="H2947" t="str">
            <v>INGREDIENTS</v>
          </cell>
          <cell r="I2947" t="str">
            <v>INGREDIENTS</v>
          </cell>
          <cell r="J2947" t="str">
            <v>HENRIQUE FERREIRA</v>
          </cell>
          <cell r="K2947" t="str">
            <v>ITAMBÉ</v>
          </cell>
          <cell r="L2947" t="str">
            <v>MAURICIO</v>
          </cell>
          <cell r="M2947" t="str">
            <v>JOEL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  <cell r="H2948" t="str">
            <v>DISTRIBUIÇÃO</v>
          </cell>
          <cell r="I2948" t="str">
            <v>FOOD SERVICE</v>
          </cell>
          <cell r="J2948" t="str">
            <v>CLAUDIO JORGE/LUIZ</v>
          </cell>
          <cell r="K2948" t="str">
            <v>ITAMBÉ</v>
          </cell>
          <cell r="L2948" t="str">
            <v>RODRIGO</v>
          </cell>
          <cell r="M2948" t="str">
            <v>MARIA LOURDES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  <cell r="H2949" t="str">
            <v>INGREDIENTS</v>
          </cell>
          <cell r="I2949" t="str">
            <v>INGREDIENTS</v>
          </cell>
          <cell r="J2949" t="str">
            <v>HENRIQUE FERREIRA</v>
          </cell>
          <cell r="K2949" t="str">
            <v>ITAMBÉ</v>
          </cell>
          <cell r="L2949" t="str">
            <v>MAURICIO</v>
          </cell>
          <cell r="M2949" t="str">
            <v>JOEL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  <cell r="H2950" t="str">
            <v>INGREDIENTS</v>
          </cell>
          <cell r="I2950" t="str">
            <v>INGREDIENTS</v>
          </cell>
          <cell r="J2950" t="str">
            <v>JOEL ELEOTÉRIO</v>
          </cell>
          <cell r="K2950" t="str">
            <v>ITAMBÉ</v>
          </cell>
          <cell r="L2950" t="str">
            <v>MAURICIO</v>
          </cell>
          <cell r="M2950" t="str">
            <v>JOEL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  <cell r="H2951" t="str">
            <v>DISTRIBUIÇÃO</v>
          </cell>
          <cell r="I2951" t="str">
            <v>FOOD SERVICE</v>
          </cell>
          <cell r="J2951" t="str">
            <v>MARCELO DUARTE</v>
          </cell>
          <cell r="K2951" t="str">
            <v>ITAMBÉ</v>
          </cell>
          <cell r="L2951" t="str">
            <v>RODRIGO</v>
          </cell>
          <cell r="M2951" t="str">
            <v>JESSICA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  <cell r="H2952" t="str">
            <v>DISTRIBUIÇÃO</v>
          </cell>
          <cell r="I2952" t="str">
            <v>FOOD SERVICE</v>
          </cell>
          <cell r="J2952" t="str">
            <v>MARCELO SILVA</v>
          </cell>
          <cell r="K2952" t="str">
            <v>ITAMBÉ</v>
          </cell>
          <cell r="L2952" t="str">
            <v>RODRIGO</v>
          </cell>
          <cell r="M2952" t="str">
            <v>CELIO MARTINS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  <cell r="H2953" t="str">
            <v>QSR</v>
          </cell>
          <cell r="I2953" t="str">
            <v>FOOD SERVICE</v>
          </cell>
          <cell r="J2953" t="str">
            <v>ANA MENIQUETE</v>
          </cell>
          <cell r="K2953" t="str">
            <v>ITAMBÉ</v>
          </cell>
          <cell r="L2953" t="str">
            <v>PEDRO</v>
          </cell>
          <cell r="M2953" t="str">
            <v>ANA MENIQUETE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  <cell r="H2954" t="str">
            <v>INGREDIENTS</v>
          </cell>
          <cell r="I2954" t="str">
            <v>INGREDIENTS</v>
          </cell>
          <cell r="J2954" t="str">
            <v>MARCELO RODRIGUES</v>
          </cell>
          <cell r="K2954" t="str">
            <v>ITAMBÉ</v>
          </cell>
          <cell r="L2954" t="str">
            <v>MAURICIO</v>
          </cell>
          <cell r="M2954" t="str">
            <v>MARCELO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  <cell r="H2955" t="str">
            <v>DISTRIBUIÇÃO</v>
          </cell>
          <cell r="I2955" t="str">
            <v>FOOD SERVICE</v>
          </cell>
          <cell r="J2955" t="str">
            <v>GUILHERME NASCIMENTO</v>
          </cell>
          <cell r="K2955" t="str">
            <v>ITAMBÉ</v>
          </cell>
          <cell r="L2955" t="str">
            <v>RODRIGO</v>
          </cell>
          <cell r="M2955" t="str">
            <v>ALEXANDRO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  <cell r="H2956" t="str">
            <v>DISTRIBUIÇÃO</v>
          </cell>
          <cell r="I2956" t="str">
            <v>FOOD SERVICE</v>
          </cell>
          <cell r="J2956" t="str">
            <v>ANGELICA BATISTELA</v>
          </cell>
          <cell r="K2956" t="str">
            <v>ITAMBÉ</v>
          </cell>
          <cell r="L2956" t="str">
            <v>RODRIGO</v>
          </cell>
          <cell r="M2956" t="str">
            <v>ANGELICA BATISTELA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  <cell r="H2957" t="str">
            <v>INGREDIENTS</v>
          </cell>
          <cell r="I2957" t="str">
            <v>INGREDIENTS</v>
          </cell>
          <cell r="J2957" t="str">
            <v>JOEL ELEOTÉRIO</v>
          </cell>
          <cell r="K2957" t="str">
            <v>ITAMBÉ</v>
          </cell>
          <cell r="L2957" t="str">
            <v>MAURICIO</v>
          </cell>
          <cell r="M2957" t="str">
            <v>JOEL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  <cell r="H2958" t="str">
            <v>DISTRIBUIÇÃO</v>
          </cell>
          <cell r="I2958" t="str">
            <v>FOOD SERVICE</v>
          </cell>
          <cell r="J2958" t="str">
            <v>JULIANA CORDEIRO</v>
          </cell>
          <cell r="K2958" t="str">
            <v>ITAMBÉ</v>
          </cell>
          <cell r="L2958" t="str">
            <v>RODRIGO</v>
          </cell>
          <cell r="M2958" t="str">
            <v>JESSICA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  <cell r="H2959" t="str">
            <v>QSR</v>
          </cell>
          <cell r="I2959" t="str">
            <v>FOOD SERVICE</v>
          </cell>
          <cell r="J2959" t="str">
            <v>VAGO QSR</v>
          </cell>
          <cell r="K2959" t="str">
            <v>ITAMBÉ</v>
          </cell>
          <cell r="L2959" t="str">
            <v>PEDRO</v>
          </cell>
          <cell r="M2959" t="str">
            <v>VAGO QSR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  <cell r="H2960" t="str">
            <v>INGREDIENTS</v>
          </cell>
          <cell r="I2960" t="str">
            <v>INGREDIENTS</v>
          </cell>
          <cell r="J2960" t="str">
            <v>HENRIQUE FERREIRA</v>
          </cell>
          <cell r="K2960" t="str">
            <v>ITAMBÉ</v>
          </cell>
          <cell r="L2960" t="str">
            <v>MAURICIO</v>
          </cell>
          <cell r="M2960" t="str">
            <v>JOEL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  <cell r="H2961" t="str">
            <v>INGREDIENTS</v>
          </cell>
          <cell r="I2961" t="str">
            <v>INGREDIENTS</v>
          </cell>
          <cell r="J2961" t="str">
            <v>TATIANA NITTA</v>
          </cell>
          <cell r="K2961" t="str">
            <v>ITAMBÉ</v>
          </cell>
          <cell r="L2961" t="str">
            <v>MAURICIO</v>
          </cell>
          <cell r="M2961" t="str">
            <v>TATIANA NITTA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  <cell r="H2962" t="str">
            <v>DISTRIBUIÇÃO</v>
          </cell>
          <cell r="I2962" t="str">
            <v>FOOD SERVICE</v>
          </cell>
          <cell r="J2962" t="str">
            <v>MARCELO DUARTE</v>
          </cell>
          <cell r="K2962" t="str">
            <v>ITAMBÉ</v>
          </cell>
          <cell r="L2962" t="str">
            <v>RODRIGO</v>
          </cell>
          <cell r="M2962" t="str">
            <v>JESSICA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  <cell r="H2963" t="str">
            <v>DISTRIBUIÇÃO</v>
          </cell>
          <cell r="I2963" t="str">
            <v>FOOD SERVICE</v>
          </cell>
          <cell r="J2963" t="str">
            <v>DIGMA REPR LTDA</v>
          </cell>
          <cell r="K2963" t="str">
            <v>ITAMBÉ</v>
          </cell>
          <cell r="L2963" t="str">
            <v>RODRIGO</v>
          </cell>
          <cell r="M2963" t="str">
            <v>MARIA LOURDES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  <cell r="H2964" t="str">
            <v>INGREDIENTS</v>
          </cell>
          <cell r="I2964" t="str">
            <v>INGREDIENTS</v>
          </cell>
          <cell r="J2964" t="str">
            <v>HENRIQUE FERREIRA</v>
          </cell>
          <cell r="K2964" t="str">
            <v>ITAMBÉ</v>
          </cell>
          <cell r="L2964" t="str">
            <v>MAURICIO</v>
          </cell>
          <cell r="M2964" t="str">
            <v>JOEL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  <cell r="H2965" t="str">
            <v>INGREDIENTS</v>
          </cell>
          <cell r="I2965" t="str">
            <v>INGREDIENTS</v>
          </cell>
          <cell r="J2965" t="str">
            <v>HENRIQUE FERREIRA</v>
          </cell>
          <cell r="K2965" t="str">
            <v>ITAMBÉ</v>
          </cell>
          <cell r="L2965" t="str">
            <v>MAURICIO</v>
          </cell>
          <cell r="M2965" t="str">
            <v>JOEL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  <cell r="H2966" t="str">
            <v>DISTRIBUIÇÃO</v>
          </cell>
          <cell r="I2966" t="str">
            <v>FOOD SERVICE</v>
          </cell>
          <cell r="J2966" t="str">
            <v>CLAUDIO JORGE</v>
          </cell>
          <cell r="K2966" t="str">
            <v>ITAMBÉ</v>
          </cell>
          <cell r="L2966" t="str">
            <v>RODRIGO</v>
          </cell>
          <cell r="M2966" t="str">
            <v>MARCO AURELIO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  <cell r="H2967" t="str">
            <v>DISTRIBUIÇÃO</v>
          </cell>
          <cell r="I2967" t="str">
            <v>FOOD SERVICE</v>
          </cell>
          <cell r="J2967" t="str">
            <v>ANGELICA BATISTELA</v>
          </cell>
          <cell r="K2967" t="str">
            <v>ITAMBÉ</v>
          </cell>
          <cell r="L2967" t="str">
            <v>RODRIGO</v>
          </cell>
          <cell r="M2967" t="str">
            <v>ANGELICA BATISTELA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  <cell r="H2968" t="str">
            <v>DISTRIBUIÇÃO</v>
          </cell>
          <cell r="I2968" t="str">
            <v>FOOD SERVICE</v>
          </cell>
          <cell r="J2968" t="str">
            <v>CLAUDIO JORGE/LUIZ</v>
          </cell>
          <cell r="K2968" t="str">
            <v>ITAMBÉ</v>
          </cell>
          <cell r="L2968" t="str">
            <v>RODRIGO</v>
          </cell>
          <cell r="M2968" t="str">
            <v>MARIA LOURDES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  <cell r="H2969" t="str">
            <v>INGREDIENTS</v>
          </cell>
          <cell r="I2969" t="str">
            <v>INGREDIENTS</v>
          </cell>
          <cell r="J2969" t="str">
            <v>JOEL ELEOTÉRIO</v>
          </cell>
          <cell r="K2969" t="str">
            <v>ITAMBÉ</v>
          </cell>
          <cell r="L2969" t="str">
            <v>MAURICIO</v>
          </cell>
          <cell r="M2969" t="str">
            <v>JOEL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  <cell r="H2970" t="str">
            <v>QSR</v>
          </cell>
          <cell r="I2970" t="str">
            <v>FOOD SERVICE</v>
          </cell>
          <cell r="J2970" t="str">
            <v>NUTRI</v>
          </cell>
          <cell r="K2970" t="str">
            <v>ITAMBÉ</v>
          </cell>
          <cell r="L2970" t="str">
            <v>PEDRO</v>
          </cell>
          <cell r="M2970" t="str">
            <v>VAGO QSR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  <cell r="H2971" t="str">
            <v>DISTRIBUIÇÃO</v>
          </cell>
          <cell r="I2971" t="str">
            <v>FOOD SERVICE</v>
          </cell>
          <cell r="J2971" t="str">
            <v>CLAUDIO JORGE</v>
          </cell>
          <cell r="K2971" t="str">
            <v>ITAMBÉ</v>
          </cell>
          <cell r="L2971" t="str">
            <v>RODRIGO</v>
          </cell>
          <cell r="M2971" t="str">
            <v>MARIA LOURDES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  <cell r="H2972" t="str">
            <v>DISTRIBUIÇÃO</v>
          </cell>
          <cell r="I2972" t="str">
            <v>FOOD SERVICE</v>
          </cell>
          <cell r="J2972" t="str">
            <v>RAQUEL BARBOSA</v>
          </cell>
          <cell r="K2972" t="str">
            <v>ITAMBÉ</v>
          </cell>
          <cell r="L2972" t="str">
            <v>RODRIGO</v>
          </cell>
          <cell r="M2972" t="str">
            <v>RAQUEL BARBOSA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  <cell r="H2973" t="str">
            <v>DISTRIBUIÇÃO</v>
          </cell>
          <cell r="I2973" t="str">
            <v>FOOD SERVICE</v>
          </cell>
          <cell r="J2973" t="str">
            <v>MARCELO SILVA</v>
          </cell>
          <cell r="K2973" t="str">
            <v>ITAMBÉ</v>
          </cell>
          <cell r="L2973" t="str">
            <v>RODRIGO</v>
          </cell>
          <cell r="M2973" t="str">
            <v>CELIO MARTINS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  <cell r="H2974" t="str">
            <v>DISTRIBUIÇÃO</v>
          </cell>
          <cell r="I2974" t="str">
            <v>FOOD SERVICE</v>
          </cell>
          <cell r="J2974" t="str">
            <v>VAGO SP</v>
          </cell>
          <cell r="K2974" t="str">
            <v>ITAMBÉ</v>
          </cell>
          <cell r="L2974" t="str">
            <v>RODRIGO</v>
          </cell>
          <cell r="M2974" t="str">
            <v>RAQUEL BARBOSA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  <cell r="H2975" t="str">
            <v>DISTRIBUIÇÃO</v>
          </cell>
          <cell r="I2975" t="str">
            <v>FOOD SERVICE</v>
          </cell>
          <cell r="J2975" t="str">
            <v>MARCELO SILVA</v>
          </cell>
          <cell r="K2975" t="str">
            <v>ITAMBÉ</v>
          </cell>
          <cell r="L2975" t="str">
            <v>RODRIGO</v>
          </cell>
          <cell r="M2975" t="str">
            <v>CELIO MARTINS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  <cell r="H2976" t="str">
            <v>QSR</v>
          </cell>
          <cell r="I2976" t="str">
            <v>FOOD SERVICE</v>
          </cell>
          <cell r="J2976" t="str">
            <v>NUTRI</v>
          </cell>
          <cell r="K2976" t="str">
            <v>ITAMBÉ</v>
          </cell>
          <cell r="L2976" t="str">
            <v>PEDRO</v>
          </cell>
          <cell r="M2976" t="str">
            <v>VAGO QSR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  <cell r="H2977" t="str">
            <v>INGREDIENTS</v>
          </cell>
          <cell r="I2977" t="str">
            <v>INGREDIENTS</v>
          </cell>
          <cell r="J2977" t="str">
            <v>HENRIQUE FERREIRA</v>
          </cell>
          <cell r="K2977" t="str">
            <v>ITAMBÉ</v>
          </cell>
          <cell r="L2977" t="str">
            <v>MAURICIO</v>
          </cell>
          <cell r="M2977" t="str">
            <v>JOEL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  <cell r="H2978" t="str">
            <v>INGREDIENTS</v>
          </cell>
          <cell r="I2978" t="str">
            <v>INGREDIENTS</v>
          </cell>
          <cell r="J2978" t="str">
            <v>MARCELO RODRIGUES</v>
          </cell>
          <cell r="K2978" t="str">
            <v>ITAMBÉ</v>
          </cell>
          <cell r="L2978" t="str">
            <v>MAURICIO</v>
          </cell>
          <cell r="M2978" t="str">
            <v>MARCELO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  <cell r="H2979" t="str">
            <v>DISTRIBUIÇÃO</v>
          </cell>
          <cell r="I2979" t="str">
            <v>FOOD SERVICE</v>
          </cell>
          <cell r="J2979" t="str">
            <v>SP ITB FS FLAC REP.E COMERCIO</v>
          </cell>
          <cell r="K2979" t="str">
            <v>ITAMBÉ</v>
          </cell>
          <cell r="L2979" t="str">
            <v>RODRIGO</v>
          </cell>
          <cell r="M2979" t="str">
            <v>RAQUEL BARBOSA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  <cell r="H2980" t="str">
            <v>DISTRIBUIÇÃO</v>
          </cell>
          <cell r="I2980" t="str">
            <v>FOOD SERVICE</v>
          </cell>
          <cell r="J2980" t="str">
            <v>ANGELICA BATISTELA</v>
          </cell>
          <cell r="K2980" t="str">
            <v>ITAMBÉ</v>
          </cell>
          <cell r="L2980" t="str">
            <v>RODRIGO</v>
          </cell>
          <cell r="M2980" t="str">
            <v>ANGELICA BATISTELA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  <cell r="H2981" t="str">
            <v>DISTRIBUIÇÃO</v>
          </cell>
          <cell r="I2981" t="str">
            <v>FOOD SERVICE</v>
          </cell>
          <cell r="J2981" t="str">
            <v>WH FOOD SERVICE CE</v>
          </cell>
          <cell r="K2981" t="str">
            <v>ITAMBÉ</v>
          </cell>
          <cell r="L2981" t="str">
            <v>RODRIGO</v>
          </cell>
          <cell r="M2981" t="str">
            <v>MARIA LOURDES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  <cell r="H2982" t="str">
            <v>QSR</v>
          </cell>
          <cell r="I2982" t="str">
            <v>FOOD SERVICE</v>
          </cell>
          <cell r="J2982" t="str">
            <v>VAGO QSR</v>
          </cell>
          <cell r="K2982" t="str">
            <v>ITAMBÉ</v>
          </cell>
          <cell r="L2982" t="str">
            <v>PEDRO</v>
          </cell>
          <cell r="M2982" t="str">
            <v>VAGO QSR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  <cell r="H2983" t="str">
            <v>DISTRIBUIÇÃO</v>
          </cell>
          <cell r="I2983" t="str">
            <v>FOOD SERVICE</v>
          </cell>
          <cell r="J2983" t="str">
            <v>SP ITB FS FLAC REP.E COMERCIO</v>
          </cell>
          <cell r="K2983" t="str">
            <v>ITAMBÉ</v>
          </cell>
          <cell r="L2983" t="str">
            <v>RODRIGO</v>
          </cell>
          <cell r="M2983" t="str">
            <v>RAQUEL BARBOSA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  <cell r="H2984" t="str">
            <v>INGREDIENTS</v>
          </cell>
          <cell r="I2984" t="str">
            <v>INGREDIENTS</v>
          </cell>
          <cell r="J2984" t="str">
            <v>MG ITB FS DRK REP</v>
          </cell>
          <cell r="K2984" t="str">
            <v>ITAMBÉ</v>
          </cell>
          <cell r="L2984" t="str">
            <v>MAURICIO</v>
          </cell>
          <cell r="M2984" t="str">
            <v>JOEL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  <cell r="H2985" t="str">
            <v>DISTRIBUIÇÃO</v>
          </cell>
          <cell r="I2985" t="str">
            <v>FOOD SERVICE</v>
          </cell>
          <cell r="J2985" t="str">
            <v>MARCELO DUARTE</v>
          </cell>
          <cell r="K2985" t="str">
            <v>ITAMBÉ</v>
          </cell>
          <cell r="L2985" t="str">
            <v>RODRIGO</v>
          </cell>
          <cell r="M2985" t="str">
            <v>JESSICA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  <cell r="H2986" t="str">
            <v>DISTRIBUIÇÃO</v>
          </cell>
          <cell r="I2986" t="str">
            <v>FOOD SERVICE</v>
          </cell>
          <cell r="J2986" t="str">
            <v>CLAUDIO JORGE</v>
          </cell>
          <cell r="K2986" t="str">
            <v>ITAMBÉ</v>
          </cell>
          <cell r="L2986" t="str">
            <v>RODRIGO</v>
          </cell>
          <cell r="M2986" t="str">
            <v>MARCO AURELIO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  <cell r="H2987" t="str">
            <v>DISTRIBUIÇÃO</v>
          </cell>
          <cell r="I2987" t="str">
            <v>FOOD SERVICE</v>
          </cell>
          <cell r="J2987" t="str">
            <v>LUCIANA MARTINS</v>
          </cell>
          <cell r="K2987" t="str">
            <v>ITAMBÉ</v>
          </cell>
          <cell r="L2987" t="str">
            <v>RODRIGO</v>
          </cell>
          <cell r="M2987" t="str">
            <v>JESSICA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  <cell r="H2988" t="str">
            <v>INGREDIENTS</v>
          </cell>
          <cell r="I2988" t="str">
            <v>INGREDIENTS</v>
          </cell>
          <cell r="J2988" t="str">
            <v>MARCELO RODRIGUES</v>
          </cell>
          <cell r="K2988" t="str">
            <v>ITAMBÉ</v>
          </cell>
          <cell r="L2988" t="str">
            <v>MAURICIO</v>
          </cell>
          <cell r="M2988" t="str">
            <v>MARCELO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  <cell r="H2989" t="str">
            <v>INGREDIENTS</v>
          </cell>
          <cell r="I2989" t="str">
            <v>INGREDIENTS</v>
          </cell>
          <cell r="J2989" t="str">
            <v>DUAS RODAS</v>
          </cell>
          <cell r="K2989" t="str">
            <v>ITAMBÉ</v>
          </cell>
          <cell r="L2989" t="str">
            <v>MAURICIO</v>
          </cell>
          <cell r="M2989" t="str">
            <v>JOEL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  <cell r="H2990" t="str">
            <v>INGREDIENTS</v>
          </cell>
          <cell r="I2990" t="str">
            <v>INGREDIENTS</v>
          </cell>
          <cell r="J2990" t="str">
            <v>DUAS RODAS</v>
          </cell>
          <cell r="K2990" t="str">
            <v>ITAMBÉ</v>
          </cell>
          <cell r="L2990" t="str">
            <v>MAURICIO</v>
          </cell>
          <cell r="M2990" t="str">
            <v>MARCELO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  <cell r="H2991" t="str">
            <v>DISTRIBUIÇÃO</v>
          </cell>
          <cell r="I2991" t="str">
            <v>FOOD SERVICE</v>
          </cell>
          <cell r="J2991" t="str">
            <v>MARCELO DUARTE</v>
          </cell>
          <cell r="K2991" t="str">
            <v>ITAMBÉ</v>
          </cell>
          <cell r="L2991" t="str">
            <v>RODRIGO</v>
          </cell>
          <cell r="M2991" t="str">
            <v>JESSICA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  <cell r="H2992" t="str">
            <v>DISTRIBUIÇÃO</v>
          </cell>
          <cell r="I2992" t="str">
            <v>FOOD SERVICE</v>
          </cell>
          <cell r="J2992" t="str">
            <v>WH FOOD SERVICE CE</v>
          </cell>
          <cell r="K2992" t="str">
            <v>ITAMBÉ</v>
          </cell>
          <cell r="L2992" t="str">
            <v>RODRIGO</v>
          </cell>
          <cell r="M2992" t="str">
            <v>MARIA LOURDES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  <cell r="H2993" t="str">
            <v>DISTRIBUIÇÃO</v>
          </cell>
          <cell r="I2993" t="str">
            <v>FOOD SERVICE</v>
          </cell>
          <cell r="J2993" t="str">
            <v>CLAUDIO JORGE</v>
          </cell>
          <cell r="K2993" t="str">
            <v>ITAMBÉ</v>
          </cell>
          <cell r="L2993" t="str">
            <v>RODRIGO</v>
          </cell>
          <cell r="M2993" t="str">
            <v>MARCO AURELIO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  <cell r="H2994" t="str">
            <v>DISTRIBUIÇÃO</v>
          </cell>
          <cell r="I2994" t="str">
            <v>FOOD SERVICE</v>
          </cell>
          <cell r="J2994" t="str">
            <v>MARCELO DUARTE</v>
          </cell>
          <cell r="K2994" t="str">
            <v>ITAMBÉ</v>
          </cell>
          <cell r="L2994" t="str">
            <v>RODRIGO</v>
          </cell>
          <cell r="M2994" t="str">
            <v>JESSICA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  <cell r="H2995" t="str">
            <v>INGREDIENTS</v>
          </cell>
          <cell r="I2995" t="str">
            <v>INGREDIENTS</v>
          </cell>
          <cell r="J2995" t="str">
            <v>DUAS RODAS</v>
          </cell>
          <cell r="K2995" t="str">
            <v>ITAMBÉ</v>
          </cell>
          <cell r="L2995" t="str">
            <v>MAURICIO</v>
          </cell>
          <cell r="M2995" t="str">
            <v>MARCELO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  <cell r="H2996" t="str">
            <v>DISTRIBUIÇÃO</v>
          </cell>
          <cell r="I2996" t="str">
            <v>FOOD SERVICE</v>
          </cell>
          <cell r="J2996" t="str">
            <v>SP ITB FS FLAC REP.E COMERCIO</v>
          </cell>
          <cell r="K2996" t="str">
            <v>ITAMBÉ</v>
          </cell>
          <cell r="L2996" t="str">
            <v>RODRIGO</v>
          </cell>
          <cell r="M2996" t="str">
            <v>RAQUEL BARBOSA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  <cell r="H2997" t="str">
            <v>INGREDIENTS</v>
          </cell>
          <cell r="I2997" t="str">
            <v>INGREDIENTS</v>
          </cell>
          <cell r="J2997" t="str">
            <v>HENRIQUE FERREIRA</v>
          </cell>
          <cell r="K2997" t="str">
            <v>ITAMBÉ</v>
          </cell>
          <cell r="L2997" t="str">
            <v>MAURICIO</v>
          </cell>
          <cell r="M2997" t="str">
            <v>JOEL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  <cell r="H2998" t="str">
            <v>DISTRIBUIÇÃO</v>
          </cell>
          <cell r="I2998" t="str">
            <v>FOOD SERVICE</v>
          </cell>
          <cell r="J2998" t="str">
            <v>MARCELO DUARTE</v>
          </cell>
          <cell r="K2998" t="str">
            <v>ITAMBÉ</v>
          </cell>
          <cell r="L2998" t="str">
            <v>RODRIGO</v>
          </cell>
          <cell r="M2998" t="str">
            <v>JESSICA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  <cell r="H2999" t="str">
            <v>INGREDIENTS</v>
          </cell>
          <cell r="I2999" t="str">
            <v>INGREDIENTS</v>
          </cell>
          <cell r="J2999" t="str">
            <v>HENRIQUE FERREIRA</v>
          </cell>
          <cell r="K2999" t="str">
            <v>ITAMBÉ</v>
          </cell>
          <cell r="L2999" t="str">
            <v>MAURICIO</v>
          </cell>
          <cell r="M2999" t="str">
            <v>JOEL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  <cell r="H3000" t="str">
            <v>DISTRIBUIÇÃO</v>
          </cell>
          <cell r="I3000" t="str">
            <v>FOOD SERVICE</v>
          </cell>
          <cell r="J3000" t="str">
            <v>SP ITB FS FLAC REP.E COMERCIO</v>
          </cell>
          <cell r="K3000" t="str">
            <v>ITAMBÉ</v>
          </cell>
          <cell r="L3000" t="str">
            <v>RODRIGO</v>
          </cell>
          <cell r="M3000" t="str">
            <v>RAQUEL BARBOSA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  <cell r="H3001" t="str">
            <v>DISTRIBUIÇÃO</v>
          </cell>
          <cell r="I3001" t="str">
            <v>FOOD SERVICE</v>
          </cell>
          <cell r="J3001" t="str">
            <v>CLAUDIO JORGE</v>
          </cell>
          <cell r="K3001" t="str">
            <v>ITAMBÉ</v>
          </cell>
          <cell r="L3001" t="str">
            <v>RODRIGO</v>
          </cell>
          <cell r="M3001" t="str">
            <v>MARCO AURELIO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  <cell r="H3002" t="str">
            <v>DISTRIBUIÇÃO</v>
          </cell>
          <cell r="I3002" t="str">
            <v>FOOD SERVICE</v>
          </cell>
          <cell r="J3002" t="str">
            <v>SP ITB FS FLAC REP.E COMERCIO</v>
          </cell>
          <cell r="K3002" t="str">
            <v>ITAMBÉ</v>
          </cell>
          <cell r="L3002" t="str">
            <v>RODRIGO</v>
          </cell>
          <cell r="M3002" t="str">
            <v>RAQUEL BARBOSA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  <cell r="H3003" t="str">
            <v>INGREDIENTS</v>
          </cell>
          <cell r="I3003" t="str">
            <v>INGREDIENTS</v>
          </cell>
          <cell r="J3003" t="str">
            <v>HENRIQUE FERREIRA</v>
          </cell>
          <cell r="K3003" t="str">
            <v>ITAMBÉ</v>
          </cell>
          <cell r="L3003" t="str">
            <v>MAURICIO</v>
          </cell>
          <cell r="M3003" t="str">
            <v>JOEL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  <cell r="H3004" t="str">
            <v>INGREDIENTS</v>
          </cell>
          <cell r="I3004" t="str">
            <v>INGREDIENTS</v>
          </cell>
          <cell r="J3004" t="str">
            <v>JOEL ELEOTÉRIO</v>
          </cell>
          <cell r="K3004" t="str">
            <v>ITAMBÉ</v>
          </cell>
          <cell r="L3004" t="str">
            <v>MAURICIO</v>
          </cell>
          <cell r="M3004" t="str">
            <v>JOEL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  <cell r="H3005" t="str">
            <v>DISTRIBUIÇÃO</v>
          </cell>
          <cell r="I3005" t="str">
            <v>FOOD SERVICE</v>
          </cell>
          <cell r="J3005" t="str">
            <v>ANGELICA BATISTELA</v>
          </cell>
          <cell r="K3005" t="str">
            <v>ITAMBÉ</v>
          </cell>
          <cell r="L3005" t="str">
            <v>RODRIGO</v>
          </cell>
          <cell r="M3005" t="str">
            <v>ANGELICA BATISTELA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  <cell r="H3006" t="str">
            <v>DISTRIBUIÇÃO</v>
          </cell>
          <cell r="I3006" t="str">
            <v>FOOD SERVICE</v>
          </cell>
          <cell r="J3006" t="str">
            <v>WH FOOD SERVICE CE</v>
          </cell>
          <cell r="K3006" t="str">
            <v>ITAMBÉ</v>
          </cell>
          <cell r="L3006" t="str">
            <v>RODRIGO</v>
          </cell>
          <cell r="M3006" t="str">
            <v>MARIA LOURDES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  <cell r="H3007" t="str">
            <v>DISTRIBUIÇÃO</v>
          </cell>
          <cell r="I3007" t="str">
            <v>FOOD SERVICE</v>
          </cell>
          <cell r="J3007" t="str">
            <v>ANGELICA BATISTELA</v>
          </cell>
          <cell r="K3007" t="str">
            <v>ITAMBÉ</v>
          </cell>
          <cell r="L3007" t="str">
            <v>RODRIGO</v>
          </cell>
          <cell r="M3007" t="str">
            <v>ANGELICA BATISTELA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  <cell r="H3008" t="str">
            <v>DISTRIBUIÇÃO</v>
          </cell>
          <cell r="I3008" t="str">
            <v>FOOD SERVICE</v>
          </cell>
          <cell r="J3008" t="str">
            <v>WH FOOD SERVICE CE</v>
          </cell>
          <cell r="K3008" t="str">
            <v>ITAMBÉ</v>
          </cell>
          <cell r="L3008" t="str">
            <v>RODRIGO</v>
          </cell>
          <cell r="M3008" t="str">
            <v>MARIA LOURDES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  <cell r="H3009" t="str">
            <v>QSR</v>
          </cell>
          <cell r="I3009" t="str">
            <v>FOOD SERVICE</v>
          </cell>
          <cell r="J3009" t="str">
            <v>VAGO QSR</v>
          </cell>
          <cell r="K3009" t="str">
            <v>ITAMBÉ</v>
          </cell>
          <cell r="L3009" t="str">
            <v>PEDRO</v>
          </cell>
          <cell r="M3009" t="str">
            <v>VAGO QSR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  <cell r="H3010" t="str">
            <v>INGREDIENTS</v>
          </cell>
          <cell r="I3010" t="str">
            <v>INGREDIENTS</v>
          </cell>
          <cell r="J3010" t="str">
            <v>HENRIQUE FERREIRA</v>
          </cell>
          <cell r="K3010" t="str">
            <v>ITAMBÉ</v>
          </cell>
          <cell r="L3010" t="str">
            <v>MAURICIO</v>
          </cell>
          <cell r="M3010" t="str">
            <v>JOEL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  <cell r="H3011" t="str">
            <v>QSR</v>
          </cell>
          <cell r="I3011" t="str">
            <v>FOOD SERVICE</v>
          </cell>
          <cell r="J3011" t="str">
            <v>ANA MENIQUETE</v>
          </cell>
          <cell r="K3011" t="str">
            <v>ITAMBÉ</v>
          </cell>
          <cell r="L3011" t="str">
            <v>PEDRO</v>
          </cell>
          <cell r="M3011" t="str">
            <v>ANA MENIQUETE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  <cell r="H3012" t="str">
            <v>INGREDIENTS</v>
          </cell>
          <cell r="I3012" t="str">
            <v>INGREDIENTS</v>
          </cell>
          <cell r="J3012" t="str">
            <v>HENRIQUE FERREIRA</v>
          </cell>
          <cell r="K3012" t="str">
            <v>ITAMBÉ</v>
          </cell>
          <cell r="L3012" t="str">
            <v>MAURICIO</v>
          </cell>
          <cell r="M3012" t="str">
            <v>JOEL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  <cell r="H3013" t="str">
            <v>INGREDIENTS</v>
          </cell>
          <cell r="I3013" t="str">
            <v>INGREDIENTS</v>
          </cell>
          <cell r="J3013" t="str">
            <v>TATIANA NITTA</v>
          </cell>
          <cell r="K3013" t="str">
            <v>ITAMBÉ</v>
          </cell>
          <cell r="L3013" t="str">
            <v>MAURICIO</v>
          </cell>
          <cell r="M3013" t="str">
            <v>TATIANA NITTA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  <cell r="H3014" t="str">
            <v>INGREDIENTS</v>
          </cell>
          <cell r="I3014" t="str">
            <v>INGREDIENTS</v>
          </cell>
          <cell r="J3014" t="str">
            <v>HENRIQUE FERREIRA</v>
          </cell>
          <cell r="K3014" t="str">
            <v>ITAMBÉ</v>
          </cell>
          <cell r="L3014" t="str">
            <v>MAURICIO</v>
          </cell>
          <cell r="M3014" t="str">
            <v>JOEL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  <cell r="H3015" t="str">
            <v>DISTRIBUIÇÃO</v>
          </cell>
          <cell r="I3015" t="str">
            <v>FOOD SERVICE</v>
          </cell>
          <cell r="J3015" t="str">
            <v>SP ITB FS FLAC REP.E COMERCIO</v>
          </cell>
          <cell r="K3015" t="str">
            <v>ITAMBÉ</v>
          </cell>
          <cell r="L3015" t="str">
            <v>RODRIGO</v>
          </cell>
          <cell r="M3015" t="str">
            <v>RAQUEL BARBOSA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  <cell r="H3016" t="str">
            <v>DISTRIBUIÇÃO</v>
          </cell>
          <cell r="I3016" t="str">
            <v>FOOD SERVICE</v>
          </cell>
          <cell r="J3016" t="str">
            <v>CLAUDIO JORGE</v>
          </cell>
          <cell r="K3016" t="str">
            <v>ITAMBÉ</v>
          </cell>
          <cell r="L3016" t="str">
            <v>RODRIGO</v>
          </cell>
          <cell r="M3016" t="str">
            <v>MARIA LOURDES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  <cell r="H3017" t="str">
            <v>DISTRIBUIÇÃO</v>
          </cell>
          <cell r="I3017" t="str">
            <v>FOOD SERVICE</v>
          </cell>
          <cell r="J3017" t="str">
            <v>CLAUDIO JORGE</v>
          </cell>
          <cell r="K3017" t="str">
            <v>ITAMBÉ</v>
          </cell>
          <cell r="L3017" t="str">
            <v>RODRIGO</v>
          </cell>
          <cell r="M3017" t="str">
            <v>MARCO AURELIO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  <cell r="H3018" t="str">
            <v>DISTRIBUIÇÃO</v>
          </cell>
          <cell r="I3018" t="str">
            <v>FOOD SERVICE</v>
          </cell>
          <cell r="J3018" t="str">
            <v>CLAUDIO JORGE</v>
          </cell>
          <cell r="K3018" t="str">
            <v>ITAMBÉ</v>
          </cell>
          <cell r="L3018" t="str">
            <v>RODRIGO</v>
          </cell>
          <cell r="M3018" t="str">
            <v>MARIA LOURDES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  <cell r="H3019" t="str">
            <v>DISTRIBUIÇÃO</v>
          </cell>
          <cell r="I3019" t="str">
            <v>FOOD SERVICE</v>
          </cell>
          <cell r="J3019" t="str">
            <v>VAGO SP</v>
          </cell>
          <cell r="K3019" t="str">
            <v>ITAMBÉ</v>
          </cell>
          <cell r="L3019" t="str">
            <v>RODRIGO</v>
          </cell>
          <cell r="M3019" t="str">
            <v>RAQUEL BARBOSA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  <cell r="H3020" t="str">
            <v>DISTRIBUIÇÃO</v>
          </cell>
          <cell r="I3020" t="str">
            <v>FOOD SERVICE</v>
          </cell>
          <cell r="J3020" t="str">
            <v>ANGELICA BATISTELA</v>
          </cell>
          <cell r="K3020" t="str">
            <v>ITAMBÉ</v>
          </cell>
          <cell r="L3020" t="str">
            <v>RODRIGO</v>
          </cell>
          <cell r="M3020" t="str">
            <v>ANGELICA BATISTELA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  <cell r="H3021" t="str">
            <v>DISTRIBUIÇÃO</v>
          </cell>
          <cell r="I3021" t="str">
            <v>FOOD SERVICE</v>
          </cell>
          <cell r="J3021" t="str">
            <v>CLAUDIO JORGE/LUIZ</v>
          </cell>
          <cell r="K3021" t="str">
            <v>ITAMBÉ</v>
          </cell>
          <cell r="L3021" t="str">
            <v>RODRIGO</v>
          </cell>
          <cell r="M3021" t="str">
            <v>MARIA LOURDES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  <cell r="H3022" t="str">
            <v>QSR</v>
          </cell>
          <cell r="I3022" t="str">
            <v>FOOD SERVICE</v>
          </cell>
          <cell r="J3022" t="str">
            <v>ANA MENIQUETE</v>
          </cell>
          <cell r="K3022" t="str">
            <v>ITAMBÉ</v>
          </cell>
          <cell r="L3022" t="str">
            <v>PEDRO</v>
          </cell>
          <cell r="M3022" t="str">
            <v>ANA MENIQUETE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  <cell r="H3023" t="str">
            <v>INGREDIENTS</v>
          </cell>
          <cell r="I3023" t="str">
            <v>INGREDIENTS</v>
          </cell>
          <cell r="J3023" t="str">
            <v>HENRIQUE FERREIRA</v>
          </cell>
          <cell r="K3023" t="str">
            <v>ITAMBÉ</v>
          </cell>
          <cell r="L3023" t="str">
            <v>MAURICIO</v>
          </cell>
          <cell r="M3023" t="str">
            <v>JOEL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  <cell r="H3024" t="str">
            <v>DISTRIBUIÇÃO</v>
          </cell>
          <cell r="I3024" t="str">
            <v>FOOD SERVICE</v>
          </cell>
          <cell r="J3024" t="str">
            <v>MARCELO SILVA</v>
          </cell>
          <cell r="K3024" t="str">
            <v>ITAMBÉ</v>
          </cell>
          <cell r="L3024" t="str">
            <v>RODRIGO</v>
          </cell>
          <cell r="M3024" t="str">
            <v>CELIO MARTINS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  <cell r="H3025" t="str">
            <v>DISTRIBUIÇÃO</v>
          </cell>
          <cell r="I3025" t="str">
            <v>FOOD SERVICE</v>
          </cell>
          <cell r="J3025" t="str">
            <v>CLAUDIO JORGE/LUIZ</v>
          </cell>
          <cell r="K3025" t="str">
            <v>ITAMBÉ</v>
          </cell>
          <cell r="L3025" t="str">
            <v>RODRIGO</v>
          </cell>
          <cell r="M3025" t="str">
            <v>MARIA LOURDES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  <cell r="H3026" t="str">
            <v>DISTRIBUIÇÃO</v>
          </cell>
          <cell r="I3026" t="str">
            <v>FOOD SERVICE</v>
          </cell>
          <cell r="J3026" t="str">
            <v>CELIO/MARANATHA</v>
          </cell>
          <cell r="K3026" t="str">
            <v>ITAMBÉ</v>
          </cell>
          <cell r="L3026" t="str">
            <v>RODRIGO</v>
          </cell>
          <cell r="M3026" t="str">
            <v>CELIO MARTINS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  <cell r="H3027" t="str">
            <v>DISTRIBUIÇÃO</v>
          </cell>
          <cell r="I3027" t="str">
            <v>FOOD SERVICE</v>
          </cell>
          <cell r="J3027" t="str">
            <v>RAQUEL BARBOSA</v>
          </cell>
          <cell r="K3027" t="str">
            <v>ITAMBÉ</v>
          </cell>
          <cell r="L3027" t="str">
            <v>RODRIGO</v>
          </cell>
          <cell r="M3027" t="str">
            <v>RAQUEL BARBOSA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  <cell r="H3028" t="str">
            <v>INGREDIENTS</v>
          </cell>
          <cell r="I3028" t="str">
            <v>INGREDIENTS</v>
          </cell>
          <cell r="J3028" t="str">
            <v>HENRIQUE FERREIRA</v>
          </cell>
          <cell r="K3028" t="str">
            <v>ITAMBÉ</v>
          </cell>
          <cell r="L3028" t="str">
            <v>MAURICIO</v>
          </cell>
          <cell r="M3028" t="str">
            <v>JOEL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  <cell r="H3029" t="str">
            <v>DISTRIBUIÇÃO</v>
          </cell>
          <cell r="I3029" t="str">
            <v>FOOD SERVICE</v>
          </cell>
          <cell r="J3029" t="str">
            <v>CLAUDIO JORGE/LUIZ</v>
          </cell>
          <cell r="K3029" t="str">
            <v>ITAMBÉ</v>
          </cell>
          <cell r="L3029" t="str">
            <v>RODRIGO</v>
          </cell>
          <cell r="M3029" t="str">
            <v>MARIA LOURDES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  <cell r="H3030" t="str">
            <v>INGREDIENTS</v>
          </cell>
          <cell r="I3030" t="str">
            <v>INGREDIENTS</v>
          </cell>
          <cell r="J3030" t="str">
            <v>DUAS RODAS</v>
          </cell>
          <cell r="K3030" t="str">
            <v>ITAMBÉ</v>
          </cell>
          <cell r="L3030" t="str">
            <v>MAURICIO</v>
          </cell>
          <cell r="M3030" t="str">
            <v>MARCELO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  <cell r="H3031" t="str">
            <v>DISTRIBUIÇÃO</v>
          </cell>
          <cell r="I3031" t="str">
            <v>FOOD SERVICE</v>
          </cell>
          <cell r="J3031" t="str">
            <v>CLAUDIO JORGE</v>
          </cell>
          <cell r="K3031" t="str">
            <v>ITAMBÉ</v>
          </cell>
          <cell r="L3031" t="str">
            <v>RODRIGO</v>
          </cell>
          <cell r="M3031" t="str">
            <v>MARIA LOURDES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  <cell r="H3032" t="str">
            <v>QSR</v>
          </cell>
          <cell r="I3032" t="str">
            <v>FOOD SERVICE</v>
          </cell>
          <cell r="J3032" t="str">
            <v>ANA MENIQUETE</v>
          </cell>
          <cell r="K3032" t="str">
            <v>ITAMBÉ</v>
          </cell>
          <cell r="L3032" t="str">
            <v>PEDRO</v>
          </cell>
          <cell r="M3032" t="str">
            <v>ANA MENIQUETE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  <cell r="H3033" t="str">
            <v>DISTRIBUIÇÃO</v>
          </cell>
          <cell r="I3033" t="str">
            <v>FOOD SERVICE</v>
          </cell>
          <cell r="J3033" t="str">
            <v>ANGELICA BATISTELA</v>
          </cell>
          <cell r="K3033" t="str">
            <v>ITAMBÉ</v>
          </cell>
          <cell r="L3033" t="str">
            <v>RODRIGO</v>
          </cell>
          <cell r="M3033" t="str">
            <v>ANGELICA BATISTELA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  <cell r="H3034" t="str">
            <v>INGREDIENTS</v>
          </cell>
          <cell r="I3034" t="str">
            <v>INGREDIENTS</v>
          </cell>
          <cell r="J3034" t="str">
            <v>TATIANA NITTA</v>
          </cell>
          <cell r="K3034" t="str">
            <v>ITAMBÉ</v>
          </cell>
          <cell r="L3034" t="str">
            <v>MAURICIO</v>
          </cell>
          <cell r="M3034" t="str">
            <v>TATIANA NITTA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  <cell r="H3035" t="str">
            <v>DISTRIBUIÇÃO</v>
          </cell>
          <cell r="I3035" t="str">
            <v>FOOD SERVICE</v>
          </cell>
          <cell r="J3035" t="str">
            <v>ANGELICA BATISTELA</v>
          </cell>
          <cell r="K3035" t="str">
            <v>ITAMBÉ</v>
          </cell>
          <cell r="L3035" t="str">
            <v>RODRIGO</v>
          </cell>
          <cell r="M3035" t="str">
            <v>ANGELICA BATISTELA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  <cell r="H3036" t="str">
            <v>DISTRIBUIÇÃO</v>
          </cell>
          <cell r="I3036" t="str">
            <v>FOOD SERVICE</v>
          </cell>
          <cell r="J3036" t="str">
            <v>MARCELO DUARTE</v>
          </cell>
          <cell r="K3036" t="str">
            <v>ITAMBÉ</v>
          </cell>
          <cell r="L3036" t="str">
            <v>RODRIGO</v>
          </cell>
          <cell r="M3036" t="str">
            <v>JESSICA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  <cell r="H3037" t="str">
            <v>INGREDIENTS</v>
          </cell>
          <cell r="I3037" t="str">
            <v>INGREDIENTS</v>
          </cell>
          <cell r="J3037" t="str">
            <v>HENRIQUE FERREIRA</v>
          </cell>
          <cell r="K3037" t="str">
            <v>ITAMBÉ</v>
          </cell>
          <cell r="L3037" t="str">
            <v>MAURICIO</v>
          </cell>
          <cell r="M3037" t="str">
            <v>JOEL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  <cell r="H3038" t="str">
            <v>DISTRIBUIÇÃO</v>
          </cell>
          <cell r="I3038" t="str">
            <v>FOOD SERVICE</v>
          </cell>
          <cell r="J3038" t="str">
            <v>CLAUDIO JORGE/LUIZ</v>
          </cell>
          <cell r="K3038" t="str">
            <v>ITAMBÉ</v>
          </cell>
          <cell r="L3038" t="str">
            <v>RODRIGO</v>
          </cell>
          <cell r="M3038" t="str">
            <v>MARIA LOURDES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  <cell r="H3039" t="str">
            <v>INGREDIENTS</v>
          </cell>
          <cell r="I3039" t="str">
            <v>INGREDIENTS</v>
          </cell>
          <cell r="J3039" t="str">
            <v>HENRIQUE FERREIRA</v>
          </cell>
          <cell r="K3039" t="str">
            <v>ITAMBÉ</v>
          </cell>
          <cell r="L3039" t="str">
            <v>MAURICIO</v>
          </cell>
          <cell r="M3039" t="str">
            <v>JOEL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  <cell r="H3040" t="str">
            <v>DISTRIBUIÇÃO</v>
          </cell>
          <cell r="I3040" t="str">
            <v>FOOD SERVICE</v>
          </cell>
          <cell r="J3040" t="str">
            <v>GUILHERME NASCIMENTO</v>
          </cell>
          <cell r="K3040" t="str">
            <v>ITAMBÉ</v>
          </cell>
          <cell r="L3040" t="str">
            <v>RODRIGO</v>
          </cell>
          <cell r="M3040" t="str">
            <v>ALEXANDRO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  <cell r="H3041" t="str">
            <v>DISTRIBUIÇÃO</v>
          </cell>
          <cell r="I3041" t="str">
            <v>FOOD SERVICE</v>
          </cell>
          <cell r="J3041" t="str">
            <v>FLAC 5</v>
          </cell>
          <cell r="K3041" t="str">
            <v>LACTALIS</v>
          </cell>
          <cell r="L3041" t="str">
            <v>RODRIGO</v>
          </cell>
          <cell r="M3041" t="str">
            <v>RAQUEL BARBOSA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  <cell r="H3042" t="str">
            <v>INGREDIENTS</v>
          </cell>
          <cell r="I3042" t="str">
            <v>INGREDIENTS</v>
          </cell>
          <cell r="J3042" t="str">
            <v>MARCELO RODRIGUES</v>
          </cell>
          <cell r="K3042" t="str">
            <v>ITAMBÉ</v>
          </cell>
          <cell r="L3042" t="str">
            <v>MAURICIO</v>
          </cell>
          <cell r="M3042" t="str">
            <v>MARCELO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  <cell r="H3043" t="str">
            <v>DISTRIBUIÇÃO</v>
          </cell>
          <cell r="I3043" t="str">
            <v>FOOD SERVICE</v>
          </cell>
          <cell r="J3043" t="str">
            <v>FLAC 3</v>
          </cell>
          <cell r="K3043" t="str">
            <v>LACTALIS</v>
          </cell>
          <cell r="L3043" t="str">
            <v>RODRIGO</v>
          </cell>
          <cell r="M3043" t="str">
            <v>RAQUEL BARBOSA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  <cell r="H3044" t="str">
            <v>DISTRIBUIÇÃO</v>
          </cell>
          <cell r="I3044" t="str">
            <v>FOOD SERVICE</v>
          </cell>
          <cell r="J3044" t="str">
            <v>SP ITB FS FLAC REP.E COMERCIO</v>
          </cell>
          <cell r="K3044" t="str">
            <v>ITAMBÉ</v>
          </cell>
          <cell r="L3044" t="str">
            <v>RODRIGO</v>
          </cell>
          <cell r="M3044" t="str">
            <v>RAQUEL BARBOSA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  <cell r="H3045" t="str">
            <v>DISTRIBUIÇÃO</v>
          </cell>
          <cell r="I3045" t="str">
            <v>FOOD SERVICE</v>
          </cell>
          <cell r="J3045" t="str">
            <v>MARCELO SILVA</v>
          </cell>
          <cell r="K3045" t="str">
            <v>ITAMBÉ</v>
          </cell>
          <cell r="L3045" t="str">
            <v>RODRIGO</v>
          </cell>
          <cell r="M3045" t="str">
            <v>CELIO MARTINS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  <cell r="H3046" t="str">
            <v>DISTRIBUIÇÃO</v>
          </cell>
          <cell r="I3046" t="str">
            <v>FOOD SERVICE</v>
          </cell>
          <cell r="J3046" t="str">
            <v>CLAUDIO JORGE</v>
          </cell>
          <cell r="K3046" t="str">
            <v>ITAMBÉ</v>
          </cell>
          <cell r="L3046" t="str">
            <v>RODRIGO</v>
          </cell>
          <cell r="M3046" t="str">
            <v>MARCO AURELIO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  <cell r="H3047" t="str">
            <v>INGREDIENTS</v>
          </cell>
          <cell r="I3047" t="str">
            <v>INGREDIENTS</v>
          </cell>
          <cell r="J3047" t="str">
            <v>AM ITB FS I DA SILVA SANTOS</v>
          </cell>
          <cell r="K3047" t="str">
            <v>ITAMBÉ</v>
          </cell>
          <cell r="L3047" t="str">
            <v>MAURICIO</v>
          </cell>
          <cell r="M3047" t="str">
            <v>JOEL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  <cell r="H3048" t="str">
            <v>DISTRIBUIÇÃO</v>
          </cell>
          <cell r="I3048" t="str">
            <v>FOOD SERVICE</v>
          </cell>
          <cell r="J3048" t="str">
            <v>JULIANA CORDEIRO</v>
          </cell>
          <cell r="K3048" t="str">
            <v>ITAMBÉ</v>
          </cell>
          <cell r="L3048" t="str">
            <v>RODRIGO</v>
          </cell>
          <cell r="M3048" t="str">
            <v>JESSICA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  <cell r="H3049" t="str">
            <v>DISTRIBUIÇÃO</v>
          </cell>
          <cell r="I3049" t="str">
            <v>FOOD SERVICE</v>
          </cell>
          <cell r="J3049" t="str">
            <v>ANGELICA BATISTELA</v>
          </cell>
          <cell r="K3049" t="str">
            <v>ITAMBÉ</v>
          </cell>
          <cell r="L3049" t="str">
            <v>RODRIGO</v>
          </cell>
          <cell r="M3049" t="str">
            <v>ANGELICA BATISTELA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  <cell r="H3050" t="str">
            <v>DISTRIBUIÇÃO</v>
          </cell>
          <cell r="I3050" t="str">
            <v>FOOD SERVICE</v>
          </cell>
          <cell r="J3050" t="str">
            <v>SP ITB FS FLAC REP.E COMERCIO</v>
          </cell>
          <cell r="K3050" t="str">
            <v>ITAMBÉ</v>
          </cell>
          <cell r="L3050" t="str">
            <v>RODRIGO</v>
          </cell>
          <cell r="M3050" t="str">
            <v>RAQUEL BARBOSA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  <cell r="H3051" t="str">
            <v>DISTRIBUIÇÃO</v>
          </cell>
          <cell r="I3051" t="str">
            <v>FOOD SERVICE</v>
          </cell>
          <cell r="J3051" t="str">
            <v>CELIO/MARANATHA</v>
          </cell>
          <cell r="K3051" t="str">
            <v>ITAMBÉ</v>
          </cell>
          <cell r="L3051" t="str">
            <v>RODRIGO</v>
          </cell>
          <cell r="M3051" t="str">
            <v>CELIO MARTINS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  <cell r="H3052" t="str">
            <v>DISTRIBUIÇÃO</v>
          </cell>
          <cell r="I3052" t="str">
            <v>FOOD SERVICE</v>
          </cell>
          <cell r="J3052" t="str">
            <v>ANGELICA BATISTELA</v>
          </cell>
          <cell r="K3052" t="str">
            <v>ITAMBÉ</v>
          </cell>
          <cell r="L3052" t="str">
            <v>RODRIGO</v>
          </cell>
          <cell r="M3052" t="str">
            <v>ANGELICA BATISTELA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  <cell r="H3053" t="str">
            <v>QSR</v>
          </cell>
          <cell r="I3053" t="str">
            <v>FOOD SERVICE</v>
          </cell>
          <cell r="J3053" t="str">
            <v>ANA MENIQUETE</v>
          </cell>
          <cell r="K3053" t="str">
            <v>ITAMBÉ</v>
          </cell>
          <cell r="L3053" t="str">
            <v>PEDRO</v>
          </cell>
          <cell r="M3053" t="str">
            <v>ANA MENIQUETE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  <cell r="H3054" t="str">
            <v>INGREDIENTS</v>
          </cell>
          <cell r="I3054" t="str">
            <v>INGREDIENTS</v>
          </cell>
          <cell r="J3054" t="str">
            <v>HENRIQUE FERREIRA</v>
          </cell>
          <cell r="K3054" t="str">
            <v>ITAMBÉ</v>
          </cell>
          <cell r="L3054" t="str">
            <v>MAURICIO</v>
          </cell>
          <cell r="M3054" t="str">
            <v>JOEL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  <cell r="H3055" t="str">
            <v>INGREDIENTS</v>
          </cell>
          <cell r="I3055" t="str">
            <v>INGREDIENTS</v>
          </cell>
          <cell r="J3055" t="str">
            <v>BA ITB FS ML FLAVORS</v>
          </cell>
          <cell r="K3055" t="str">
            <v>ITAMBÉ</v>
          </cell>
          <cell r="L3055" t="str">
            <v>MAURICIO</v>
          </cell>
          <cell r="M3055" t="str">
            <v>JOEL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  <cell r="H3056" t="str">
            <v>INGREDIENTS</v>
          </cell>
          <cell r="I3056" t="str">
            <v>INGREDIENTS</v>
          </cell>
          <cell r="J3056" t="str">
            <v>HENRIQUE FERREIRA</v>
          </cell>
          <cell r="K3056" t="str">
            <v>ITAMBÉ</v>
          </cell>
          <cell r="L3056" t="str">
            <v>MAURICIO</v>
          </cell>
          <cell r="M3056" t="str">
            <v>JOEL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  <cell r="H3057" t="str">
            <v>INGREDIENTS</v>
          </cell>
          <cell r="I3057" t="str">
            <v>INGREDIENTS</v>
          </cell>
          <cell r="J3057" t="str">
            <v>TATIANA NITTA</v>
          </cell>
          <cell r="K3057" t="str">
            <v>ITAMBÉ</v>
          </cell>
          <cell r="L3057" t="str">
            <v>MAURICIO</v>
          </cell>
          <cell r="M3057" t="str">
            <v>TATIANA NITTA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  <cell r="H3058" t="str">
            <v>INGREDIENTS</v>
          </cell>
          <cell r="I3058" t="str">
            <v>INGREDIENTS</v>
          </cell>
          <cell r="J3058" t="str">
            <v>TATIANA NITTA</v>
          </cell>
          <cell r="K3058" t="str">
            <v>ITAMBÉ</v>
          </cell>
          <cell r="L3058" t="str">
            <v>MAURICIO</v>
          </cell>
          <cell r="M3058" t="str">
            <v>TATIANA NITTA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  <cell r="H3059" t="str">
            <v>DISTRIBUIÇÃO</v>
          </cell>
          <cell r="I3059" t="str">
            <v>FOOD SERVICE</v>
          </cell>
          <cell r="J3059" t="str">
            <v>ANGELICA BATISTELA</v>
          </cell>
          <cell r="K3059" t="str">
            <v>ITAMBÉ</v>
          </cell>
          <cell r="L3059" t="str">
            <v>RODRIGO</v>
          </cell>
          <cell r="M3059" t="str">
            <v>ANGELICA BATISTELA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  <cell r="H3060" t="str">
            <v>INGREDIENTS</v>
          </cell>
          <cell r="I3060" t="str">
            <v>INGREDIENTS</v>
          </cell>
          <cell r="J3060" t="str">
            <v>TATIANA NITTA</v>
          </cell>
          <cell r="K3060" t="str">
            <v>ITAMBÉ</v>
          </cell>
          <cell r="L3060" t="str">
            <v>MAURICIO</v>
          </cell>
          <cell r="M3060" t="str">
            <v>TATIANA NITTA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  <cell r="H3061" t="str">
            <v>DISTRIBUIÇÃO</v>
          </cell>
          <cell r="I3061" t="str">
            <v>FOOD SERVICE</v>
          </cell>
          <cell r="J3061" t="str">
            <v>MARCELO SILVA</v>
          </cell>
          <cell r="K3061" t="str">
            <v>ITAMBÉ</v>
          </cell>
          <cell r="L3061" t="str">
            <v>RODRIGO</v>
          </cell>
          <cell r="M3061" t="str">
            <v>CELIO MARTINS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  <cell r="H3062" t="str">
            <v>INGREDIENTS</v>
          </cell>
          <cell r="I3062" t="str">
            <v>INGREDIENTS</v>
          </cell>
          <cell r="J3062" t="str">
            <v>SP ITB FS LUIZ PEREIRA</v>
          </cell>
          <cell r="K3062" t="str">
            <v>ITAMBÉ</v>
          </cell>
          <cell r="L3062" t="str">
            <v>MAURICIO</v>
          </cell>
          <cell r="M3062" t="str">
            <v>TATIANA NITTA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  <cell r="H3063" t="str">
            <v>DISTRIBUIÇÃO</v>
          </cell>
          <cell r="I3063" t="str">
            <v>FOOD SERVICE</v>
          </cell>
          <cell r="J3063" t="str">
            <v>MARCELO SILVA</v>
          </cell>
          <cell r="K3063" t="str">
            <v>ITAMBÉ</v>
          </cell>
          <cell r="L3063" t="str">
            <v>RODRIGO</v>
          </cell>
          <cell r="M3063" t="str">
            <v>CELIO MARTINS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  <cell r="H3064" t="str">
            <v>DISTRIBUIÇÃO</v>
          </cell>
          <cell r="I3064" t="str">
            <v>FOOD SERVICE</v>
          </cell>
          <cell r="J3064" t="str">
            <v>JULIANA CORDEIRO</v>
          </cell>
          <cell r="K3064" t="str">
            <v>ITAMBÉ</v>
          </cell>
          <cell r="L3064" t="str">
            <v>RODRIGO</v>
          </cell>
          <cell r="M3064" t="str">
            <v>JESSICA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  <cell r="H3065" t="str">
            <v>DISTRIBUIÇÃO</v>
          </cell>
          <cell r="I3065" t="str">
            <v>FOOD SERVICE</v>
          </cell>
          <cell r="J3065" t="str">
            <v>MARCELO SILVA</v>
          </cell>
          <cell r="K3065" t="str">
            <v>ITAMBÉ</v>
          </cell>
          <cell r="L3065" t="str">
            <v>RODRIGO</v>
          </cell>
          <cell r="M3065" t="str">
            <v>CELIO MARTINS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  <cell r="H3066" t="str">
            <v>DISTRIBUIÇÃO</v>
          </cell>
          <cell r="I3066" t="str">
            <v>FOOD SERVICE</v>
          </cell>
          <cell r="J3066" t="str">
            <v>JULIANA CORDEIRO</v>
          </cell>
          <cell r="K3066" t="str">
            <v>ITAMBÉ</v>
          </cell>
          <cell r="L3066" t="str">
            <v>RODRIGO</v>
          </cell>
          <cell r="M3066" t="str">
            <v>JESSICA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  <cell r="H3067" t="str">
            <v>INGREDIENTS</v>
          </cell>
          <cell r="I3067" t="str">
            <v>INGREDIENTS</v>
          </cell>
          <cell r="J3067" t="str">
            <v>TATIANA NITTA</v>
          </cell>
          <cell r="K3067" t="str">
            <v>ITAMBÉ</v>
          </cell>
          <cell r="L3067" t="str">
            <v>MAURICIO</v>
          </cell>
          <cell r="M3067" t="str">
            <v>TATIANA NITTA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  <cell r="H3068" t="str">
            <v>INGREDIENTS</v>
          </cell>
          <cell r="I3068" t="str">
            <v>INGREDIENTS</v>
          </cell>
          <cell r="J3068" t="str">
            <v>MARCELO RODRIGUES</v>
          </cell>
          <cell r="K3068" t="str">
            <v>ITAMBÉ</v>
          </cell>
          <cell r="L3068" t="str">
            <v>MAURICIO</v>
          </cell>
          <cell r="M3068" t="str">
            <v>MARCELO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  <cell r="H3069" t="str">
            <v>DISTRIBUIÇÃO</v>
          </cell>
          <cell r="I3069" t="str">
            <v>FOOD SERVICE</v>
          </cell>
          <cell r="J3069" t="str">
            <v>FLAC 5</v>
          </cell>
          <cell r="K3069" t="str">
            <v>LACTALIS</v>
          </cell>
          <cell r="L3069" t="str">
            <v>RODRIGO</v>
          </cell>
          <cell r="M3069" t="str">
            <v>RAQUEL BARBOSA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  <cell r="H3070" t="str">
            <v>INGREDIENTS</v>
          </cell>
          <cell r="I3070" t="str">
            <v>INGREDIENTS</v>
          </cell>
          <cell r="J3070" t="str">
            <v>HENRIQUE FERREIRA</v>
          </cell>
          <cell r="K3070" t="str">
            <v>ITAMBÉ</v>
          </cell>
          <cell r="L3070" t="str">
            <v>MAURICIO</v>
          </cell>
          <cell r="M3070" t="str">
            <v>JOEL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  <cell r="H3071" t="str">
            <v>INGREDIENTS</v>
          </cell>
          <cell r="I3071" t="str">
            <v>INGREDIENTS</v>
          </cell>
          <cell r="J3071" t="str">
            <v>HENRIQUE FERREIRA</v>
          </cell>
          <cell r="K3071" t="str">
            <v>ITAMBÉ</v>
          </cell>
          <cell r="L3071" t="str">
            <v>MAURICIO</v>
          </cell>
          <cell r="M3071" t="str">
            <v>JOEL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  <cell r="H3072" t="str">
            <v>DISTRIBUIÇÃO</v>
          </cell>
          <cell r="I3072" t="str">
            <v>FOOD SERVICE</v>
          </cell>
          <cell r="J3072" t="str">
            <v>ANGELICA BATISTELA</v>
          </cell>
          <cell r="K3072" t="str">
            <v>ITAMBÉ</v>
          </cell>
          <cell r="L3072" t="str">
            <v>RODRIGO</v>
          </cell>
          <cell r="M3072" t="str">
            <v>ANGELICA BATISTELA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  <cell r="H3073" t="str">
            <v>DISTRIBUIÇÃO</v>
          </cell>
          <cell r="I3073" t="str">
            <v>FOOD SERVICE</v>
          </cell>
          <cell r="J3073" t="str">
            <v>VAGO SP</v>
          </cell>
          <cell r="K3073" t="str">
            <v>ITAMBÉ</v>
          </cell>
          <cell r="L3073" t="str">
            <v>RODRIGO</v>
          </cell>
          <cell r="M3073" t="str">
            <v>RAQUEL BARBOSA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  <cell r="H3074" t="str">
            <v>QSR</v>
          </cell>
          <cell r="I3074" t="str">
            <v>FOOD SERVICE</v>
          </cell>
          <cell r="J3074" t="str">
            <v>VAGO QSR</v>
          </cell>
          <cell r="K3074" t="str">
            <v>LACTALIS</v>
          </cell>
          <cell r="L3074" t="str">
            <v>PEDRO</v>
          </cell>
          <cell r="M3074" t="str">
            <v>VAGO QSR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  <cell r="H3075" t="str">
            <v>DISTRIBUIÇÃO</v>
          </cell>
          <cell r="I3075" t="str">
            <v>FOOD SERVICE</v>
          </cell>
          <cell r="J3075" t="str">
            <v>FLAC 5</v>
          </cell>
          <cell r="K3075" t="str">
            <v>LACTALIS</v>
          </cell>
          <cell r="L3075" t="str">
            <v>RODRIGO</v>
          </cell>
          <cell r="M3075" t="str">
            <v>RAQUEL BARBOSA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  <cell r="H3076" t="str">
            <v>DISTRIBUIÇÃO</v>
          </cell>
          <cell r="I3076" t="str">
            <v>FOOD SERVICE</v>
          </cell>
          <cell r="J3076" t="str">
            <v>FLAC 2</v>
          </cell>
          <cell r="K3076" t="str">
            <v>LACTALIS</v>
          </cell>
          <cell r="L3076" t="str">
            <v>RODRIGO</v>
          </cell>
          <cell r="M3076" t="str">
            <v>RAQUEL BARBOSA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  <cell r="H3077" t="str">
            <v>INGREDIENTS</v>
          </cell>
          <cell r="I3077" t="str">
            <v>INGREDIENTS</v>
          </cell>
          <cell r="J3077" t="str">
            <v>MARCELO RODRIGUES</v>
          </cell>
          <cell r="K3077" t="str">
            <v>LACTALIS</v>
          </cell>
          <cell r="L3077" t="str">
            <v>MAURICIO</v>
          </cell>
          <cell r="M3077" t="str">
            <v>MARCELO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  <cell r="H3078" t="str">
            <v>DISTRIBUIÇÃO</v>
          </cell>
          <cell r="I3078" t="str">
            <v>FOOD SERVICE</v>
          </cell>
          <cell r="J3078" t="str">
            <v>FLAC 7</v>
          </cell>
          <cell r="K3078" t="str">
            <v>LACTALIS</v>
          </cell>
          <cell r="L3078" t="str">
            <v>RODRIGO</v>
          </cell>
          <cell r="M3078" t="str">
            <v>RAQUEL BARBOSA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  <cell r="H3079" t="str">
            <v>DISTRIBUIÇÃO</v>
          </cell>
          <cell r="I3079" t="str">
            <v>FOOD SERVICE</v>
          </cell>
          <cell r="J3079" t="str">
            <v>FLAC 3</v>
          </cell>
          <cell r="K3079" t="str">
            <v>LACTALIS</v>
          </cell>
          <cell r="L3079" t="str">
            <v>RODRIGO</v>
          </cell>
          <cell r="M3079" t="str">
            <v>RAQUEL BARBOSA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  <cell r="H3080" t="str">
            <v>QSR</v>
          </cell>
          <cell r="I3080" t="str">
            <v>FOOD SERVICE</v>
          </cell>
          <cell r="J3080" t="str">
            <v>VAGO QSR</v>
          </cell>
          <cell r="K3080" t="str">
            <v>ITAMBÉ</v>
          </cell>
          <cell r="L3080" t="str">
            <v>PEDRO</v>
          </cell>
          <cell r="M3080" t="str">
            <v>VAGO QSR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  <cell r="H3081" t="str">
            <v>QSR</v>
          </cell>
          <cell r="I3081" t="str">
            <v>FOOD SERVICE</v>
          </cell>
          <cell r="J3081" t="str">
            <v>VAGO QSR</v>
          </cell>
          <cell r="K3081" t="str">
            <v>ITAMBÉ</v>
          </cell>
          <cell r="L3081" t="str">
            <v>PEDRO</v>
          </cell>
          <cell r="M3081" t="str">
            <v>VAGO QSR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  <cell r="H3082" t="str">
            <v>QSR</v>
          </cell>
          <cell r="I3082" t="str">
            <v>FOOD SERVICE</v>
          </cell>
          <cell r="J3082" t="str">
            <v>VAGO QSR</v>
          </cell>
          <cell r="K3082" t="str">
            <v>ITAMBÉ</v>
          </cell>
          <cell r="L3082" t="str">
            <v>PEDRO</v>
          </cell>
          <cell r="M3082" t="str">
            <v>VAGO QSR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  <cell r="H3083" t="str">
            <v>QSR</v>
          </cell>
          <cell r="I3083" t="str">
            <v>FOOD SERVICE</v>
          </cell>
          <cell r="J3083" t="str">
            <v>VAGO QSR</v>
          </cell>
          <cell r="K3083" t="str">
            <v>ITAMBÉ</v>
          </cell>
          <cell r="L3083" t="str">
            <v>PEDRO</v>
          </cell>
          <cell r="M3083" t="str">
            <v>VAGO QSR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  <cell r="H3084" t="str">
            <v>QSR</v>
          </cell>
          <cell r="I3084" t="str">
            <v>FOOD SERVICE</v>
          </cell>
          <cell r="J3084" t="str">
            <v>VAGO QSR</v>
          </cell>
          <cell r="K3084" t="str">
            <v>ITAMBÉ</v>
          </cell>
          <cell r="L3084" t="str">
            <v>PEDRO</v>
          </cell>
          <cell r="M3084" t="str">
            <v>VAGO QSR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  <cell r="H3085" t="str">
            <v>QSR</v>
          </cell>
          <cell r="I3085" t="str">
            <v>FOOD SERVICE</v>
          </cell>
          <cell r="J3085" t="str">
            <v>VAGO QSR</v>
          </cell>
          <cell r="K3085" t="str">
            <v>ITAMBÉ</v>
          </cell>
          <cell r="L3085" t="str">
            <v>PEDRO</v>
          </cell>
          <cell r="M3085" t="str">
            <v>VAGO QSR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  <cell r="H3086" t="str">
            <v>QSR</v>
          </cell>
          <cell r="I3086" t="str">
            <v>FOOD SERVICE</v>
          </cell>
          <cell r="J3086" t="str">
            <v>VAGO QSR</v>
          </cell>
          <cell r="K3086" t="str">
            <v>ITAMBÉ</v>
          </cell>
          <cell r="L3086" t="str">
            <v>PEDRO</v>
          </cell>
          <cell r="M3086" t="str">
            <v>VAGO QSR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  <cell r="H3087" t="str">
            <v>QSR</v>
          </cell>
          <cell r="I3087" t="str">
            <v>FOOD SERVICE</v>
          </cell>
          <cell r="J3087" t="str">
            <v>VAGO QSR</v>
          </cell>
          <cell r="K3087" t="str">
            <v>ITAMBÉ</v>
          </cell>
          <cell r="L3087" t="str">
            <v>PEDRO</v>
          </cell>
          <cell r="M3087" t="str">
            <v>VAGO QSR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  <cell r="H3088" t="str">
            <v>QSR</v>
          </cell>
          <cell r="I3088" t="str">
            <v>FOOD SERVICE</v>
          </cell>
          <cell r="J3088" t="str">
            <v>VAGO QSR</v>
          </cell>
          <cell r="K3088" t="str">
            <v>ITAMBÉ</v>
          </cell>
          <cell r="L3088" t="str">
            <v>PEDRO</v>
          </cell>
          <cell r="M3088" t="str">
            <v>VAGO QSR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  <cell r="H3089" t="str">
            <v>QSR</v>
          </cell>
          <cell r="I3089" t="str">
            <v>FOOD SERVICE</v>
          </cell>
          <cell r="J3089" t="str">
            <v>VAGO QSR</v>
          </cell>
          <cell r="K3089" t="str">
            <v>ITAMBÉ</v>
          </cell>
          <cell r="L3089" t="str">
            <v>PEDRO</v>
          </cell>
          <cell r="M3089" t="str">
            <v>VAGO QSR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  <cell r="H3090" t="str">
            <v>QSR</v>
          </cell>
          <cell r="I3090" t="str">
            <v>FOOD SERVICE</v>
          </cell>
          <cell r="J3090" t="str">
            <v>VAGO QSR</v>
          </cell>
          <cell r="K3090" t="str">
            <v>ITAMBÉ</v>
          </cell>
          <cell r="L3090" t="str">
            <v>PEDRO</v>
          </cell>
          <cell r="M3090" t="str">
            <v>VAGO QSR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  <cell r="H3091" t="str">
            <v>QSR</v>
          </cell>
          <cell r="I3091" t="str">
            <v>FOOD SERVICE</v>
          </cell>
          <cell r="J3091" t="str">
            <v>VAGO QSR</v>
          </cell>
          <cell r="K3091" t="str">
            <v>ITAMBÉ</v>
          </cell>
          <cell r="L3091" t="str">
            <v>PEDRO</v>
          </cell>
          <cell r="M3091" t="str">
            <v>VAGO QSR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  <cell r="H3092" t="str">
            <v>QSR</v>
          </cell>
          <cell r="I3092" t="str">
            <v>FOOD SERVICE</v>
          </cell>
          <cell r="J3092" t="str">
            <v>VAGO QSR</v>
          </cell>
          <cell r="K3092" t="str">
            <v>ITAMBÉ</v>
          </cell>
          <cell r="L3092" t="str">
            <v>PEDRO</v>
          </cell>
          <cell r="M3092" t="str">
            <v>VAGO QSR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  <cell r="H3093" t="str">
            <v>QSR</v>
          </cell>
          <cell r="I3093" t="str">
            <v>FOOD SERVICE</v>
          </cell>
          <cell r="J3093" t="str">
            <v>VAGO QSR</v>
          </cell>
          <cell r="K3093" t="str">
            <v>ITAMBÉ</v>
          </cell>
          <cell r="L3093" t="str">
            <v>PEDRO</v>
          </cell>
          <cell r="M3093" t="str">
            <v>VAGO QSR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  <cell r="H3094" t="str">
            <v>QSR</v>
          </cell>
          <cell r="I3094" t="str">
            <v>FOOD SERVICE</v>
          </cell>
          <cell r="J3094" t="str">
            <v>VAGO QSR</v>
          </cell>
          <cell r="K3094" t="str">
            <v>ITAMBÉ</v>
          </cell>
          <cell r="L3094" t="str">
            <v>PEDRO</v>
          </cell>
          <cell r="M3094" t="str">
            <v>VAGO QSR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  <cell r="H3095" t="str">
            <v>INGREDIENTS</v>
          </cell>
          <cell r="I3095" t="str">
            <v>INGREDIENTS</v>
          </cell>
          <cell r="J3095" t="str">
            <v>JOEL ELEOTÉRIO</v>
          </cell>
          <cell r="K3095" t="str">
            <v>ITAMBÉ</v>
          </cell>
          <cell r="L3095" t="str">
            <v>MAURICIO</v>
          </cell>
          <cell r="M3095" t="str">
            <v>JOEL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  <cell r="H3096" t="str">
            <v>QSR</v>
          </cell>
          <cell r="I3096" t="str">
            <v>FOOD SERVICE</v>
          </cell>
          <cell r="J3096" t="str">
            <v>ANA MENIQUETE</v>
          </cell>
          <cell r="K3096" t="str">
            <v>LACTALIS</v>
          </cell>
          <cell r="L3096" t="str">
            <v>PEDRO</v>
          </cell>
          <cell r="M3096" t="str">
            <v>ANA MENIQUETE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  <cell r="H3097" t="str">
            <v>DISTRIBUIÇÃO</v>
          </cell>
          <cell r="I3097" t="str">
            <v>FOOD SERVICE</v>
          </cell>
          <cell r="J3097" t="str">
            <v>FLAC 8</v>
          </cell>
          <cell r="K3097" t="str">
            <v>LACTALIS</v>
          </cell>
          <cell r="L3097" t="str">
            <v>RODRIGO</v>
          </cell>
          <cell r="M3097" t="str">
            <v>RAQUEL BARBOSA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  <cell r="H3098" t="str">
            <v>DISTRIBUIÇÃO</v>
          </cell>
          <cell r="I3098" t="str">
            <v>FOOD SERVICE</v>
          </cell>
          <cell r="J3098" t="str">
            <v>FLAC 6</v>
          </cell>
          <cell r="K3098" t="str">
            <v>LACTALIS</v>
          </cell>
          <cell r="L3098" t="str">
            <v>RODRIGO</v>
          </cell>
          <cell r="M3098" t="str">
            <v>RAQUEL BARBOSA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  <cell r="H3099" t="str">
            <v>QSR</v>
          </cell>
          <cell r="I3099" t="str">
            <v>FOOD SERVICE</v>
          </cell>
          <cell r="J3099" t="str">
            <v>VAGO QSR</v>
          </cell>
          <cell r="K3099" t="str">
            <v>ITAMBÉ</v>
          </cell>
          <cell r="L3099" t="str">
            <v>PEDRO</v>
          </cell>
          <cell r="M3099" t="str">
            <v>VAGO QSR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  <cell r="H3100" t="str">
            <v>QSR</v>
          </cell>
          <cell r="I3100" t="str">
            <v>FOOD SERVICE</v>
          </cell>
          <cell r="J3100" t="str">
            <v>VAGO QSR</v>
          </cell>
          <cell r="K3100" t="str">
            <v>ITAMBÉ</v>
          </cell>
          <cell r="L3100" t="str">
            <v>PEDRO</v>
          </cell>
          <cell r="M3100" t="str">
            <v>VAGO QSR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  <cell r="H3101" t="str">
            <v>INGREDIENTS</v>
          </cell>
          <cell r="I3101" t="str">
            <v>INGREDIENTS</v>
          </cell>
          <cell r="J3101" t="str">
            <v>MG ITB FS HENRIQUE WAGNER</v>
          </cell>
          <cell r="K3101" t="str">
            <v>ITAMBÉ</v>
          </cell>
          <cell r="L3101" t="str">
            <v>MAURICIO</v>
          </cell>
          <cell r="M3101" t="str">
            <v>TATIANA NITTA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  <cell r="H3102" t="str">
            <v>DISTRIBUIÇÃO</v>
          </cell>
          <cell r="I3102" t="str">
            <v>FOOD SERVICE</v>
          </cell>
          <cell r="J3102" t="str">
            <v>MARCELO DUARTE</v>
          </cell>
          <cell r="K3102" t="str">
            <v>ITAMBÉ</v>
          </cell>
          <cell r="L3102" t="str">
            <v>RODRIGO</v>
          </cell>
          <cell r="M3102" t="str">
            <v>JESSICA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  <cell r="H3103" t="str">
            <v>QSR</v>
          </cell>
          <cell r="I3103" t="str">
            <v>FOOD SERVICE</v>
          </cell>
          <cell r="J3103" t="str">
            <v>VAGO QSR</v>
          </cell>
          <cell r="K3103" t="str">
            <v>ITAMBÉ</v>
          </cell>
          <cell r="L3103" t="str">
            <v>PEDRO</v>
          </cell>
          <cell r="M3103" t="str">
            <v>VAGO QSR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  <cell r="H3104" t="str">
            <v>QSR</v>
          </cell>
          <cell r="I3104" t="str">
            <v>FOOD SERVICE</v>
          </cell>
          <cell r="J3104" t="str">
            <v>VAGO QSR</v>
          </cell>
          <cell r="K3104" t="str">
            <v>ITAMBÉ</v>
          </cell>
          <cell r="L3104" t="str">
            <v>PEDRO</v>
          </cell>
          <cell r="M3104" t="str">
            <v>VAGO QSR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  <cell r="H3105" t="str">
            <v>INGREDIENTS</v>
          </cell>
          <cell r="I3105" t="str">
            <v>INGREDIENTS</v>
          </cell>
          <cell r="J3105" t="str">
            <v>MARCELO RODRIGUES</v>
          </cell>
          <cell r="K3105" t="str">
            <v>LACTALIS</v>
          </cell>
          <cell r="L3105" t="str">
            <v>MAURICIO</v>
          </cell>
          <cell r="M3105" t="str">
            <v>MARCELO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  <cell r="H3106" t="str">
            <v>INGREDIENTS</v>
          </cell>
          <cell r="I3106" t="str">
            <v>INGREDIENTS</v>
          </cell>
          <cell r="J3106" t="str">
            <v>DLUM</v>
          </cell>
          <cell r="K3106" t="str">
            <v>LACTALIS</v>
          </cell>
          <cell r="L3106" t="str">
            <v>MAURICIO</v>
          </cell>
          <cell r="M3106" t="str">
            <v>JOEL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  <cell r="H3107" t="str">
            <v>DISTRIBUIÇÃO</v>
          </cell>
          <cell r="I3107" t="str">
            <v>FOOD SERVICE</v>
          </cell>
          <cell r="J3107" t="str">
            <v>FLAC 4</v>
          </cell>
          <cell r="K3107" t="str">
            <v>LACTALIS</v>
          </cell>
          <cell r="L3107" t="str">
            <v>RODRIGO</v>
          </cell>
          <cell r="M3107" t="str">
            <v>RAQUEL BARBOSA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  <cell r="H3108" t="str">
            <v>QSR</v>
          </cell>
          <cell r="I3108" t="str">
            <v>FOOD SERVICE</v>
          </cell>
          <cell r="J3108" t="str">
            <v>VAGO QSR</v>
          </cell>
          <cell r="K3108" t="str">
            <v>LACTALIS</v>
          </cell>
          <cell r="L3108" t="str">
            <v>PEDRO</v>
          </cell>
          <cell r="M3108" t="str">
            <v>VAGO QSR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  <cell r="H3109" t="str">
            <v>QSR</v>
          </cell>
          <cell r="I3109" t="str">
            <v>FOOD SERVICE</v>
          </cell>
          <cell r="J3109" t="str">
            <v>VAGO QSR</v>
          </cell>
          <cell r="K3109" t="str">
            <v>LACTALIS</v>
          </cell>
          <cell r="L3109" t="str">
            <v>PEDRO</v>
          </cell>
          <cell r="M3109" t="str">
            <v>VAGO QSR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  <cell r="H3110" t="str">
            <v>QSR</v>
          </cell>
          <cell r="I3110" t="str">
            <v>FOOD SERVICE</v>
          </cell>
          <cell r="J3110" t="str">
            <v>VAGO QSR</v>
          </cell>
          <cell r="K3110" t="str">
            <v>LACTALIS</v>
          </cell>
          <cell r="L3110" t="str">
            <v>PEDRO</v>
          </cell>
          <cell r="M3110" t="str">
            <v>VAGO QSR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  <cell r="H3111" t="str">
            <v>DISTRIBUIÇÃO</v>
          </cell>
          <cell r="I3111" t="str">
            <v>FOOD SERVICE</v>
          </cell>
          <cell r="J3111" t="str">
            <v>VAGO SP</v>
          </cell>
          <cell r="K3111" t="str">
            <v>ITAMBÉ</v>
          </cell>
          <cell r="L3111" t="str">
            <v>RODRIGO</v>
          </cell>
          <cell r="M3111" t="str">
            <v>RAQUEL BARBOSA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  <cell r="H3112" t="str">
            <v>INGREDIENTS</v>
          </cell>
          <cell r="I3112" t="str">
            <v>INGREDIENTS</v>
          </cell>
          <cell r="J3112" t="str">
            <v>TATIANA NITTA</v>
          </cell>
          <cell r="K3112" t="str">
            <v>ITAMBÉ</v>
          </cell>
          <cell r="L3112" t="str">
            <v>MAURICIO</v>
          </cell>
          <cell r="M3112" t="str">
            <v>TATIANA NITTA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  <cell r="H3113" t="str">
            <v>INGREDIENTS</v>
          </cell>
          <cell r="I3113" t="str">
            <v>INGREDIENTS</v>
          </cell>
          <cell r="J3113" t="str">
            <v>MARCELO RODRIGUES</v>
          </cell>
          <cell r="K3113" t="str">
            <v>ITAMBÉ</v>
          </cell>
          <cell r="L3113" t="str">
            <v>MAURICIO</v>
          </cell>
          <cell r="M3113" t="str">
            <v>MARCELO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  <cell r="H3114" t="str">
            <v>DISTRIBUIÇÃO</v>
          </cell>
          <cell r="I3114" t="str">
            <v>FOOD SERVICE</v>
          </cell>
          <cell r="J3114" t="str">
            <v>MARCELO SILVA</v>
          </cell>
          <cell r="K3114" t="str">
            <v>ITAMBÉ</v>
          </cell>
          <cell r="L3114" t="str">
            <v>RODRIGO</v>
          </cell>
          <cell r="M3114" t="str">
            <v>CELIO MARTINS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  <cell r="H3115" t="str">
            <v>DISTRIBUIÇÃO</v>
          </cell>
          <cell r="I3115" t="str">
            <v>FOOD SERVICE</v>
          </cell>
          <cell r="J3115" t="str">
            <v>FLAC 2</v>
          </cell>
          <cell r="K3115" t="str">
            <v>LACTALIS</v>
          </cell>
          <cell r="L3115" t="str">
            <v>RODRIGO</v>
          </cell>
          <cell r="M3115" t="str">
            <v>RAQUEL BARBOSA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  <cell r="H3116" t="str">
            <v>DISTRIBUIÇÃO</v>
          </cell>
          <cell r="I3116" t="str">
            <v>FOOD SERVICE</v>
          </cell>
          <cell r="J3116" t="str">
            <v>RAQUEL BARBOSA</v>
          </cell>
          <cell r="K3116" t="str">
            <v>ITAMBÉ</v>
          </cell>
          <cell r="L3116" t="str">
            <v>RODRIGO</v>
          </cell>
          <cell r="M3116" t="str">
            <v>RAQUEL BARBOSA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  <cell r="H3117" t="str">
            <v>QSR</v>
          </cell>
          <cell r="I3117" t="str">
            <v>FOOD SERVICE</v>
          </cell>
          <cell r="J3117" t="str">
            <v>VAGO QSR</v>
          </cell>
          <cell r="K3117" t="str">
            <v>LACTALIS</v>
          </cell>
          <cell r="L3117" t="str">
            <v>PEDRO</v>
          </cell>
          <cell r="M3117" t="str">
            <v>VAGO QSR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  <cell r="H3118" t="str">
            <v>INGREDIENTS</v>
          </cell>
          <cell r="I3118" t="str">
            <v>INGREDIENTS</v>
          </cell>
          <cell r="J3118" t="str">
            <v>HENRIQUE FERREIRA</v>
          </cell>
          <cell r="K3118" t="str">
            <v>ITAMBÉ</v>
          </cell>
          <cell r="L3118" t="str">
            <v>MAURICIO</v>
          </cell>
          <cell r="M3118" t="str">
            <v>JOEL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  <cell r="H3119" t="str">
            <v>DISTRIBUIÇÃO</v>
          </cell>
          <cell r="I3119" t="str">
            <v>FOOD SERVICE</v>
          </cell>
          <cell r="J3119" t="str">
            <v>LUCIANA MARTINS</v>
          </cell>
          <cell r="K3119" t="str">
            <v>ITAMBÉ</v>
          </cell>
          <cell r="L3119" t="str">
            <v>RODRIGO</v>
          </cell>
          <cell r="M3119" t="str">
            <v>JESSICA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  <cell r="H3120" t="str">
            <v>DISTRIBUIÇÃO</v>
          </cell>
          <cell r="I3120" t="str">
            <v>FOOD SERVICE</v>
          </cell>
          <cell r="J3120" t="str">
            <v>LUCIANA MARTINS</v>
          </cell>
          <cell r="K3120" t="str">
            <v>LACTALIS</v>
          </cell>
          <cell r="L3120" t="str">
            <v>RODRIGO</v>
          </cell>
          <cell r="M3120" t="str">
            <v>JESSICA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  <cell r="H3121" t="str">
            <v>DISTRIBUIÇÃO</v>
          </cell>
          <cell r="I3121" t="str">
            <v>FOOD SERVICE</v>
          </cell>
          <cell r="J3121" t="str">
            <v>JESSICA CARLA</v>
          </cell>
          <cell r="K3121" t="str">
            <v>ITAMBÉ</v>
          </cell>
          <cell r="L3121" t="str">
            <v>RODRIGO</v>
          </cell>
          <cell r="M3121" t="str">
            <v>JESSICA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  <cell r="H3122" t="str">
            <v>DISTRIBUIÇÃO</v>
          </cell>
          <cell r="I3122" t="str">
            <v>FOOD SERVICE</v>
          </cell>
          <cell r="J3122" t="str">
            <v>MARCELO SILVA</v>
          </cell>
          <cell r="K3122" t="str">
            <v>ITAMBÉ</v>
          </cell>
          <cell r="L3122" t="str">
            <v>RODRIGO</v>
          </cell>
          <cell r="M3122" t="str">
            <v>CELIO MARTINS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  <cell r="H3123" t="str">
            <v>QSR</v>
          </cell>
          <cell r="I3123" t="str">
            <v>FOOD SERVICE</v>
          </cell>
          <cell r="J3123" t="str">
            <v>VAGO QSR</v>
          </cell>
          <cell r="K3123" t="str">
            <v>ITAMBÉ</v>
          </cell>
          <cell r="L3123" t="str">
            <v>PEDRO</v>
          </cell>
          <cell r="M3123" t="str">
            <v>VAGO QSR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  <cell r="H3124" t="str">
            <v>INGREDIENTS</v>
          </cell>
          <cell r="I3124" t="str">
            <v>INGREDIENTS</v>
          </cell>
          <cell r="J3124" t="str">
            <v>MARCELO RODRIGUES</v>
          </cell>
          <cell r="K3124" t="str">
            <v>LACTALIS</v>
          </cell>
          <cell r="L3124" t="str">
            <v>MAURICIO</v>
          </cell>
          <cell r="M3124" t="str">
            <v>MARCELO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  <cell r="H3125" t="str">
            <v>INGREDIENTS</v>
          </cell>
          <cell r="I3125" t="str">
            <v>INGREDIENTS</v>
          </cell>
          <cell r="J3125" t="str">
            <v>RJ ITB FS L T MARTINS</v>
          </cell>
          <cell r="K3125" t="str">
            <v>ITAMBÉ</v>
          </cell>
          <cell r="L3125" t="str">
            <v>MAURICIO</v>
          </cell>
          <cell r="M3125" t="str">
            <v>TATIANA NITTA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  <cell r="H3126" t="str">
            <v>INGREDIENTS</v>
          </cell>
          <cell r="I3126" t="str">
            <v>INGREDIENTS</v>
          </cell>
          <cell r="J3126" t="str">
            <v>RJ ITB FS L T MARTINS</v>
          </cell>
          <cell r="K3126" t="str">
            <v>ITAMBÉ</v>
          </cell>
          <cell r="L3126" t="str">
            <v>MAURICIO</v>
          </cell>
          <cell r="M3126" t="str">
            <v>TATIANA NITTA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  <cell r="H3127" t="str">
            <v>DISTRIBUIÇÃO</v>
          </cell>
          <cell r="I3127" t="str">
            <v>FOOD SERVICE</v>
          </cell>
          <cell r="J3127" t="str">
            <v>WH FOOD SERVICE CE</v>
          </cell>
          <cell r="K3127" t="str">
            <v>ITAMBÉ</v>
          </cell>
          <cell r="L3127" t="str">
            <v>RODRIGO</v>
          </cell>
          <cell r="M3127" t="str">
            <v>MARIA LOURDES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  <cell r="H3128" t="str">
            <v>OUTROS</v>
          </cell>
          <cell r="I3128" t="str">
            <v>OUTROS</v>
          </cell>
          <cell r="J3128" t="str">
            <v>OUTROS</v>
          </cell>
          <cell r="K3128" t="str">
            <v>OUTROS</v>
          </cell>
          <cell r="L3128" t="str">
            <v>OUTROS</v>
          </cell>
          <cell r="M3128" t="str">
            <v>OUTROS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  <cell r="H3129" t="str">
            <v>OUTROS</v>
          </cell>
          <cell r="I3129" t="str">
            <v>OUTROS</v>
          </cell>
          <cell r="J3129" t="str">
            <v>OUTROS</v>
          </cell>
          <cell r="K3129" t="str">
            <v>OUTROS</v>
          </cell>
          <cell r="L3129" t="str">
            <v>OUTROS</v>
          </cell>
          <cell r="M3129" t="str">
            <v>OUTROS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  <cell r="H3130" t="str">
            <v>OUTROS</v>
          </cell>
          <cell r="I3130" t="str">
            <v>OUTROS</v>
          </cell>
          <cell r="J3130" t="str">
            <v>OUTROS</v>
          </cell>
          <cell r="K3130" t="str">
            <v>OUTROS</v>
          </cell>
          <cell r="L3130" t="str">
            <v>OUTROS</v>
          </cell>
          <cell r="M3130" t="str">
            <v>OUTROS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  <cell r="H3131" t="str">
            <v>OUTROS</v>
          </cell>
          <cell r="I3131" t="str">
            <v>OUTROS</v>
          </cell>
          <cell r="J3131" t="str">
            <v>OUTROS</v>
          </cell>
          <cell r="K3131" t="str">
            <v>OUTROS</v>
          </cell>
          <cell r="L3131" t="str">
            <v>OUTROS</v>
          </cell>
          <cell r="M3131" t="str">
            <v>OUTROS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  <cell r="H3132" t="str">
            <v>DISTRIBUIÇÃO</v>
          </cell>
          <cell r="I3132" t="str">
            <v>FOOD SERVICE</v>
          </cell>
          <cell r="J3132" t="str">
            <v>VAGO SP</v>
          </cell>
          <cell r="K3132" t="str">
            <v>ITAMBÉ</v>
          </cell>
          <cell r="L3132" t="str">
            <v>RODRIGO</v>
          </cell>
          <cell r="M3132" t="str">
            <v>RAQUEL BARBOSA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  <cell r="H3133" t="str">
            <v>DISTRIBUIÇÃO</v>
          </cell>
          <cell r="I3133" t="str">
            <v>FOOD SERVICE</v>
          </cell>
          <cell r="J3133" t="str">
            <v>FLAC 3</v>
          </cell>
          <cell r="K3133" t="str">
            <v>LACTALIS</v>
          </cell>
          <cell r="L3133" t="str">
            <v>RODRIGO</v>
          </cell>
          <cell r="M3133" t="str">
            <v>RAQUEL BARBOSA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  <cell r="H3134" t="str">
            <v>QSR</v>
          </cell>
          <cell r="I3134" t="str">
            <v>FOOD SERVICE</v>
          </cell>
          <cell r="J3134" t="str">
            <v>ANA MENIQUETE</v>
          </cell>
          <cell r="K3134" t="str">
            <v>ITAMBÉ</v>
          </cell>
          <cell r="L3134" t="str">
            <v>PEDRO</v>
          </cell>
          <cell r="M3134" t="str">
            <v>ANA MENIQUETE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  <cell r="H3135" t="str">
            <v>DISTRIBUIÇÃO</v>
          </cell>
          <cell r="I3135" t="str">
            <v>FOOD SERVICE</v>
          </cell>
          <cell r="J3135" t="str">
            <v>CLAUDIO JORGE</v>
          </cell>
          <cell r="K3135" t="str">
            <v>LACTALIS</v>
          </cell>
          <cell r="L3135" t="str">
            <v>RODRIGO</v>
          </cell>
          <cell r="M3135" t="str">
            <v>MARIA LOURDES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  <cell r="H3136" t="str">
            <v>OUTROS</v>
          </cell>
          <cell r="I3136" t="str">
            <v>OUTROS</v>
          </cell>
          <cell r="J3136" t="str">
            <v>OUTROS</v>
          </cell>
          <cell r="K3136" t="str">
            <v>OUTROS</v>
          </cell>
          <cell r="L3136" t="str">
            <v>OUTROS</v>
          </cell>
          <cell r="M3136" t="str">
            <v>OUTROS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  <cell r="H3137" t="str">
            <v>INGREDIENTS</v>
          </cell>
          <cell r="I3137" t="str">
            <v>INGREDIENTS</v>
          </cell>
          <cell r="J3137" t="str">
            <v>DUAS RODAS</v>
          </cell>
          <cell r="K3137" t="str">
            <v>ITAMBÉ</v>
          </cell>
          <cell r="L3137" t="str">
            <v>MAURICIO</v>
          </cell>
          <cell r="M3137" t="str">
            <v>MARCELO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  <cell r="H3138" t="str">
            <v>INGREDIENTS</v>
          </cell>
          <cell r="I3138" t="str">
            <v>INGREDIENTS</v>
          </cell>
          <cell r="J3138" t="str">
            <v>DUAS RODAS</v>
          </cell>
          <cell r="K3138" t="str">
            <v>ITAMBÉ</v>
          </cell>
          <cell r="L3138" t="str">
            <v>MAURICIO</v>
          </cell>
          <cell r="M3138" t="str">
            <v>MARCELO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  <cell r="H3139" t="str">
            <v>DISTRIBUIÇÃO</v>
          </cell>
          <cell r="I3139" t="str">
            <v>FOOD SERVICE</v>
          </cell>
          <cell r="J3139" t="str">
            <v>CLAUDIO JORGE/AMANDA SANDS</v>
          </cell>
          <cell r="K3139" t="str">
            <v>LACTALIS</v>
          </cell>
          <cell r="L3139" t="str">
            <v>RODRIGO</v>
          </cell>
          <cell r="M3139" t="str">
            <v>MARIA LOURDES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  <cell r="H3140" t="str">
            <v>QSR</v>
          </cell>
          <cell r="I3140" t="str">
            <v>FOOD SERVICE</v>
          </cell>
          <cell r="J3140" t="str">
            <v>VAGO QSR</v>
          </cell>
          <cell r="K3140" t="str">
            <v>ITAMBÉ</v>
          </cell>
          <cell r="L3140" t="str">
            <v>PEDRO</v>
          </cell>
          <cell r="M3140" t="str">
            <v>VAGO QSR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  <cell r="H3141" t="str">
            <v>DISTRIBUIÇÃO</v>
          </cell>
          <cell r="I3141" t="str">
            <v>FOOD SERVICE</v>
          </cell>
          <cell r="J3141" t="str">
            <v>FLAC 2</v>
          </cell>
          <cell r="K3141" t="str">
            <v>LACTALIS</v>
          </cell>
          <cell r="L3141" t="str">
            <v>RODRIGO</v>
          </cell>
          <cell r="M3141" t="str">
            <v>RAQUEL BARBOSA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  <cell r="H3142" t="str">
            <v>DISTRIBUIÇÃO</v>
          </cell>
          <cell r="I3142" t="str">
            <v>FOOD SERVICE</v>
          </cell>
          <cell r="J3142" t="str">
            <v>FLAC 3</v>
          </cell>
          <cell r="K3142" t="str">
            <v>LACTALIS</v>
          </cell>
          <cell r="L3142" t="str">
            <v>RODRIGO</v>
          </cell>
          <cell r="M3142" t="str">
            <v>RAQUEL BARBOSA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  <cell r="H3143" t="str">
            <v>DISTRIBUIÇÃO</v>
          </cell>
          <cell r="I3143" t="str">
            <v>FOOD SERVICE</v>
          </cell>
          <cell r="J3143" t="str">
            <v>FLAC 1</v>
          </cell>
          <cell r="K3143" t="str">
            <v>LACTALIS</v>
          </cell>
          <cell r="L3143" t="str">
            <v>RODRIGO</v>
          </cell>
          <cell r="M3143" t="str">
            <v>RAQUEL BARBOSA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  <cell r="H3144" t="str">
            <v>DISTRIBUIÇÃO</v>
          </cell>
          <cell r="I3144" t="str">
            <v>FOOD SERVICE</v>
          </cell>
          <cell r="J3144" t="str">
            <v>FLAC 6</v>
          </cell>
          <cell r="K3144" t="str">
            <v>LACTALIS</v>
          </cell>
          <cell r="L3144" t="str">
            <v>RODRIGO</v>
          </cell>
          <cell r="M3144" t="str">
            <v>RAQUEL BARBOSA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  <cell r="H3145" t="str">
            <v>INGREDIENTS</v>
          </cell>
          <cell r="I3145" t="str">
            <v>INGREDIENTS</v>
          </cell>
          <cell r="J3145" t="str">
            <v>TATIANA NITTA</v>
          </cell>
          <cell r="K3145" t="str">
            <v>LACTALIS</v>
          </cell>
          <cell r="L3145" t="str">
            <v>MAURICIO</v>
          </cell>
          <cell r="M3145" t="str">
            <v>TATIANA NITTA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  <cell r="H3146" t="str">
            <v>DISTRIBUIÇÃO</v>
          </cell>
          <cell r="I3146" t="str">
            <v>FOOD SERVICE</v>
          </cell>
          <cell r="J3146" t="str">
            <v>FLAC 2</v>
          </cell>
          <cell r="K3146" t="str">
            <v>LACTALIS</v>
          </cell>
          <cell r="L3146" t="str">
            <v>RODRIGO</v>
          </cell>
          <cell r="M3146" t="str">
            <v>RAQUEL BARBOSA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  <cell r="H3147" t="str">
            <v>DISTRIBUIÇÃO</v>
          </cell>
          <cell r="I3147" t="str">
            <v>FOOD SERVICE</v>
          </cell>
          <cell r="J3147" t="str">
            <v>FLAC 4</v>
          </cell>
          <cell r="K3147" t="str">
            <v>LACTALIS</v>
          </cell>
          <cell r="L3147" t="str">
            <v>RODRIGO</v>
          </cell>
          <cell r="M3147" t="str">
            <v>RAQUEL BARBOSA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  <cell r="H3148" t="str">
            <v>DISTRIBUIÇÃO</v>
          </cell>
          <cell r="I3148" t="str">
            <v>FOOD SERVICE</v>
          </cell>
          <cell r="J3148" t="str">
            <v>FLAC 3</v>
          </cell>
          <cell r="K3148" t="str">
            <v>LACTALIS</v>
          </cell>
          <cell r="L3148" t="str">
            <v>RODRIGO</v>
          </cell>
          <cell r="M3148" t="str">
            <v>RAQUEL BARBOSA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  <cell r="H3149" t="str">
            <v>INGREDIENTS</v>
          </cell>
          <cell r="I3149" t="str">
            <v>INGREDIENTS</v>
          </cell>
          <cell r="J3149" t="str">
            <v>JOEL ELEOTÉRIO</v>
          </cell>
          <cell r="K3149" t="str">
            <v>ITAMBÉ</v>
          </cell>
          <cell r="L3149" t="str">
            <v>MAURICIO</v>
          </cell>
          <cell r="M3149" t="str">
            <v>JOEL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  <cell r="H3150" t="str">
            <v>INGREDIENTS</v>
          </cell>
          <cell r="I3150" t="str">
            <v>INGREDIENTS</v>
          </cell>
          <cell r="J3150" t="str">
            <v>ITB FS SPLENDI REPRESENTAÇÕES</v>
          </cell>
          <cell r="K3150" t="str">
            <v>ITAMBÉ</v>
          </cell>
          <cell r="L3150" t="str">
            <v>MAURICIO</v>
          </cell>
          <cell r="M3150" t="str">
            <v>TATIANA NITTA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  <cell r="H3151" t="str">
            <v>OUTROS</v>
          </cell>
          <cell r="I3151" t="str">
            <v>OUTROS</v>
          </cell>
          <cell r="J3151" t="str">
            <v>OUTROS</v>
          </cell>
          <cell r="K3151" t="str">
            <v>OUTROS</v>
          </cell>
          <cell r="L3151" t="str">
            <v>OUTROS</v>
          </cell>
          <cell r="M3151" t="str">
            <v>OUTROS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  <cell r="H3152" t="str">
            <v>OUTROS</v>
          </cell>
          <cell r="I3152" t="str">
            <v>OUTROS</v>
          </cell>
          <cell r="J3152" t="str">
            <v>OUTROS</v>
          </cell>
          <cell r="K3152" t="str">
            <v>OUTROS</v>
          </cell>
          <cell r="L3152" t="str">
            <v>OUTROS</v>
          </cell>
          <cell r="M3152" t="str">
            <v>OUTROS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  <cell r="H3153" t="str">
            <v>OUTROS</v>
          </cell>
          <cell r="I3153" t="str">
            <v>OUTROS</v>
          </cell>
          <cell r="J3153" t="str">
            <v>OUTROS</v>
          </cell>
          <cell r="K3153" t="str">
            <v>OUTROS</v>
          </cell>
          <cell r="L3153" t="str">
            <v>OUTROS</v>
          </cell>
          <cell r="M3153" t="str">
            <v>OUTROS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  <cell r="H3154" t="str">
            <v>OUTROS</v>
          </cell>
          <cell r="I3154" t="str">
            <v>OUTROS</v>
          </cell>
          <cell r="J3154" t="str">
            <v>OUTROS</v>
          </cell>
          <cell r="K3154" t="str">
            <v>OUTROS</v>
          </cell>
          <cell r="L3154" t="str">
            <v>OUTROS</v>
          </cell>
          <cell r="M3154" t="str">
            <v>OUTROS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  <cell r="H3155" t="str">
            <v>OUTROS</v>
          </cell>
          <cell r="I3155" t="str">
            <v>OUTROS</v>
          </cell>
          <cell r="J3155" t="str">
            <v>OUTROS</v>
          </cell>
          <cell r="K3155" t="str">
            <v>OUTROS</v>
          </cell>
          <cell r="L3155" t="str">
            <v>OUTROS</v>
          </cell>
          <cell r="M3155" t="str">
            <v>OUTROS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  <cell r="H3156" t="str">
            <v>INGREDIENTS</v>
          </cell>
          <cell r="I3156" t="str">
            <v>INGREDIENTS</v>
          </cell>
          <cell r="J3156" t="str">
            <v>RJ ITB FS L T MARTINS</v>
          </cell>
          <cell r="K3156" t="str">
            <v>ITAMBÉ</v>
          </cell>
          <cell r="L3156" t="str">
            <v>MAURICIO</v>
          </cell>
          <cell r="M3156" t="str">
            <v>TATIANA NITTA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  <cell r="H3157" t="str">
            <v>INGREDIENTS</v>
          </cell>
          <cell r="I3157" t="str">
            <v>INGREDIENTS</v>
          </cell>
          <cell r="J3157" t="str">
            <v>MARCELO RODRIGUES</v>
          </cell>
          <cell r="K3157" t="str">
            <v>ITAMBÉ</v>
          </cell>
          <cell r="L3157" t="str">
            <v>MAURICIO</v>
          </cell>
          <cell r="M3157" t="str">
            <v>MARCELO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  <cell r="H3158" t="str">
            <v>DISTRIBUIÇÃO</v>
          </cell>
          <cell r="I3158" t="str">
            <v>FOOD SERVICE</v>
          </cell>
          <cell r="J3158" t="str">
            <v>CLAUDIO JORGE</v>
          </cell>
          <cell r="K3158" t="str">
            <v>LACTALIS</v>
          </cell>
          <cell r="L3158" t="str">
            <v>RODRIGO</v>
          </cell>
          <cell r="M3158" t="str">
            <v>MARIA LOURDES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  <cell r="H3159" t="str">
            <v>DISTRIBUIÇÃO</v>
          </cell>
          <cell r="I3159" t="str">
            <v>FOOD SERVICE</v>
          </cell>
          <cell r="J3159" t="str">
            <v>JULIANA CORDEIRO</v>
          </cell>
          <cell r="K3159" t="str">
            <v>ITAMBÉ</v>
          </cell>
          <cell r="L3159" t="str">
            <v>RODRIGO</v>
          </cell>
          <cell r="M3159" t="str">
            <v>JESSICA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  <cell r="H3160" t="str">
            <v>DISTRIBUIÇÃO</v>
          </cell>
          <cell r="I3160" t="str">
            <v>FOOD SERVICE</v>
          </cell>
          <cell r="J3160" t="str">
            <v>FLAC 2</v>
          </cell>
          <cell r="K3160" t="str">
            <v>LACTALIS</v>
          </cell>
          <cell r="L3160" t="str">
            <v>RODRIGO</v>
          </cell>
          <cell r="M3160" t="str">
            <v>RAQUEL BARBOSA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  <cell r="H3161" t="str">
            <v>DISTRIBUIÇÃO</v>
          </cell>
          <cell r="I3161" t="str">
            <v>FOOD SERVICE</v>
          </cell>
          <cell r="J3161" t="str">
            <v>FLAC 2</v>
          </cell>
          <cell r="K3161" t="str">
            <v>LACTALIS</v>
          </cell>
          <cell r="L3161" t="str">
            <v>RODRIGO</v>
          </cell>
          <cell r="M3161" t="str">
            <v>RAQUEL BARBOSA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  <cell r="H3162" t="str">
            <v>OUTROS</v>
          </cell>
          <cell r="I3162" t="str">
            <v>OUTROS</v>
          </cell>
          <cell r="J3162" t="str">
            <v>OUTROS</v>
          </cell>
          <cell r="K3162" t="str">
            <v>OUTROS</v>
          </cell>
          <cell r="L3162" t="str">
            <v>OUTROS</v>
          </cell>
          <cell r="M3162" t="str">
            <v>OUTROS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  <cell r="H3163" t="str">
            <v>INGREDIENTS</v>
          </cell>
          <cell r="I3163" t="str">
            <v>INGREDIENTS</v>
          </cell>
          <cell r="J3163" t="str">
            <v>JOEL ELEOTÉRIO</v>
          </cell>
          <cell r="K3163" t="str">
            <v>LACTALIS</v>
          </cell>
          <cell r="L3163" t="str">
            <v>MAURICIO</v>
          </cell>
          <cell r="M3163" t="str">
            <v>JOEL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  <cell r="H3164" t="str">
            <v>QSR</v>
          </cell>
          <cell r="I3164" t="str">
            <v>FOOD SERVICE</v>
          </cell>
          <cell r="J3164" t="str">
            <v>VAGO QSR</v>
          </cell>
          <cell r="K3164" t="str">
            <v>ITAMBÉ</v>
          </cell>
          <cell r="L3164" t="str">
            <v>PEDRO</v>
          </cell>
          <cell r="M3164" t="str">
            <v>VAGO QSR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  <cell r="H3165" t="str">
            <v>QSR</v>
          </cell>
          <cell r="I3165" t="str">
            <v>FOOD SERVICE</v>
          </cell>
          <cell r="J3165" t="str">
            <v>VAGO QSR</v>
          </cell>
          <cell r="K3165" t="str">
            <v>ITAMBÉ</v>
          </cell>
          <cell r="L3165" t="str">
            <v>PEDRO</v>
          </cell>
          <cell r="M3165" t="str">
            <v>VAGO QSR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  <cell r="H3166" t="str">
            <v>QSR</v>
          </cell>
          <cell r="I3166" t="str">
            <v>FOOD SERVICE</v>
          </cell>
          <cell r="J3166" t="str">
            <v>NUTRI</v>
          </cell>
          <cell r="K3166" t="str">
            <v>ITAMBÉ</v>
          </cell>
          <cell r="L3166" t="str">
            <v>PEDRO</v>
          </cell>
          <cell r="M3166" t="str">
            <v>VAGO QSR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  <cell r="H3167" t="str">
            <v>QSR</v>
          </cell>
          <cell r="I3167" t="str">
            <v>FOOD SERVICE</v>
          </cell>
          <cell r="J3167" t="str">
            <v>VAGO QSR</v>
          </cell>
          <cell r="K3167" t="str">
            <v>ITAMBÉ</v>
          </cell>
          <cell r="L3167" t="str">
            <v>PEDRO</v>
          </cell>
          <cell r="M3167" t="str">
            <v>VAGO QSR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  <cell r="H3168" t="str">
            <v>DISTRIBUIÇÃO</v>
          </cell>
          <cell r="I3168" t="str">
            <v>FOOD SERVICE</v>
          </cell>
          <cell r="J3168" t="str">
            <v>LUCIANA MARTINS</v>
          </cell>
          <cell r="K3168" t="str">
            <v>ITAMBÉ</v>
          </cell>
          <cell r="L3168" t="str">
            <v>RODRIGO</v>
          </cell>
          <cell r="M3168" t="str">
            <v>JESSICA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  <cell r="H3169" t="str">
            <v>OUTROS</v>
          </cell>
          <cell r="I3169" t="str">
            <v>OUTROS</v>
          </cell>
          <cell r="J3169" t="str">
            <v>SERVIÇO TIROL</v>
          </cell>
          <cell r="K3169" t="str">
            <v>OUTROS</v>
          </cell>
          <cell r="L3169" t="str">
            <v>OUTROS</v>
          </cell>
          <cell r="M3169" t="str">
            <v>SERVIÇO TIROL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  <cell r="H3170" t="str">
            <v>DISTRIBUIÇÃO</v>
          </cell>
          <cell r="I3170" t="str">
            <v>FOOD SERVICE</v>
          </cell>
          <cell r="J3170" t="str">
            <v>FLAC 4</v>
          </cell>
          <cell r="K3170" t="str">
            <v>LACTALIS</v>
          </cell>
          <cell r="L3170" t="str">
            <v>RODRIGO</v>
          </cell>
          <cell r="M3170" t="str">
            <v>RAQUEL BARBOSA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  <cell r="H3171" t="str">
            <v>QSR</v>
          </cell>
          <cell r="I3171" t="str">
            <v>FOOD SERVICE</v>
          </cell>
          <cell r="J3171" t="str">
            <v>VAGO QSR</v>
          </cell>
          <cell r="K3171" t="str">
            <v>ITAMBÉ</v>
          </cell>
          <cell r="L3171" t="str">
            <v>PEDRO</v>
          </cell>
          <cell r="M3171" t="str">
            <v>VAGO QSR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  <cell r="H3172" t="str">
            <v>QSR</v>
          </cell>
          <cell r="I3172" t="str">
            <v>FOOD SERVICE</v>
          </cell>
          <cell r="J3172" t="str">
            <v>VAGO QSR</v>
          </cell>
          <cell r="K3172" t="str">
            <v>ITAMBÉ</v>
          </cell>
          <cell r="L3172" t="str">
            <v>PEDRO</v>
          </cell>
          <cell r="M3172" t="str">
            <v>VAGO QSR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  <cell r="H3173" t="str">
            <v>QSR</v>
          </cell>
          <cell r="I3173" t="str">
            <v>FOOD SERVICE</v>
          </cell>
          <cell r="J3173" t="str">
            <v>VAGO QSR</v>
          </cell>
          <cell r="K3173" t="str">
            <v>ITAMBÉ</v>
          </cell>
          <cell r="L3173" t="str">
            <v>PEDRO</v>
          </cell>
          <cell r="M3173" t="str">
            <v>VAGO QSR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  <cell r="H3174" t="str">
            <v>QSR</v>
          </cell>
          <cell r="I3174" t="str">
            <v>FOOD SERVICE</v>
          </cell>
          <cell r="J3174" t="str">
            <v>VAGO QSR</v>
          </cell>
          <cell r="K3174" t="str">
            <v>ITAMBÉ</v>
          </cell>
          <cell r="L3174" t="str">
            <v>PEDRO</v>
          </cell>
          <cell r="M3174" t="str">
            <v>VAGO QSR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  <cell r="H3175" t="str">
            <v>QSR</v>
          </cell>
          <cell r="I3175" t="str">
            <v>FOOD SERVICE</v>
          </cell>
          <cell r="J3175" t="str">
            <v>VAGO QSR</v>
          </cell>
          <cell r="K3175" t="str">
            <v>ITAMBÉ</v>
          </cell>
          <cell r="L3175" t="str">
            <v>PEDRO</v>
          </cell>
          <cell r="M3175" t="str">
            <v>VAGO QSR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  <cell r="H3176" t="str">
            <v>INGREDIENTS</v>
          </cell>
          <cell r="I3176" t="str">
            <v>INGREDIENTS</v>
          </cell>
          <cell r="J3176" t="str">
            <v>RJ ITB FS L T MARTINS</v>
          </cell>
          <cell r="K3176" t="str">
            <v>ITAMBÉ</v>
          </cell>
          <cell r="L3176" t="str">
            <v>MAURICIO</v>
          </cell>
          <cell r="M3176" t="str">
            <v>TATIANA NITTA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  <cell r="H3177" t="str">
            <v>OUTROS</v>
          </cell>
          <cell r="I3177" t="str">
            <v>OUTROS</v>
          </cell>
          <cell r="J3177" t="str">
            <v>OUTROS</v>
          </cell>
          <cell r="K3177" t="str">
            <v>OUTROS</v>
          </cell>
          <cell r="L3177" t="str">
            <v>OUTROS</v>
          </cell>
          <cell r="M3177" t="str">
            <v>OUTROS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  <cell r="H3178" t="str">
            <v>QSR</v>
          </cell>
          <cell r="I3178" t="str">
            <v>FOOD SERVICE</v>
          </cell>
          <cell r="J3178" t="str">
            <v>NUTRI</v>
          </cell>
          <cell r="K3178" t="str">
            <v>ITAMBÉ</v>
          </cell>
          <cell r="L3178" t="str">
            <v>PEDRO</v>
          </cell>
          <cell r="M3178" t="str">
            <v>VAGO QSR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  <cell r="H3179" t="str">
            <v>DISTRIBUIÇÃO</v>
          </cell>
          <cell r="I3179" t="str">
            <v>FOOD SERVICE</v>
          </cell>
          <cell r="J3179" t="str">
            <v>FLAC 2</v>
          </cell>
          <cell r="K3179" t="str">
            <v>LACTALIS</v>
          </cell>
          <cell r="L3179" t="str">
            <v>RODRIGO</v>
          </cell>
          <cell r="M3179" t="str">
            <v>RAQUEL BARBOSA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  <cell r="H3180" t="str">
            <v>INGREDIENTS</v>
          </cell>
          <cell r="I3180" t="str">
            <v>INGREDIENTS</v>
          </cell>
          <cell r="J3180" t="str">
            <v>SC ITB FS BRESCIA REPRESENTACO</v>
          </cell>
          <cell r="K3180" t="str">
            <v>ITAMBÉ</v>
          </cell>
          <cell r="L3180" t="str">
            <v>MAURICIO</v>
          </cell>
          <cell r="M3180" t="str">
            <v>MARCELO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  <cell r="H3181" t="str">
            <v>INGREDIENTS</v>
          </cell>
          <cell r="I3181" t="str">
            <v>INGREDIENTS</v>
          </cell>
          <cell r="J3181" t="str">
            <v>ITB FS W S REPRESENTAÇÕES</v>
          </cell>
          <cell r="K3181" t="str">
            <v>ITAMBÉ</v>
          </cell>
          <cell r="L3181" t="str">
            <v>MAURICIO</v>
          </cell>
          <cell r="M3181" t="str">
            <v>JOEL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  <cell r="H3182" t="str">
            <v>INGREDIENTS</v>
          </cell>
          <cell r="I3182" t="str">
            <v>INGREDIENTS</v>
          </cell>
          <cell r="J3182" t="str">
            <v>TATIANA NITTA</v>
          </cell>
          <cell r="K3182" t="str">
            <v>ITAMBÉ</v>
          </cell>
          <cell r="L3182" t="str">
            <v>MAURICIO</v>
          </cell>
          <cell r="M3182" t="str">
            <v>TATIANA NITTA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  <cell r="H3183" t="str">
            <v>QSR</v>
          </cell>
          <cell r="I3183" t="str">
            <v>FOOD SERVICE</v>
          </cell>
          <cell r="J3183" t="str">
            <v>VAGO QSR</v>
          </cell>
          <cell r="K3183" t="str">
            <v>ITAMBÉ</v>
          </cell>
          <cell r="L3183" t="str">
            <v>PEDRO</v>
          </cell>
          <cell r="M3183" t="str">
            <v>VAGO QSR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  <cell r="H3184" t="str">
            <v>OUTROS</v>
          </cell>
          <cell r="I3184" t="str">
            <v>OUTROS</v>
          </cell>
          <cell r="J3184" t="str">
            <v>OUTROS</v>
          </cell>
          <cell r="K3184" t="str">
            <v>OUTROS</v>
          </cell>
          <cell r="L3184" t="str">
            <v>OUTROS</v>
          </cell>
          <cell r="M3184" t="str">
            <v>OUTROS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  <cell r="H3185" t="str">
            <v>DISTRIBUIÇÃO</v>
          </cell>
          <cell r="I3185" t="str">
            <v>FOOD SERVICE</v>
          </cell>
          <cell r="J3185" t="str">
            <v>FLAC 6</v>
          </cell>
          <cell r="K3185" t="str">
            <v>LACTALIS</v>
          </cell>
          <cell r="L3185" t="str">
            <v>RODRIGO</v>
          </cell>
          <cell r="M3185" t="str">
            <v>RAQUEL BARBOSA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  <cell r="H3186" t="str">
            <v>DISTRIBUIÇÃO</v>
          </cell>
          <cell r="I3186" t="str">
            <v>FOOD SERVICE</v>
          </cell>
          <cell r="J3186" t="str">
            <v>FLAC 2</v>
          </cell>
          <cell r="K3186" t="str">
            <v>LACTALIS</v>
          </cell>
          <cell r="L3186" t="str">
            <v>RODRIGO</v>
          </cell>
          <cell r="M3186" t="str">
            <v>RAQUEL BARBOSA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  <cell r="H3187" t="str">
            <v>DISTRIBUIÇÃO</v>
          </cell>
          <cell r="I3187" t="str">
            <v>FOOD SERVICE</v>
          </cell>
          <cell r="J3187" t="str">
            <v>FLAC 6</v>
          </cell>
          <cell r="K3187" t="str">
            <v>LACTALIS</v>
          </cell>
          <cell r="L3187" t="str">
            <v>RODRIGO</v>
          </cell>
          <cell r="M3187" t="str">
            <v>RAQUEL BARBOSA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  <cell r="H3188" t="str">
            <v>INGREDIENTS</v>
          </cell>
          <cell r="I3188" t="str">
            <v>INGREDIENTS</v>
          </cell>
          <cell r="J3188" t="str">
            <v>TATIANA NITTA</v>
          </cell>
          <cell r="K3188" t="str">
            <v>ITAMBÉ</v>
          </cell>
          <cell r="L3188" t="str">
            <v>MAURICIO</v>
          </cell>
          <cell r="M3188" t="str">
            <v>TATIANA NITTA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  <cell r="H3189" t="str">
            <v>DISTRIBUIÇÃO</v>
          </cell>
          <cell r="I3189" t="str">
            <v>FOOD SERVICE</v>
          </cell>
          <cell r="J3189" t="str">
            <v>FLAC 1</v>
          </cell>
          <cell r="K3189" t="str">
            <v>LACTALIS</v>
          </cell>
          <cell r="L3189" t="str">
            <v>RODRIGO</v>
          </cell>
          <cell r="M3189" t="str">
            <v>RAQUEL BARBOSA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  <cell r="H3190" t="str">
            <v>DISTRIBUIÇÃO</v>
          </cell>
          <cell r="I3190" t="str">
            <v>FOOD SERVICE</v>
          </cell>
          <cell r="J3190" t="str">
            <v>WH FOOD SERVICE CE</v>
          </cell>
          <cell r="K3190" t="str">
            <v>ITAMBÉ</v>
          </cell>
          <cell r="L3190" t="str">
            <v>RODRIGO</v>
          </cell>
          <cell r="M3190" t="str">
            <v>MARIA LOURDES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  <cell r="H3191" t="str">
            <v>INGREDIENTS</v>
          </cell>
          <cell r="I3191" t="str">
            <v>INGREDIENTS</v>
          </cell>
          <cell r="J3191" t="str">
            <v>JOEL ELEOTÉRIO</v>
          </cell>
          <cell r="K3191" t="str">
            <v>ITAMBÉ</v>
          </cell>
          <cell r="L3191" t="str">
            <v>MAURICIO</v>
          </cell>
          <cell r="M3191" t="str">
            <v>JOEL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  <cell r="H3192" t="str">
            <v>QSR</v>
          </cell>
          <cell r="I3192" t="str">
            <v>FOOD SERVICE</v>
          </cell>
          <cell r="J3192" t="str">
            <v>NUTRI</v>
          </cell>
          <cell r="K3192" t="str">
            <v>ITAMBÉ</v>
          </cell>
          <cell r="L3192" t="str">
            <v>PEDRO</v>
          </cell>
          <cell r="M3192" t="str">
            <v>VAGO QSR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  <cell r="H3193" t="str">
            <v>DISTRIBUIÇÃO</v>
          </cell>
          <cell r="I3193" t="str">
            <v>FOOD SERVICE</v>
          </cell>
          <cell r="J3193" t="str">
            <v>FLAC 3</v>
          </cell>
          <cell r="K3193" t="str">
            <v>LACTALIS</v>
          </cell>
          <cell r="L3193" t="str">
            <v>RODRIGO</v>
          </cell>
          <cell r="M3193" t="str">
            <v>RAQUEL BARBOSA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  <cell r="H3194" t="str">
            <v>QSR</v>
          </cell>
          <cell r="I3194" t="str">
            <v>FOOD SERVICE</v>
          </cell>
          <cell r="J3194" t="str">
            <v>VAGO QSR</v>
          </cell>
          <cell r="K3194" t="str">
            <v>LACTALIS</v>
          </cell>
          <cell r="L3194" t="str">
            <v>PEDRO</v>
          </cell>
          <cell r="M3194" t="str">
            <v>VAGO QSR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  <cell r="H3195" t="str">
            <v>DISTRIBUIÇÃO</v>
          </cell>
          <cell r="I3195" t="str">
            <v>FOOD SERVICE</v>
          </cell>
          <cell r="J3195" t="str">
            <v>SP ITB FS FLAC REP.E COMERCIO</v>
          </cell>
          <cell r="K3195" t="str">
            <v>ITAMBÉ</v>
          </cell>
          <cell r="L3195" t="str">
            <v>RODRIGO</v>
          </cell>
          <cell r="M3195" t="str">
            <v>RAQUEL BARBOSA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  <cell r="H3196" t="str">
            <v>INGREDIENTS</v>
          </cell>
          <cell r="I3196" t="str">
            <v>INGREDIENTS</v>
          </cell>
          <cell r="J3196" t="str">
            <v>MARCELO RODRIGUES</v>
          </cell>
          <cell r="K3196" t="str">
            <v>ITAMBÉ</v>
          </cell>
          <cell r="L3196" t="str">
            <v>MAURICIO</v>
          </cell>
          <cell r="M3196" t="str">
            <v>MARCELO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  <cell r="H3197" t="str">
            <v>INGREDIENTS</v>
          </cell>
          <cell r="I3197" t="str">
            <v>INGREDIENTS</v>
          </cell>
          <cell r="J3197" t="str">
            <v>MARCELO RODRIGUES</v>
          </cell>
          <cell r="K3197" t="str">
            <v>ITAMBÉ</v>
          </cell>
          <cell r="L3197" t="str">
            <v>MAURICIO</v>
          </cell>
          <cell r="M3197" t="str">
            <v>MARCELO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  <cell r="H3198" t="str">
            <v>DISTRIBUIÇÃO</v>
          </cell>
          <cell r="I3198" t="str">
            <v>FOOD SERVICE</v>
          </cell>
          <cell r="J3198" t="str">
            <v>MARCELO DUARTE</v>
          </cell>
          <cell r="K3198" t="str">
            <v>ITAMBÉ</v>
          </cell>
          <cell r="L3198" t="str">
            <v>RODRIGO</v>
          </cell>
          <cell r="M3198" t="str">
            <v>JESSICA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  <cell r="H3199" t="str">
            <v>DISTRIBUIÇÃO</v>
          </cell>
          <cell r="I3199" t="str">
            <v>FOOD SERVICE</v>
          </cell>
          <cell r="J3199" t="str">
            <v>FLAC 2</v>
          </cell>
          <cell r="K3199" t="str">
            <v>LACTALIS</v>
          </cell>
          <cell r="L3199" t="str">
            <v>RODRIGO</v>
          </cell>
          <cell r="M3199" t="str">
            <v>RAQUEL BARBOSA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  <cell r="H3200" t="str">
            <v>INGREDIENTS</v>
          </cell>
          <cell r="I3200" t="str">
            <v>INGREDIENTS</v>
          </cell>
          <cell r="J3200" t="str">
            <v>JOEL ELEOTÉRIO</v>
          </cell>
          <cell r="K3200" t="str">
            <v>LACTALIS</v>
          </cell>
          <cell r="L3200" t="str">
            <v>MAURICIO</v>
          </cell>
          <cell r="M3200" t="str">
            <v>JOEL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  <cell r="H3201" t="str">
            <v>INGREDIENTS</v>
          </cell>
          <cell r="I3201" t="str">
            <v>INGREDIENTS</v>
          </cell>
          <cell r="J3201" t="str">
            <v>JOEL ELEOTÉRIO</v>
          </cell>
          <cell r="K3201" t="str">
            <v>LACTALIS</v>
          </cell>
          <cell r="L3201" t="str">
            <v>MAURICIO</v>
          </cell>
          <cell r="M3201" t="str">
            <v>JOEL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  <cell r="H3202" t="str">
            <v>DISTRIBUIÇÃO</v>
          </cell>
          <cell r="I3202" t="str">
            <v>FOOD SERVICE</v>
          </cell>
          <cell r="J3202" t="str">
            <v>CLAUDIO JORGE/LUIZ</v>
          </cell>
          <cell r="K3202" t="str">
            <v>ITAMBÉ</v>
          </cell>
          <cell r="L3202" t="str">
            <v>RODRIGO</v>
          </cell>
          <cell r="M3202" t="str">
            <v>MARIA LOURDES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  <cell r="H3203" t="str">
            <v>INGREDIENTS</v>
          </cell>
          <cell r="I3203" t="str">
            <v>INGREDIENTS</v>
          </cell>
          <cell r="J3203" t="str">
            <v>BA ITB FS L B REPRES LTDA</v>
          </cell>
          <cell r="K3203" t="str">
            <v>ITAMBÉ</v>
          </cell>
          <cell r="L3203" t="str">
            <v>MAURICIO</v>
          </cell>
          <cell r="M3203" t="str">
            <v>JOEL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  <cell r="H3204" t="str">
            <v>INGREDIENTS</v>
          </cell>
          <cell r="I3204" t="str">
            <v>INGREDIENTS</v>
          </cell>
          <cell r="J3204" t="str">
            <v>MARCELO RODRIGUES</v>
          </cell>
          <cell r="K3204" t="str">
            <v>LACTALIS</v>
          </cell>
          <cell r="L3204" t="str">
            <v>MAURICIO</v>
          </cell>
          <cell r="M3204" t="str">
            <v>MARCELO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  <cell r="H3205" t="str">
            <v>DISTRIBUIÇÃO</v>
          </cell>
          <cell r="I3205" t="str">
            <v>FOOD SERVICE</v>
          </cell>
          <cell r="J3205" t="str">
            <v>VAGO SP</v>
          </cell>
          <cell r="K3205" t="str">
            <v>LACTALIS</v>
          </cell>
          <cell r="L3205" t="str">
            <v>RODRIGO</v>
          </cell>
          <cell r="M3205" t="str">
            <v>RAQUEL BARBOSA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  <cell r="H3206" t="str">
            <v>DISTRIBUIÇÃO</v>
          </cell>
          <cell r="I3206" t="str">
            <v>FOOD SERVICE</v>
          </cell>
          <cell r="J3206" t="str">
            <v>FLAC 2</v>
          </cell>
          <cell r="K3206" t="str">
            <v>LACTALIS</v>
          </cell>
          <cell r="L3206" t="str">
            <v>RODRIGO</v>
          </cell>
          <cell r="M3206" t="str">
            <v>RAQUEL BARBOSA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  <cell r="H3207" t="str">
            <v>INGREDIENTS</v>
          </cell>
          <cell r="I3207" t="str">
            <v>INGREDIENTS</v>
          </cell>
          <cell r="J3207" t="str">
            <v>MARCELO RODRIGUES</v>
          </cell>
          <cell r="K3207" t="str">
            <v>LACTALIS</v>
          </cell>
          <cell r="L3207" t="str">
            <v>MAURICIO</v>
          </cell>
          <cell r="M3207" t="str">
            <v>MARCELO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  <cell r="H3208" t="str">
            <v>INGREDIENTS</v>
          </cell>
          <cell r="I3208" t="str">
            <v>INGREDIENTS</v>
          </cell>
          <cell r="J3208" t="str">
            <v>MARCELO RODRIGUES</v>
          </cell>
          <cell r="K3208" t="str">
            <v>ITAMBÉ</v>
          </cell>
          <cell r="L3208" t="str">
            <v>MAURICIO</v>
          </cell>
          <cell r="M3208" t="str">
            <v>MARCELO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  <cell r="H3209" t="str">
            <v>INGREDIENTS</v>
          </cell>
          <cell r="I3209" t="str">
            <v>INGREDIENTS</v>
          </cell>
          <cell r="J3209" t="str">
            <v>MS ITB FS MAWIL REPRESENTAÇÕES</v>
          </cell>
          <cell r="K3209" t="str">
            <v>ITAMBÉ</v>
          </cell>
          <cell r="L3209" t="str">
            <v>MAURICIO</v>
          </cell>
          <cell r="M3209" t="str">
            <v>MARCELO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  <cell r="H3210" t="str">
            <v>DISTRIBUIÇÃO</v>
          </cell>
          <cell r="I3210" t="str">
            <v>FOOD SERVICE</v>
          </cell>
          <cell r="J3210" t="str">
            <v>MARCELO DUARTE</v>
          </cell>
          <cell r="K3210" t="str">
            <v>ITAMBÉ</v>
          </cell>
          <cell r="L3210" t="str">
            <v>RODRIGO</v>
          </cell>
          <cell r="M3210" t="str">
            <v>JESSICA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  <cell r="H3211" t="str">
            <v>DISTRIBUIÇÃO</v>
          </cell>
          <cell r="I3211" t="str">
            <v>FOOD SERVICE</v>
          </cell>
          <cell r="J3211" t="str">
            <v>FLAC 1</v>
          </cell>
          <cell r="K3211" t="str">
            <v>LACTALIS</v>
          </cell>
          <cell r="L3211" t="str">
            <v>RODRIGO</v>
          </cell>
          <cell r="M3211" t="str">
            <v>RAQUEL BARBOSA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  <cell r="H3212" t="str">
            <v>DISTRIBUIÇÃO</v>
          </cell>
          <cell r="I3212" t="str">
            <v>FOOD SERVICE</v>
          </cell>
          <cell r="J3212" t="str">
            <v>VAGO SP</v>
          </cell>
          <cell r="K3212" t="str">
            <v>LACTALIS</v>
          </cell>
          <cell r="L3212" t="str">
            <v>RODRIGO</v>
          </cell>
          <cell r="M3212" t="str">
            <v>RAQUEL BARBOSA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  <cell r="H3213" t="str">
            <v>DISTRIBUIÇÃO</v>
          </cell>
          <cell r="I3213" t="str">
            <v>FOOD SERVICE</v>
          </cell>
          <cell r="J3213" t="str">
            <v>GUILHERME NASCIMENTO</v>
          </cell>
          <cell r="K3213" t="str">
            <v>LACTALIS</v>
          </cell>
          <cell r="L3213" t="str">
            <v>RODRIGO</v>
          </cell>
          <cell r="M3213" t="str">
            <v>ALEXANDRO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  <cell r="H3214" t="str">
            <v>DISTRIBUIÇÃO</v>
          </cell>
          <cell r="I3214" t="str">
            <v>FOOD SERVICE</v>
          </cell>
          <cell r="J3214" t="str">
            <v>FLAC 2</v>
          </cell>
          <cell r="K3214" t="str">
            <v>LACTALIS</v>
          </cell>
          <cell r="L3214" t="str">
            <v>RODRIGO</v>
          </cell>
          <cell r="M3214" t="str">
            <v>RAQUEL BARBOSA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  <cell r="H3215" t="str">
            <v>DISTRIBUIÇÃO</v>
          </cell>
          <cell r="I3215" t="str">
            <v>FOOD SERVICE</v>
          </cell>
          <cell r="J3215" t="str">
            <v>FLAC 2</v>
          </cell>
          <cell r="K3215" t="str">
            <v>LACTALIS</v>
          </cell>
          <cell r="L3215" t="str">
            <v>RODRIGO</v>
          </cell>
          <cell r="M3215" t="str">
            <v>RAQUEL BARBOSA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  <cell r="H3216" t="str">
            <v>DISTRIBUIÇÃO</v>
          </cell>
          <cell r="I3216" t="str">
            <v>FOOD SERVICE</v>
          </cell>
          <cell r="J3216" t="str">
            <v>FLAC 2</v>
          </cell>
          <cell r="K3216" t="str">
            <v>LACTALIS</v>
          </cell>
          <cell r="L3216" t="str">
            <v>RODRIGO</v>
          </cell>
          <cell r="M3216" t="str">
            <v>RAQUEL BARBOSA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  <cell r="H3217" t="str">
            <v>DISTRIBUIÇÃO</v>
          </cell>
          <cell r="I3217" t="str">
            <v>FOOD SERVICE</v>
          </cell>
          <cell r="J3217" t="str">
            <v>CLAUDIO JORGE</v>
          </cell>
          <cell r="K3217" t="str">
            <v>LACTALIS</v>
          </cell>
          <cell r="L3217" t="str">
            <v>RODRIGO</v>
          </cell>
          <cell r="M3217" t="str">
            <v>MARCO AURELIO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  <cell r="H3218" t="str">
            <v>DISTRIBUIÇÃO</v>
          </cell>
          <cell r="I3218" t="str">
            <v>FOOD SERVICE</v>
          </cell>
          <cell r="J3218" t="str">
            <v>CLAUDIO JORGE</v>
          </cell>
          <cell r="K3218" t="str">
            <v>LACTALIS</v>
          </cell>
          <cell r="L3218" t="str">
            <v>RODRIGO</v>
          </cell>
          <cell r="M3218" t="str">
            <v>MARCO AURELIO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  <cell r="H3219" t="str">
            <v>INGREDIENTS</v>
          </cell>
          <cell r="I3219" t="str">
            <v>INGREDIENTS</v>
          </cell>
          <cell r="J3219" t="str">
            <v>MARCELO RODRIGUES</v>
          </cell>
          <cell r="K3219" t="str">
            <v>LACTALIS</v>
          </cell>
          <cell r="L3219" t="str">
            <v>MAURICIO</v>
          </cell>
          <cell r="M3219" t="str">
            <v>MARCELO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  <cell r="H3220" t="str">
            <v>INGREDIENTS</v>
          </cell>
          <cell r="I3220" t="str">
            <v>INGREDIENTS</v>
          </cell>
          <cell r="J3220" t="str">
            <v>RJ ITB FS L T MARTINS</v>
          </cell>
          <cell r="K3220" t="str">
            <v>ITAMBÉ</v>
          </cell>
          <cell r="L3220" t="str">
            <v>MAURICIO</v>
          </cell>
          <cell r="M3220" t="str">
            <v>TATIANA NITTA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  <cell r="H3221" t="str">
            <v>DISTRIBUIÇÃO</v>
          </cell>
          <cell r="I3221" t="str">
            <v>FOOD SERVICE</v>
          </cell>
          <cell r="J3221" t="str">
            <v>GUILHERME NASCIMENTO</v>
          </cell>
          <cell r="K3221" t="str">
            <v>ITAMBÉ</v>
          </cell>
          <cell r="L3221" t="str">
            <v>RODRIGO</v>
          </cell>
          <cell r="M3221" t="str">
            <v>ALEXANDRO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  <cell r="H3222" t="str">
            <v>DISTRIBUIÇÃO</v>
          </cell>
          <cell r="I3222" t="str">
            <v>FOOD SERVICE</v>
          </cell>
          <cell r="J3222" t="str">
            <v>MARCELO SILVA</v>
          </cell>
          <cell r="K3222" t="str">
            <v>ITAMBÉ</v>
          </cell>
          <cell r="L3222" t="str">
            <v>RODRIGO</v>
          </cell>
          <cell r="M3222" t="str">
            <v>CELIO MARTINS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  <cell r="H3223" t="str">
            <v>QSR</v>
          </cell>
          <cell r="I3223" t="str">
            <v>FOOD SERVICE</v>
          </cell>
          <cell r="J3223" t="str">
            <v>VAGO QSR</v>
          </cell>
          <cell r="K3223" t="str">
            <v>ITAMBÉ</v>
          </cell>
          <cell r="L3223" t="str">
            <v>PEDRO</v>
          </cell>
          <cell r="M3223" t="str">
            <v>VAGO QSR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  <cell r="H3224" t="str">
            <v>DISTRIBUIÇÃO</v>
          </cell>
          <cell r="I3224" t="str">
            <v>FOOD SERVICE</v>
          </cell>
          <cell r="J3224" t="str">
            <v>FLAC 3</v>
          </cell>
          <cell r="K3224" t="str">
            <v>LACTALIS</v>
          </cell>
          <cell r="L3224" t="str">
            <v>RODRIGO</v>
          </cell>
          <cell r="M3224" t="str">
            <v>RAQUEL BARBOSA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  <cell r="H3225" t="str">
            <v>DISTRIBUIÇÃO</v>
          </cell>
          <cell r="I3225" t="str">
            <v>FOOD SERVICE</v>
          </cell>
          <cell r="J3225" t="str">
            <v>FLAC 3</v>
          </cell>
          <cell r="K3225" t="str">
            <v>LACTALIS</v>
          </cell>
          <cell r="L3225" t="str">
            <v>RODRIGO</v>
          </cell>
          <cell r="M3225" t="str">
            <v>RAQUEL BARBOSA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  <cell r="H3226" t="str">
            <v>INGREDIENTS</v>
          </cell>
          <cell r="I3226" t="str">
            <v>INGREDIENTS</v>
          </cell>
          <cell r="J3226" t="str">
            <v>RJ ITB FS CDR REPRESENTAÇÕES</v>
          </cell>
          <cell r="K3226" t="str">
            <v>ITAMBÉ</v>
          </cell>
          <cell r="L3226" t="str">
            <v>MAURICIO</v>
          </cell>
          <cell r="M3226" t="str">
            <v>TATIANA NITTA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  <cell r="H3227" t="str">
            <v>DISTRIBUIÇÃO</v>
          </cell>
          <cell r="I3227" t="str">
            <v>FOOD SERVICE</v>
          </cell>
          <cell r="J3227" t="str">
            <v>FLAC 2</v>
          </cell>
          <cell r="K3227" t="str">
            <v>LACTALIS</v>
          </cell>
          <cell r="L3227" t="str">
            <v>RODRIGO</v>
          </cell>
          <cell r="M3227" t="str">
            <v>RAQUEL BARBOSA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  <cell r="H3228" t="str">
            <v>QSR</v>
          </cell>
          <cell r="I3228" t="str">
            <v>FOOD SERVICE</v>
          </cell>
          <cell r="J3228" t="str">
            <v>VAGO QSR</v>
          </cell>
          <cell r="K3228" t="str">
            <v>ITAMBÉ</v>
          </cell>
          <cell r="L3228" t="str">
            <v>PEDRO</v>
          </cell>
          <cell r="M3228" t="str">
            <v>VAGO QSR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  <cell r="H3229" t="str">
            <v>QSR</v>
          </cell>
          <cell r="I3229" t="str">
            <v>FOOD SERVICE</v>
          </cell>
          <cell r="J3229" t="str">
            <v>VAGO QSR</v>
          </cell>
          <cell r="K3229" t="str">
            <v>ITAMBÉ</v>
          </cell>
          <cell r="L3229" t="str">
            <v>PEDRO</v>
          </cell>
          <cell r="M3229" t="str">
            <v>VAGO QSR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  <cell r="H3230" t="str">
            <v>DISTRIBUIÇÃO</v>
          </cell>
          <cell r="I3230" t="str">
            <v>FOOD SERVICE</v>
          </cell>
          <cell r="J3230" t="str">
            <v>FLAC 6</v>
          </cell>
          <cell r="K3230" t="str">
            <v>LACTALIS</v>
          </cell>
          <cell r="L3230" t="str">
            <v>RODRIGO</v>
          </cell>
          <cell r="M3230" t="str">
            <v>RAQUEL BARBOSA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  <cell r="H3231" t="str">
            <v>DISTRIBUIÇÃO</v>
          </cell>
          <cell r="I3231" t="str">
            <v>FOOD SERVICE</v>
          </cell>
          <cell r="J3231" t="str">
            <v>FLAC 6</v>
          </cell>
          <cell r="K3231" t="str">
            <v>LACTALIS</v>
          </cell>
          <cell r="L3231" t="str">
            <v>RODRIGO</v>
          </cell>
          <cell r="M3231" t="str">
            <v>RAQUEL BARBOSA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  <cell r="H3232" t="str">
            <v>QSR</v>
          </cell>
          <cell r="I3232" t="str">
            <v>FOOD SERVICE</v>
          </cell>
          <cell r="J3232" t="str">
            <v>NUTRI</v>
          </cell>
          <cell r="K3232" t="str">
            <v>LACTALIS</v>
          </cell>
          <cell r="L3232" t="str">
            <v>PEDRO</v>
          </cell>
          <cell r="M3232" t="str">
            <v>VAGO QSR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  <cell r="H3233" t="str">
            <v>INGREDIENTS</v>
          </cell>
          <cell r="I3233" t="str">
            <v>INGREDIENTS</v>
          </cell>
          <cell r="J3233" t="str">
            <v>PE ITB FS N.Z.REPRESENTANTES</v>
          </cell>
          <cell r="K3233" t="str">
            <v>ITAMBÉ</v>
          </cell>
          <cell r="L3233" t="str">
            <v>MAURICIO</v>
          </cell>
          <cell r="M3233" t="str">
            <v>JOEL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  <cell r="H3234" t="str">
            <v>INGREDIENTS</v>
          </cell>
          <cell r="I3234" t="str">
            <v>INGREDIENTS</v>
          </cell>
          <cell r="J3234" t="str">
            <v>PE ITB FS N.Z.REPRESENTANTES</v>
          </cell>
          <cell r="K3234" t="str">
            <v>ITAMBÉ</v>
          </cell>
          <cell r="L3234" t="str">
            <v>MAURICIO</v>
          </cell>
          <cell r="M3234" t="str">
            <v>JOEL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  <cell r="H3235" t="str">
            <v>INGREDIENTS</v>
          </cell>
          <cell r="I3235" t="str">
            <v>INGREDIENTS</v>
          </cell>
          <cell r="J3235" t="str">
            <v>RJ ITB FS CDR REPRESENTAÇÕES</v>
          </cell>
          <cell r="K3235" t="str">
            <v>ITAMBÉ</v>
          </cell>
          <cell r="L3235" t="str">
            <v>MAURICIO</v>
          </cell>
          <cell r="M3235" t="str">
            <v>TATIANA NITTA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  <cell r="H3236" t="str">
            <v>INGREDIENTS</v>
          </cell>
          <cell r="I3236" t="str">
            <v>INGREDIENTS</v>
          </cell>
          <cell r="J3236" t="str">
            <v>TATIANA NITTA</v>
          </cell>
          <cell r="K3236" t="str">
            <v>ITAMBÉ</v>
          </cell>
          <cell r="L3236" t="str">
            <v>MAURICIO</v>
          </cell>
          <cell r="M3236" t="str">
            <v>TATIANA NITTA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  <cell r="H3237" t="str">
            <v>INGREDIENTS</v>
          </cell>
          <cell r="I3237" t="str">
            <v>INGREDIENTS</v>
          </cell>
          <cell r="J3237" t="str">
            <v>HENRIQUE FERREIRA</v>
          </cell>
          <cell r="K3237" t="str">
            <v>ITAMBÉ</v>
          </cell>
          <cell r="L3237" t="str">
            <v>MAURICIO</v>
          </cell>
          <cell r="M3237" t="str">
            <v>JOEL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  <cell r="H3238" t="str">
            <v>DISTRIBUIÇÃO</v>
          </cell>
          <cell r="I3238" t="str">
            <v>FOOD SERVICE</v>
          </cell>
          <cell r="J3238" t="str">
            <v>FLAC 6</v>
          </cell>
          <cell r="K3238" t="str">
            <v>LACTALIS</v>
          </cell>
          <cell r="L3238" t="str">
            <v>RODRIGO</v>
          </cell>
          <cell r="M3238" t="str">
            <v>RAQUEL BARBOSA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  <cell r="H3239" t="str">
            <v>INGREDIENTS</v>
          </cell>
          <cell r="I3239" t="str">
            <v>INGREDIENTS</v>
          </cell>
          <cell r="J3239" t="str">
            <v>TATIANA NITTA</v>
          </cell>
          <cell r="K3239" t="str">
            <v>LACTALIS</v>
          </cell>
          <cell r="L3239" t="str">
            <v>MAURICIO</v>
          </cell>
          <cell r="M3239" t="str">
            <v>TATIANA NITTA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  <cell r="H3240" t="str">
            <v>DISTRIBUIÇÃO</v>
          </cell>
          <cell r="I3240" t="str">
            <v>FOOD SERVICE</v>
          </cell>
          <cell r="J3240" t="str">
            <v>MARCELO SILVA</v>
          </cell>
          <cell r="K3240" t="str">
            <v>ITAMBÉ</v>
          </cell>
          <cell r="L3240" t="str">
            <v>RODRIGO</v>
          </cell>
          <cell r="M3240" t="str">
            <v>CELIO MARTINS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  <cell r="H3241" t="str">
            <v>INGREDIENTS</v>
          </cell>
          <cell r="I3241" t="str">
            <v>INGREDIENTS</v>
          </cell>
          <cell r="J3241" t="str">
            <v>RJ ITB FS CDR REPRESENTAÇÕES</v>
          </cell>
          <cell r="K3241" t="str">
            <v>ITAMBÉ</v>
          </cell>
          <cell r="L3241" t="str">
            <v>MAURICIO</v>
          </cell>
          <cell r="M3241" t="str">
            <v>TATIANA NITTA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  <cell r="H3242" t="str">
            <v>DISTRIBUIÇÃO</v>
          </cell>
          <cell r="I3242" t="str">
            <v>FOOD SERVICE</v>
          </cell>
          <cell r="J3242" t="str">
            <v>FLAC 3</v>
          </cell>
          <cell r="K3242" t="str">
            <v>LACTALIS</v>
          </cell>
          <cell r="L3242" t="str">
            <v>RODRIGO</v>
          </cell>
          <cell r="M3242" t="str">
            <v>RAQUEL BARBOSA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  <cell r="H3243" t="str">
            <v>DISTRIBUIÇÃO</v>
          </cell>
          <cell r="I3243" t="str">
            <v>FOOD SERVICE</v>
          </cell>
          <cell r="J3243" t="str">
            <v>FLAC 2</v>
          </cell>
          <cell r="K3243" t="str">
            <v>LACTALIS</v>
          </cell>
          <cell r="L3243" t="str">
            <v>RODRIGO</v>
          </cell>
          <cell r="M3243" t="str">
            <v>RAQUEL BARBOSA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  <cell r="H3244" t="str">
            <v>DISTRIBUIÇÃO</v>
          </cell>
          <cell r="I3244" t="str">
            <v>FOOD SERVICE</v>
          </cell>
          <cell r="J3244" t="str">
            <v>CLAUDIO JORGE/LUIZ</v>
          </cell>
          <cell r="K3244" t="str">
            <v>ITAMBÉ</v>
          </cell>
          <cell r="L3244" t="str">
            <v>RODRIGO</v>
          </cell>
          <cell r="M3244" t="str">
            <v>MARIA LOURDES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  <cell r="H3245" t="str">
            <v>DISTRIBUIÇÃO</v>
          </cell>
          <cell r="I3245" t="str">
            <v>FOOD SERVICE</v>
          </cell>
          <cell r="J3245" t="str">
            <v>FLAC 3</v>
          </cell>
          <cell r="K3245" t="str">
            <v>LACTALIS</v>
          </cell>
          <cell r="L3245" t="str">
            <v>RODRIGO</v>
          </cell>
          <cell r="M3245" t="str">
            <v>RAQUEL BARBOSA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  <cell r="H3246" t="str">
            <v>DISTRIBUIÇÃO</v>
          </cell>
          <cell r="I3246" t="str">
            <v>FOOD SERVICE</v>
          </cell>
          <cell r="J3246" t="str">
            <v>SP ITB FS FLAC REP.E COMERCIO</v>
          </cell>
          <cell r="K3246" t="str">
            <v>ITAMBÉ</v>
          </cell>
          <cell r="L3246" t="str">
            <v>RODRIGO</v>
          </cell>
          <cell r="M3246" t="str">
            <v>RAQUEL BARBOSA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  <cell r="H3247" t="str">
            <v>DISTRIBUIÇÃO</v>
          </cell>
          <cell r="I3247" t="str">
            <v>FOOD SERVICE</v>
          </cell>
          <cell r="J3247" t="str">
            <v>FLAC 3</v>
          </cell>
          <cell r="K3247" t="str">
            <v>LACTALIS</v>
          </cell>
          <cell r="L3247" t="str">
            <v>RODRIGO</v>
          </cell>
          <cell r="M3247" t="str">
            <v>RAQUEL BARBOSA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  <cell r="H3248" t="str">
            <v>OUTROS</v>
          </cell>
          <cell r="I3248" t="str">
            <v>OUTROS</v>
          </cell>
          <cell r="J3248" t="str">
            <v>OUTROS</v>
          </cell>
          <cell r="K3248" t="str">
            <v>OUTROS</v>
          </cell>
          <cell r="L3248" t="str">
            <v>OUTROS</v>
          </cell>
          <cell r="M3248" t="str">
            <v>OUTROS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  <cell r="H3249" t="str">
            <v>DISTRIBUIÇÃO</v>
          </cell>
          <cell r="I3249" t="str">
            <v>FOOD SERVICE</v>
          </cell>
          <cell r="J3249" t="str">
            <v>FLAC 2</v>
          </cell>
          <cell r="K3249" t="str">
            <v>LACTALIS</v>
          </cell>
          <cell r="L3249" t="str">
            <v>RODRIGO</v>
          </cell>
          <cell r="M3249" t="str">
            <v>RAQUEL BARBOSA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  <cell r="H3250" t="str">
            <v>DISTRIBUIÇÃO</v>
          </cell>
          <cell r="I3250" t="str">
            <v>FOOD SERVICE</v>
          </cell>
          <cell r="J3250" t="str">
            <v>FLAC 3</v>
          </cell>
          <cell r="K3250" t="str">
            <v>LACTALIS</v>
          </cell>
          <cell r="L3250" t="str">
            <v>RODRIGO</v>
          </cell>
          <cell r="M3250" t="str">
            <v>RAQUEL BARBOSA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  <cell r="H3251" t="str">
            <v>INGREDIENTS</v>
          </cell>
          <cell r="I3251" t="str">
            <v>INGREDIENTS</v>
          </cell>
          <cell r="J3251" t="str">
            <v>JOEL ELEOTÉRIO</v>
          </cell>
          <cell r="K3251" t="str">
            <v>LACTALIS</v>
          </cell>
          <cell r="L3251" t="str">
            <v>MAURICIO</v>
          </cell>
          <cell r="M3251" t="str">
            <v>JOEL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  <cell r="H3252" t="str">
            <v>INGREDIENTS</v>
          </cell>
          <cell r="I3252" t="str">
            <v>INGREDIENTS</v>
          </cell>
          <cell r="J3252" t="str">
            <v>PR ITB FS DONIZETH REPRES</v>
          </cell>
          <cell r="K3252" t="str">
            <v>ITAMBÉ</v>
          </cell>
          <cell r="L3252" t="str">
            <v>MAURICIO</v>
          </cell>
          <cell r="M3252" t="str">
            <v>MARCELO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  <cell r="H3253" t="str">
            <v>INGREDIENTS</v>
          </cell>
          <cell r="I3253" t="str">
            <v>INGREDIENTS</v>
          </cell>
          <cell r="J3253" t="str">
            <v>JOEL ELEOTÉRIO</v>
          </cell>
          <cell r="K3253" t="str">
            <v>LACTALIS</v>
          </cell>
          <cell r="L3253" t="str">
            <v>MAURICIO</v>
          </cell>
          <cell r="M3253" t="str">
            <v>JOEL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  <cell r="H3254" t="str">
            <v>INGREDIENTS</v>
          </cell>
          <cell r="I3254" t="str">
            <v>INGREDIENTS</v>
          </cell>
          <cell r="J3254" t="str">
            <v>JOEL ELEOTÉRIO</v>
          </cell>
          <cell r="K3254" t="str">
            <v>LACTALIS</v>
          </cell>
          <cell r="L3254" t="str">
            <v>MAURICIO</v>
          </cell>
          <cell r="M3254" t="str">
            <v>JOEL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  <cell r="H3255" t="str">
            <v>INGREDIENTS</v>
          </cell>
          <cell r="I3255" t="str">
            <v>INGREDIENTS</v>
          </cell>
          <cell r="J3255" t="str">
            <v>JOEL ELEOTÉRIO</v>
          </cell>
          <cell r="K3255" t="str">
            <v>ITAMBÉ</v>
          </cell>
          <cell r="L3255" t="str">
            <v>MAURICIO</v>
          </cell>
          <cell r="M3255" t="str">
            <v>JOEL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  <cell r="H3256" t="str">
            <v>DISTRIBUIÇÃO</v>
          </cell>
          <cell r="I3256" t="str">
            <v>FOOD SERVICE</v>
          </cell>
          <cell r="J3256" t="str">
            <v>CLAUDIO JORGE/LUIZ</v>
          </cell>
          <cell r="K3256" t="str">
            <v>ITAMBÉ</v>
          </cell>
          <cell r="L3256" t="str">
            <v>RODRIGO</v>
          </cell>
          <cell r="M3256" t="str">
            <v>MARIA LOURDES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  <cell r="H3257" t="str">
            <v>DISTRIBUIÇÃO</v>
          </cell>
          <cell r="I3257" t="str">
            <v>FOOD SERVICE</v>
          </cell>
          <cell r="J3257" t="str">
            <v>FLAC 2</v>
          </cell>
          <cell r="K3257" t="str">
            <v>LACTALIS</v>
          </cell>
          <cell r="L3257" t="str">
            <v>RODRIGO</v>
          </cell>
          <cell r="M3257" t="str">
            <v>RAQUEL BARBOSA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  <cell r="H3258" t="str">
            <v>DISTRIBUIÇÃO</v>
          </cell>
          <cell r="I3258" t="str">
            <v>FOOD SERVICE</v>
          </cell>
          <cell r="J3258" t="str">
            <v>FLAC 2</v>
          </cell>
          <cell r="K3258" t="str">
            <v>LACTALIS</v>
          </cell>
          <cell r="L3258" t="str">
            <v>RODRIGO</v>
          </cell>
          <cell r="M3258" t="str">
            <v>RAQUEL BARBOSA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  <cell r="H3259" t="str">
            <v>DISTRIBUIÇÃO</v>
          </cell>
          <cell r="I3259" t="str">
            <v>FOOD SERVICE</v>
          </cell>
          <cell r="J3259" t="str">
            <v>WH FOOD SERVICE CE</v>
          </cell>
          <cell r="K3259" t="str">
            <v>ITAMBÉ</v>
          </cell>
          <cell r="L3259" t="str">
            <v>RODRIGO</v>
          </cell>
          <cell r="M3259" t="str">
            <v>MARIA LOURDES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  <cell r="H3260" t="str">
            <v>DISTRIBUIÇÃO</v>
          </cell>
          <cell r="I3260" t="str">
            <v>FOOD SERVICE</v>
          </cell>
          <cell r="J3260" t="str">
            <v>MARCELO DUARTE</v>
          </cell>
          <cell r="K3260" t="str">
            <v>LACTALIS</v>
          </cell>
          <cell r="L3260" t="str">
            <v>RODRIGO</v>
          </cell>
          <cell r="M3260" t="str">
            <v>JESSICA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  <cell r="H3261" t="str">
            <v>DISTRIBUIÇÃO</v>
          </cell>
          <cell r="I3261" t="str">
            <v>FOOD SERVICE</v>
          </cell>
          <cell r="J3261" t="str">
            <v>CLAUDIO JORGE/LUIZ</v>
          </cell>
          <cell r="K3261" t="str">
            <v>ITAMBÉ</v>
          </cell>
          <cell r="L3261" t="str">
            <v>RODRIGO</v>
          </cell>
          <cell r="M3261" t="str">
            <v>MARIA LOURDES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  <cell r="H3262" t="str">
            <v>DISTRIBUIÇÃO</v>
          </cell>
          <cell r="I3262" t="str">
            <v>FOOD SERVICE</v>
          </cell>
          <cell r="J3262" t="str">
            <v>FLAC 2</v>
          </cell>
          <cell r="K3262" t="str">
            <v>LACTALIS</v>
          </cell>
          <cell r="L3262" t="str">
            <v>RODRIGO</v>
          </cell>
          <cell r="M3262" t="str">
            <v>RAQUEL BARBOSA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  <cell r="H3263" t="str">
            <v>DISTRIBUIÇÃO</v>
          </cell>
          <cell r="I3263" t="str">
            <v>FOOD SERVICE</v>
          </cell>
          <cell r="J3263" t="str">
            <v>WH FOOD SERVICE CE</v>
          </cell>
          <cell r="K3263" t="str">
            <v>ITAMBÉ</v>
          </cell>
          <cell r="L3263" t="str">
            <v>RODRIGO</v>
          </cell>
          <cell r="M3263" t="str">
            <v>MARIA LOURDES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  <cell r="H3264" t="str">
            <v>DISTRIBUIÇÃO</v>
          </cell>
          <cell r="I3264" t="str">
            <v>FOOD SERVICE</v>
          </cell>
          <cell r="J3264" t="str">
            <v>WH FOOD SERVICE CE</v>
          </cell>
          <cell r="K3264" t="str">
            <v>ITAMBÉ</v>
          </cell>
          <cell r="L3264" t="str">
            <v>RODRIGO</v>
          </cell>
          <cell r="M3264" t="str">
            <v>MARIA LOURDES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  <cell r="H3265" t="str">
            <v>DISTRIBUIÇÃO</v>
          </cell>
          <cell r="I3265" t="str">
            <v>FOOD SERVICE</v>
          </cell>
          <cell r="J3265" t="str">
            <v>WH FOOD SERVICE CE</v>
          </cell>
          <cell r="K3265" t="str">
            <v>ITAMBÉ</v>
          </cell>
          <cell r="L3265" t="str">
            <v>RODRIGO</v>
          </cell>
          <cell r="M3265" t="str">
            <v>MARIA LOURDES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  <cell r="H3266" t="str">
            <v>DISTRIBUIÇÃO</v>
          </cell>
          <cell r="I3266" t="str">
            <v>FOOD SERVICE</v>
          </cell>
          <cell r="J3266" t="str">
            <v>FLAC 1</v>
          </cell>
          <cell r="K3266" t="str">
            <v>LACTALIS</v>
          </cell>
          <cell r="L3266" t="str">
            <v>RODRIGO</v>
          </cell>
          <cell r="M3266" t="str">
            <v>RAQUEL BARBOSA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  <cell r="H3267" t="str">
            <v>DISTRIBUIÇÃO</v>
          </cell>
          <cell r="I3267" t="str">
            <v>FOOD SERVICE</v>
          </cell>
          <cell r="J3267" t="str">
            <v>WH FOOD SERVICE CE</v>
          </cell>
          <cell r="K3267" t="str">
            <v>ITAMBÉ</v>
          </cell>
          <cell r="L3267" t="str">
            <v>RODRIGO</v>
          </cell>
          <cell r="M3267" t="str">
            <v>MARIA LOURDES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  <cell r="H3268" t="str">
            <v>QSR</v>
          </cell>
          <cell r="I3268" t="str">
            <v>FOOD SERVICE</v>
          </cell>
          <cell r="J3268" t="str">
            <v>VAGO QSR</v>
          </cell>
          <cell r="K3268" t="str">
            <v>LACTALIS</v>
          </cell>
          <cell r="L3268" t="str">
            <v>PEDRO</v>
          </cell>
          <cell r="M3268" t="str">
            <v>VAGO QSR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  <cell r="H3269" t="str">
            <v>DISTRIBUIÇÃO</v>
          </cell>
          <cell r="I3269" t="str">
            <v>FOOD SERVICE</v>
          </cell>
          <cell r="J3269" t="str">
            <v>SP ITB FS FLAC REP.E COMERCIO</v>
          </cell>
          <cell r="K3269" t="str">
            <v>ITAMBÉ</v>
          </cell>
          <cell r="L3269" t="str">
            <v>RODRIGO</v>
          </cell>
          <cell r="M3269" t="str">
            <v>RAQUEL BARBOSA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  <cell r="H3270" t="str">
            <v>INGREDIENTS</v>
          </cell>
          <cell r="I3270" t="str">
            <v>INGREDIENTS</v>
          </cell>
          <cell r="J3270" t="str">
            <v>SP ITB FS RVM SOLUTTI</v>
          </cell>
          <cell r="K3270" t="str">
            <v>ITAMBÉ</v>
          </cell>
          <cell r="L3270" t="str">
            <v>MAURICIO</v>
          </cell>
          <cell r="M3270" t="str">
            <v>TATIANA NITTA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  <cell r="H3271" t="str">
            <v>INGREDIENTS</v>
          </cell>
          <cell r="I3271" t="str">
            <v>INGREDIENTS</v>
          </cell>
          <cell r="J3271" t="str">
            <v>TATIANA NITTA</v>
          </cell>
          <cell r="K3271" t="str">
            <v>LACTALIS</v>
          </cell>
          <cell r="L3271" t="str">
            <v>MAURICIO</v>
          </cell>
          <cell r="M3271" t="str">
            <v>TATIANA NITTA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  <cell r="H3272" t="str">
            <v>INGREDIENTS</v>
          </cell>
          <cell r="I3272" t="str">
            <v>INGREDIENTS</v>
          </cell>
          <cell r="J3272" t="str">
            <v>JOEL ELEOTÉRIO</v>
          </cell>
          <cell r="K3272" t="str">
            <v>LACTALIS</v>
          </cell>
          <cell r="L3272" t="str">
            <v>MAURICIO</v>
          </cell>
          <cell r="M3272" t="str">
            <v>JOEL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  <cell r="H3273" t="str">
            <v>DISTRIBUIÇÃO</v>
          </cell>
          <cell r="I3273" t="str">
            <v>FOOD SERVICE</v>
          </cell>
          <cell r="J3273" t="str">
            <v>MARCELO SILVA</v>
          </cell>
          <cell r="K3273" t="str">
            <v>ITAMBÉ</v>
          </cell>
          <cell r="L3273" t="str">
            <v>RODRIGO</v>
          </cell>
          <cell r="M3273" t="str">
            <v>CELIO MARTINS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  <cell r="H3274" t="str">
            <v>DISTRIBUIÇÃO</v>
          </cell>
          <cell r="I3274" t="str">
            <v>FOOD SERVICE</v>
          </cell>
          <cell r="J3274" t="str">
            <v>FLAC 2</v>
          </cell>
          <cell r="K3274" t="str">
            <v>LACTALIS</v>
          </cell>
          <cell r="L3274" t="str">
            <v>RODRIGO</v>
          </cell>
          <cell r="M3274" t="str">
            <v>RAQUEL BARBOSA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  <cell r="H3275" t="str">
            <v>INGREDIENTS</v>
          </cell>
          <cell r="I3275" t="str">
            <v>INGREDIENTS</v>
          </cell>
          <cell r="J3275" t="str">
            <v>TATIANA NITTA</v>
          </cell>
          <cell r="K3275" t="str">
            <v>LACTALIS</v>
          </cell>
          <cell r="L3275" t="str">
            <v>MAURICIO</v>
          </cell>
          <cell r="M3275" t="str">
            <v>TATIANA NITTA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  <cell r="H3276" t="str">
            <v>INGREDIENTS</v>
          </cell>
          <cell r="I3276" t="str">
            <v>INGREDIENTS</v>
          </cell>
          <cell r="J3276" t="str">
            <v>MG ITB FS GRAFNÇA REPRES</v>
          </cell>
          <cell r="K3276" t="str">
            <v>ITAMBÉ</v>
          </cell>
          <cell r="L3276" t="str">
            <v>MAURICIO</v>
          </cell>
          <cell r="M3276" t="str">
            <v>TATIANA NITTA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  <cell r="H3277" t="str">
            <v>DISTRIBUIÇÃO</v>
          </cell>
          <cell r="I3277" t="str">
            <v>FOOD SERVICE</v>
          </cell>
          <cell r="J3277" t="str">
            <v>FLAC 4</v>
          </cell>
          <cell r="K3277" t="str">
            <v>LACTALIS</v>
          </cell>
          <cell r="L3277" t="str">
            <v>RODRIGO</v>
          </cell>
          <cell r="M3277" t="str">
            <v>RAQUEL BARBOSA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  <cell r="H3278" t="str">
            <v>DISTRIBUIÇÃO</v>
          </cell>
          <cell r="I3278" t="str">
            <v>FOOD SERVICE</v>
          </cell>
          <cell r="J3278" t="str">
            <v>FLAC 7</v>
          </cell>
          <cell r="K3278" t="str">
            <v>LACTALIS</v>
          </cell>
          <cell r="L3278" t="str">
            <v>RODRIGO</v>
          </cell>
          <cell r="M3278" t="str">
            <v>RAQUEL BARBOSA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  <cell r="H3279" t="str">
            <v>DISTRIBUIÇÃO</v>
          </cell>
          <cell r="I3279" t="str">
            <v>FOOD SERVICE</v>
          </cell>
          <cell r="J3279" t="str">
            <v>FLAC 4</v>
          </cell>
          <cell r="K3279" t="str">
            <v>LACTALIS</v>
          </cell>
          <cell r="L3279" t="str">
            <v>RODRIGO</v>
          </cell>
          <cell r="M3279" t="str">
            <v>RAQUEL BARBOSA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  <cell r="H3280" t="str">
            <v>DISTRIBUIÇÃO</v>
          </cell>
          <cell r="I3280" t="str">
            <v>FOOD SERVICE</v>
          </cell>
          <cell r="J3280" t="str">
            <v>FLAC 5</v>
          </cell>
          <cell r="K3280" t="str">
            <v>LACTALIS</v>
          </cell>
          <cell r="L3280" t="str">
            <v>RODRIGO</v>
          </cell>
          <cell r="M3280" t="str">
            <v>RAQUEL BARBOSA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  <cell r="H3281" t="str">
            <v>DISTRIBUIÇÃO</v>
          </cell>
          <cell r="I3281" t="str">
            <v>FOOD SERVICE</v>
          </cell>
          <cell r="J3281" t="str">
            <v>FLAC 4</v>
          </cell>
          <cell r="K3281" t="str">
            <v>LACTALIS</v>
          </cell>
          <cell r="L3281" t="str">
            <v>RODRIGO</v>
          </cell>
          <cell r="M3281" t="str">
            <v>RAQUEL BARBOSA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  <cell r="H3282" t="str">
            <v>DISTRIBUIÇÃO</v>
          </cell>
          <cell r="I3282" t="str">
            <v>FOOD SERVICE</v>
          </cell>
          <cell r="J3282" t="str">
            <v>FLAC 6</v>
          </cell>
          <cell r="K3282" t="str">
            <v>LACTALIS</v>
          </cell>
          <cell r="L3282" t="str">
            <v>RODRIGO</v>
          </cell>
          <cell r="M3282" t="str">
            <v>RAQUEL BARBOSA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  <cell r="H3283" t="str">
            <v>INGREDIENTS</v>
          </cell>
          <cell r="I3283" t="str">
            <v>INGREDIENTS</v>
          </cell>
          <cell r="J3283" t="str">
            <v>PI ITB FS F A FERREIRA REPRES</v>
          </cell>
          <cell r="K3283" t="str">
            <v>ITAMBÉ</v>
          </cell>
          <cell r="L3283" t="str">
            <v>MAURICIO</v>
          </cell>
          <cell r="M3283" t="str">
            <v>JOEL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  <cell r="H3284" t="str">
            <v>INGREDIENTS</v>
          </cell>
          <cell r="I3284" t="str">
            <v>INGREDIENTS</v>
          </cell>
          <cell r="J3284" t="str">
            <v>MARCELO RODRIGUES</v>
          </cell>
          <cell r="K3284" t="str">
            <v>LACTALIS</v>
          </cell>
          <cell r="L3284" t="str">
            <v>MAURICIO</v>
          </cell>
          <cell r="M3284" t="str">
            <v>MARCELO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  <cell r="H3285" t="str">
            <v>DISTRIBUIÇÃO</v>
          </cell>
          <cell r="I3285" t="str">
            <v>FOOD SERVICE</v>
          </cell>
          <cell r="J3285" t="str">
            <v>FLAC 3</v>
          </cell>
          <cell r="K3285" t="str">
            <v>LACTALIS</v>
          </cell>
          <cell r="L3285" t="str">
            <v>RODRIGO</v>
          </cell>
          <cell r="M3285" t="str">
            <v>RAQUEL BARBOSA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  <cell r="H3286" t="str">
            <v>INGREDIENTS</v>
          </cell>
          <cell r="I3286" t="str">
            <v>INGREDIENTS</v>
          </cell>
          <cell r="J3286" t="str">
            <v>HENRIQUE FERREIRA</v>
          </cell>
          <cell r="K3286" t="str">
            <v>ITAMBÉ</v>
          </cell>
          <cell r="L3286" t="str">
            <v>MAURICIO</v>
          </cell>
          <cell r="M3286" t="str">
            <v>JOEL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  <cell r="H3287" t="str">
            <v>INGREDIENTS</v>
          </cell>
          <cell r="I3287" t="str">
            <v>INGREDIENTS</v>
          </cell>
          <cell r="J3287" t="str">
            <v>PE ITB FS L B REP</v>
          </cell>
          <cell r="K3287" t="str">
            <v>ITAMBÉ</v>
          </cell>
          <cell r="L3287" t="str">
            <v>MAURICIO</v>
          </cell>
          <cell r="M3287" t="str">
            <v>JOEL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  <cell r="H3288" t="str">
            <v>DISTRIBUIÇÃO</v>
          </cell>
          <cell r="I3288" t="str">
            <v>FOOD SERVICE</v>
          </cell>
          <cell r="J3288" t="str">
            <v>FLAC 3</v>
          </cell>
          <cell r="K3288" t="str">
            <v>LACTALIS</v>
          </cell>
          <cell r="L3288" t="str">
            <v>RODRIGO</v>
          </cell>
          <cell r="M3288" t="str">
            <v>RAQUEL BARBOSA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  <cell r="H3289" t="str">
            <v>DISTRIBUIÇÃO</v>
          </cell>
          <cell r="I3289" t="str">
            <v>FOOD SERVICE</v>
          </cell>
          <cell r="J3289" t="str">
            <v>WH FOOD SERVICE CE</v>
          </cell>
          <cell r="K3289" t="str">
            <v>ITAMBÉ</v>
          </cell>
          <cell r="L3289" t="str">
            <v>RODRIGO</v>
          </cell>
          <cell r="M3289" t="str">
            <v>MARIA LOURDES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  <cell r="H3290" t="str">
            <v>QSR</v>
          </cell>
          <cell r="I3290" t="str">
            <v>FOOD SERVICE</v>
          </cell>
          <cell r="J3290" t="str">
            <v>VAGO QSR</v>
          </cell>
          <cell r="K3290" t="str">
            <v>ITAMBÉ</v>
          </cell>
          <cell r="L3290" t="str">
            <v>PEDRO</v>
          </cell>
          <cell r="M3290" t="str">
            <v>VAGO QSR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  <cell r="H3291" t="str">
            <v>QSR</v>
          </cell>
          <cell r="I3291" t="str">
            <v>FOOD SERVICE</v>
          </cell>
          <cell r="J3291" t="str">
            <v>NUTRI</v>
          </cell>
          <cell r="K3291" t="str">
            <v>LACTALIS</v>
          </cell>
          <cell r="L3291" t="str">
            <v>PEDRO</v>
          </cell>
          <cell r="M3291" t="str">
            <v>VAGO QSR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  <cell r="H3292" t="str">
            <v>DISTRIBUIÇÃO</v>
          </cell>
          <cell r="I3292" t="str">
            <v>FOOD SERVICE</v>
          </cell>
          <cell r="J3292" t="str">
            <v>JULIANA CORDEIRO</v>
          </cell>
          <cell r="K3292" t="str">
            <v>ITAMBÉ</v>
          </cell>
          <cell r="L3292" t="str">
            <v>RODRIGO</v>
          </cell>
          <cell r="M3292" t="str">
            <v>JESSICA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  <cell r="H3293" t="str">
            <v>INGREDIENTS</v>
          </cell>
          <cell r="I3293" t="str">
            <v>INGREDIENTS</v>
          </cell>
          <cell r="J3293" t="str">
            <v>RN ITB FS W S REPRESENTAÇÕES</v>
          </cell>
          <cell r="K3293" t="str">
            <v>ITAMBÉ</v>
          </cell>
          <cell r="L3293" t="str">
            <v>MAURICIO</v>
          </cell>
          <cell r="M3293" t="str">
            <v>JOEL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  <cell r="H3294" t="str">
            <v>DISTRIBUIÇÃO</v>
          </cell>
          <cell r="I3294" t="str">
            <v>FOOD SERVICE</v>
          </cell>
          <cell r="J3294" t="str">
            <v>FLAC 4</v>
          </cell>
          <cell r="K3294" t="str">
            <v>LACTALIS</v>
          </cell>
          <cell r="L3294" t="str">
            <v>RODRIGO</v>
          </cell>
          <cell r="M3294" t="str">
            <v>RAQUEL BARBOSA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  <cell r="H3295" t="str">
            <v>INGREDIENTS</v>
          </cell>
          <cell r="I3295" t="str">
            <v>INGREDIENTS</v>
          </cell>
          <cell r="J3295" t="str">
            <v>TATIANA NITTA</v>
          </cell>
          <cell r="K3295" t="str">
            <v>LACTALIS</v>
          </cell>
          <cell r="L3295" t="str">
            <v>MAURICIO</v>
          </cell>
          <cell r="M3295" t="str">
            <v>TATIANA NITTA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  <cell r="H3296" t="str">
            <v>INGREDIENTS</v>
          </cell>
          <cell r="I3296" t="str">
            <v>INGREDIENTS</v>
          </cell>
          <cell r="J3296" t="str">
            <v>TATIANA NITTA</v>
          </cell>
          <cell r="K3296" t="str">
            <v>LACTALIS</v>
          </cell>
          <cell r="L3296" t="str">
            <v>MAURICIO</v>
          </cell>
          <cell r="M3296" t="str">
            <v>TATIANA NITTA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  <cell r="H3297" t="str">
            <v>INGREDIENTS</v>
          </cell>
          <cell r="I3297" t="str">
            <v>INGREDIENTS</v>
          </cell>
          <cell r="J3297" t="str">
            <v>HENRIQUE FERREIRA</v>
          </cell>
          <cell r="K3297" t="str">
            <v>LACTALIS</v>
          </cell>
          <cell r="L3297" t="str">
            <v>MAURICIO</v>
          </cell>
          <cell r="M3297" t="str">
            <v>JOEL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  <cell r="H3298" t="str">
            <v>QSR</v>
          </cell>
          <cell r="I3298" t="str">
            <v>FOOD SERVICE</v>
          </cell>
          <cell r="J3298" t="str">
            <v>ANA MENIQUETE</v>
          </cell>
          <cell r="K3298" t="str">
            <v>LACTALIS</v>
          </cell>
          <cell r="L3298" t="str">
            <v>PEDRO</v>
          </cell>
          <cell r="M3298" t="str">
            <v>ANA MENIQUETE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  <cell r="H3299" t="str">
            <v>DISTRIBUIÇÃO</v>
          </cell>
          <cell r="I3299" t="str">
            <v>FOOD SERVICE</v>
          </cell>
          <cell r="J3299" t="str">
            <v>FLAC 6</v>
          </cell>
          <cell r="K3299" t="str">
            <v>LACTALIS</v>
          </cell>
          <cell r="L3299" t="str">
            <v>RODRIGO</v>
          </cell>
          <cell r="M3299" t="str">
            <v>RAQUEL BARBOSA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  <cell r="H3300" t="str">
            <v>DISTRIBUIÇÃO</v>
          </cell>
          <cell r="I3300" t="str">
            <v>FOOD SERVICE</v>
          </cell>
          <cell r="J3300" t="str">
            <v>CLAUDIO JORGE/LUIZ</v>
          </cell>
          <cell r="K3300" t="str">
            <v>ITAMBÉ</v>
          </cell>
          <cell r="L3300" t="str">
            <v>RODRIGO</v>
          </cell>
          <cell r="M3300" t="str">
            <v>MARIA LOURDES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  <cell r="H3301" t="str">
            <v>INGREDIENTS</v>
          </cell>
          <cell r="I3301" t="str">
            <v>INGREDIENTS</v>
          </cell>
          <cell r="J3301" t="str">
            <v>MARCELO RODRIGUES</v>
          </cell>
          <cell r="K3301" t="str">
            <v>LACTALIS</v>
          </cell>
          <cell r="L3301" t="str">
            <v>MAURICIO</v>
          </cell>
          <cell r="M3301" t="str">
            <v>MARCELO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  <cell r="H3302" t="str">
            <v>INGREDIENTS</v>
          </cell>
          <cell r="I3302" t="str">
            <v>INGREDIENTS</v>
          </cell>
          <cell r="J3302" t="str">
            <v>PB ITB FS W S REP</v>
          </cell>
          <cell r="K3302" t="str">
            <v>ITAMBÉ</v>
          </cell>
          <cell r="L3302" t="str">
            <v>MAURICIO</v>
          </cell>
          <cell r="M3302" t="str">
            <v>JOEL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  <cell r="H3303" t="str">
            <v>DISTRIBUIÇÃO</v>
          </cell>
          <cell r="I3303" t="str">
            <v>FOOD SERVICE</v>
          </cell>
          <cell r="J3303" t="str">
            <v>FLAC 4</v>
          </cell>
          <cell r="K3303" t="str">
            <v>LACTALIS</v>
          </cell>
          <cell r="L3303" t="str">
            <v>RODRIGO</v>
          </cell>
          <cell r="M3303" t="str">
            <v>RAQUEL BARBOSA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  <cell r="H3304" t="str">
            <v>DISTRIBUIÇÃO</v>
          </cell>
          <cell r="I3304" t="str">
            <v>FOOD SERVICE</v>
          </cell>
          <cell r="J3304" t="str">
            <v>FLAC 7</v>
          </cell>
          <cell r="K3304" t="str">
            <v>LACTALIS</v>
          </cell>
          <cell r="L3304" t="str">
            <v>RODRIGO</v>
          </cell>
          <cell r="M3304" t="str">
            <v>RAQUEL BARBOSA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  <cell r="H3305" t="str">
            <v>DISTRIBUIÇÃO</v>
          </cell>
          <cell r="I3305" t="str">
            <v>FOOD SERVICE</v>
          </cell>
          <cell r="J3305" t="str">
            <v>FLAC 10</v>
          </cell>
          <cell r="K3305" t="str">
            <v>LACTALIS</v>
          </cell>
          <cell r="L3305" t="str">
            <v>RODRIGO</v>
          </cell>
          <cell r="M3305" t="str">
            <v>RAQUEL BARBOSA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  <cell r="H3306" t="str">
            <v>DISTRIBUIÇÃO</v>
          </cell>
          <cell r="I3306" t="str">
            <v>FOOD SERVICE</v>
          </cell>
          <cell r="J3306" t="str">
            <v>FLAC 7</v>
          </cell>
          <cell r="K3306" t="str">
            <v>LACTALIS</v>
          </cell>
          <cell r="L3306" t="str">
            <v>RODRIGO</v>
          </cell>
          <cell r="M3306" t="str">
            <v>RAQUEL BARBOSA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  <cell r="H3307" t="str">
            <v>DISTRIBUIÇÃO</v>
          </cell>
          <cell r="I3307" t="str">
            <v>FOOD SERVICE</v>
          </cell>
          <cell r="J3307" t="str">
            <v>LUCIANA MARTINS</v>
          </cell>
          <cell r="K3307" t="str">
            <v>ITAMBÉ</v>
          </cell>
          <cell r="L3307" t="str">
            <v>RODRIGO</v>
          </cell>
          <cell r="M3307" t="str">
            <v>JESSICA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  <cell r="H3308" t="str">
            <v>INGREDIENTS</v>
          </cell>
          <cell r="I3308" t="str">
            <v>INGREDIENTS</v>
          </cell>
          <cell r="J3308" t="str">
            <v>RJ ITB FS L T MARTINS</v>
          </cell>
          <cell r="K3308" t="str">
            <v>ITAMBÉ</v>
          </cell>
          <cell r="L3308" t="str">
            <v>MAURICIO</v>
          </cell>
          <cell r="M3308" t="str">
            <v>TATIANA NITTA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  <cell r="H3309" t="str">
            <v>QSR</v>
          </cell>
          <cell r="I3309" t="str">
            <v>FOOD SERVICE</v>
          </cell>
          <cell r="J3309" t="str">
            <v>NUTRI</v>
          </cell>
          <cell r="K3309" t="str">
            <v>LACTALIS</v>
          </cell>
          <cell r="L3309" t="str">
            <v>PEDRO</v>
          </cell>
          <cell r="M3309" t="str">
            <v>VAGO QSR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  <cell r="H3310" t="str">
            <v>QSR</v>
          </cell>
          <cell r="I3310" t="str">
            <v>FOOD SERVICE</v>
          </cell>
          <cell r="J3310" t="str">
            <v>ANA MENIQUETE</v>
          </cell>
          <cell r="K3310" t="str">
            <v>LACTALIS</v>
          </cell>
          <cell r="L3310" t="str">
            <v>PEDRO</v>
          </cell>
          <cell r="M3310" t="str">
            <v>ANA MENIQUETE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  <cell r="H3311" t="str">
            <v>QSR</v>
          </cell>
          <cell r="I3311" t="str">
            <v>FOOD SERVICE</v>
          </cell>
          <cell r="J3311" t="str">
            <v>NUTRI</v>
          </cell>
          <cell r="K3311" t="str">
            <v>LACTALIS</v>
          </cell>
          <cell r="L3311" t="str">
            <v>PEDRO</v>
          </cell>
          <cell r="M3311" t="str">
            <v>VAGO QSR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  <cell r="H3312" t="str">
            <v>QSR</v>
          </cell>
          <cell r="I3312" t="str">
            <v>FOOD SERVICE</v>
          </cell>
          <cell r="J3312" t="str">
            <v>NUTRI</v>
          </cell>
          <cell r="K3312" t="str">
            <v>LACTALIS</v>
          </cell>
          <cell r="L3312" t="str">
            <v>PEDRO</v>
          </cell>
          <cell r="M3312" t="str">
            <v>VAGO QSR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  <cell r="H3313" t="str">
            <v>QSR</v>
          </cell>
          <cell r="I3313" t="str">
            <v>FOOD SERVICE</v>
          </cell>
          <cell r="J3313" t="str">
            <v>NUTRI</v>
          </cell>
          <cell r="K3313" t="str">
            <v>ITAMBÉ</v>
          </cell>
          <cell r="L3313" t="str">
            <v>PEDRO</v>
          </cell>
          <cell r="M3313" t="str">
            <v>VAGO QSR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  <cell r="H3314" t="str">
            <v>QSR</v>
          </cell>
          <cell r="I3314" t="str">
            <v>FOOD SERVICE</v>
          </cell>
          <cell r="J3314" t="str">
            <v>NUTRI</v>
          </cell>
          <cell r="K3314" t="str">
            <v>ITAMBÉ</v>
          </cell>
          <cell r="L3314" t="str">
            <v>PEDRO</v>
          </cell>
          <cell r="M3314" t="str">
            <v>VAGO QSR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  <cell r="H3315" t="str">
            <v>DISTRIBUIÇÃO</v>
          </cell>
          <cell r="I3315" t="str">
            <v>FOOD SERVICE</v>
          </cell>
          <cell r="J3315" t="str">
            <v>FLAC 6</v>
          </cell>
          <cell r="K3315" t="str">
            <v>LACTALIS</v>
          </cell>
          <cell r="L3315" t="str">
            <v>RODRIGO</v>
          </cell>
          <cell r="M3315" t="str">
            <v>RAQUEL BARBOSA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  <cell r="H3316" t="str">
            <v>DISTRIBUIÇÃO</v>
          </cell>
          <cell r="I3316" t="str">
            <v>FOOD SERVICE</v>
          </cell>
          <cell r="J3316" t="str">
            <v>CE ITB FS SOUZA FELIX REP</v>
          </cell>
          <cell r="K3316" t="str">
            <v>ITAMBÉ</v>
          </cell>
          <cell r="L3316" t="str">
            <v>RODRIGO</v>
          </cell>
          <cell r="M3316" t="str">
            <v>MARIA LOURDES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  <cell r="H3317" t="str">
            <v>QSR</v>
          </cell>
          <cell r="I3317" t="str">
            <v>FOOD SERVICE</v>
          </cell>
          <cell r="J3317" t="str">
            <v>ANA MENIQUETE</v>
          </cell>
          <cell r="K3317" t="str">
            <v>LACTALIS</v>
          </cell>
          <cell r="L3317" t="str">
            <v>PEDRO</v>
          </cell>
          <cell r="M3317" t="str">
            <v>ANA MENIQUETE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  <cell r="H3318" t="str">
            <v>QSR</v>
          </cell>
          <cell r="I3318" t="str">
            <v>FOOD SERVICE</v>
          </cell>
          <cell r="J3318" t="str">
            <v>NUTRI</v>
          </cell>
          <cell r="K3318" t="str">
            <v>ITAMBÉ</v>
          </cell>
          <cell r="L3318" t="str">
            <v>PEDRO</v>
          </cell>
          <cell r="M3318" t="str">
            <v>VAGO QSR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  <cell r="H3319" t="str">
            <v>QSR</v>
          </cell>
          <cell r="I3319" t="str">
            <v>FOOD SERVICE</v>
          </cell>
          <cell r="J3319" t="str">
            <v>NUTRI</v>
          </cell>
          <cell r="K3319" t="str">
            <v>LACTALIS</v>
          </cell>
          <cell r="L3319" t="str">
            <v>PEDRO</v>
          </cell>
          <cell r="M3319" t="str">
            <v>VAGO QSR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  <cell r="H3320" t="str">
            <v>QSR</v>
          </cell>
          <cell r="I3320" t="str">
            <v>FOOD SERVICE</v>
          </cell>
          <cell r="J3320" t="str">
            <v>NUTRI</v>
          </cell>
          <cell r="K3320" t="str">
            <v>LACTALIS</v>
          </cell>
          <cell r="L3320" t="str">
            <v>PEDRO</v>
          </cell>
          <cell r="M3320" t="str">
            <v>VAGO QSR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  <cell r="H3321" t="str">
            <v>DISTRIBUIÇÃO</v>
          </cell>
          <cell r="I3321" t="str">
            <v>FOOD SERVICE</v>
          </cell>
          <cell r="J3321" t="str">
            <v>MARCELO DUARTE</v>
          </cell>
          <cell r="K3321" t="str">
            <v>ITAMBÉ</v>
          </cell>
          <cell r="L3321" t="str">
            <v>RODRIGO</v>
          </cell>
          <cell r="M3321" t="str">
            <v>JESSICA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  <cell r="H3322" t="str">
            <v>DISTRIBUIÇÃO</v>
          </cell>
          <cell r="I3322" t="str">
            <v>FOOD SERVICE</v>
          </cell>
          <cell r="J3322" t="str">
            <v>MARCELO DUARTE</v>
          </cell>
          <cell r="K3322" t="str">
            <v>LACTALIS</v>
          </cell>
          <cell r="L3322" t="str">
            <v>RODRIGO</v>
          </cell>
          <cell r="M3322" t="str">
            <v>JESSICA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  <cell r="H3323" t="str">
            <v>DISTRIBUIÇÃO</v>
          </cell>
          <cell r="I3323" t="str">
            <v>FOOD SERVICE</v>
          </cell>
          <cell r="J3323" t="str">
            <v>WH FOOD SERVICE CE</v>
          </cell>
          <cell r="K3323" t="str">
            <v>ITAMBÉ</v>
          </cell>
          <cell r="L3323" t="str">
            <v>RODRIGO</v>
          </cell>
          <cell r="M3323" t="str">
            <v>MARIA LOURDES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  <cell r="H3324" t="str">
            <v>QSR</v>
          </cell>
          <cell r="I3324" t="str">
            <v>FOOD SERVICE</v>
          </cell>
          <cell r="J3324" t="str">
            <v>ANA MENIQUETE</v>
          </cell>
          <cell r="K3324" t="str">
            <v>LACTALIS</v>
          </cell>
          <cell r="L3324" t="str">
            <v>PEDRO</v>
          </cell>
          <cell r="M3324" t="str">
            <v>ANA MENIQUETE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  <cell r="H3325" t="str">
            <v>DISTRIBUIÇÃO</v>
          </cell>
          <cell r="I3325" t="str">
            <v>FOOD SERVICE</v>
          </cell>
          <cell r="J3325" t="str">
            <v>LUCIANA MARTINS</v>
          </cell>
          <cell r="K3325" t="str">
            <v>ITAMBÉ</v>
          </cell>
          <cell r="L3325" t="str">
            <v>RODRIGO</v>
          </cell>
          <cell r="M3325" t="str">
            <v>JESSICA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  <cell r="H3326" t="str">
            <v>DISTRIBUIÇÃO</v>
          </cell>
          <cell r="I3326" t="str">
            <v>FOOD SERVICE</v>
          </cell>
          <cell r="J3326" t="str">
            <v>FLAC 5</v>
          </cell>
          <cell r="K3326" t="str">
            <v>LACTALIS</v>
          </cell>
          <cell r="L3326" t="str">
            <v>RODRIGO</v>
          </cell>
          <cell r="M3326" t="str">
            <v>RAQUEL BARBOSA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  <cell r="H3327" t="str">
            <v>DISTRIBUIÇÃO</v>
          </cell>
          <cell r="I3327" t="str">
            <v>FOOD SERVICE</v>
          </cell>
          <cell r="J3327" t="str">
            <v>FLAC 6</v>
          </cell>
          <cell r="K3327" t="str">
            <v>LACTALIS</v>
          </cell>
          <cell r="L3327" t="str">
            <v>RODRIGO</v>
          </cell>
          <cell r="M3327" t="str">
            <v>RAQUEL BARBOSA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  <cell r="H3328" t="str">
            <v>DISTRIBUIÇÃO</v>
          </cell>
          <cell r="I3328" t="str">
            <v>FOOD SERVICE</v>
          </cell>
          <cell r="J3328" t="str">
            <v>FLAC 4</v>
          </cell>
          <cell r="K3328" t="str">
            <v>LACTALIS</v>
          </cell>
          <cell r="L3328" t="str">
            <v>RODRIGO</v>
          </cell>
          <cell r="M3328" t="str">
            <v>RAQUEL BARBOSA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  <cell r="H3329" t="str">
            <v>DISTRIBUIÇÃO</v>
          </cell>
          <cell r="I3329" t="str">
            <v>FOOD SERVICE</v>
          </cell>
          <cell r="J3329" t="str">
            <v>JULIANA CORDEIRO</v>
          </cell>
          <cell r="K3329" t="str">
            <v>ITAMBÉ</v>
          </cell>
          <cell r="L3329" t="str">
            <v>RODRIGO</v>
          </cell>
          <cell r="M3329" t="str">
            <v>JESSICA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  <cell r="H3330" t="str">
            <v>DISTRIBUIÇÃO</v>
          </cell>
          <cell r="I3330" t="str">
            <v>FOOD SERVICE</v>
          </cell>
          <cell r="J3330" t="str">
            <v>FLAC 6</v>
          </cell>
          <cell r="K3330" t="str">
            <v>LACTALIS</v>
          </cell>
          <cell r="L3330" t="str">
            <v>RODRIGO</v>
          </cell>
          <cell r="M3330" t="str">
            <v>RAQUEL BARBOSA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  <cell r="H3331" t="str">
            <v>DISTRIBUIÇÃO</v>
          </cell>
          <cell r="I3331" t="str">
            <v>FOOD SERVICE</v>
          </cell>
          <cell r="J3331" t="str">
            <v>FLAC 2</v>
          </cell>
          <cell r="K3331" t="str">
            <v>ITAMBÉ</v>
          </cell>
          <cell r="L3331" t="str">
            <v>RODRIGO</v>
          </cell>
          <cell r="M3331" t="str">
            <v>RAQUEL BARBOSA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  <cell r="H3332" t="str">
            <v>OUTROS</v>
          </cell>
          <cell r="I3332" t="str">
            <v>OUTROS</v>
          </cell>
          <cell r="J3332" t="str">
            <v>OUTROS</v>
          </cell>
          <cell r="K3332" t="str">
            <v>OUTROS</v>
          </cell>
          <cell r="L3332" t="str">
            <v>OUTROS</v>
          </cell>
          <cell r="M3332" t="str">
            <v>OUTROS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  <cell r="H3333" t="str">
            <v>DISTRIBUIÇÃO</v>
          </cell>
          <cell r="I3333" t="str">
            <v>FOOD SERVICE</v>
          </cell>
          <cell r="J3333" t="str">
            <v>FLAC 6</v>
          </cell>
          <cell r="K3333" t="str">
            <v>LACTALIS</v>
          </cell>
          <cell r="L3333" t="str">
            <v>RODRIGO</v>
          </cell>
          <cell r="M3333" t="str">
            <v>RAQUEL BARBOSA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  <cell r="H3334" t="str">
            <v>DISTRIBUIÇÃO</v>
          </cell>
          <cell r="I3334" t="str">
            <v>FOOD SERVICE</v>
          </cell>
          <cell r="J3334" t="str">
            <v>GUILHERME NASCIMENTO</v>
          </cell>
          <cell r="K3334" t="str">
            <v>LACTALIS</v>
          </cell>
          <cell r="L3334" t="str">
            <v>RODRIGO</v>
          </cell>
          <cell r="M3334" t="str">
            <v>ALEXANDRO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  <cell r="H3335" t="str">
            <v>DISTRIBUIÇÃO</v>
          </cell>
          <cell r="I3335" t="str">
            <v>FOOD SERVICE</v>
          </cell>
          <cell r="J3335" t="str">
            <v>CLAUDIO JORGE</v>
          </cell>
          <cell r="K3335" t="str">
            <v>LACTALIS</v>
          </cell>
          <cell r="L3335" t="str">
            <v>RODRIGO</v>
          </cell>
          <cell r="M3335" t="str">
            <v>MARCO AURELIO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  <cell r="H3336" t="str">
            <v>QSR</v>
          </cell>
          <cell r="I3336" t="str">
            <v>FOOD SERVICE</v>
          </cell>
          <cell r="J3336" t="str">
            <v>ANA MENIQUETE</v>
          </cell>
          <cell r="K3336" t="str">
            <v>LACTALIS</v>
          </cell>
          <cell r="L3336" t="str">
            <v>PEDRO</v>
          </cell>
          <cell r="M3336" t="str">
            <v>ANA MENIQUETE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  <cell r="H3337" t="str">
            <v>DISTRIBUIÇÃO</v>
          </cell>
          <cell r="I3337" t="str">
            <v>FOOD SERVICE</v>
          </cell>
          <cell r="J3337" t="str">
            <v>FLAC 10</v>
          </cell>
          <cell r="K3337" t="str">
            <v>LACTALIS</v>
          </cell>
          <cell r="L3337" t="str">
            <v>RODRIGO</v>
          </cell>
          <cell r="M3337" t="str">
            <v>RAQUEL BARBOSA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  <cell r="H3338" t="str">
            <v>MC DONALDS</v>
          </cell>
          <cell r="I3338" t="str">
            <v>MC DONALDS</v>
          </cell>
          <cell r="J3338" t="str">
            <v>MAURICIO GALLI</v>
          </cell>
          <cell r="K3338" t="str">
            <v>LACTALIS</v>
          </cell>
          <cell r="L3338" t="str">
            <v>MAURICIO</v>
          </cell>
          <cell r="M3338" t="str">
            <v>MAURICIO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  <cell r="H3339" t="str">
            <v>DISTRIBUIÇÃO</v>
          </cell>
          <cell r="I3339" t="str">
            <v>FOOD SERVICE</v>
          </cell>
          <cell r="J3339" t="str">
            <v>FLAC 6</v>
          </cell>
          <cell r="K3339" t="str">
            <v>LACTALIS</v>
          </cell>
          <cell r="L3339" t="str">
            <v>RODRIGO</v>
          </cell>
          <cell r="M3339" t="str">
            <v>RAQUEL BARBOSA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  <cell r="H3340" t="str">
            <v>DISTRIBUIÇÃO</v>
          </cell>
          <cell r="I3340" t="str">
            <v>FOOD SERVICE</v>
          </cell>
          <cell r="J3340" t="str">
            <v>FLAC 2</v>
          </cell>
          <cell r="K3340" t="str">
            <v>LACTALIS</v>
          </cell>
          <cell r="L3340" t="str">
            <v>RODRIGO</v>
          </cell>
          <cell r="M3340" t="str">
            <v>RAQUEL BARBOSA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  <cell r="H3341" t="str">
            <v>DISTRIBUIÇÃO</v>
          </cell>
          <cell r="I3341" t="str">
            <v>FOOD SERVICE</v>
          </cell>
          <cell r="J3341" t="str">
            <v>CLAUDIO JORGE</v>
          </cell>
          <cell r="K3341" t="str">
            <v>LACTALIS</v>
          </cell>
          <cell r="L3341" t="str">
            <v>RODRIGO</v>
          </cell>
          <cell r="M3341" t="str">
            <v>MARCO AURELIO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  <cell r="H3342" t="str">
            <v>DISTRIBUIÇÃO</v>
          </cell>
          <cell r="I3342" t="str">
            <v>FOOD SERVICE</v>
          </cell>
          <cell r="J3342" t="str">
            <v>FLAC 4</v>
          </cell>
          <cell r="K3342" t="str">
            <v>LACTALIS</v>
          </cell>
          <cell r="L3342" t="str">
            <v>RODRIGO</v>
          </cell>
          <cell r="M3342" t="str">
            <v>RAQUEL BARBOSA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  <cell r="H3343" t="str">
            <v>DISTRIBUIÇÃO</v>
          </cell>
          <cell r="I3343" t="str">
            <v>FOOD SERVICE</v>
          </cell>
          <cell r="J3343" t="str">
            <v>GUILHERME NASCIMENTO</v>
          </cell>
          <cell r="K3343" t="str">
            <v>ITAMBÉ</v>
          </cell>
          <cell r="L3343" t="str">
            <v>RODRIGO</v>
          </cell>
          <cell r="M3343" t="str">
            <v>ALEXANDRO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  <cell r="H3344" t="str">
            <v>DISTRIBUIÇÃO</v>
          </cell>
          <cell r="I3344" t="str">
            <v>FOOD SERVICE</v>
          </cell>
          <cell r="J3344" t="str">
            <v>WH FOOD SERVICE CE</v>
          </cell>
          <cell r="K3344" t="str">
            <v>ITAMBÉ</v>
          </cell>
          <cell r="L3344" t="str">
            <v>RODRIGO</v>
          </cell>
          <cell r="M3344" t="str">
            <v>MARIA LOURDES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  <cell r="H3345" t="str">
            <v>DISTRIBUIÇÃO</v>
          </cell>
          <cell r="I3345" t="str">
            <v>FOOD SERVICE</v>
          </cell>
          <cell r="J3345" t="str">
            <v>ANGELICA BATISTELA</v>
          </cell>
          <cell r="K3345" t="str">
            <v>ITAMBÉ</v>
          </cell>
          <cell r="L3345" t="str">
            <v>RODRIGO</v>
          </cell>
          <cell r="M3345" t="str">
            <v>ANGELICA BATISTELA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  <cell r="H3346" t="str">
            <v>OUTROS</v>
          </cell>
          <cell r="I3346" t="str">
            <v>OUTROS</v>
          </cell>
          <cell r="J3346" t="str">
            <v>OUTROS</v>
          </cell>
          <cell r="K3346" t="str">
            <v>OUTROS</v>
          </cell>
          <cell r="L3346" t="str">
            <v>OUTROS</v>
          </cell>
          <cell r="M3346" t="str">
            <v>OUTROS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  <cell r="H3347" t="str">
            <v>DISTRIBUIÇÃO</v>
          </cell>
          <cell r="I3347" t="str">
            <v>FOOD SERVICE</v>
          </cell>
          <cell r="J3347" t="str">
            <v>FLAC 1</v>
          </cell>
          <cell r="K3347" t="str">
            <v>LACTALIS</v>
          </cell>
          <cell r="L3347" t="str">
            <v>RODRIGO</v>
          </cell>
          <cell r="M3347" t="str">
            <v>RAQUEL BARBOSA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  <cell r="H3348" t="str">
            <v>INGREDIENTS</v>
          </cell>
          <cell r="I3348" t="str">
            <v>INGREDIENTS</v>
          </cell>
          <cell r="J3348" t="str">
            <v>BA ITB FS L B REPRES LTDA</v>
          </cell>
          <cell r="K3348" t="str">
            <v>ITAMBÉ</v>
          </cell>
          <cell r="L3348" t="str">
            <v>MAURICIO</v>
          </cell>
          <cell r="M3348" t="str">
            <v>JOEL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  <cell r="H3349" t="str">
            <v>DISTRIBUIÇÃO</v>
          </cell>
          <cell r="I3349" t="str">
            <v>FOOD SERVICE</v>
          </cell>
          <cell r="J3349" t="str">
            <v>SP ITB FS FLAC REP.E COMERCIO</v>
          </cell>
          <cell r="K3349" t="str">
            <v>ITAMBÉ</v>
          </cell>
          <cell r="L3349" t="str">
            <v>RODRIGO</v>
          </cell>
          <cell r="M3349" t="str">
            <v>RAQUEL BARBOSA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  <cell r="H3350" t="str">
            <v>QSR</v>
          </cell>
          <cell r="I3350" t="str">
            <v>FOOD SERVICE</v>
          </cell>
          <cell r="J3350" t="str">
            <v>VAGO QSR</v>
          </cell>
          <cell r="K3350" t="str">
            <v>LACTALIS</v>
          </cell>
          <cell r="L3350" t="str">
            <v>PEDRO</v>
          </cell>
          <cell r="M3350" t="str">
            <v>VAGO QSR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  <cell r="H3351" t="str">
            <v>DISTRIBUIÇÃO</v>
          </cell>
          <cell r="I3351" t="str">
            <v>FOOD SERVICE</v>
          </cell>
          <cell r="J3351" t="str">
            <v>FLAC 5</v>
          </cell>
          <cell r="K3351" t="str">
            <v>LACTALIS</v>
          </cell>
          <cell r="L3351" t="str">
            <v>RODRIGO</v>
          </cell>
          <cell r="M3351" t="str">
            <v>RAQUEL BARBOSA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  <cell r="H3352" t="str">
            <v>INGREDIENTS</v>
          </cell>
          <cell r="I3352" t="str">
            <v>INGREDIENTS</v>
          </cell>
          <cell r="J3352" t="str">
            <v>MG ITB FS KLINK'S REPRESENTACOES</v>
          </cell>
          <cell r="K3352" t="str">
            <v>ITAMBÉ</v>
          </cell>
          <cell r="L3352" t="str">
            <v>MAURICIO</v>
          </cell>
          <cell r="M3352" t="str">
            <v>JOEL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  <cell r="H3353" t="str">
            <v>DISTRIBUIÇÃO</v>
          </cell>
          <cell r="I3353" t="str">
            <v>FOOD SERVICE</v>
          </cell>
          <cell r="J3353" t="str">
            <v>FLAC 7</v>
          </cell>
          <cell r="K3353" t="str">
            <v>LACTALIS</v>
          </cell>
          <cell r="L3353" t="str">
            <v>RODRIGO</v>
          </cell>
          <cell r="M3353" t="str">
            <v>RAQUEL BARBOSA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  <cell r="H3354" t="str">
            <v>DISTRIBUIÇÃO</v>
          </cell>
          <cell r="I3354" t="str">
            <v>FOOD SERVICE</v>
          </cell>
          <cell r="J3354" t="str">
            <v>FLAC 5</v>
          </cell>
          <cell r="K3354" t="str">
            <v>LACTALIS</v>
          </cell>
          <cell r="L3354" t="str">
            <v>RODRIGO</v>
          </cell>
          <cell r="M3354" t="str">
            <v>RAQUEL BARBOSA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  <cell r="H3355" t="str">
            <v>INGREDIENTS</v>
          </cell>
          <cell r="I3355" t="str">
            <v>INGREDIENTS</v>
          </cell>
          <cell r="J3355" t="str">
            <v>TATIANA NITTA</v>
          </cell>
          <cell r="K3355" t="str">
            <v>LACTALIS</v>
          </cell>
          <cell r="L3355" t="str">
            <v>MAURICIO</v>
          </cell>
          <cell r="M3355" t="str">
            <v>TATIANA NITTA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  <cell r="H3356" t="str">
            <v>DISTRIBUIÇÃO</v>
          </cell>
          <cell r="I3356" t="str">
            <v>FOOD SERVICE</v>
          </cell>
          <cell r="J3356" t="str">
            <v>LUCIANA MARTINS</v>
          </cell>
          <cell r="K3356" t="str">
            <v>LACTALIS</v>
          </cell>
          <cell r="L3356" t="str">
            <v>RODRIGO</v>
          </cell>
          <cell r="M3356" t="str">
            <v>JESSICA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  <cell r="H3357" t="str">
            <v>OUTROS</v>
          </cell>
          <cell r="I3357" t="str">
            <v>OUTROS</v>
          </cell>
          <cell r="J3357" t="str">
            <v>OUTROS</v>
          </cell>
          <cell r="K3357" t="str">
            <v>OUTROS</v>
          </cell>
          <cell r="L3357" t="str">
            <v>OUTROS</v>
          </cell>
          <cell r="M3357" t="str">
            <v>OUTROS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  <cell r="H3358" t="str">
            <v>DISTRIBUIÇÃO</v>
          </cell>
          <cell r="I3358" t="str">
            <v>FOOD SERVICE</v>
          </cell>
          <cell r="J3358" t="str">
            <v>SP ITB FS FLAC REP.E COMERCIO</v>
          </cell>
          <cell r="K3358" t="str">
            <v>ITAMBÉ</v>
          </cell>
          <cell r="L3358" t="str">
            <v>RODRIGO</v>
          </cell>
          <cell r="M3358" t="str">
            <v>RAQUEL BARBOSA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  <cell r="H3359" t="str">
            <v>INGREDIENTS</v>
          </cell>
          <cell r="I3359" t="str">
            <v>INGREDIENTS</v>
          </cell>
          <cell r="J3359" t="str">
            <v>TATIANA NITTA</v>
          </cell>
          <cell r="K3359" t="str">
            <v>LACTALIS</v>
          </cell>
          <cell r="L3359" t="str">
            <v>MAURICIO</v>
          </cell>
          <cell r="M3359" t="str">
            <v>TATIANA NITTA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  <cell r="H3360" t="str">
            <v>DISTRIBUIÇÃO</v>
          </cell>
          <cell r="I3360" t="str">
            <v>FOOD SERVICE</v>
          </cell>
          <cell r="J3360" t="str">
            <v>FLAC 4</v>
          </cell>
          <cell r="K3360" t="str">
            <v>LACTALIS</v>
          </cell>
          <cell r="L3360" t="str">
            <v>RODRIGO</v>
          </cell>
          <cell r="M3360" t="str">
            <v>RAQUEL BARBOSA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  <cell r="H3361" t="str">
            <v>INGREDIENTS</v>
          </cell>
          <cell r="I3361" t="str">
            <v>INGREDIENTS</v>
          </cell>
          <cell r="J3361" t="str">
            <v>HENRIQUE FERREIRA</v>
          </cell>
          <cell r="K3361" t="str">
            <v>LACTALIS</v>
          </cell>
          <cell r="L3361" t="str">
            <v>MAURICIO</v>
          </cell>
          <cell r="M3361" t="str">
            <v>JOEL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  <cell r="H3362" t="str">
            <v>DISTRIBUIÇÃO</v>
          </cell>
          <cell r="I3362" t="str">
            <v>FOOD SERVICE</v>
          </cell>
          <cell r="J3362" t="str">
            <v>FLAC 10</v>
          </cell>
          <cell r="K3362" t="str">
            <v>LACTALIS</v>
          </cell>
          <cell r="L3362" t="str">
            <v>RODRIGO</v>
          </cell>
          <cell r="M3362" t="str">
            <v>RAQUEL BARBOSA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  <cell r="H3363" t="str">
            <v>DISTRIBUIÇÃO</v>
          </cell>
          <cell r="I3363" t="str">
            <v>FOOD SERVICE</v>
          </cell>
          <cell r="J3363" t="str">
            <v>FLAC 4</v>
          </cell>
          <cell r="K3363" t="str">
            <v>LACTALIS</v>
          </cell>
          <cell r="L3363" t="str">
            <v>RODRIGO</v>
          </cell>
          <cell r="M3363" t="str">
            <v>RAQUEL BARBOSA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  <cell r="H3364" t="str">
            <v>DISTRIBUIÇÃO</v>
          </cell>
          <cell r="I3364" t="str">
            <v>FOOD SERVICE</v>
          </cell>
          <cell r="J3364" t="str">
            <v>FLAC 5</v>
          </cell>
          <cell r="K3364" t="str">
            <v>LACTALIS</v>
          </cell>
          <cell r="L3364" t="str">
            <v>RODRIGO</v>
          </cell>
          <cell r="M3364" t="str">
            <v>RAQUEL BARBOSA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  <cell r="H3365" t="str">
            <v>DISTRIBUIÇÃO</v>
          </cell>
          <cell r="I3365" t="str">
            <v>FOOD SERVICE</v>
          </cell>
          <cell r="J3365" t="str">
            <v>SP ITB FS FLAC REP.E COMERCIO</v>
          </cell>
          <cell r="K3365" t="str">
            <v>ITAMBÉ</v>
          </cell>
          <cell r="L3365" t="str">
            <v>RODRIGO</v>
          </cell>
          <cell r="M3365" t="str">
            <v>RAQUEL BARBOSA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  <cell r="H3366" t="str">
            <v>DISTRIBUIÇÃO</v>
          </cell>
          <cell r="I3366" t="str">
            <v>FOOD SERVICE</v>
          </cell>
          <cell r="J3366" t="str">
            <v>FLAC 3</v>
          </cell>
          <cell r="K3366" t="str">
            <v>LACTALIS</v>
          </cell>
          <cell r="L3366" t="str">
            <v>RODRIGO</v>
          </cell>
          <cell r="M3366" t="str">
            <v>RAQUEL BARBOSA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  <cell r="H3367" t="str">
            <v>DISTRIBUIÇÃO</v>
          </cell>
          <cell r="I3367" t="str">
            <v>FOOD SERVICE</v>
          </cell>
          <cell r="J3367" t="str">
            <v>SP ITB FS FLAC REP.E COMERCIO</v>
          </cell>
          <cell r="K3367" t="str">
            <v>ITAMBÉ</v>
          </cell>
          <cell r="L3367" t="str">
            <v>RODRIGO</v>
          </cell>
          <cell r="M3367" t="str">
            <v>RAQUEL BARBOSA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  <cell r="H3368" t="str">
            <v>QSR</v>
          </cell>
          <cell r="I3368" t="str">
            <v>FOOD SERVICE</v>
          </cell>
          <cell r="J3368" t="str">
            <v>ANA MENIQUETE</v>
          </cell>
          <cell r="K3368" t="str">
            <v>LACTALIS</v>
          </cell>
          <cell r="L3368" t="str">
            <v>PEDRO</v>
          </cell>
          <cell r="M3368" t="str">
            <v>ANA MENIQUETE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  <cell r="H3369" t="str">
            <v>QSR</v>
          </cell>
          <cell r="I3369" t="str">
            <v>FOOD SERVICE</v>
          </cell>
          <cell r="J3369" t="str">
            <v>ANA MENIQUETE</v>
          </cell>
          <cell r="K3369" t="str">
            <v>LACTALIS</v>
          </cell>
          <cell r="L3369" t="str">
            <v>PEDRO</v>
          </cell>
          <cell r="M3369" t="str">
            <v>ANA MENIQUETE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  <cell r="H3370" t="str">
            <v>DISTRIBUIÇÃO</v>
          </cell>
          <cell r="I3370" t="str">
            <v>FOOD SERVICE</v>
          </cell>
          <cell r="J3370" t="str">
            <v>FLAC 2</v>
          </cell>
          <cell r="K3370" t="str">
            <v>LACTALIS</v>
          </cell>
          <cell r="L3370" t="str">
            <v>RODRIGO</v>
          </cell>
          <cell r="M3370" t="str">
            <v>RAQUEL BARBOSA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  <cell r="H3371" t="str">
            <v>DISTRIBUIÇÃO</v>
          </cell>
          <cell r="I3371" t="str">
            <v>FOOD SERVICE</v>
          </cell>
          <cell r="J3371" t="str">
            <v>FLAC 5</v>
          </cell>
          <cell r="K3371" t="str">
            <v>LACTALIS</v>
          </cell>
          <cell r="L3371" t="str">
            <v>RODRIGO</v>
          </cell>
          <cell r="M3371" t="str">
            <v>RAQUEL BARBOSA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  <cell r="H3372" t="str">
            <v>INGREDIENTS</v>
          </cell>
          <cell r="I3372" t="str">
            <v>INGREDIENTS</v>
          </cell>
          <cell r="J3372" t="str">
            <v>JOEL ELEOTÉRIO</v>
          </cell>
          <cell r="K3372" t="str">
            <v>LACTALIS</v>
          </cell>
          <cell r="L3372" t="str">
            <v>MAURICIO</v>
          </cell>
          <cell r="M3372" t="str">
            <v>JOEL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  <cell r="H3373" t="str">
            <v>DISTRIBUIÇÃO</v>
          </cell>
          <cell r="I3373" t="str">
            <v>FOOD SERVICE</v>
          </cell>
          <cell r="J3373" t="str">
            <v>FLAC 7</v>
          </cell>
          <cell r="K3373" t="str">
            <v>LACTALIS</v>
          </cell>
          <cell r="L3373" t="str">
            <v>RODRIGO</v>
          </cell>
          <cell r="M3373" t="str">
            <v>RAQUEL BARBOSA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  <cell r="H3374" t="str">
            <v>DISTRIBUIÇÃO</v>
          </cell>
          <cell r="I3374" t="str">
            <v>FOOD SERVICE</v>
          </cell>
          <cell r="J3374" t="str">
            <v>FLAC 6</v>
          </cell>
          <cell r="K3374" t="str">
            <v>LACTALIS</v>
          </cell>
          <cell r="L3374" t="str">
            <v>RODRIGO</v>
          </cell>
          <cell r="M3374" t="str">
            <v>RAQUEL BARBOSA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  <cell r="H3375" t="str">
            <v>INGREDIENTS</v>
          </cell>
          <cell r="I3375" t="str">
            <v>INGREDIENTS</v>
          </cell>
          <cell r="J3375" t="str">
            <v>MARCELO RODRIGUES</v>
          </cell>
          <cell r="K3375" t="str">
            <v>ITAMBÉ</v>
          </cell>
          <cell r="L3375" t="str">
            <v>MAURICIO</v>
          </cell>
          <cell r="M3375" t="str">
            <v>MARCELO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  <cell r="H3376" t="str">
            <v>DISTRIBUIÇÃO</v>
          </cell>
          <cell r="I3376" t="str">
            <v>FOOD SERVICE</v>
          </cell>
          <cell r="J3376" t="str">
            <v>FLAC 6</v>
          </cell>
          <cell r="K3376" t="str">
            <v>LACTALIS</v>
          </cell>
          <cell r="L3376" t="str">
            <v>RODRIGO</v>
          </cell>
          <cell r="M3376" t="str">
            <v>RAQUEL BARBOSA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  <cell r="H3377" t="str">
            <v>DISTRIBUIÇÃO</v>
          </cell>
          <cell r="I3377" t="str">
            <v>FOOD SERVICE</v>
          </cell>
          <cell r="J3377" t="str">
            <v>ALEXANDRO RODRIGUES</v>
          </cell>
          <cell r="K3377" t="str">
            <v>ITAMBÉ</v>
          </cell>
          <cell r="L3377" t="str">
            <v>RODRIGO</v>
          </cell>
          <cell r="M3377" t="str">
            <v>ALEXANDRO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  <cell r="H3378" t="str">
            <v>DISTRIBUIÇÃO</v>
          </cell>
          <cell r="I3378" t="str">
            <v>FOOD SERVICE</v>
          </cell>
          <cell r="J3378" t="str">
            <v>RAQUEL BARBOSA</v>
          </cell>
          <cell r="K3378" t="str">
            <v>ITAMBÉ</v>
          </cell>
          <cell r="L3378" t="str">
            <v>RODRIGO</v>
          </cell>
          <cell r="M3378" t="str">
            <v>RAQUEL BARBOSA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  <cell r="H3379" t="str">
            <v>QSR</v>
          </cell>
          <cell r="I3379" t="str">
            <v>FOOD SERVICE</v>
          </cell>
          <cell r="J3379" t="str">
            <v>NUTRI</v>
          </cell>
          <cell r="K3379" t="str">
            <v>ITAMBÉ</v>
          </cell>
          <cell r="L3379" t="str">
            <v>PEDRO</v>
          </cell>
          <cell r="M3379" t="str">
            <v>VAGO QSR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  <cell r="H3380" t="str">
            <v>INGREDIENTS</v>
          </cell>
          <cell r="I3380" t="str">
            <v>INGREDIENTS</v>
          </cell>
          <cell r="J3380" t="str">
            <v>HENRIQUE FERREIRA</v>
          </cell>
          <cell r="K3380" t="str">
            <v>ITAMBÉ</v>
          </cell>
          <cell r="L3380" t="str">
            <v>MAURICIO</v>
          </cell>
          <cell r="M3380" t="str">
            <v>JOEL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  <cell r="H3381" t="str">
            <v>DISTRIBUIÇÃO</v>
          </cell>
          <cell r="I3381" t="str">
            <v>FOOD SERVICE</v>
          </cell>
          <cell r="J3381" t="str">
            <v>CLAUDIO JORGE</v>
          </cell>
          <cell r="K3381" t="str">
            <v>ITAMBÉ</v>
          </cell>
          <cell r="L3381" t="str">
            <v>RODRIGO</v>
          </cell>
          <cell r="M3381" t="str">
            <v>MARCO AURELIO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  <cell r="H3382" t="str">
            <v>DISTRIBUIÇÃO</v>
          </cell>
          <cell r="I3382" t="str">
            <v>FOOD SERVICE</v>
          </cell>
          <cell r="J3382" t="str">
            <v>GUILHERME NASCIMENTO</v>
          </cell>
          <cell r="K3382" t="str">
            <v>ITAMBÉ</v>
          </cell>
          <cell r="L3382" t="str">
            <v>RODRIGO</v>
          </cell>
          <cell r="M3382" t="str">
            <v>ALEXANDRO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  <cell r="H3383" t="str">
            <v>DISTRIBUIÇÃO</v>
          </cell>
          <cell r="I3383" t="str">
            <v>FOOD SERVICE</v>
          </cell>
          <cell r="J3383" t="str">
            <v>MARCELO DUARTE</v>
          </cell>
          <cell r="K3383" t="str">
            <v>ITAMBÉ</v>
          </cell>
          <cell r="L3383" t="str">
            <v>RODRIGO</v>
          </cell>
          <cell r="M3383" t="str">
            <v>JESSICA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  <cell r="H3384" t="str">
            <v>DISTRIBUIÇÃO</v>
          </cell>
          <cell r="I3384" t="str">
            <v>FOOD SERVICE</v>
          </cell>
          <cell r="J3384" t="str">
            <v>VAGO SP</v>
          </cell>
          <cell r="K3384" t="str">
            <v>ITAMBÉ</v>
          </cell>
          <cell r="L3384" t="str">
            <v>RODRIGO</v>
          </cell>
          <cell r="M3384" t="str">
            <v>RAQUEL BARBOSA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  <cell r="H3385" t="str">
            <v>INGREDIENTS</v>
          </cell>
          <cell r="I3385" t="str">
            <v>INGREDIENTS</v>
          </cell>
          <cell r="J3385" t="str">
            <v>HENRIQUE FERREIRA</v>
          </cell>
          <cell r="K3385" t="str">
            <v>ITAMBÉ</v>
          </cell>
          <cell r="L3385" t="str">
            <v>MAURICIO</v>
          </cell>
          <cell r="M3385" t="str">
            <v>JOEL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  <cell r="H3386" t="str">
            <v>DISTRIBUIÇÃO</v>
          </cell>
          <cell r="I3386" t="str">
            <v>FOOD SERVICE</v>
          </cell>
          <cell r="J3386" t="str">
            <v>CLAUDIO JORGE/LUIZ</v>
          </cell>
          <cell r="K3386" t="str">
            <v>ITAMBÉ</v>
          </cell>
          <cell r="L3386" t="str">
            <v>RODRIGO</v>
          </cell>
          <cell r="M3386" t="str">
            <v>MARIA LOURDES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  <cell r="H3387" t="str">
            <v>DISTRIBUIÇÃO</v>
          </cell>
          <cell r="I3387" t="str">
            <v>FOOD SERVICE</v>
          </cell>
          <cell r="J3387" t="str">
            <v>GUILHERME NASCIMENTO</v>
          </cell>
          <cell r="K3387" t="str">
            <v>ITAMBÉ</v>
          </cell>
          <cell r="L3387" t="str">
            <v>RODRIGO</v>
          </cell>
          <cell r="M3387" t="str">
            <v>ALEXANDRO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  <cell r="H3388" t="str">
            <v>DISTRIBUIÇÃO</v>
          </cell>
          <cell r="I3388" t="str">
            <v>FOOD SERVICE</v>
          </cell>
          <cell r="J3388" t="str">
            <v>GUILHERME NASCIMENTO</v>
          </cell>
          <cell r="K3388" t="str">
            <v>ITAMBÉ</v>
          </cell>
          <cell r="L3388" t="str">
            <v>RODRIGO</v>
          </cell>
          <cell r="M3388" t="str">
            <v>ALEXANDRO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  <cell r="H3389" t="str">
            <v>DISTRIBUIÇÃO</v>
          </cell>
          <cell r="I3389" t="str">
            <v>FOOD SERVICE</v>
          </cell>
          <cell r="J3389" t="str">
            <v>MARCELO DUARTE</v>
          </cell>
          <cell r="K3389" t="str">
            <v>ITAMBÉ</v>
          </cell>
          <cell r="L3389" t="str">
            <v>RODRIGO</v>
          </cell>
          <cell r="M3389" t="str">
            <v>JESSICA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  <cell r="H3390" t="str">
            <v>DISTRIBUIÇÃO</v>
          </cell>
          <cell r="I3390" t="str">
            <v>FOOD SERVICE</v>
          </cell>
          <cell r="J3390" t="str">
            <v>WH FOOD SERVICE CE</v>
          </cell>
          <cell r="K3390" t="str">
            <v>ITAMBÉ</v>
          </cell>
          <cell r="L3390" t="str">
            <v>RODRIGO</v>
          </cell>
          <cell r="M3390" t="str">
            <v>MARIA LOURDES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  <cell r="H3391" t="str">
            <v>DISTRIBUIÇÃO</v>
          </cell>
          <cell r="I3391" t="str">
            <v>FOOD SERVICE</v>
          </cell>
          <cell r="J3391" t="str">
            <v>VAGO SP</v>
          </cell>
          <cell r="K3391" t="str">
            <v>ITAMBÉ</v>
          </cell>
          <cell r="L3391" t="str">
            <v>RODRIGO</v>
          </cell>
          <cell r="M3391" t="str">
            <v>RAQUEL BARBOSA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  <cell r="H3392" t="str">
            <v>DISTRIBUIÇÃO</v>
          </cell>
          <cell r="I3392" t="str">
            <v>FOOD SERVICE</v>
          </cell>
          <cell r="J3392" t="str">
            <v>MARCELO DUARTE</v>
          </cell>
          <cell r="K3392" t="str">
            <v>ITAMBÉ</v>
          </cell>
          <cell r="L3392" t="str">
            <v>RODRIGO</v>
          </cell>
          <cell r="M3392" t="str">
            <v>JESSICA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  <cell r="H3393" t="str">
            <v>DISTRIBUIÇÃO</v>
          </cell>
          <cell r="I3393" t="str">
            <v>FOOD SERVICE</v>
          </cell>
          <cell r="J3393" t="str">
            <v>JESSICA CARLA</v>
          </cell>
          <cell r="K3393" t="str">
            <v>ITAMBÉ</v>
          </cell>
          <cell r="L3393" t="str">
            <v>RODRIGO</v>
          </cell>
          <cell r="M3393" t="str">
            <v>JESSICA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  <cell r="H3394" t="str">
            <v>DISTRIBUIÇÃO</v>
          </cell>
          <cell r="I3394" t="str">
            <v>FOOD SERVICE</v>
          </cell>
          <cell r="J3394" t="str">
            <v>WH FOOD SERVICE CE</v>
          </cell>
          <cell r="K3394" t="str">
            <v>ITAMBÉ</v>
          </cell>
          <cell r="L3394" t="str">
            <v>RODRIGO</v>
          </cell>
          <cell r="M3394" t="str">
            <v>MARIA LOURDES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  <cell r="H3395" t="str">
            <v>DISTRIBUIÇÃO</v>
          </cell>
          <cell r="I3395" t="str">
            <v>FOOD SERVICE</v>
          </cell>
          <cell r="J3395" t="str">
            <v>MARCELO DUARTE</v>
          </cell>
          <cell r="K3395" t="str">
            <v>ITAMBÉ</v>
          </cell>
          <cell r="L3395" t="str">
            <v>RODRIGO</v>
          </cell>
          <cell r="M3395" t="str">
            <v>JESSICA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  <cell r="H3396" t="str">
            <v>DISTRIBUIÇÃO</v>
          </cell>
          <cell r="I3396" t="str">
            <v>FOOD SERVICE</v>
          </cell>
          <cell r="J3396" t="str">
            <v>SP ITB FS FLAC REP.E COMERCIO</v>
          </cell>
          <cell r="K3396" t="str">
            <v>ITAMBÉ</v>
          </cell>
          <cell r="L3396" t="str">
            <v>RODRIGO</v>
          </cell>
          <cell r="M3396" t="str">
            <v>RAQUEL BARBOSA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  <cell r="H3397" t="str">
            <v>DISTRIBUIÇÃO</v>
          </cell>
          <cell r="I3397" t="str">
            <v>FOOD SERVICE</v>
          </cell>
          <cell r="J3397" t="str">
            <v>MARCELO DUARTE</v>
          </cell>
          <cell r="K3397" t="str">
            <v>ITAMBÉ</v>
          </cell>
          <cell r="L3397" t="str">
            <v>RODRIGO</v>
          </cell>
          <cell r="M3397" t="str">
            <v>JESSICA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  <cell r="H3398" t="str">
            <v>DISTRIBUIÇÃO</v>
          </cell>
          <cell r="I3398" t="str">
            <v>FOOD SERVICE</v>
          </cell>
          <cell r="J3398" t="str">
            <v>MARCELO DUARTE</v>
          </cell>
          <cell r="K3398" t="str">
            <v>ITAMBÉ</v>
          </cell>
          <cell r="L3398" t="str">
            <v>RODRIGO</v>
          </cell>
          <cell r="M3398" t="str">
            <v>JESSICA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  <cell r="H3399" t="str">
            <v>DISTRIBUIÇÃO</v>
          </cell>
          <cell r="I3399" t="str">
            <v>FOOD SERVICE</v>
          </cell>
          <cell r="J3399" t="str">
            <v>CLAUDIO JORGE/LUIZ</v>
          </cell>
          <cell r="K3399" t="str">
            <v>ITAMBÉ</v>
          </cell>
          <cell r="L3399" t="str">
            <v>RODRIGO</v>
          </cell>
          <cell r="M3399" t="str">
            <v>MARIA LOURDES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  <cell r="H3400" t="str">
            <v>DISTRIBUIÇÃO</v>
          </cell>
          <cell r="I3400" t="str">
            <v>FOOD SERVICE</v>
          </cell>
          <cell r="J3400" t="str">
            <v>CLAUDIO JORGE</v>
          </cell>
          <cell r="K3400" t="str">
            <v>ITAMBÉ</v>
          </cell>
          <cell r="L3400" t="str">
            <v>RODRIGO</v>
          </cell>
          <cell r="M3400" t="str">
            <v>JESSICA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  <cell r="H3401" t="str">
            <v>INGREDIENTS</v>
          </cell>
          <cell r="I3401" t="str">
            <v>INGREDIENTS</v>
          </cell>
          <cell r="J3401" t="str">
            <v>TATIANA NITTA</v>
          </cell>
          <cell r="K3401" t="str">
            <v>ITAMBÉ</v>
          </cell>
          <cell r="L3401" t="str">
            <v>MAURICIO</v>
          </cell>
          <cell r="M3401" t="str">
            <v>TATIANA NITTA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  <cell r="H3402" t="str">
            <v>QSR</v>
          </cell>
          <cell r="I3402" t="str">
            <v>FOOD SERVICE</v>
          </cell>
          <cell r="J3402" t="str">
            <v>NUTRI</v>
          </cell>
          <cell r="K3402" t="str">
            <v>ITAMBÉ</v>
          </cell>
          <cell r="L3402" t="str">
            <v>PEDRO</v>
          </cell>
          <cell r="M3402" t="str">
            <v>VAGO QSR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  <cell r="H3403" t="str">
            <v>QSR</v>
          </cell>
          <cell r="I3403" t="str">
            <v>FOOD SERVICE</v>
          </cell>
          <cell r="J3403" t="str">
            <v>ANA MENIQUETE</v>
          </cell>
          <cell r="K3403" t="str">
            <v>ITAMBÉ</v>
          </cell>
          <cell r="L3403" t="str">
            <v>PEDRO</v>
          </cell>
          <cell r="M3403" t="str">
            <v>ANA MENIQUETE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  <cell r="H3404" t="str">
            <v>DISTRIBUIÇÃO</v>
          </cell>
          <cell r="I3404" t="str">
            <v>FOOD SERVICE</v>
          </cell>
          <cell r="J3404" t="str">
            <v>GUILHERME NASCIMENTO</v>
          </cell>
          <cell r="K3404" t="str">
            <v>ITAMBÉ</v>
          </cell>
          <cell r="L3404" t="str">
            <v>RODRIGO</v>
          </cell>
          <cell r="M3404" t="str">
            <v>ALEXANDRO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  <cell r="H3405" t="str">
            <v>DISTRIBUIÇÃO</v>
          </cell>
          <cell r="I3405" t="str">
            <v>FOOD SERVICE</v>
          </cell>
          <cell r="J3405" t="str">
            <v>ALEXANDRE BONANI</v>
          </cell>
          <cell r="K3405" t="str">
            <v>ITAMBÉ</v>
          </cell>
          <cell r="L3405" t="str">
            <v>RODRIGO</v>
          </cell>
          <cell r="M3405" t="str">
            <v>ALEXANDRE BONANI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  <cell r="H3406" t="str">
            <v>DISTRIBUIÇÃO</v>
          </cell>
          <cell r="I3406" t="str">
            <v>FOOD SERVICE</v>
          </cell>
          <cell r="J3406" t="str">
            <v>ALEXANDRE BONANI</v>
          </cell>
          <cell r="K3406" t="str">
            <v>ITAMBÉ</v>
          </cell>
          <cell r="L3406" t="str">
            <v>RODRIGO</v>
          </cell>
          <cell r="M3406" t="str">
            <v>ALEXANDRE BONANI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  <cell r="H3407" t="str">
            <v>DISTRIBUIÇÃO</v>
          </cell>
          <cell r="I3407" t="str">
            <v>FOOD SERVICE</v>
          </cell>
          <cell r="J3407" t="str">
            <v>WH FOOD SERVICE CE</v>
          </cell>
          <cell r="K3407" t="str">
            <v>ITAMBÉ</v>
          </cell>
          <cell r="L3407" t="str">
            <v>RODRIGO</v>
          </cell>
          <cell r="M3407" t="str">
            <v>MARIA LOURDES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  <cell r="H3408" t="str">
            <v>DISTRIBUIÇÃO</v>
          </cell>
          <cell r="I3408" t="str">
            <v>FOOD SERVICE</v>
          </cell>
          <cell r="J3408" t="str">
            <v>SP ITB FS FLAC REP.E COMERCIO</v>
          </cell>
          <cell r="K3408" t="str">
            <v>ITAMBÉ</v>
          </cell>
          <cell r="L3408" t="str">
            <v>RODRIGO</v>
          </cell>
          <cell r="M3408" t="str">
            <v>RAQUEL BARBOSA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  <cell r="H3409" t="str">
            <v>DISTRIBUIÇÃO</v>
          </cell>
          <cell r="I3409" t="str">
            <v>FOOD SERVICE</v>
          </cell>
          <cell r="J3409" t="str">
            <v>VAGO SP</v>
          </cell>
          <cell r="K3409" t="str">
            <v>ITAMBÉ</v>
          </cell>
          <cell r="L3409" t="str">
            <v>RODRIGO</v>
          </cell>
          <cell r="M3409" t="str">
            <v>RAQUEL BARBOSA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  <cell r="H3410" t="str">
            <v>DISTRIBUIÇÃO</v>
          </cell>
          <cell r="I3410" t="str">
            <v>FOOD SERVICE</v>
          </cell>
          <cell r="J3410" t="str">
            <v>GUILHERME NASCIMENTO</v>
          </cell>
          <cell r="K3410" t="str">
            <v>ITAMBÉ</v>
          </cell>
          <cell r="L3410" t="str">
            <v>RODRIGO</v>
          </cell>
          <cell r="M3410" t="str">
            <v>ALEXANDRO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  <cell r="H3411" t="str">
            <v>DISTRIBUIÇÃO</v>
          </cell>
          <cell r="I3411" t="str">
            <v>FOOD SERVICE</v>
          </cell>
          <cell r="J3411" t="str">
            <v>SP ITB FS FLAC REP.E COMERCIO</v>
          </cell>
          <cell r="K3411" t="str">
            <v>ITAMBÉ</v>
          </cell>
          <cell r="L3411" t="str">
            <v>RODRIGO</v>
          </cell>
          <cell r="M3411" t="str">
            <v>RAQUEL BARBOSA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  <cell r="H3412" t="str">
            <v>DISTRIBUIÇÃO</v>
          </cell>
          <cell r="I3412" t="str">
            <v>FOOD SERVICE</v>
          </cell>
          <cell r="J3412" t="str">
            <v>ALEXANDRE BONANI</v>
          </cell>
          <cell r="K3412" t="str">
            <v>ITAMBÉ</v>
          </cell>
          <cell r="L3412" t="str">
            <v>RODRIGO</v>
          </cell>
          <cell r="M3412" t="str">
            <v>ALEXANDRE BONANI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  <cell r="H3413" t="str">
            <v>DISTRIBUIÇÃO</v>
          </cell>
          <cell r="I3413" t="str">
            <v>FOOD SERVICE</v>
          </cell>
          <cell r="J3413" t="str">
            <v>VAGO SP</v>
          </cell>
          <cell r="K3413" t="str">
            <v>ITAMBÉ</v>
          </cell>
          <cell r="L3413" t="str">
            <v>RODRIGO</v>
          </cell>
          <cell r="M3413" t="str">
            <v>RAQUEL BARBOSA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  <cell r="H3414" t="str">
            <v>DISTRIBUIÇÃO</v>
          </cell>
          <cell r="I3414" t="str">
            <v>FOOD SERVICE</v>
          </cell>
          <cell r="J3414" t="str">
            <v>MARCELO DUARTE</v>
          </cell>
          <cell r="K3414" t="str">
            <v>ITAMBÉ</v>
          </cell>
          <cell r="L3414" t="str">
            <v>RODRIGO</v>
          </cell>
          <cell r="M3414" t="str">
            <v>JESSICA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  <cell r="H3415" t="str">
            <v>DISTRIBUIÇÃO</v>
          </cell>
          <cell r="I3415" t="str">
            <v>FOOD SERVICE</v>
          </cell>
          <cell r="J3415" t="str">
            <v>CLAUDIO JORGE/LUIZ</v>
          </cell>
          <cell r="K3415" t="str">
            <v>ITAMBÉ</v>
          </cell>
          <cell r="L3415" t="str">
            <v>RODRIGO</v>
          </cell>
          <cell r="M3415" t="str">
            <v>MARIA LOURDES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  <cell r="H3416" t="str">
            <v>QSR</v>
          </cell>
          <cell r="I3416" t="str">
            <v>FOOD SERVICE</v>
          </cell>
          <cell r="J3416" t="str">
            <v>VAGO QSR</v>
          </cell>
          <cell r="K3416" t="str">
            <v>ITAMBÉ</v>
          </cell>
          <cell r="L3416" t="str">
            <v>PEDRO</v>
          </cell>
          <cell r="M3416" t="str">
            <v>VAGO QSR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  <cell r="H3417" t="str">
            <v>INGREDIENTS</v>
          </cell>
          <cell r="I3417" t="str">
            <v>INGREDIENTS</v>
          </cell>
          <cell r="J3417" t="str">
            <v>HENRIQUE FERREIRA</v>
          </cell>
          <cell r="K3417" t="str">
            <v>ITAMBÉ</v>
          </cell>
          <cell r="L3417" t="str">
            <v>MAURICIO</v>
          </cell>
          <cell r="M3417" t="str">
            <v>JOEL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  <cell r="H3418" t="str">
            <v>DISTRIBUIÇÃO</v>
          </cell>
          <cell r="I3418" t="str">
            <v>FOOD SERVICE</v>
          </cell>
          <cell r="J3418" t="str">
            <v>MARCELO DUARTE</v>
          </cell>
          <cell r="K3418" t="str">
            <v>ITAMBÉ</v>
          </cell>
          <cell r="L3418" t="str">
            <v>RODRIGO</v>
          </cell>
          <cell r="M3418" t="str">
            <v>JESSICA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  <cell r="H3419" t="str">
            <v>DISTRIBUIÇÃO</v>
          </cell>
          <cell r="I3419" t="str">
            <v>FOOD SERVICE</v>
          </cell>
          <cell r="J3419" t="str">
            <v>JESSICA CARLA</v>
          </cell>
          <cell r="K3419" t="str">
            <v>ITAMBÉ</v>
          </cell>
          <cell r="L3419" t="str">
            <v>RODRIGO</v>
          </cell>
          <cell r="M3419" t="str">
            <v>JESSICA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  <cell r="H3420" t="str">
            <v>DISTRIBUIÇÃO</v>
          </cell>
          <cell r="I3420" t="str">
            <v>FOOD SERVICE</v>
          </cell>
          <cell r="J3420" t="str">
            <v>JULIANA CORDEIRO</v>
          </cell>
          <cell r="K3420" t="str">
            <v>ITAMBÉ</v>
          </cell>
          <cell r="L3420" t="str">
            <v>RODRIGO</v>
          </cell>
          <cell r="M3420" t="str">
            <v>JESSICA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  <cell r="H3421" t="str">
            <v>DISTRIBUIÇÃO</v>
          </cell>
          <cell r="I3421" t="str">
            <v>FOOD SERVICE</v>
          </cell>
          <cell r="J3421" t="str">
            <v>VAGO SP</v>
          </cell>
          <cell r="K3421" t="str">
            <v>ITAMBÉ</v>
          </cell>
          <cell r="L3421" t="str">
            <v>RODRIGO</v>
          </cell>
          <cell r="M3421" t="str">
            <v>RAQUEL BARBOSA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  <cell r="H3422" t="str">
            <v>DISTRIBUIÇÃO</v>
          </cell>
          <cell r="I3422" t="str">
            <v>FOOD SERVICE</v>
          </cell>
          <cell r="J3422" t="str">
            <v>JULIANA CORDEIRO</v>
          </cell>
          <cell r="K3422" t="str">
            <v>ITAMBÉ</v>
          </cell>
          <cell r="L3422" t="str">
            <v>RODRIGO</v>
          </cell>
          <cell r="M3422" t="str">
            <v>JESSICA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  <cell r="H3423" t="str">
            <v>INGREDIENTS</v>
          </cell>
          <cell r="I3423" t="str">
            <v>INGREDIENTS</v>
          </cell>
          <cell r="J3423" t="str">
            <v>HENRIQUE FERREIRA</v>
          </cell>
          <cell r="K3423" t="str">
            <v>ITAMBÉ</v>
          </cell>
          <cell r="L3423" t="str">
            <v>MAURICIO</v>
          </cell>
          <cell r="M3423" t="str">
            <v>JOEL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  <cell r="H3424" t="str">
            <v>DISTRIBUIÇÃO</v>
          </cell>
          <cell r="I3424" t="str">
            <v>FOOD SERVICE</v>
          </cell>
          <cell r="J3424" t="str">
            <v>SP ITB FS FLAC REP.E COMERCIO</v>
          </cell>
          <cell r="K3424" t="str">
            <v>ITAMBÉ</v>
          </cell>
          <cell r="L3424" t="str">
            <v>RODRIGO</v>
          </cell>
          <cell r="M3424" t="str">
            <v>RAQUEL BARBOSA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  <cell r="H3425" t="str">
            <v>DISTRIBUIÇÃO</v>
          </cell>
          <cell r="I3425" t="str">
            <v>FOOD SERVICE</v>
          </cell>
          <cell r="J3425" t="str">
            <v>CLAUDIO JORGE/LUIZ</v>
          </cell>
          <cell r="K3425" t="str">
            <v>ITAMBÉ</v>
          </cell>
          <cell r="L3425" t="str">
            <v>RODRIGO</v>
          </cell>
          <cell r="M3425" t="str">
            <v>MARIA LOURDES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  <cell r="H3426" t="str">
            <v>DISTRIBUIÇÃO</v>
          </cell>
          <cell r="I3426" t="str">
            <v>FOOD SERVICE</v>
          </cell>
          <cell r="J3426" t="str">
            <v>VAGO SP</v>
          </cell>
          <cell r="K3426" t="str">
            <v>ITAMBÉ</v>
          </cell>
          <cell r="L3426" t="str">
            <v>RODRIGO</v>
          </cell>
          <cell r="M3426" t="str">
            <v>RAQUEL BARBOSA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  <cell r="H3427" t="str">
            <v>DISTRIBUIÇÃO</v>
          </cell>
          <cell r="I3427" t="str">
            <v>FOOD SERVICE</v>
          </cell>
          <cell r="J3427" t="str">
            <v>CLAUDIO JORGE</v>
          </cell>
          <cell r="K3427" t="str">
            <v>ITAMBÉ</v>
          </cell>
          <cell r="L3427" t="str">
            <v>RODRIGO</v>
          </cell>
          <cell r="M3427" t="str">
            <v>MARCO AURELIO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  <cell r="H3428" t="str">
            <v>DISTRIBUIÇÃO</v>
          </cell>
          <cell r="I3428" t="str">
            <v>FOOD SERVICE</v>
          </cell>
          <cell r="J3428" t="str">
            <v>CLAUDIO JORGE/LUIZ</v>
          </cell>
          <cell r="K3428" t="str">
            <v>ITAMBÉ</v>
          </cell>
          <cell r="L3428" t="str">
            <v>RODRIGO</v>
          </cell>
          <cell r="M3428" t="str">
            <v>MARIA LOURDES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  <cell r="H3429" t="str">
            <v>DISTRIBUIÇÃO</v>
          </cell>
          <cell r="I3429" t="str">
            <v>FOOD SERVICE</v>
          </cell>
          <cell r="J3429" t="str">
            <v>JULIANA CORDEIRO</v>
          </cell>
          <cell r="K3429" t="str">
            <v>ITAMBÉ</v>
          </cell>
          <cell r="L3429" t="str">
            <v>RODRIGO</v>
          </cell>
          <cell r="M3429" t="str">
            <v>JESSICA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  <cell r="H3430" t="str">
            <v>QSR</v>
          </cell>
          <cell r="I3430" t="str">
            <v>FOOD SERVICE</v>
          </cell>
          <cell r="J3430" t="str">
            <v>NUTRI</v>
          </cell>
          <cell r="K3430" t="str">
            <v>ITAMBÉ</v>
          </cell>
          <cell r="L3430" t="str">
            <v>PEDRO</v>
          </cell>
          <cell r="M3430" t="str">
            <v>VAGO QSR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  <cell r="H3431" t="str">
            <v>DISTRIBUIÇÃO</v>
          </cell>
          <cell r="I3431" t="str">
            <v>FOOD SERVICE</v>
          </cell>
          <cell r="J3431" t="str">
            <v>GUILHERME NASCIMENTO</v>
          </cell>
          <cell r="K3431" t="str">
            <v>ITAMBÉ</v>
          </cell>
          <cell r="L3431" t="str">
            <v>RODRIGO</v>
          </cell>
          <cell r="M3431" t="str">
            <v>ALEXANDRO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  <cell r="H3432" t="str">
            <v>DISTRIBUIÇÃO</v>
          </cell>
          <cell r="I3432" t="str">
            <v>FOOD SERVICE</v>
          </cell>
          <cell r="J3432" t="str">
            <v>GUILHERME NASCIMENTO</v>
          </cell>
          <cell r="K3432" t="str">
            <v>ITAMBÉ</v>
          </cell>
          <cell r="L3432" t="str">
            <v>RODRIGO</v>
          </cell>
          <cell r="M3432" t="str">
            <v>ALEXANDRO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  <cell r="H3433" t="str">
            <v>DISTRIBUIÇÃO</v>
          </cell>
          <cell r="I3433" t="str">
            <v>FOOD SERVICE</v>
          </cell>
          <cell r="J3433" t="str">
            <v>RAQUEL BARBOSA</v>
          </cell>
          <cell r="K3433" t="str">
            <v>ITAMBÉ</v>
          </cell>
          <cell r="L3433" t="str">
            <v>RODRIGO</v>
          </cell>
          <cell r="M3433" t="str">
            <v>RAQUEL BARBOSA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  <cell r="H3434" t="str">
            <v>DISTRIBUIÇÃO</v>
          </cell>
          <cell r="I3434" t="str">
            <v>FOOD SERVICE</v>
          </cell>
          <cell r="J3434" t="str">
            <v>VAGO SP</v>
          </cell>
          <cell r="K3434" t="str">
            <v>ITAMBÉ</v>
          </cell>
          <cell r="L3434" t="str">
            <v>RODRIGO</v>
          </cell>
          <cell r="M3434" t="str">
            <v>RAQUEL BARBOSA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  <cell r="H3435" t="str">
            <v>DISTRIBUIÇÃO</v>
          </cell>
          <cell r="I3435" t="str">
            <v>FOOD SERVICE</v>
          </cell>
          <cell r="J3435" t="str">
            <v>JESSICA CARLA</v>
          </cell>
          <cell r="K3435" t="str">
            <v>ITAMBÉ</v>
          </cell>
          <cell r="L3435" t="str">
            <v>RODRIGO</v>
          </cell>
          <cell r="M3435" t="str">
            <v>JESSICA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  <cell r="H3436" t="str">
            <v>DISTRIBUIÇÃO</v>
          </cell>
          <cell r="I3436" t="str">
            <v>FOOD SERVICE</v>
          </cell>
          <cell r="J3436" t="str">
            <v>LUCIANA MARTINS</v>
          </cell>
          <cell r="K3436" t="str">
            <v>ITAMBÉ</v>
          </cell>
          <cell r="L3436" t="str">
            <v>RODRIGO</v>
          </cell>
          <cell r="M3436" t="str">
            <v>JESSICA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  <cell r="H3437" t="str">
            <v>INGREDIENTS</v>
          </cell>
          <cell r="I3437" t="str">
            <v>INGREDIENTS</v>
          </cell>
          <cell r="J3437" t="str">
            <v>HENRIQUE FERREIRA</v>
          </cell>
          <cell r="K3437" t="str">
            <v>ITAMBÉ</v>
          </cell>
          <cell r="L3437" t="str">
            <v>MAURICIO</v>
          </cell>
          <cell r="M3437" t="str">
            <v>JOEL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  <cell r="H3438" t="str">
            <v>DISTRIBUIÇÃO</v>
          </cell>
          <cell r="I3438" t="str">
            <v>FOOD SERVICE</v>
          </cell>
          <cell r="J3438" t="str">
            <v>SP ITB FS FLAC REP.E COMERCIO</v>
          </cell>
          <cell r="K3438" t="str">
            <v>ITAMBÉ</v>
          </cell>
          <cell r="L3438" t="str">
            <v>RODRIGO</v>
          </cell>
          <cell r="M3438" t="str">
            <v>RAQUEL BARBOSA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  <cell r="H3439" t="str">
            <v>DISTRIBUIÇÃO</v>
          </cell>
          <cell r="I3439" t="str">
            <v>FOOD SERVICE</v>
          </cell>
          <cell r="J3439" t="str">
            <v>LUCIANA MARTINS</v>
          </cell>
          <cell r="K3439" t="str">
            <v>ITAMBÉ</v>
          </cell>
          <cell r="L3439" t="str">
            <v>RODRIGO</v>
          </cell>
          <cell r="M3439" t="str">
            <v>JESSICA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  <cell r="H3440" t="str">
            <v>DISTRIBUIÇÃO</v>
          </cell>
          <cell r="I3440" t="str">
            <v>FOOD SERVICE</v>
          </cell>
          <cell r="J3440" t="str">
            <v>WH FOOD SERVICE CE</v>
          </cell>
          <cell r="K3440" t="str">
            <v>ITAMBÉ</v>
          </cell>
          <cell r="L3440" t="str">
            <v>RODRIGO</v>
          </cell>
          <cell r="M3440" t="str">
            <v>MARIA LOURDES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  <cell r="H3441" t="str">
            <v>INGREDIENTS</v>
          </cell>
          <cell r="I3441" t="str">
            <v>INGREDIENTS</v>
          </cell>
          <cell r="J3441" t="str">
            <v>RJ ITB FS L T MARTINS</v>
          </cell>
          <cell r="K3441" t="str">
            <v>ITAMBÉ</v>
          </cell>
          <cell r="L3441" t="str">
            <v>MAURICIO</v>
          </cell>
          <cell r="M3441" t="str">
            <v>TATIANA NITTA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  <cell r="H3442" t="str">
            <v>INGREDIENTS</v>
          </cell>
          <cell r="I3442" t="str">
            <v>INGREDIENTS</v>
          </cell>
          <cell r="J3442" t="str">
            <v>SP ITB FS LUIZ PEREIRA</v>
          </cell>
          <cell r="K3442" t="str">
            <v>ITAMBÉ</v>
          </cell>
          <cell r="L3442" t="str">
            <v>MAURICIO</v>
          </cell>
          <cell r="M3442" t="str">
            <v>TATIANA NITTA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  <cell r="H3443" t="str">
            <v>DISTRIBUIÇÃO</v>
          </cell>
          <cell r="I3443" t="str">
            <v>FOOD SERVICE</v>
          </cell>
          <cell r="J3443" t="str">
            <v>CLAUDIO JORGE/LUIZ</v>
          </cell>
          <cell r="K3443" t="str">
            <v>ITAMBÉ</v>
          </cell>
          <cell r="L3443" t="str">
            <v>RODRIGO</v>
          </cell>
          <cell r="M3443" t="str">
            <v>MARIA LOURDES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  <cell r="H3444" t="str">
            <v>INGREDIENTS</v>
          </cell>
          <cell r="I3444" t="str">
            <v>INGREDIENTS</v>
          </cell>
          <cell r="J3444" t="str">
            <v>BA ITB FS ML FLAVORS</v>
          </cell>
          <cell r="K3444" t="str">
            <v>ITAMBÉ</v>
          </cell>
          <cell r="L3444" t="str">
            <v>MAURICIO</v>
          </cell>
          <cell r="M3444" t="str">
            <v>JOEL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  <cell r="H3445" t="str">
            <v>INGREDIENTS</v>
          </cell>
          <cell r="I3445" t="str">
            <v>INGREDIENTS</v>
          </cell>
          <cell r="J3445" t="str">
            <v>RJ ITB FS L T MARTINS</v>
          </cell>
          <cell r="K3445" t="str">
            <v>ITAMBÉ</v>
          </cell>
          <cell r="L3445" t="str">
            <v>MAURICIO</v>
          </cell>
          <cell r="M3445" t="str">
            <v>TATIANA NITTA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  <cell r="H3446" t="str">
            <v>INGREDIENTS</v>
          </cell>
          <cell r="I3446" t="str">
            <v>INGREDIENTS</v>
          </cell>
          <cell r="J3446" t="str">
            <v>RJ ITB FS CDR REPRESENTAÇÕES</v>
          </cell>
          <cell r="K3446" t="str">
            <v>ITAMBÉ</v>
          </cell>
          <cell r="L3446" t="str">
            <v>MAURICIO</v>
          </cell>
          <cell r="M3446" t="str">
            <v>TATIANA NITTA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  <cell r="H3447" t="str">
            <v>DISTRIBUIÇÃO</v>
          </cell>
          <cell r="I3447" t="str">
            <v>FOOD SERVICE</v>
          </cell>
          <cell r="J3447" t="str">
            <v>SP ITB FS FLAC REP.E COMERCIO</v>
          </cell>
          <cell r="K3447" t="str">
            <v>ITAMBÉ</v>
          </cell>
          <cell r="L3447" t="str">
            <v>RODRIGO</v>
          </cell>
          <cell r="M3447" t="str">
            <v>RAQUEL BARBOSA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  <cell r="H3448" t="str">
            <v>DISTRIBUIÇÃO</v>
          </cell>
          <cell r="I3448" t="str">
            <v>FOOD SERVICE</v>
          </cell>
          <cell r="J3448" t="str">
            <v>MARCELO DUARTE</v>
          </cell>
          <cell r="K3448" t="str">
            <v>ITAMBÉ</v>
          </cell>
          <cell r="L3448" t="str">
            <v>RODRIGO</v>
          </cell>
          <cell r="M3448" t="str">
            <v>JESSICA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  <cell r="H3449" t="str">
            <v>QSR</v>
          </cell>
          <cell r="I3449" t="str">
            <v>FOOD SERVICE</v>
          </cell>
          <cell r="J3449" t="str">
            <v>VAGO QSR</v>
          </cell>
          <cell r="K3449" t="str">
            <v>ITAMBÉ</v>
          </cell>
          <cell r="L3449" t="str">
            <v>PEDRO</v>
          </cell>
          <cell r="M3449" t="str">
            <v>VAGO QSR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  <cell r="H3450" t="str">
            <v>QSR</v>
          </cell>
          <cell r="I3450" t="str">
            <v>FOOD SERVICE</v>
          </cell>
          <cell r="J3450" t="str">
            <v>ANA MENIQUETE</v>
          </cell>
          <cell r="K3450" t="str">
            <v>ITAMBÉ</v>
          </cell>
          <cell r="L3450" t="str">
            <v>PEDRO</v>
          </cell>
          <cell r="M3450" t="str">
            <v>ANA MENIQUETE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  <cell r="H3451" t="str">
            <v>DISTRIBUIÇÃO</v>
          </cell>
          <cell r="I3451" t="str">
            <v>FOOD SERVICE</v>
          </cell>
          <cell r="J3451" t="str">
            <v>MARCELO DUARTE</v>
          </cell>
          <cell r="K3451" t="str">
            <v>ITAMBÉ</v>
          </cell>
          <cell r="L3451" t="str">
            <v>RODRIGO</v>
          </cell>
          <cell r="M3451" t="str">
            <v>JESSICA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  <cell r="H3452" t="str">
            <v>QSR</v>
          </cell>
          <cell r="I3452" t="str">
            <v>FOOD SERVICE</v>
          </cell>
          <cell r="J3452" t="str">
            <v>NUTRI</v>
          </cell>
          <cell r="K3452" t="str">
            <v>ITAMBÉ</v>
          </cell>
          <cell r="L3452" t="str">
            <v>PEDRO</v>
          </cell>
          <cell r="M3452" t="str">
            <v>VAGO QSR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  <cell r="H3453" t="str">
            <v>INGREDIENTS</v>
          </cell>
          <cell r="I3453" t="str">
            <v>INGREDIENTS</v>
          </cell>
          <cell r="J3453" t="str">
            <v>TATIANA NITTA</v>
          </cell>
          <cell r="K3453" t="str">
            <v>ITAMBÉ</v>
          </cell>
          <cell r="L3453" t="str">
            <v>MAURICIO</v>
          </cell>
          <cell r="M3453" t="str">
            <v>TATIANA NITTA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  <cell r="H3454" t="str">
            <v>DISTRIBUIÇÃO</v>
          </cell>
          <cell r="I3454" t="str">
            <v>FOOD SERVICE</v>
          </cell>
          <cell r="J3454" t="str">
            <v>SP ITB FS FLAC REP.E COMERCIO</v>
          </cell>
          <cell r="K3454" t="str">
            <v>ITAMBÉ</v>
          </cell>
          <cell r="L3454" t="str">
            <v>RODRIGO</v>
          </cell>
          <cell r="M3454" t="str">
            <v>RAQUEL BARBOSA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  <cell r="H3455" t="str">
            <v>DISTRIBUIÇÃO</v>
          </cell>
          <cell r="I3455" t="str">
            <v>FOOD SERVICE</v>
          </cell>
          <cell r="J3455" t="str">
            <v>CLAUDIO JORGE/LUIZ</v>
          </cell>
          <cell r="K3455" t="str">
            <v>ITAMBÉ</v>
          </cell>
          <cell r="L3455" t="str">
            <v>RODRIGO</v>
          </cell>
          <cell r="M3455" t="str">
            <v>MARIA LOURDES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  <cell r="H3456" t="str">
            <v>DISTRIBUIÇÃO</v>
          </cell>
          <cell r="I3456" t="str">
            <v>FOOD SERVICE</v>
          </cell>
          <cell r="J3456" t="str">
            <v>LUCIANA MARTINS</v>
          </cell>
          <cell r="K3456" t="str">
            <v>ITAMBÉ</v>
          </cell>
          <cell r="L3456" t="str">
            <v>RODRIGO</v>
          </cell>
          <cell r="M3456" t="str">
            <v>JESSICA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  <cell r="H3457" t="str">
            <v>DISTRIBUIÇÃO</v>
          </cell>
          <cell r="I3457" t="str">
            <v>FOOD SERVICE</v>
          </cell>
          <cell r="J3457" t="str">
            <v>CLAUDIO JORGE</v>
          </cell>
          <cell r="K3457" t="str">
            <v>ITAMBÉ</v>
          </cell>
          <cell r="L3457" t="str">
            <v>RODRIGO</v>
          </cell>
          <cell r="M3457" t="str">
            <v>MARCO AURELIO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  <cell r="H3458" t="str">
            <v>INGREDIENTS</v>
          </cell>
          <cell r="I3458" t="str">
            <v>INGREDIENTS</v>
          </cell>
          <cell r="J3458" t="str">
            <v>ES ITB FS RADTKE REPRES</v>
          </cell>
          <cell r="K3458" t="str">
            <v>ITAMBÉ</v>
          </cell>
          <cell r="L3458" t="str">
            <v>MAURICIO</v>
          </cell>
          <cell r="M3458" t="str">
            <v>JOEL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  <cell r="H3459" t="str">
            <v>DISTRIBUIÇÃO</v>
          </cell>
          <cell r="I3459" t="str">
            <v>FOOD SERVICE</v>
          </cell>
          <cell r="J3459" t="str">
            <v>MARCELO DUARTE</v>
          </cell>
          <cell r="K3459" t="str">
            <v>ITAMBÉ</v>
          </cell>
          <cell r="L3459" t="str">
            <v>RODRIGO</v>
          </cell>
          <cell r="M3459" t="str">
            <v>JESSICA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  <cell r="H3460" t="str">
            <v>DISTRIBUIÇÃO</v>
          </cell>
          <cell r="I3460" t="str">
            <v>FOOD SERVICE</v>
          </cell>
          <cell r="J3460" t="str">
            <v>WH FOOD SERVICE CE</v>
          </cell>
          <cell r="K3460" t="str">
            <v>ITAMBÉ</v>
          </cell>
          <cell r="L3460" t="str">
            <v>RODRIGO</v>
          </cell>
          <cell r="M3460" t="str">
            <v>MARIA LOURDES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  <cell r="H3461" t="str">
            <v>DISTRIBUIÇÃO</v>
          </cell>
          <cell r="I3461" t="str">
            <v>FOOD SERVICE</v>
          </cell>
          <cell r="J3461" t="str">
            <v>JULIANA CORDEIRO</v>
          </cell>
          <cell r="K3461" t="str">
            <v>ITAMBÉ</v>
          </cell>
          <cell r="L3461" t="str">
            <v>RODRIGO</v>
          </cell>
          <cell r="M3461" t="str">
            <v>JESSICA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  <cell r="H3462" t="str">
            <v>DISTRIBUIÇÃO</v>
          </cell>
          <cell r="I3462" t="str">
            <v>FOOD SERVICE</v>
          </cell>
          <cell r="J3462" t="str">
            <v>WH FOOD SERVICE CE</v>
          </cell>
          <cell r="K3462" t="str">
            <v>ITAMBÉ</v>
          </cell>
          <cell r="L3462" t="str">
            <v>RODRIGO</v>
          </cell>
          <cell r="M3462" t="str">
            <v>MARIA LOURDES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  <cell r="H3463" t="str">
            <v>DISTRIBUIÇÃO</v>
          </cell>
          <cell r="I3463" t="str">
            <v>FOOD SERVICE</v>
          </cell>
          <cell r="J3463" t="str">
            <v>MARCELO DUARTE</v>
          </cell>
          <cell r="K3463" t="str">
            <v>ITAMBÉ</v>
          </cell>
          <cell r="L3463" t="str">
            <v>RODRIGO</v>
          </cell>
          <cell r="M3463" t="str">
            <v>JESSICA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  <cell r="H3464" t="str">
            <v>DISTRIBUIÇÃO</v>
          </cell>
          <cell r="I3464" t="str">
            <v>FOOD SERVICE</v>
          </cell>
          <cell r="J3464" t="str">
            <v>CLAUDIO JORGE/LUIZ</v>
          </cell>
          <cell r="K3464" t="str">
            <v>ITAMBÉ</v>
          </cell>
          <cell r="L3464" t="str">
            <v>RODRIGO</v>
          </cell>
          <cell r="M3464" t="str">
            <v>MARIA LOURDES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  <cell r="H3465" t="str">
            <v>INGREDIENTS</v>
          </cell>
          <cell r="I3465" t="str">
            <v>INGREDIENTS</v>
          </cell>
          <cell r="J3465" t="str">
            <v>DUAS RODAS</v>
          </cell>
          <cell r="K3465" t="str">
            <v>ITAMBÉ</v>
          </cell>
          <cell r="L3465" t="str">
            <v>MAURICIO</v>
          </cell>
          <cell r="M3465" t="str">
            <v>MARCELO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  <cell r="H3466" t="str">
            <v>DISTRIBUIÇÃO</v>
          </cell>
          <cell r="I3466" t="str">
            <v>FOOD SERVICE</v>
          </cell>
          <cell r="J3466" t="str">
            <v>ALEXANDRE BONANI</v>
          </cell>
          <cell r="K3466" t="str">
            <v>ITAMBÉ</v>
          </cell>
          <cell r="L3466" t="str">
            <v>RODRIGO</v>
          </cell>
          <cell r="M3466" t="str">
            <v>ALEXANDRE BONANI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  <cell r="H3467" t="str">
            <v>INGREDIENTS</v>
          </cell>
          <cell r="I3467" t="str">
            <v>INGREDIENTS</v>
          </cell>
          <cell r="J3467" t="str">
            <v>DUAS RODAS</v>
          </cell>
          <cell r="K3467" t="str">
            <v>ITAMBÉ</v>
          </cell>
          <cell r="L3467" t="str">
            <v>MAURICIO</v>
          </cell>
          <cell r="M3467" t="str">
            <v>MARCELO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  <cell r="H3468" t="str">
            <v>DISTRIBUIÇÃO</v>
          </cell>
          <cell r="I3468" t="str">
            <v>FOOD SERVICE</v>
          </cell>
          <cell r="J3468" t="str">
            <v>CLAUDIO JORGE/LUIZ</v>
          </cell>
          <cell r="K3468" t="str">
            <v>ITAMBÉ</v>
          </cell>
          <cell r="L3468" t="str">
            <v>RODRIGO</v>
          </cell>
          <cell r="M3468" t="str">
            <v>MARIA LOURDES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  <cell r="H3469" t="str">
            <v>DISTRIBUIÇÃO</v>
          </cell>
          <cell r="I3469" t="str">
            <v>FOOD SERVICE</v>
          </cell>
          <cell r="J3469" t="str">
            <v>VAGO SP</v>
          </cell>
          <cell r="K3469" t="str">
            <v>ITAMBÉ</v>
          </cell>
          <cell r="L3469" t="str">
            <v>RODRIGO</v>
          </cell>
          <cell r="M3469" t="str">
            <v>RAQUEL BARBOSA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  <cell r="H3470" t="str">
            <v>INGREDIENTS</v>
          </cell>
          <cell r="I3470" t="str">
            <v>INGREDIENTS</v>
          </cell>
          <cell r="J3470" t="str">
            <v>DUAS RODAS</v>
          </cell>
          <cell r="K3470" t="str">
            <v>ITAMBÉ</v>
          </cell>
          <cell r="L3470" t="str">
            <v>MAURICIO</v>
          </cell>
          <cell r="M3470" t="str">
            <v>MARCELO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  <cell r="H3471" t="str">
            <v>INGREDIENTS</v>
          </cell>
          <cell r="I3471" t="str">
            <v>INGREDIENTS</v>
          </cell>
          <cell r="J3471" t="str">
            <v>HENRIQUE FERREIRA</v>
          </cell>
          <cell r="K3471" t="str">
            <v>ITAMBÉ</v>
          </cell>
          <cell r="L3471" t="str">
            <v>MAURICIO</v>
          </cell>
          <cell r="M3471" t="str">
            <v>JOEL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  <cell r="H3472" t="str">
            <v>DISTRIBUIÇÃO</v>
          </cell>
          <cell r="I3472" t="str">
            <v>FOOD SERVICE</v>
          </cell>
          <cell r="J3472" t="str">
            <v>WH FOOD SERVICE CE</v>
          </cell>
          <cell r="K3472" t="str">
            <v>ITAMBÉ</v>
          </cell>
          <cell r="L3472" t="str">
            <v>RODRIGO</v>
          </cell>
          <cell r="M3472" t="str">
            <v>MARIA LOURDES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  <cell r="H3473" t="str">
            <v>DISTRIBUIÇÃO</v>
          </cell>
          <cell r="I3473" t="str">
            <v>FOOD SERVICE</v>
          </cell>
          <cell r="J3473" t="str">
            <v>JULIANA CORDEIRO</v>
          </cell>
          <cell r="K3473" t="str">
            <v>ITAMBÉ</v>
          </cell>
          <cell r="L3473" t="str">
            <v>RODRIGO</v>
          </cell>
          <cell r="M3473" t="str">
            <v>JESSICA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  <cell r="H3474" t="str">
            <v>DISTRIBUIÇÃO</v>
          </cell>
          <cell r="I3474" t="str">
            <v>FOOD SERVICE</v>
          </cell>
          <cell r="J3474" t="str">
            <v>VAGO SP</v>
          </cell>
          <cell r="K3474" t="str">
            <v>ITAMBÉ</v>
          </cell>
          <cell r="L3474" t="str">
            <v>RODRIGO</v>
          </cell>
          <cell r="M3474" t="str">
            <v>RAQUEL BARBOSA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  <cell r="H3475" t="str">
            <v>DISTRIBUIÇÃO</v>
          </cell>
          <cell r="I3475" t="str">
            <v>FOOD SERVICE</v>
          </cell>
          <cell r="J3475" t="str">
            <v>MARCELO DUARTE</v>
          </cell>
          <cell r="K3475" t="str">
            <v>ITAMBÉ</v>
          </cell>
          <cell r="L3475" t="str">
            <v>RODRIGO</v>
          </cell>
          <cell r="M3475" t="str">
            <v>JESSICA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  <cell r="H3476" t="str">
            <v>QSR</v>
          </cell>
          <cell r="I3476" t="str">
            <v>FOOD SERVICE</v>
          </cell>
          <cell r="J3476" t="str">
            <v>VAGO QSR</v>
          </cell>
          <cell r="K3476" t="str">
            <v>ITAMBÉ</v>
          </cell>
          <cell r="L3476" t="str">
            <v>PEDRO</v>
          </cell>
          <cell r="M3476" t="str">
            <v>VAGO QSR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  <cell r="H3477" t="str">
            <v>DISTRIBUIÇÃO</v>
          </cell>
          <cell r="I3477" t="str">
            <v>FOOD SERVICE</v>
          </cell>
          <cell r="J3477" t="str">
            <v>CLAUDIO JORGE/LUIZ</v>
          </cell>
          <cell r="K3477" t="str">
            <v>ITAMBÉ</v>
          </cell>
          <cell r="L3477" t="str">
            <v>RODRIGO</v>
          </cell>
          <cell r="M3477" t="str">
            <v>MARIA LOURDES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  <cell r="H3478" t="str">
            <v>QSR</v>
          </cell>
          <cell r="I3478" t="str">
            <v>FOOD SERVICE</v>
          </cell>
          <cell r="J3478" t="str">
            <v>NUTRI</v>
          </cell>
          <cell r="K3478" t="str">
            <v>ITAMBÉ</v>
          </cell>
          <cell r="L3478" t="str">
            <v>PEDRO</v>
          </cell>
          <cell r="M3478" t="str">
            <v>VAGO QSR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  <cell r="H3479" t="str">
            <v>DISTRIBUIÇÃO</v>
          </cell>
          <cell r="I3479" t="str">
            <v>FOOD SERVICE</v>
          </cell>
          <cell r="J3479" t="str">
            <v>SP ITB FS FLAC REP.E COMERCIO</v>
          </cell>
          <cell r="K3479" t="str">
            <v>ITAMBÉ</v>
          </cell>
          <cell r="L3479" t="str">
            <v>RODRIGO</v>
          </cell>
          <cell r="M3479" t="str">
            <v>RAQUEL BARBOSA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  <cell r="H3480" t="str">
            <v>DISTRIBUIÇÃO</v>
          </cell>
          <cell r="I3480" t="str">
            <v>FOOD SERVICE</v>
          </cell>
          <cell r="J3480" t="str">
            <v>SP ITB FS FLAC REP.E COMERCIO</v>
          </cell>
          <cell r="K3480" t="str">
            <v>ITAMBÉ</v>
          </cell>
          <cell r="L3480" t="str">
            <v>RODRIGO</v>
          </cell>
          <cell r="M3480" t="str">
            <v>RAQUEL BARBOSA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  <cell r="H3481" t="str">
            <v>INGREDIENTS</v>
          </cell>
          <cell r="I3481" t="str">
            <v>INGREDIENTS</v>
          </cell>
          <cell r="J3481" t="str">
            <v>HENRIQUE FERREIRA</v>
          </cell>
          <cell r="K3481" t="str">
            <v>ITAMBÉ</v>
          </cell>
          <cell r="L3481" t="str">
            <v>MAURICIO</v>
          </cell>
          <cell r="M3481" t="str">
            <v>JOEL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  <cell r="H3482" t="str">
            <v>INGREDIENTS</v>
          </cell>
          <cell r="I3482" t="str">
            <v>INGREDIENTS</v>
          </cell>
          <cell r="J3482" t="str">
            <v>JOEL ELEOTÉRIO</v>
          </cell>
          <cell r="K3482" t="str">
            <v>ITAMBÉ</v>
          </cell>
          <cell r="L3482" t="str">
            <v>MAURICIO</v>
          </cell>
          <cell r="M3482" t="str">
            <v>JOEL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  <cell r="H3483" t="str">
            <v>DISTRIBUIÇÃO</v>
          </cell>
          <cell r="I3483" t="str">
            <v>FOOD SERVICE</v>
          </cell>
          <cell r="J3483" t="str">
            <v>WH FOOD SERVICE CE</v>
          </cell>
          <cell r="K3483" t="str">
            <v>ITAMBÉ</v>
          </cell>
          <cell r="L3483" t="str">
            <v>RODRIGO</v>
          </cell>
          <cell r="M3483" t="str">
            <v>MARIA LOURDES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  <cell r="H3484" t="str">
            <v>DISTRIBUIÇÃO</v>
          </cell>
          <cell r="I3484" t="str">
            <v>FOOD SERVICE</v>
          </cell>
          <cell r="J3484" t="str">
            <v>WH FOOD SERVICE CE</v>
          </cell>
          <cell r="K3484" t="str">
            <v>ITAMBÉ</v>
          </cell>
          <cell r="L3484" t="str">
            <v>RODRIGO</v>
          </cell>
          <cell r="M3484" t="str">
            <v>MARIA LOURDES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  <cell r="H3485" t="str">
            <v>DISTRIBUIÇÃO</v>
          </cell>
          <cell r="I3485" t="str">
            <v>FOOD SERVICE</v>
          </cell>
          <cell r="J3485" t="str">
            <v>WH FOOD SERVICE CE</v>
          </cell>
          <cell r="K3485" t="str">
            <v>ITAMBÉ</v>
          </cell>
          <cell r="L3485" t="str">
            <v>RODRIGO</v>
          </cell>
          <cell r="M3485" t="str">
            <v>MARIA LOURDES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  <cell r="H3486" t="str">
            <v>DISTRIBUIÇÃO</v>
          </cell>
          <cell r="I3486" t="str">
            <v>FOOD SERVICE</v>
          </cell>
          <cell r="J3486" t="str">
            <v>MARCELO DUARTE</v>
          </cell>
          <cell r="K3486" t="str">
            <v>ITAMBÉ</v>
          </cell>
          <cell r="L3486" t="str">
            <v>RODRIGO</v>
          </cell>
          <cell r="M3486" t="str">
            <v>JESSICA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  <cell r="H3487" t="str">
            <v>INGREDIENTS</v>
          </cell>
          <cell r="I3487" t="str">
            <v>INGREDIENTS</v>
          </cell>
          <cell r="J3487" t="str">
            <v>TATIANA NITTA</v>
          </cell>
          <cell r="K3487" t="str">
            <v>ITAMBÉ</v>
          </cell>
          <cell r="L3487" t="str">
            <v>MAURICIO</v>
          </cell>
          <cell r="M3487" t="str">
            <v>TATIANA NITTA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  <cell r="H3488" t="str">
            <v>QSR</v>
          </cell>
          <cell r="I3488" t="str">
            <v>FOOD SERVICE</v>
          </cell>
          <cell r="J3488" t="str">
            <v>ANA MENIQUETE</v>
          </cell>
          <cell r="K3488" t="str">
            <v>ITAMBÉ</v>
          </cell>
          <cell r="L3488" t="str">
            <v>PEDRO</v>
          </cell>
          <cell r="M3488" t="str">
            <v>ANA MENIQUETE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  <cell r="H3489" t="str">
            <v>QSR</v>
          </cell>
          <cell r="I3489" t="str">
            <v>FOOD SERVICE</v>
          </cell>
          <cell r="J3489" t="str">
            <v>ANA MENIQUETE</v>
          </cell>
          <cell r="K3489" t="str">
            <v>ITAMBÉ</v>
          </cell>
          <cell r="L3489" t="str">
            <v>PEDRO</v>
          </cell>
          <cell r="M3489" t="str">
            <v>ANA MENIQUETE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  <cell r="H3490" t="str">
            <v>INGREDIENTS</v>
          </cell>
          <cell r="I3490" t="str">
            <v>INGREDIENTS</v>
          </cell>
          <cell r="J3490" t="str">
            <v>TATIANA NITTA</v>
          </cell>
          <cell r="K3490" t="str">
            <v>ITAMBÉ</v>
          </cell>
          <cell r="L3490" t="str">
            <v>MAURICIO</v>
          </cell>
          <cell r="M3490" t="str">
            <v>TATIANA NITTA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  <cell r="H3491" t="str">
            <v>DISTRIBUIÇÃO</v>
          </cell>
          <cell r="I3491" t="str">
            <v>FOOD SERVICE</v>
          </cell>
          <cell r="J3491" t="str">
            <v>WH FOOD SERVICE CE</v>
          </cell>
          <cell r="K3491" t="str">
            <v>ITAMBÉ</v>
          </cell>
          <cell r="L3491" t="str">
            <v>RODRIGO</v>
          </cell>
          <cell r="M3491" t="str">
            <v>MARIA LOURDES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  <cell r="H3492" t="str">
            <v>INGREDIENTS</v>
          </cell>
          <cell r="I3492" t="str">
            <v>INGREDIENTS</v>
          </cell>
          <cell r="J3492" t="str">
            <v>HENRIQUE FERREIRA</v>
          </cell>
          <cell r="K3492" t="str">
            <v>ITAMBÉ</v>
          </cell>
          <cell r="L3492" t="str">
            <v>MAURICIO</v>
          </cell>
          <cell r="M3492" t="str">
            <v>JOEL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  <cell r="H3493" t="str">
            <v>DISTRIBUIÇÃO</v>
          </cell>
          <cell r="I3493" t="str">
            <v>FOOD SERVICE</v>
          </cell>
          <cell r="J3493" t="str">
            <v>RAQUEL BARBOSA</v>
          </cell>
          <cell r="K3493" t="str">
            <v>ITAMBÉ</v>
          </cell>
          <cell r="L3493" t="str">
            <v>RODRIGO</v>
          </cell>
          <cell r="M3493" t="str">
            <v>RAQUEL BARBOSA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  <cell r="H3494" t="str">
            <v>DISTRIBUIÇÃO</v>
          </cell>
          <cell r="I3494" t="str">
            <v>FOOD SERVICE</v>
          </cell>
          <cell r="J3494" t="str">
            <v>SP ITB FS FLAC REP.E COMERCIO</v>
          </cell>
          <cell r="K3494" t="str">
            <v>ITAMBÉ</v>
          </cell>
          <cell r="L3494" t="str">
            <v>RODRIGO</v>
          </cell>
          <cell r="M3494" t="str">
            <v>RAQUEL BARBOSA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  <cell r="H3495" t="str">
            <v>DISTRIBUIÇÃO</v>
          </cell>
          <cell r="I3495" t="str">
            <v>FOOD SERVICE</v>
          </cell>
          <cell r="J3495" t="str">
            <v>MARCELO DUARTE</v>
          </cell>
          <cell r="K3495" t="str">
            <v>ITAMBÉ</v>
          </cell>
          <cell r="L3495" t="str">
            <v>RODRIGO</v>
          </cell>
          <cell r="M3495" t="str">
            <v>JESSICA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  <cell r="H3496" t="str">
            <v>DISTRIBUIÇÃO</v>
          </cell>
          <cell r="I3496" t="str">
            <v>FOOD SERVICE</v>
          </cell>
          <cell r="J3496" t="str">
            <v>CLAUDIO JORGE</v>
          </cell>
          <cell r="K3496" t="str">
            <v>ITAMBÉ</v>
          </cell>
          <cell r="L3496" t="str">
            <v>RODRIGO</v>
          </cell>
          <cell r="M3496" t="str">
            <v>MARCO AURELIO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  <cell r="H3497" t="str">
            <v>DISTRIBUIÇÃO</v>
          </cell>
          <cell r="I3497" t="str">
            <v>FOOD SERVICE</v>
          </cell>
          <cell r="J3497" t="str">
            <v>VAGO SP</v>
          </cell>
          <cell r="K3497" t="str">
            <v>ITAMBÉ</v>
          </cell>
          <cell r="L3497" t="str">
            <v>RODRIGO</v>
          </cell>
          <cell r="M3497" t="str">
            <v>RAQUEL BARBOSA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  <cell r="H3498" t="str">
            <v>DISTRIBUIÇÃO</v>
          </cell>
          <cell r="I3498" t="str">
            <v>FOOD SERVICE</v>
          </cell>
          <cell r="J3498" t="str">
            <v>MARCELO DUARTE</v>
          </cell>
          <cell r="K3498" t="str">
            <v>ITAMBÉ</v>
          </cell>
          <cell r="L3498" t="str">
            <v>RODRIGO</v>
          </cell>
          <cell r="M3498" t="str">
            <v>JESSICA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  <cell r="H3499" t="str">
            <v>DISTRIBUIÇÃO</v>
          </cell>
          <cell r="I3499" t="str">
            <v>FOOD SERVICE</v>
          </cell>
          <cell r="J3499" t="str">
            <v>LUCIANA MARTINS</v>
          </cell>
          <cell r="K3499" t="str">
            <v>ITAMBÉ</v>
          </cell>
          <cell r="L3499" t="str">
            <v>RODRIGO</v>
          </cell>
          <cell r="M3499" t="str">
            <v>JESSICA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  <cell r="H3500" t="str">
            <v>DISTRIBUIÇÃO</v>
          </cell>
          <cell r="I3500" t="str">
            <v>FOOD SERVICE</v>
          </cell>
          <cell r="J3500" t="str">
            <v>CLAUDIO JORGE/LUIZ</v>
          </cell>
          <cell r="K3500" t="str">
            <v>ITAMBÉ</v>
          </cell>
          <cell r="L3500" t="str">
            <v>RODRIGO</v>
          </cell>
          <cell r="M3500" t="str">
            <v>MARIA LOURDES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  <cell r="H3501" t="str">
            <v>DISTRIBUIÇÃO</v>
          </cell>
          <cell r="I3501" t="str">
            <v>FOOD SERVICE</v>
          </cell>
          <cell r="J3501" t="str">
            <v>JULIANA CORDEIRO</v>
          </cell>
          <cell r="K3501" t="str">
            <v>ITAMBÉ</v>
          </cell>
          <cell r="L3501" t="str">
            <v>RODRIGO</v>
          </cell>
          <cell r="M3501" t="str">
            <v>JESSICA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  <cell r="H3502" t="str">
            <v>DISTRIBUIÇÃO</v>
          </cell>
          <cell r="I3502" t="str">
            <v>FOOD SERVICE</v>
          </cell>
          <cell r="J3502" t="str">
            <v>CLAUDIO JORGE</v>
          </cell>
          <cell r="K3502" t="str">
            <v>ITAMBÉ</v>
          </cell>
          <cell r="L3502" t="str">
            <v>RODRIGO</v>
          </cell>
          <cell r="M3502" t="str">
            <v>MARCO AURELIO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  <cell r="H3503" t="str">
            <v>INGREDIENTS</v>
          </cell>
          <cell r="I3503" t="str">
            <v>INGREDIENTS</v>
          </cell>
          <cell r="J3503" t="str">
            <v>ES ITB FS RADTKE REPRES</v>
          </cell>
          <cell r="K3503" t="str">
            <v>ITAMBÉ</v>
          </cell>
          <cell r="L3503" t="str">
            <v>MAURICIO</v>
          </cell>
          <cell r="M3503" t="str">
            <v>JOEL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  <cell r="H3504" t="str">
            <v>DISTRIBUIÇÃO</v>
          </cell>
          <cell r="I3504" t="str">
            <v>FOOD SERVICE</v>
          </cell>
          <cell r="J3504" t="str">
            <v>WH FOOD SERVICE CE</v>
          </cell>
          <cell r="K3504" t="str">
            <v>ITAMBÉ</v>
          </cell>
          <cell r="L3504" t="str">
            <v>RODRIGO</v>
          </cell>
          <cell r="M3504" t="str">
            <v>MARIA LOURDES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  <cell r="H3505" t="str">
            <v>QSR</v>
          </cell>
          <cell r="I3505" t="str">
            <v>FOOD SERVICE</v>
          </cell>
          <cell r="J3505" t="str">
            <v>ANA MENIQUETE</v>
          </cell>
          <cell r="K3505" t="str">
            <v>ITAMBÉ</v>
          </cell>
          <cell r="L3505" t="str">
            <v>PEDRO</v>
          </cell>
          <cell r="M3505" t="str">
            <v>ANA MENIQUETE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  <cell r="H3506" t="str">
            <v>DISTRIBUIÇÃO</v>
          </cell>
          <cell r="I3506" t="str">
            <v>FOOD SERVICE</v>
          </cell>
          <cell r="J3506" t="str">
            <v>CLAUDIO JORGE</v>
          </cell>
          <cell r="K3506" t="str">
            <v>ITAMBÉ</v>
          </cell>
          <cell r="L3506" t="str">
            <v>RODRIGO</v>
          </cell>
          <cell r="M3506" t="str">
            <v>MARCO AURELIO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  <cell r="H3507" t="str">
            <v>DISTRIBUIÇÃO</v>
          </cell>
          <cell r="I3507" t="str">
            <v>FOOD SERVICE</v>
          </cell>
          <cell r="J3507" t="str">
            <v>LUCIANA MARTINS</v>
          </cell>
          <cell r="K3507" t="str">
            <v>ITAMBÉ</v>
          </cell>
          <cell r="L3507" t="str">
            <v>RODRIGO</v>
          </cell>
          <cell r="M3507" t="str">
            <v>JESSICA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  <cell r="H3508" t="str">
            <v>DISTRIBUIÇÃO</v>
          </cell>
          <cell r="I3508" t="str">
            <v>FOOD SERVICE</v>
          </cell>
          <cell r="J3508" t="str">
            <v>CLAUDIO JORGE/LUIZ</v>
          </cell>
          <cell r="K3508" t="str">
            <v>ITAMBÉ</v>
          </cell>
          <cell r="L3508" t="str">
            <v>RODRIGO</v>
          </cell>
          <cell r="M3508" t="str">
            <v>MARIA LOURDES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  <cell r="H3509" t="str">
            <v>DISTRIBUIÇÃO</v>
          </cell>
          <cell r="I3509" t="str">
            <v>FOOD SERVICE</v>
          </cell>
          <cell r="J3509" t="str">
            <v>RAQUEL BARBOSA</v>
          </cell>
          <cell r="K3509" t="str">
            <v>ITAMBÉ</v>
          </cell>
          <cell r="L3509" t="str">
            <v>RODRIGO</v>
          </cell>
          <cell r="M3509" t="str">
            <v>RAQUEL BARBOSA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  <cell r="H3510" t="str">
            <v>INGREDIENTS</v>
          </cell>
          <cell r="I3510" t="str">
            <v>INGREDIENTS</v>
          </cell>
          <cell r="J3510" t="str">
            <v>RJ ITB FS CDR REPRESENTAÇÕES</v>
          </cell>
          <cell r="K3510" t="str">
            <v>ITAMBÉ</v>
          </cell>
          <cell r="L3510" t="str">
            <v>MAURICIO</v>
          </cell>
          <cell r="M3510" t="str">
            <v>TATIANA NITTA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  <cell r="H3511" t="str">
            <v>QSR</v>
          </cell>
          <cell r="I3511" t="str">
            <v>FOOD SERVICE</v>
          </cell>
          <cell r="J3511" t="str">
            <v>ANA MENIQUETE</v>
          </cell>
          <cell r="K3511" t="str">
            <v>ITAMBÉ</v>
          </cell>
          <cell r="L3511" t="str">
            <v>PEDRO</v>
          </cell>
          <cell r="M3511" t="str">
            <v>ANA MENIQUETE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  <cell r="H3512" t="str">
            <v>INGREDIENTS</v>
          </cell>
          <cell r="I3512" t="str">
            <v>INGREDIENTS</v>
          </cell>
          <cell r="J3512" t="str">
            <v>HENRIQUE FERREIRA</v>
          </cell>
          <cell r="K3512" t="str">
            <v>ITAMBÉ</v>
          </cell>
          <cell r="L3512" t="str">
            <v>MAURICIO</v>
          </cell>
          <cell r="M3512" t="str">
            <v>JOEL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  <cell r="H3513" t="str">
            <v>QSR</v>
          </cell>
          <cell r="I3513" t="str">
            <v>FOOD SERVICE</v>
          </cell>
          <cell r="J3513" t="str">
            <v>ANA MENIQUETE</v>
          </cell>
          <cell r="K3513" t="str">
            <v>ITAMBÉ</v>
          </cell>
          <cell r="L3513" t="str">
            <v>PEDRO</v>
          </cell>
          <cell r="M3513" t="str">
            <v>ANA MENIQUETE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  <cell r="H3514" t="str">
            <v>INGREDIENTS</v>
          </cell>
          <cell r="I3514" t="str">
            <v>INGREDIENTS</v>
          </cell>
          <cell r="J3514" t="str">
            <v>ITB FS SPLENDI REPRESENTAÇÕES</v>
          </cell>
          <cell r="K3514" t="str">
            <v>ITAMBÉ</v>
          </cell>
          <cell r="L3514" t="str">
            <v>MAURICIO</v>
          </cell>
          <cell r="M3514" t="str">
            <v>TATIANA NITTA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  <cell r="H3515" t="str">
            <v>DISTRIBUIÇÃO</v>
          </cell>
          <cell r="I3515" t="str">
            <v>FOOD SERVICE</v>
          </cell>
          <cell r="J3515" t="str">
            <v>WH FOOD SERVICE CE</v>
          </cell>
          <cell r="K3515" t="str">
            <v>ITAMBÉ</v>
          </cell>
          <cell r="L3515" t="str">
            <v>RODRIGO</v>
          </cell>
          <cell r="M3515" t="str">
            <v>MARIA LOURDES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  <cell r="H3516" t="str">
            <v>DISTRIBUIÇÃO</v>
          </cell>
          <cell r="I3516" t="str">
            <v>FOOD SERVICE</v>
          </cell>
          <cell r="J3516" t="str">
            <v>MARCELO DUARTE</v>
          </cell>
          <cell r="K3516" t="str">
            <v>ITAMBÉ</v>
          </cell>
          <cell r="L3516" t="str">
            <v>RODRIGO</v>
          </cell>
          <cell r="M3516" t="str">
            <v>JESSICA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  <cell r="H3517" t="str">
            <v>DISTRIBUIÇÃO</v>
          </cell>
          <cell r="I3517" t="str">
            <v>FOOD SERVICE</v>
          </cell>
          <cell r="J3517" t="str">
            <v>LUCIANA MARTINS</v>
          </cell>
          <cell r="K3517" t="str">
            <v>ITAMBÉ</v>
          </cell>
          <cell r="L3517" t="str">
            <v>RODRIGO</v>
          </cell>
          <cell r="M3517" t="str">
            <v>JESSICA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  <cell r="H3518" t="str">
            <v>DISTRIBUIÇÃO</v>
          </cell>
          <cell r="I3518" t="str">
            <v>FOOD SERVICE</v>
          </cell>
          <cell r="J3518" t="str">
            <v>CLAUDIO JORGE/LUIZ</v>
          </cell>
          <cell r="K3518" t="str">
            <v>ITAMBÉ</v>
          </cell>
          <cell r="L3518" t="str">
            <v>RODRIGO</v>
          </cell>
          <cell r="M3518" t="str">
            <v>MARIA LOURDES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  <cell r="H3519" t="str">
            <v>QSR</v>
          </cell>
          <cell r="I3519" t="str">
            <v>FOOD SERVICE</v>
          </cell>
          <cell r="J3519" t="str">
            <v>VAGO QSR</v>
          </cell>
          <cell r="K3519" t="str">
            <v>ITAMBÉ</v>
          </cell>
          <cell r="L3519" t="str">
            <v>PEDRO</v>
          </cell>
          <cell r="M3519" t="str">
            <v>VAGO QSR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  <cell r="H3520" t="str">
            <v>QSR</v>
          </cell>
          <cell r="I3520" t="str">
            <v>FOOD SERVICE</v>
          </cell>
          <cell r="J3520" t="str">
            <v>VAGO QSR</v>
          </cell>
          <cell r="K3520" t="str">
            <v>ITAMBÉ</v>
          </cell>
          <cell r="L3520" t="str">
            <v>PEDRO</v>
          </cell>
          <cell r="M3520" t="str">
            <v>VAGO QSR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  <cell r="H3521" t="str">
            <v>QSR</v>
          </cell>
          <cell r="I3521" t="str">
            <v>FOOD SERVICE</v>
          </cell>
          <cell r="J3521" t="str">
            <v>VAGO QSR</v>
          </cell>
          <cell r="K3521" t="str">
            <v>ITAMBÉ</v>
          </cell>
          <cell r="L3521" t="str">
            <v>PEDRO</v>
          </cell>
          <cell r="M3521" t="str">
            <v>VAGO QSR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  <cell r="H3522" t="str">
            <v>DISTRIBUIÇÃO</v>
          </cell>
          <cell r="I3522" t="str">
            <v>FOOD SERVICE</v>
          </cell>
          <cell r="J3522" t="str">
            <v>GUILHERME NASCIMENTO</v>
          </cell>
          <cell r="K3522" t="str">
            <v>ITAMBÉ</v>
          </cell>
          <cell r="L3522" t="str">
            <v>RODRIGO</v>
          </cell>
          <cell r="M3522" t="str">
            <v>ALEXANDRO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  <cell r="H3523" t="str">
            <v>DISTRIBUIÇÃO</v>
          </cell>
          <cell r="I3523" t="str">
            <v>FOOD SERVICE</v>
          </cell>
          <cell r="J3523" t="str">
            <v>GUILHERME NASCIMENTO</v>
          </cell>
          <cell r="K3523" t="str">
            <v>ITAMBÉ</v>
          </cell>
          <cell r="L3523" t="str">
            <v>RODRIGO</v>
          </cell>
          <cell r="M3523" t="str">
            <v>ALEXANDRO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  <cell r="H3524" t="str">
            <v>DISTRIBUIÇÃO</v>
          </cell>
          <cell r="I3524" t="str">
            <v>FOOD SERVICE</v>
          </cell>
          <cell r="J3524" t="str">
            <v>FLAC 1</v>
          </cell>
          <cell r="K3524" t="str">
            <v>LACTALIS</v>
          </cell>
          <cell r="L3524" t="str">
            <v>RODRIGO</v>
          </cell>
          <cell r="M3524" t="str">
            <v>RAQUEL BARBOSA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  <cell r="H3525" t="str">
            <v>DISTRIBUIÇÃO</v>
          </cell>
          <cell r="I3525" t="str">
            <v>FOOD SERVICE</v>
          </cell>
          <cell r="J3525" t="str">
            <v>LUCIANA MARTINS</v>
          </cell>
          <cell r="K3525" t="str">
            <v>ITAMBÉ</v>
          </cell>
          <cell r="L3525" t="str">
            <v>RODRIGO</v>
          </cell>
          <cell r="M3525" t="str">
            <v>JESSICA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  <cell r="H3526" t="str">
            <v>OUTROS</v>
          </cell>
          <cell r="I3526" t="str">
            <v>OUTROS</v>
          </cell>
          <cell r="J3526" t="str">
            <v>OUTROS</v>
          </cell>
          <cell r="K3526" t="str">
            <v>ITAMBÉ</v>
          </cell>
          <cell r="L3526" t="str">
            <v>OUTROS</v>
          </cell>
          <cell r="M3526" t="str">
            <v>OUTROS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  <cell r="H3527" t="str">
            <v>INGREDIENTS</v>
          </cell>
          <cell r="I3527" t="str">
            <v>INGREDIENTS</v>
          </cell>
          <cell r="J3527" t="str">
            <v>TATIANA NITTA</v>
          </cell>
          <cell r="K3527" t="str">
            <v>ITAMBÉ</v>
          </cell>
          <cell r="L3527" t="str">
            <v>MAURICIO</v>
          </cell>
          <cell r="M3527" t="str">
            <v>TATIANA NITTA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  <cell r="H3528" t="str">
            <v>DISTRIBUIÇÃO</v>
          </cell>
          <cell r="I3528" t="str">
            <v>FOOD SERVICE</v>
          </cell>
          <cell r="J3528" t="str">
            <v>CLAUDIO JORGE</v>
          </cell>
          <cell r="K3528" t="str">
            <v>ITAMBÉ</v>
          </cell>
          <cell r="L3528" t="str">
            <v>RODRIGO</v>
          </cell>
          <cell r="M3528" t="str">
            <v>MARCO AURELIO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  <cell r="H3529" t="str">
            <v>DISTRIBUIÇÃO</v>
          </cell>
          <cell r="I3529" t="str">
            <v>FOOD SERVICE</v>
          </cell>
          <cell r="J3529" t="str">
            <v>JULIANA CORDEIRO</v>
          </cell>
          <cell r="K3529" t="str">
            <v>ITAMBÉ</v>
          </cell>
          <cell r="L3529" t="str">
            <v>RODRIGO</v>
          </cell>
          <cell r="M3529" t="str">
            <v>JESSICA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  <cell r="H3530" t="str">
            <v>QSR</v>
          </cell>
          <cell r="I3530" t="str">
            <v>FOOD SERVICE</v>
          </cell>
          <cell r="J3530" t="str">
            <v>VAGO QSR</v>
          </cell>
          <cell r="K3530" t="str">
            <v>ITAMBÉ</v>
          </cell>
          <cell r="L3530" t="str">
            <v>PEDRO</v>
          </cell>
          <cell r="M3530" t="str">
            <v>VAGO QSR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  <cell r="H3531" t="str">
            <v>DISTRIBUIÇÃO</v>
          </cell>
          <cell r="I3531" t="str">
            <v>FOOD SERVICE</v>
          </cell>
          <cell r="J3531" t="str">
            <v>SP ITB FS FLAC REP.E COMERCIO</v>
          </cell>
          <cell r="K3531" t="str">
            <v>ITAMBÉ</v>
          </cell>
          <cell r="L3531" t="str">
            <v>RODRIGO</v>
          </cell>
          <cell r="M3531" t="str">
            <v>RAQUEL BARBOSA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  <cell r="H3532" t="str">
            <v>INGREDIENTS</v>
          </cell>
          <cell r="I3532" t="str">
            <v>INGREDIENTS</v>
          </cell>
          <cell r="J3532" t="str">
            <v>RJ ITB FS CDR REPRESENTAÇÕES</v>
          </cell>
          <cell r="K3532" t="str">
            <v>ITAMBÉ</v>
          </cell>
          <cell r="L3532" t="str">
            <v>MAURICIO</v>
          </cell>
          <cell r="M3532" t="str">
            <v>TATIANA NITTA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  <cell r="H3533" t="str">
            <v>DISTRIBUIÇÃO</v>
          </cell>
          <cell r="I3533" t="str">
            <v>FOOD SERVICE</v>
          </cell>
          <cell r="J3533" t="str">
            <v>LUCIANA MARTINS</v>
          </cell>
          <cell r="K3533" t="str">
            <v>ITAMBÉ</v>
          </cell>
          <cell r="L3533" t="str">
            <v>RODRIGO</v>
          </cell>
          <cell r="M3533" t="str">
            <v>JESSICA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  <cell r="H3534" t="str">
            <v>QSR</v>
          </cell>
          <cell r="I3534" t="str">
            <v>FOOD SERVICE</v>
          </cell>
          <cell r="J3534" t="str">
            <v>ANA MENIQUETE</v>
          </cell>
          <cell r="K3534" t="str">
            <v>ITAMBÉ</v>
          </cell>
          <cell r="L3534" t="str">
            <v>PEDRO</v>
          </cell>
          <cell r="M3534" t="str">
            <v>ANA MENIQUETE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  <cell r="H3535" t="str">
            <v>INGREDIENTS</v>
          </cell>
          <cell r="I3535" t="str">
            <v>INGREDIENTS</v>
          </cell>
          <cell r="J3535" t="str">
            <v>BA ITB FS ML FLAVORS</v>
          </cell>
          <cell r="K3535" t="str">
            <v>ITAMBÉ</v>
          </cell>
          <cell r="L3535" t="str">
            <v>MAURICIO</v>
          </cell>
          <cell r="M3535" t="str">
            <v>JOEL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  <cell r="H3536" t="str">
            <v>INGREDIENTS</v>
          </cell>
          <cell r="I3536" t="str">
            <v>INGREDIENTS</v>
          </cell>
          <cell r="J3536" t="str">
            <v>BA ITB FS ML FLAVORS</v>
          </cell>
          <cell r="K3536" t="str">
            <v>ITAMBÉ</v>
          </cell>
          <cell r="L3536" t="str">
            <v>MAURICIO</v>
          </cell>
          <cell r="M3536" t="str">
            <v>JOEL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  <cell r="H3537" t="str">
            <v>QSR</v>
          </cell>
          <cell r="I3537" t="str">
            <v>FOOD SERVICE</v>
          </cell>
          <cell r="J3537" t="str">
            <v>ANA MENIQUETE</v>
          </cell>
          <cell r="K3537" t="str">
            <v>ITAMBÉ</v>
          </cell>
          <cell r="L3537" t="str">
            <v>PEDRO</v>
          </cell>
          <cell r="M3537" t="str">
            <v>ANA MENIQUETE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  <cell r="H3538" t="str">
            <v>QSR</v>
          </cell>
          <cell r="I3538" t="str">
            <v>FOOD SERVICE</v>
          </cell>
          <cell r="J3538" t="str">
            <v>NUTRI</v>
          </cell>
          <cell r="K3538" t="str">
            <v>ITAMBÉ</v>
          </cell>
          <cell r="L3538" t="str">
            <v>PEDRO</v>
          </cell>
          <cell r="M3538" t="str">
            <v>VAGO QSR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  <cell r="H3539" t="str">
            <v>QSR</v>
          </cell>
          <cell r="I3539" t="str">
            <v>FOOD SERVICE</v>
          </cell>
          <cell r="J3539" t="str">
            <v>NUTRI</v>
          </cell>
          <cell r="K3539" t="str">
            <v>ITAMBÉ</v>
          </cell>
          <cell r="L3539" t="str">
            <v>PEDRO</v>
          </cell>
          <cell r="M3539" t="str">
            <v>VAGO QSR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  <cell r="H3540" t="str">
            <v>INGREDIENTS</v>
          </cell>
          <cell r="I3540" t="str">
            <v>INGREDIENTS</v>
          </cell>
          <cell r="J3540" t="str">
            <v>MARCELO RODRIGUES</v>
          </cell>
          <cell r="K3540" t="str">
            <v>ITAMBÉ</v>
          </cell>
          <cell r="L3540" t="str">
            <v>MAURICIO</v>
          </cell>
          <cell r="M3540" t="str">
            <v>MARCELO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  <cell r="H3541" t="str">
            <v>DISTRIBUIÇÃO</v>
          </cell>
          <cell r="I3541" t="str">
            <v>FOOD SERVICE</v>
          </cell>
          <cell r="J3541" t="str">
            <v>CLAUDIO JORGE/LUIZ</v>
          </cell>
          <cell r="K3541" t="str">
            <v>ITAMBÉ</v>
          </cell>
          <cell r="L3541" t="str">
            <v>RODRIGO</v>
          </cell>
          <cell r="M3541" t="str">
            <v>MARIA LOURDES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  <cell r="H3542" t="str">
            <v>DISTRIBUIÇÃO</v>
          </cell>
          <cell r="I3542" t="str">
            <v>FOOD SERVICE</v>
          </cell>
          <cell r="J3542" t="str">
            <v>VAGO SP</v>
          </cell>
          <cell r="K3542" t="str">
            <v>ITAMBÉ</v>
          </cell>
          <cell r="L3542" t="str">
            <v>RODRIGO</v>
          </cell>
          <cell r="M3542" t="str">
            <v>RAQUEL BARBOSA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  <cell r="H3543" t="str">
            <v>INGREDIENTS</v>
          </cell>
          <cell r="I3543" t="str">
            <v>INGREDIENTS</v>
          </cell>
          <cell r="J3543" t="str">
            <v>DUAS RODAS</v>
          </cell>
          <cell r="K3543" t="str">
            <v>ITAMBÉ</v>
          </cell>
          <cell r="L3543" t="str">
            <v>MAURICIO</v>
          </cell>
          <cell r="M3543" t="str">
            <v>MARCELO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  <cell r="H3544" t="str">
            <v>INGREDIENTS</v>
          </cell>
          <cell r="I3544" t="str">
            <v>INGREDIENTS</v>
          </cell>
          <cell r="J3544" t="str">
            <v>ITB FS SPLENDI REPRESENTAÇÕES</v>
          </cell>
          <cell r="K3544" t="str">
            <v>ITAMBÉ</v>
          </cell>
          <cell r="L3544" t="str">
            <v>MAURICIO</v>
          </cell>
          <cell r="M3544" t="str">
            <v>TATIANA NITTA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  <cell r="H3545" t="str">
            <v>DISTRIBUIÇÃO</v>
          </cell>
          <cell r="I3545" t="str">
            <v>FOOD SERVICE</v>
          </cell>
          <cell r="J3545" t="str">
            <v>SP ITB FS FLAC REP.E COMERCIO</v>
          </cell>
          <cell r="K3545" t="str">
            <v>ITAMBÉ</v>
          </cell>
          <cell r="L3545" t="str">
            <v>RODRIGO</v>
          </cell>
          <cell r="M3545" t="str">
            <v>RAQUEL BARBOSA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  <cell r="H3546" t="str">
            <v>INGREDIENTS</v>
          </cell>
          <cell r="I3546" t="str">
            <v>INGREDIENTS</v>
          </cell>
          <cell r="J3546" t="str">
            <v>TATIANA NITTA</v>
          </cell>
          <cell r="K3546" t="str">
            <v>ITAMBÉ</v>
          </cell>
          <cell r="L3546" t="str">
            <v>MAURICIO</v>
          </cell>
          <cell r="M3546" t="str">
            <v>TATIANA NITTA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  <cell r="H3547" t="str">
            <v>DISTRIBUIÇÃO</v>
          </cell>
          <cell r="I3547" t="str">
            <v>FOOD SERVICE</v>
          </cell>
          <cell r="J3547" t="str">
            <v>GUILHERME NASCIMENTO</v>
          </cell>
          <cell r="K3547" t="str">
            <v>ITAMBÉ</v>
          </cell>
          <cell r="L3547" t="str">
            <v>RODRIGO</v>
          </cell>
          <cell r="M3547" t="str">
            <v>ALEXANDRO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  <cell r="H3548" t="str">
            <v>INGREDIENTS</v>
          </cell>
          <cell r="I3548" t="str">
            <v>INGREDIENTS</v>
          </cell>
          <cell r="J3548" t="str">
            <v>SP ITB FS LUIZ PEREIRA</v>
          </cell>
          <cell r="K3548" t="str">
            <v>ITAMBÉ</v>
          </cell>
          <cell r="L3548" t="str">
            <v>MAURICIO</v>
          </cell>
          <cell r="M3548" t="str">
            <v>TATIANA NITTA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  <cell r="H3549" t="str">
            <v>INGREDIENTS</v>
          </cell>
          <cell r="I3549" t="str">
            <v>INGREDIENTS</v>
          </cell>
          <cell r="J3549" t="str">
            <v>TATIANA NITTA</v>
          </cell>
          <cell r="K3549" t="str">
            <v>ITAMBÉ</v>
          </cell>
          <cell r="L3549" t="str">
            <v>MAURICIO</v>
          </cell>
          <cell r="M3549" t="str">
            <v>TATIANA NITTA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  <cell r="H3550" t="str">
            <v>DISTRIBUIÇÃO</v>
          </cell>
          <cell r="I3550" t="str">
            <v>FOOD SERVICE</v>
          </cell>
          <cell r="J3550" t="str">
            <v>CLAUDIO JORGE</v>
          </cell>
          <cell r="K3550" t="str">
            <v>ITAMBÉ</v>
          </cell>
          <cell r="L3550" t="str">
            <v>RODRIGO</v>
          </cell>
          <cell r="M3550" t="str">
            <v>MARIA LOURDES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  <cell r="H3551" t="str">
            <v>INGREDIENTS</v>
          </cell>
          <cell r="I3551" t="str">
            <v>INGREDIENTS</v>
          </cell>
          <cell r="J3551" t="str">
            <v>SP ITB FS LUIZ PEREIRA</v>
          </cell>
          <cell r="K3551" t="str">
            <v>ITAMBÉ</v>
          </cell>
          <cell r="L3551" t="str">
            <v>MAURICIO</v>
          </cell>
          <cell r="M3551" t="str">
            <v>TATIANA NITTA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  <cell r="H3552" t="str">
            <v>DISTRIBUIÇÃO</v>
          </cell>
          <cell r="I3552" t="str">
            <v>FOOD SERVICE</v>
          </cell>
          <cell r="J3552" t="str">
            <v>VAGO SP</v>
          </cell>
          <cell r="K3552" t="str">
            <v>ITAMBÉ</v>
          </cell>
          <cell r="L3552" t="str">
            <v>RODRIGO</v>
          </cell>
          <cell r="M3552" t="str">
            <v>RAQUEL BARBOSA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  <cell r="H3553" t="str">
            <v>QSR</v>
          </cell>
          <cell r="I3553" t="str">
            <v>FOOD SERVICE</v>
          </cell>
          <cell r="J3553" t="str">
            <v>VAGO QSR</v>
          </cell>
          <cell r="K3553" t="str">
            <v>ITAMBÉ</v>
          </cell>
          <cell r="L3553" t="str">
            <v>PEDRO</v>
          </cell>
          <cell r="M3553" t="str">
            <v>VAGO QSR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  <cell r="H3554" t="str">
            <v>QSR</v>
          </cell>
          <cell r="I3554" t="str">
            <v>FOOD SERVICE</v>
          </cell>
          <cell r="J3554" t="str">
            <v>VAGO QSR</v>
          </cell>
          <cell r="K3554" t="str">
            <v>ITAMBÉ</v>
          </cell>
          <cell r="L3554" t="str">
            <v>PEDRO</v>
          </cell>
          <cell r="M3554" t="str">
            <v>VAGO QSR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  <cell r="H3555" t="str">
            <v>QSR</v>
          </cell>
          <cell r="I3555" t="str">
            <v>FOOD SERVICE</v>
          </cell>
          <cell r="J3555" t="str">
            <v>VAGO QSR</v>
          </cell>
          <cell r="K3555" t="str">
            <v>ITAMBÉ</v>
          </cell>
          <cell r="L3555" t="str">
            <v>PEDRO</v>
          </cell>
          <cell r="M3555" t="str">
            <v>VAGO QSR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  <cell r="H3556" t="str">
            <v>QSR</v>
          </cell>
          <cell r="I3556" t="str">
            <v>FOOD SERVICE</v>
          </cell>
          <cell r="J3556" t="str">
            <v>VAGO QSR</v>
          </cell>
          <cell r="K3556" t="str">
            <v>ITAMBÉ</v>
          </cell>
          <cell r="L3556" t="str">
            <v>PEDRO</v>
          </cell>
          <cell r="M3556" t="str">
            <v>VAGO QSR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  <cell r="H3557" t="str">
            <v>QSR</v>
          </cell>
          <cell r="I3557" t="str">
            <v>FOOD SERVICE</v>
          </cell>
          <cell r="J3557" t="str">
            <v>VAGO QSR</v>
          </cell>
          <cell r="K3557" t="str">
            <v>ITAMBÉ</v>
          </cell>
          <cell r="L3557" t="str">
            <v>PEDRO</v>
          </cell>
          <cell r="M3557" t="str">
            <v>VAGO QSR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  <cell r="H3558" t="str">
            <v>QSR</v>
          </cell>
          <cell r="I3558" t="str">
            <v>FOOD SERVICE</v>
          </cell>
          <cell r="J3558" t="str">
            <v>VAGO QSR</v>
          </cell>
          <cell r="K3558" t="str">
            <v>ITAMBÉ</v>
          </cell>
          <cell r="L3558" t="str">
            <v>PEDRO</v>
          </cell>
          <cell r="M3558" t="str">
            <v>VAGO QSR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  <cell r="H3559" t="str">
            <v>QSR</v>
          </cell>
          <cell r="I3559" t="str">
            <v>FOOD SERVICE</v>
          </cell>
          <cell r="J3559" t="str">
            <v>VAGO QSR</v>
          </cell>
          <cell r="K3559" t="str">
            <v>ITAMBÉ</v>
          </cell>
          <cell r="L3559" t="str">
            <v>PEDRO</v>
          </cell>
          <cell r="M3559" t="str">
            <v>VAGO QSR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  <cell r="H3560" t="str">
            <v>QSR</v>
          </cell>
          <cell r="I3560" t="str">
            <v>FOOD SERVICE</v>
          </cell>
          <cell r="J3560" t="str">
            <v>VAGO QSR</v>
          </cell>
          <cell r="K3560" t="str">
            <v>ITAMBÉ</v>
          </cell>
          <cell r="L3560" t="str">
            <v>PEDRO</v>
          </cell>
          <cell r="M3560" t="str">
            <v>VAGO QSR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  <cell r="H3561" t="str">
            <v>QSR</v>
          </cell>
          <cell r="I3561" t="str">
            <v>FOOD SERVICE</v>
          </cell>
          <cell r="J3561" t="str">
            <v>VAGO QSR</v>
          </cell>
          <cell r="K3561" t="str">
            <v>ITAMBÉ</v>
          </cell>
          <cell r="L3561" t="str">
            <v>PEDRO</v>
          </cell>
          <cell r="M3561" t="str">
            <v>VAGO QSR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  <cell r="H3562" t="str">
            <v>QSR</v>
          </cell>
          <cell r="I3562" t="str">
            <v>FOOD SERVICE</v>
          </cell>
          <cell r="J3562" t="str">
            <v>VAGO QSR</v>
          </cell>
          <cell r="K3562" t="str">
            <v>ITAMBÉ</v>
          </cell>
          <cell r="L3562" t="str">
            <v>PEDRO</v>
          </cell>
          <cell r="M3562" t="str">
            <v>VAGO QSR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  <cell r="H3563" t="str">
            <v>QSR</v>
          </cell>
          <cell r="I3563" t="str">
            <v>FOOD SERVICE</v>
          </cell>
          <cell r="J3563" t="str">
            <v>VAGO QSR</v>
          </cell>
          <cell r="K3563" t="str">
            <v>ITAMBÉ</v>
          </cell>
          <cell r="L3563" t="str">
            <v>PEDRO</v>
          </cell>
          <cell r="M3563" t="str">
            <v>VAGO QSR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  <cell r="H3564" t="str">
            <v>QSR</v>
          </cell>
          <cell r="I3564" t="str">
            <v>FOOD SERVICE</v>
          </cell>
          <cell r="J3564" t="str">
            <v>VAGO QSR</v>
          </cell>
          <cell r="K3564" t="str">
            <v>ITAMBÉ</v>
          </cell>
          <cell r="L3564" t="str">
            <v>PEDRO</v>
          </cell>
          <cell r="M3564" t="str">
            <v>VAGO QSR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  <cell r="H3565" t="str">
            <v>DISTRIBUIÇÃO</v>
          </cell>
          <cell r="I3565" t="str">
            <v>FOOD SERVICE</v>
          </cell>
          <cell r="J3565" t="str">
            <v>JULIANA CORDEIRO</v>
          </cell>
          <cell r="K3565" t="str">
            <v>ITAMBÉ</v>
          </cell>
          <cell r="L3565" t="str">
            <v>RODRIGO</v>
          </cell>
          <cell r="M3565" t="str">
            <v>JESSICA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  <cell r="H3566" t="str">
            <v>INGREDIENTS</v>
          </cell>
          <cell r="I3566" t="str">
            <v>INGREDIENTS</v>
          </cell>
          <cell r="J3566" t="str">
            <v>TATIANA NITTA</v>
          </cell>
          <cell r="K3566" t="str">
            <v>ITAMBÉ</v>
          </cell>
          <cell r="L3566" t="str">
            <v>MAURICIO</v>
          </cell>
          <cell r="M3566" t="str">
            <v>TATIANA NITTA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  <cell r="H3567" t="str">
            <v>DISTRIBUIÇÃO</v>
          </cell>
          <cell r="I3567" t="str">
            <v>FOOD SERVICE</v>
          </cell>
          <cell r="J3567" t="str">
            <v>JULIANA CORDEIRO</v>
          </cell>
          <cell r="K3567" t="str">
            <v>ITAMBÉ</v>
          </cell>
          <cell r="L3567" t="str">
            <v>RODRIGO</v>
          </cell>
          <cell r="M3567" t="str">
            <v>JESSICA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  <cell r="H3568" t="str">
            <v>QSR</v>
          </cell>
          <cell r="I3568" t="str">
            <v>FOOD SERVICE</v>
          </cell>
          <cell r="J3568" t="str">
            <v>VAGO QSR</v>
          </cell>
          <cell r="K3568" t="str">
            <v>ITAMBÉ</v>
          </cell>
          <cell r="L3568" t="str">
            <v>PEDRO</v>
          </cell>
          <cell r="M3568" t="str">
            <v>VAGO QSR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  <cell r="H3569" t="str">
            <v>QSR</v>
          </cell>
          <cell r="I3569" t="str">
            <v>FOOD SERVICE</v>
          </cell>
          <cell r="J3569" t="str">
            <v>VAGO QSR</v>
          </cell>
          <cell r="K3569" t="str">
            <v>ITAMBÉ</v>
          </cell>
          <cell r="L3569" t="str">
            <v>PEDRO</v>
          </cell>
          <cell r="M3569" t="str">
            <v>VAGO QSR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  <cell r="H3570" t="str">
            <v>QSR</v>
          </cell>
          <cell r="I3570" t="str">
            <v>FOOD SERVICE</v>
          </cell>
          <cell r="J3570" t="str">
            <v>VAGO QSR</v>
          </cell>
          <cell r="K3570" t="str">
            <v>ITAMBÉ</v>
          </cell>
          <cell r="L3570" t="str">
            <v>PEDRO</v>
          </cell>
          <cell r="M3570" t="str">
            <v>VAGO QSR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  <cell r="H3571" t="str">
            <v>QSR</v>
          </cell>
          <cell r="I3571" t="str">
            <v>FOOD SERVICE</v>
          </cell>
          <cell r="J3571" t="str">
            <v>VAGO QSR</v>
          </cell>
          <cell r="K3571" t="str">
            <v>ITAMBÉ</v>
          </cell>
          <cell r="L3571" t="str">
            <v>PEDRO</v>
          </cell>
          <cell r="M3571" t="str">
            <v>VAGO QSR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  <cell r="H3572" t="str">
            <v>QSR</v>
          </cell>
          <cell r="I3572" t="str">
            <v>FOOD SERVICE</v>
          </cell>
          <cell r="J3572" t="str">
            <v>VAGO QSR</v>
          </cell>
          <cell r="K3572" t="str">
            <v>ITAMBÉ</v>
          </cell>
          <cell r="L3572" t="str">
            <v>PEDRO</v>
          </cell>
          <cell r="M3572" t="str">
            <v>VAGO QSR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  <cell r="H3573" t="str">
            <v>DISTRIBUIÇÃO</v>
          </cell>
          <cell r="I3573" t="str">
            <v>FOOD SERVICE</v>
          </cell>
          <cell r="J3573" t="str">
            <v>VAGO SP</v>
          </cell>
          <cell r="K3573" t="str">
            <v>ITAMBÉ</v>
          </cell>
          <cell r="L3573" t="str">
            <v>RODRIGO</v>
          </cell>
          <cell r="M3573" t="str">
            <v>RAQUEL BARBOSA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  <cell r="H3574" t="str">
            <v>QSR</v>
          </cell>
          <cell r="I3574" t="str">
            <v>FOOD SERVICE</v>
          </cell>
          <cell r="J3574" t="str">
            <v>VAGO QSR</v>
          </cell>
          <cell r="K3574" t="str">
            <v>ITAMBÉ</v>
          </cell>
          <cell r="L3574" t="str">
            <v>PEDRO</v>
          </cell>
          <cell r="M3574" t="str">
            <v>VAGO QSR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  <cell r="H3575" t="str">
            <v>QSR</v>
          </cell>
          <cell r="I3575" t="str">
            <v>FOOD SERVICE</v>
          </cell>
          <cell r="J3575" t="str">
            <v>VAGO QSR</v>
          </cell>
          <cell r="K3575" t="str">
            <v>ITAMBÉ</v>
          </cell>
          <cell r="L3575" t="str">
            <v>PEDRO</v>
          </cell>
          <cell r="M3575" t="str">
            <v>VAGO QSR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  <cell r="H3576" t="str">
            <v>QSR</v>
          </cell>
          <cell r="I3576" t="str">
            <v>FOOD SERVICE</v>
          </cell>
          <cell r="J3576" t="str">
            <v>VAGO QSR</v>
          </cell>
          <cell r="K3576" t="str">
            <v>ITAMBÉ</v>
          </cell>
          <cell r="L3576" t="str">
            <v>PEDRO</v>
          </cell>
          <cell r="M3576" t="str">
            <v>VAGO QSR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  <cell r="H3577" t="str">
            <v>QSR</v>
          </cell>
          <cell r="I3577" t="str">
            <v>FOOD SERVICE</v>
          </cell>
          <cell r="J3577" t="str">
            <v>VAGO QSR</v>
          </cell>
          <cell r="K3577" t="str">
            <v>ITAMBÉ</v>
          </cell>
          <cell r="L3577" t="str">
            <v>PEDRO</v>
          </cell>
          <cell r="M3577" t="str">
            <v>VAGO QSR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  <cell r="H3578" t="str">
            <v>QSR</v>
          </cell>
          <cell r="I3578" t="str">
            <v>FOOD SERVICE</v>
          </cell>
          <cell r="J3578" t="str">
            <v>VAGO QSR</v>
          </cell>
          <cell r="K3578" t="str">
            <v>ITAMBÉ</v>
          </cell>
          <cell r="L3578" t="str">
            <v>PEDRO</v>
          </cell>
          <cell r="M3578" t="str">
            <v>VAGO QSR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  <cell r="H3579" t="str">
            <v>QSR</v>
          </cell>
          <cell r="I3579" t="str">
            <v>FOOD SERVICE</v>
          </cell>
          <cell r="J3579" t="str">
            <v>VAGO QSR</v>
          </cell>
          <cell r="K3579" t="str">
            <v>ITAMBÉ</v>
          </cell>
          <cell r="L3579" t="str">
            <v>PEDRO</v>
          </cell>
          <cell r="M3579" t="str">
            <v>VAGO QSR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  <cell r="H3580" t="str">
            <v>QSR</v>
          </cell>
          <cell r="I3580" t="str">
            <v>FOOD SERVICE</v>
          </cell>
          <cell r="J3580" t="str">
            <v>VAGO QSR</v>
          </cell>
          <cell r="K3580" t="str">
            <v>ITAMBÉ</v>
          </cell>
          <cell r="L3580" t="str">
            <v>PEDRO</v>
          </cell>
          <cell r="M3580" t="str">
            <v>VAGO QSR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  <cell r="H3581" t="str">
            <v>QSR</v>
          </cell>
          <cell r="I3581" t="str">
            <v>FOOD SERVICE</v>
          </cell>
          <cell r="J3581" t="str">
            <v>VAGO QSR</v>
          </cell>
          <cell r="K3581" t="str">
            <v>ITAMBÉ</v>
          </cell>
          <cell r="L3581" t="str">
            <v>PEDRO</v>
          </cell>
          <cell r="M3581" t="str">
            <v>VAGO QSR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  <cell r="H3582" t="str">
            <v>QSR</v>
          </cell>
          <cell r="I3582" t="str">
            <v>FOOD SERVICE</v>
          </cell>
          <cell r="J3582" t="str">
            <v>VAGO QSR</v>
          </cell>
          <cell r="K3582" t="str">
            <v>ITAMBÉ</v>
          </cell>
          <cell r="L3582" t="str">
            <v>PEDRO</v>
          </cell>
          <cell r="M3582" t="str">
            <v>VAGO QSR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  <cell r="H3583" t="str">
            <v>INGREDIENTS</v>
          </cell>
          <cell r="I3583" t="str">
            <v>INGREDIENTS</v>
          </cell>
          <cell r="J3583" t="str">
            <v>HENRIQUE FERREIRA</v>
          </cell>
          <cell r="K3583" t="str">
            <v>ITAMBÉ</v>
          </cell>
          <cell r="L3583" t="str">
            <v>MAURICIO</v>
          </cell>
          <cell r="M3583" t="str">
            <v>JOEL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  <cell r="H3584" t="str">
            <v>DISTRIBUIÇÃO</v>
          </cell>
          <cell r="I3584" t="str">
            <v>FOOD SERVICE</v>
          </cell>
          <cell r="J3584" t="str">
            <v>VAGO SP</v>
          </cell>
          <cell r="K3584" t="str">
            <v>ITAMBÉ</v>
          </cell>
          <cell r="L3584" t="str">
            <v>RODRIGO</v>
          </cell>
          <cell r="M3584" t="str">
            <v>RAQUEL BARBOSA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  <cell r="H3585" t="str">
            <v>INGREDIENTS</v>
          </cell>
          <cell r="I3585" t="str">
            <v>INGREDIENTS</v>
          </cell>
          <cell r="J3585" t="str">
            <v>TATIANA NITTA</v>
          </cell>
          <cell r="K3585" t="str">
            <v>ITAMBÉ</v>
          </cell>
          <cell r="L3585" t="str">
            <v>MAURICIO</v>
          </cell>
          <cell r="M3585" t="str">
            <v>TATIANA NITTA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  <cell r="H3586" t="str">
            <v>DISTRIBUIÇÃO</v>
          </cell>
          <cell r="I3586" t="str">
            <v>FOOD SERVICE</v>
          </cell>
          <cell r="J3586" t="str">
            <v>CLAUDIO JORGE/LUIZ</v>
          </cell>
          <cell r="K3586" t="str">
            <v>ITAMBÉ</v>
          </cell>
          <cell r="L3586" t="str">
            <v>RODRIGO</v>
          </cell>
          <cell r="M3586" t="str">
            <v>MARIA LOURDES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  <cell r="H3587" t="str">
            <v>DISTRIBUIÇÃO</v>
          </cell>
          <cell r="I3587" t="str">
            <v>FOOD SERVICE</v>
          </cell>
          <cell r="J3587" t="str">
            <v>MARCELO DUARTE</v>
          </cell>
          <cell r="K3587" t="str">
            <v>ITAMBÉ</v>
          </cell>
          <cell r="L3587" t="str">
            <v>RODRIGO</v>
          </cell>
          <cell r="M3587" t="str">
            <v>JESSICA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  <cell r="H3588" t="str">
            <v>INGREDIENTS</v>
          </cell>
          <cell r="I3588" t="str">
            <v>INGREDIENTS</v>
          </cell>
          <cell r="J3588" t="str">
            <v>HENRIQUE FERREIRA</v>
          </cell>
          <cell r="K3588" t="str">
            <v>ITAMBÉ</v>
          </cell>
          <cell r="L3588" t="str">
            <v>MAURICIO</v>
          </cell>
          <cell r="M3588" t="str">
            <v>JOEL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  <cell r="H3589" t="str">
            <v>DISTRIBUIÇÃO</v>
          </cell>
          <cell r="I3589" t="str">
            <v>FOOD SERVICE</v>
          </cell>
          <cell r="J3589" t="str">
            <v>MARCELO DUARTE</v>
          </cell>
          <cell r="K3589" t="str">
            <v>ITAMBÉ</v>
          </cell>
          <cell r="L3589" t="str">
            <v>RODRIGO</v>
          </cell>
          <cell r="M3589" t="str">
            <v>JESSICA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  <cell r="H3590" t="str">
            <v>QSR</v>
          </cell>
          <cell r="I3590" t="str">
            <v>FOOD SERVICE</v>
          </cell>
          <cell r="J3590" t="str">
            <v>VAGO QSR</v>
          </cell>
          <cell r="K3590" t="str">
            <v>ITAMBÉ</v>
          </cell>
          <cell r="L3590" t="str">
            <v>PEDRO</v>
          </cell>
          <cell r="M3590" t="str">
            <v>VAGO QSR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  <cell r="H3591" t="str">
            <v>QSR</v>
          </cell>
          <cell r="I3591" t="str">
            <v>FOOD SERVICE</v>
          </cell>
          <cell r="J3591" t="str">
            <v>VAGO QSR</v>
          </cell>
          <cell r="K3591" t="str">
            <v>ITAMBÉ</v>
          </cell>
          <cell r="L3591" t="str">
            <v>PEDRO</v>
          </cell>
          <cell r="M3591" t="str">
            <v>VAGO QSR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  <cell r="H3592" t="str">
            <v>QSR</v>
          </cell>
          <cell r="I3592" t="str">
            <v>FOOD SERVICE</v>
          </cell>
          <cell r="J3592" t="str">
            <v>VAGO QSR</v>
          </cell>
          <cell r="K3592" t="str">
            <v>ITAMBÉ</v>
          </cell>
          <cell r="L3592" t="str">
            <v>PEDRO</v>
          </cell>
          <cell r="M3592" t="str">
            <v>VAGO QSR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  <cell r="H3593" t="str">
            <v>QSR</v>
          </cell>
          <cell r="I3593" t="str">
            <v>FOOD SERVICE</v>
          </cell>
          <cell r="J3593" t="str">
            <v>VAGO QSR</v>
          </cell>
          <cell r="K3593" t="str">
            <v>ITAMBÉ</v>
          </cell>
          <cell r="L3593" t="str">
            <v>PEDRO</v>
          </cell>
          <cell r="M3593" t="str">
            <v>VAGO QSR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  <cell r="H3594" t="str">
            <v>DISTRIBUIÇÃO</v>
          </cell>
          <cell r="I3594" t="str">
            <v>FOOD SERVICE</v>
          </cell>
          <cell r="J3594" t="str">
            <v>VAGO SP</v>
          </cell>
          <cell r="K3594" t="str">
            <v>ITAMBÉ</v>
          </cell>
          <cell r="L3594" t="str">
            <v>RODRIGO</v>
          </cell>
          <cell r="M3594" t="str">
            <v>RAQUEL BARBOSA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  <cell r="H3595" t="str">
            <v>DISTRIBUIÇÃO</v>
          </cell>
          <cell r="I3595" t="str">
            <v>FOOD SERVICE</v>
          </cell>
          <cell r="J3595" t="str">
            <v>VAGO SP</v>
          </cell>
          <cell r="K3595" t="str">
            <v>ITAMBÉ</v>
          </cell>
          <cell r="L3595" t="str">
            <v>RODRIGO</v>
          </cell>
          <cell r="M3595" t="str">
            <v>RAQUEL BARBOSA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  <cell r="H3596" t="str">
            <v>INGREDIENTS</v>
          </cell>
          <cell r="I3596" t="str">
            <v>INGREDIENTS</v>
          </cell>
          <cell r="J3596" t="str">
            <v>RJ ITB FS L T MARTINS</v>
          </cell>
          <cell r="K3596" t="str">
            <v>ITAMBÉ</v>
          </cell>
          <cell r="L3596" t="str">
            <v>MAURICIO</v>
          </cell>
          <cell r="M3596" t="str">
            <v>TATIANA NITTA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  <cell r="H3597" t="str">
            <v>INGREDIENTS</v>
          </cell>
          <cell r="I3597" t="str">
            <v>INGREDIENTS</v>
          </cell>
          <cell r="J3597" t="str">
            <v>RJ ITB FS L T MARTINS</v>
          </cell>
          <cell r="K3597" t="str">
            <v>ITAMBÉ</v>
          </cell>
          <cell r="L3597" t="str">
            <v>MAURICIO</v>
          </cell>
          <cell r="M3597" t="str">
            <v>TATIANA NITTA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  <cell r="H3598" t="str">
            <v>INGREDIENTS</v>
          </cell>
          <cell r="I3598" t="str">
            <v>INGREDIENTS</v>
          </cell>
          <cell r="J3598" t="str">
            <v>RJ ITB FS L T MARTINS</v>
          </cell>
          <cell r="K3598" t="str">
            <v>ITAMBÉ</v>
          </cell>
          <cell r="L3598" t="str">
            <v>MAURICIO</v>
          </cell>
          <cell r="M3598" t="str">
            <v>TATIANA NITTA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  <cell r="H3599" t="str">
            <v>DISTRIBUIÇÃO</v>
          </cell>
          <cell r="I3599" t="str">
            <v>FOOD SERVICE</v>
          </cell>
          <cell r="J3599" t="str">
            <v>FLAC 1</v>
          </cell>
          <cell r="K3599" t="str">
            <v>LACTALIS</v>
          </cell>
          <cell r="L3599" t="str">
            <v>RODRIGO</v>
          </cell>
          <cell r="M3599" t="str">
            <v>RAQUEL BARBOSA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  <cell r="H3600" t="str">
            <v>DISTRIBUIÇÃO</v>
          </cell>
          <cell r="I3600" t="str">
            <v>FOOD SERVICE</v>
          </cell>
          <cell r="J3600" t="str">
            <v>RAQUEL BARBOSA</v>
          </cell>
          <cell r="K3600" t="str">
            <v>LACTALIS</v>
          </cell>
          <cell r="L3600" t="str">
            <v>RODRIGO</v>
          </cell>
          <cell r="M3600" t="str">
            <v>RAQUEL BARBOSA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  <cell r="H3601" t="str">
            <v>DISTRIBUIÇÃO</v>
          </cell>
          <cell r="I3601" t="str">
            <v>FOOD SERVICE</v>
          </cell>
          <cell r="J3601" t="str">
            <v>SP ITB FS FLAC REP.E COMERCIO</v>
          </cell>
          <cell r="K3601" t="str">
            <v>ITAMBÉ</v>
          </cell>
          <cell r="L3601" t="str">
            <v>RODRIGO</v>
          </cell>
          <cell r="M3601" t="str">
            <v>RAQUEL BARBOSA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  <cell r="H3602" t="str">
            <v>QSR</v>
          </cell>
          <cell r="I3602" t="str">
            <v>FOOD SERVICE</v>
          </cell>
          <cell r="J3602" t="str">
            <v>ANA MENIQUETE</v>
          </cell>
          <cell r="K3602" t="str">
            <v>LACTALIS</v>
          </cell>
          <cell r="L3602" t="str">
            <v>PEDRO</v>
          </cell>
          <cell r="M3602" t="str">
            <v>ANA MENIQUETE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  <cell r="H3603" t="str">
            <v>INGREDIENTS</v>
          </cell>
          <cell r="I3603" t="str">
            <v>INGREDIENTS</v>
          </cell>
          <cell r="J3603" t="str">
            <v>HENRIQUE FERREIRA</v>
          </cell>
          <cell r="K3603" t="str">
            <v>LACTALIS</v>
          </cell>
          <cell r="L3603" t="str">
            <v>MAURICIO</v>
          </cell>
          <cell r="M3603" t="str">
            <v>JOEL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  <cell r="H3604" t="str">
            <v>DISTRIBUIÇÃO</v>
          </cell>
          <cell r="I3604" t="str">
            <v>FOOD SERVICE</v>
          </cell>
          <cell r="J3604" t="str">
            <v>FLAC 2</v>
          </cell>
          <cell r="K3604" t="str">
            <v>LACTALIS</v>
          </cell>
          <cell r="L3604" t="str">
            <v>RODRIGO</v>
          </cell>
          <cell r="M3604" t="str">
            <v>RAQUEL BARBOSA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  <cell r="H3605" t="str">
            <v>DISTRIBUIÇÃO</v>
          </cell>
          <cell r="I3605" t="str">
            <v>FOOD SERVICE</v>
          </cell>
          <cell r="J3605" t="str">
            <v>VAGO SP</v>
          </cell>
          <cell r="K3605" t="str">
            <v>LACTALIS</v>
          </cell>
          <cell r="L3605" t="str">
            <v>RODRIGO</v>
          </cell>
          <cell r="M3605" t="str">
            <v>RAQUEL BARBOSA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  <cell r="H3606" t="str">
            <v>DISTRIBUIÇÃO</v>
          </cell>
          <cell r="I3606" t="str">
            <v>FOOD SERVICE</v>
          </cell>
          <cell r="J3606" t="str">
            <v>FLAC 3</v>
          </cell>
          <cell r="K3606" t="str">
            <v>LACTALIS</v>
          </cell>
          <cell r="L3606" t="str">
            <v>RODRIGO</v>
          </cell>
          <cell r="M3606" t="str">
            <v>RAQUEL BARBOSA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  <cell r="H3607" t="str">
            <v>INGREDIENTS</v>
          </cell>
          <cell r="I3607" t="str">
            <v>INGREDIENTS</v>
          </cell>
          <cell r="J3607" t="str">
            <v>MS ITB FS MAWIL REPRESENTAÇÕES</v>
          </cell>
          <cell r="K3607" t="str">
            <v>ITAMBÉ</v>
          </cell>
          <cell r="L3607" t="str">
            <v>MAURICIO</v>
          </cell>
          <cell r="M3607" t="str">
            <v>MARCELO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  <cell r="H3608" t="str">
            <v>DISTRIBUIÇÃO</v>
          </cell>
          <cell r="I3608" t="str">
            <v>FOOD SERVICE</v>
          </cell>
          <cell r="J3608" t="str">
            <v>FLAC 3</v>
          </cell>
          <cell r="K3608" t="str">
            <v>LACTALIS</v>
          </cell>
          <cell r="L3608" t="str">
            <v>RODRIGO</v>
          </cell>
          <cell r="M3608" t="str">
            <v>RAQUEL BARBOSA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  <cell r="H3609" t="str">
            <v>INGREDIENTS</v>
          </cell>
          <cell r="I3609" t="str">
            <v>INGREDIENTS</v>
          </cell>
          <cell r="J3609" t="str">
            <v>MARCELO RODRIGUES</v>
          </cell>
          <cell r="K3609" t="str">
            <v>ITAMBÉ</v>
          </cell>
          <cell r="L3609" t="str">
            <v>MAURICIO</v>
          </cell>
          <cell r="M3609" t="str">
            <v>MARCELO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  <cell r="H3610" t="str">
            <v>DISTRIBUIÇÃO</v>
          </cell>
          <cell r="I3610" t="str">
            <v>FOOD SERVICE</v>
          </cell>
          <cell r="J3610" t="str">
            <v>MARCELO DUARTE</v>
          </cell>
          <cell r="K3610" t="str">
            <v>LACTALIS</v>
          </cell>
          <cell r="L3610" t="str">
            <v>RODRIGO</v>
          </cell>
          <cell r="M3610" t="str">
            <v>JESSICA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  <cell r="H3611" t="str">
            <v>DISTRIBUIÇÃO</v>
          </cell>
          <cell r="I3611" t="str">
            <v>FOOD SERVICE</v>
          </cell>
          <cell r="J3611" t="str">
            <v>FLAC 7</v>
          </cell>
          <cell r="K3611" t="str">
            <v>LACTALIS</v>
          </cell>
          <cell r="L3611" t="str">
            <v>RODRIGO</v>
          </cell>
          <cell r="M3611" t="str">
            <v>RAQUEL BARBOSA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  <cell r="H3612" t="str">
            <v>INGREDIENTS</v>
          </cell>
          <cell r="I3612" t="str">
            <v>INGREDIENTS</v>
          </cell>
          <cell r="J3612" t="str">
            <v>HENRIQUE FERREIRA</v>
          </cell>
          <cell r="K3612" t="str">
            <v>ITAMBÉ</v>
          </cell>
          <cell r="L3612" t="str">
            <v>MAURICIO</v>
          </cell>
          <cell r="M3612" t="str">
            <v>JOEL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  <cell r="H3613" t="str">
            <v>INGREDIENTS</v>
          </cell>
          <cell r="I3613" t="str">
            <v>INGREDIENTS</v>
          </cell>
          <cell r="J3613" t="str">
            <v>HENRIQUE FERREIRA</v>
          </cell>
          <cell r="K3613" t="str">
            <v>ITAMBÉ</v>
          </cell>
          <cell r="L3613" t="str">
            <v>MAURICIO</v>
          </cell>
          <cell r="M3613" t="str">
            <v>JOEL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  <cell r="H3614" t="str">
            <v>DISTRIBUIÇÃO</v>
          </cell>
          <cell r="I3614" t="str">
            <v>FOOD SERVICE</v>
          </cell>
          <cell r="J3614" t="str">
            <v>FLAC 10</v>
          </cell>
          <cell r="K3614" t="str">
            <v>LACTALIS</v>
          </cell>
          <cell r="L3614" t="str">
            <v>RODRIGO</v>
          </cell>
          <cell r="M3614" t="str">
            <v>RAQUEL BARBOSA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  <cell r="H3615" t="str">
            <v>QSR</v>
          </cell>
          <cell r="I3615" t="str">
            <v>FOOD SERVICE</v>
          </cell>
          <cell r="J3615" t="str">
            <v>ANA MENIQUETE</v>
          </cell>
          <cell r="K3615" t="str">
            <v>ITAMBÉ</v>
          </cell>
          <cell r="L3615" t="str">
            <v>PEDRO</v>
          </cell>
          <cell r="M3615" t="str">
            <v>ANA MENIQUETE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  <cell r="H3616" t="str">
            <v>DISTRIBUIÇÃO</v>
          </cell>
          <cell r="I3616" t="str">
            <v>FOOD SERVICE</v>
          </cell>
          <cell r="J3616" t="str">
            <v>MARCELO SILVA</v>
          </cell>
          <cell r="K3616" t="str">
            <v>ITAMBÉ</v>
          </cell>
          <cell r="L3616" t="str">
            <v>RODRIGO</v>
          </cell>
          <cell r="M3616" t="str">
            <v>CELIO MARTINS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  <cell r="H3617" t="str">
            <v>DISTRIBUIÇÃO</v>
          </cell>
          <cell r="I3617" t="str">
            <v>FOOD SERVICE</v>
          </cell>
          <cell r="J3617" t="str">
            <v>FLAC 2</v>
          </cell>
          <cell r="K3617" t="str">
            <v>LACTALIS</v>
          </cell>
          <cell r="L3617" t="str">
            <v>RODRIGO</v>
          </cell>
          <cell r="M3617" t="str">
            <v>RAQUEL BARBOSA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  <cell r="H3618" t="str">
            <v>DISTRIBUIÇÃO</v>
          </cell>
          <cell r="I3618" t="str">
            <v>FOOD SERVICE</v>
          </cell>
          <cell r="J3618" t="str">
            <v>FLAC 2</v>
          </cell>
          <cell r="K3618" t="str">
            <v>LACTALIS</v>
          </cell>
          <cell r="L3618" t="str">
            <v>RODRIGO</v>
          </cell>
          <cell r="M3618" t="str">
            <v>RAQUEL BARBOSA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  <cell r="H3619" t="str">
            <v>DISTRIBUIÇÃO</v>
          </cell>
          <cell r="I3619" t="str">
            <v>FOOD SERVICE</v>
          </cell>
          <cell r="J3619" t="str">
            <v>WH FOOD SERVICE CE</v>
          </cell>
          <cell r="K3619" t="str">
            <v>ITAMBÉ</v>
          </cell>
          <cell r="L3619" t="str">
            <v>RODRIGO</v>
          </cell>
          <cell r="M3619" t="str">
            <v>MARIA LOURDES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  <cell r="H3620" t="str">
            <v>DISTRIBUIÇÃO</v>
          </cell>
          <cell r="I3620" t="str">
            <v>FOOD SERVICE</v>
          </cell>
          <cell r="J3620" t="str">
            <v>WH FOOD SERVICE CE</v>
          </cell>
          <cell r="K3620" t="str">
            <v>ITAMBÉ</v>
          </cell>
          <cell r="L3620" t="str">
            <v>RODRIGO</v>
          </cell>
          <cell r="M3620" t="str">
            <v>MARIA LOURDES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  <cell r="H3621" t="str">
            <v>DISTRIBUIÇÃO</v>
          </cell>
          <cell r="I3621" t="str">
            <v>FOOD SERVICE</v>
          </cell>
          <cell r="J3621" t="str">
            <v>WH FOOD SERVICE CE</v>
          </cell>
          <cell r="K3621" t="str">
            <v>ITAMBÉ</v>
          </cell>
          <cell r="L3621" t="str">
            <v>RODRIGO</v>
          </cell>
          <cell r="M3621" t="str">
            <v>MARIA LOURDES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  <cell r="H3622" t="str">
            <v>DISTRIBUIÇÃO</v>
          </cell>
          <cell r="I3622" t="str">
            <v>FOOD SERVICE</v>
          </cell>
          <cell r="J3622" t="str">
            <v>WH FOOD SERVICE CE</v>
          </cell>
          <cell r="K3622" t="str">
            <v>ITAMBÉ</v>
          </cell>
          <cell r="L3622" t="str">
            <v>RODRIGO</v>
          </cell>
          <cell r="M3622" t="str">
            <v>MARIA LOURDES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  <cell r="H3623" t="str">
            <v>DISTRIBUIÇÃO</v>
          </cell>
          <cell r="I3623" t="str">
            <v>FOOD SERVICE</v>
          </cell>
          <cell r="J3623" t="str">
            <v>WH FOOD SERVICE CE</v>
          </cell>
          <cell r="K3623" t="str">
            <v>ITAMBÉ</v>
          </cell>
          <cell r="L3623" t="str">
            <v>RODRIGO</v>
          </cell>
          <cell r="M3623" t="str">
            <v>MARIA LOURDES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  <cell r="H3624" t="str">
            <v>DISTRIBUIÇÃO</v>
          </cell>
          <cell r="I3624" t="str">
            <v>FOOD SERVICE</v>
          </cell>
          <cell r="J3624" t="str">
            <v>FLAC 2</v>
          </cell>
          <cell r="K3624" t="str">
            <v>LACTALIS</v>
          </cell>
          <cell r="L3624" t="str">
            <v>RODRIGO</v>
          </cell>
          <cell r="M3624" t="str">
            <v>RAQUEL BARBOSA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  <cell r="H3625" t="str">
            <v>DISTRIBUIÇÃO</v>
          </cell>
          <cell r="I3625" t="str">
            <v>FOOD SERVICE</v>
          </cell>
          <cell r="J3625" t="str">
            <v>FLAC 3</v>
          </cell>
          <cell r="K3625" t="str">
            <v>LACTALIS</v>
          </cell>
          <cell r="L3625" t="str">
            <v>RODRIGO</v>
          </cell>
          <cell r="M3625" t="str">
            <v>RAQUEL BARBOSA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  <cell r="H3626" t="str">
            <v>INGREDIENTS</v>
          </cell>
          <cell r="I3626" t="str">
            <v>INGREDIENTS</v>
          </cell>
          <cell r="J3626" t="str">
            <v>JOEL ELEOTÉRIO</v>
          </cell>
          <cell r="K3626" t="str">
            <v>LACTALIS</v>
          </cell>
          <cell r="L3626" t="str">
            <v>MAURICIO</v>
          </cell>
          <cell r="M3626" t="str">
            <v>JOEL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  <cell r="H3627" t="str">
            <v>INGREDIENTS</v>
          </cell>
          <cell r="I3627" t="str">
            <v>INGREDIENTS</v>
          </cell>
          <cell r="J3627" t="str">
            <v>PE ITB FS L B REP</v>
          </cell>
          <cell r="K3627" t="str">
            <v>ITAMBÉ</v>
          </cell>
          <cell r="L3627" t="str">
            <v>MAURICIO</v>
          </cell>
          <cell r="M3627" t="str">
            <v>JOEL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  <cell r="H3628" t="str">
            <v>DISTRIBUIÇÃO</v>
          </cell>
          <cell r="I3628" t="str">
            <v>FOOD SERVICE</v>
          </cell>
          <cell r="J3628" t="str">
            <v>FLAC 7</v>
          </cell>
          <cell r="K3628" t="str">
            <v>LACTALIS</v>
          </cell>
          <cell r="L3628" t="str">
            <v>RODRIGO</v>
          </cell>
          <cell r="M3628" t="str">
            <v>RAQUEL BARBOSA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  <cell r="H3629" t="str">
            <v>DISTRIBUIÇÃO</v>
          </cell>
          <cell r="I3629" t="str">
            <v>FOOD SERVICE</v>
          </cell>
          <cell r="J3629" t="str">
            <v>FLAC 2</v>
          </cell>
          <cell r="K3629" t="str">
            <v>LACTALIS</v>
          </cell>
          <cell r="L3629" t="str">
            <v>RODRIGO</v>
          </cell>
          <cell r="M3629" t="str">
            <v>RAQUEL BARBOSA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  <cell r="H3630" t="str">
            <v>INGREDIENTS</v>
          </cell>
          <cell r="I3630" t="str">
            <v>INGREDIENTS</v>
          </cell>
          <cell r="J3630" t="str">
            <v>DLUM</v>
          </cell>
          <cell r="K3630" t="str">
            <v>LACTALIS</v>
          </cell>
          <cell r="L3630" t="str">
            <v>MAURICIO</v>
          </cell>
          <cell r="M3630" t="str">
            <v>JOEL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  <cell r="H3631" t="str">
            <v>DISTRIBUIÇÃO</v>
          </cell>
          <cell r="I3631" t="str">
            <v>FOOD SERVICE</v>
          </cell>
          <cell r="J3631" t="str">
            <v>CLAUDIO JORGE/LUIZ</v>
          </cell>
          <cell r="K3631" t="str">
            <v>ITAMBÉ</v>
          </cell>
          <cell r="L3631" t="str">
            <v>RODRIGO</v>
          </cell>
          <cell r="M3631" t="str">
            <v>MARIA LOURDES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  <cell r="H3632" t="str">
            <v>QSR</v>
          </cell>
          <cell r="I3632" t="str">
            <v>FOOD SERVICE</v>
          </cell>
          <cell r="J3632" t="str">
            <v>VAGO QSR</v>
          </cell>
          <cell r="K3632" t="str">
            <v>LACTALIS</v>
          </cell>
          <cell r="L3632" t="str">
            <v>PEDRO</v>
          </cell>
          <cell r="M3632" t="str">
            <v>VAGO QSR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  <cell r="H3633" t="str">
            <v>QSR</v>
          </cell>
          <cell r="I3633" t="str">
            <v>FOOD SERVICE</v>
          </cell>
          <cell r="J3633" t="str">
            <v>VAGO QSR</v>
          </cell>
          <cell r="K3633" t="str">
            <v>LACTALIS</v>
          </cell>
          <cell r="L3633" t="str">
            <v>PEDRO</v>
          </cell>
          <cell r="M3633" t="str">
            <v>VAGO QSR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  <cell r="H3634" t="str">
            <v>DISTRIBUIÇÃO</v>
          </cell>
          <cell r="I3634" t="str">
            <v>FOOD SERVICE</v>
          </cell>
          <cell r="J3634" t="str">
            <v>FLAC 6</v>
          </cell>
          <cell r="K3634" t="str">
            <v>LACTALIS</v>
          </cell>
          <cell r="L3634" t="str">
            <v>RODRIGO</v>
          </cell>
          <cell r="M3634" t="str">
            <v>RAQUEL BARBOSA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  <cell r="H3635" t="str">
            <v>DISTRIBUIÇÃO</v>
          </cell>
          <cell r="I3635" t="str">
            <v>FOOD SERVICE</v>
          </cell>
          <cell r="J3635" t="str">
            <v>SP ITB FS FLAC REP.E COMERCIO</v>
          </cell>
          <cell r="K3635" t="str">
            <v>ITAMBÉ</v>
          </cell>
          <cell r="L3635" t="str">
            <v>RODRIGO</v>
          </cell>
          <cell r="M3635" t="str">
            <v>RAQUEL BARBOSA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  <cell r="H3636" t="str">
            <v>DISTRIBUIÇÃO</v>
          </cell>
          <cell r="I3636" t="str">
            <v>FOOD SERVICE</v>
          </cell>
          <cell r="J3636" t="str">
            <v>SP ITB FS FLAC REP.E COMERCIO</v>
          </cell>
          <cell r="K3636" t="str">
            <v>ITAMBÉ</v>
          </cell>
          <cell r="L3636" t="str">
            <v>RODRIGO</v>
          </cell>
          <cell r="M3636" t="str">
            <v>RAQUEL BARBOSA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  <cell r="H3637" t="str">
            <v>INGREDIENTS</v>
          </cell>
          <cell r="I3637" t="str">
            <v>INGREDIENTS</v>
          </cell>
          <cell r="J3637" t="str">
            <v>PE ITB FS L B REP</v>
          </cell>
          <cell r="K3637" t="str">
            <v>ITAMBÉ</v>
          </cell>
          <cell r="L3637" t="str">
            <v>MAURICIO</v>
          </cell>
          <cell r="M3637" t="str">
            <v>JOEL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  <cell r="H3638" t="str">
            <v>INGREDIENTS</v>
          </cell>
          <cell r="I3638" t="str">
            <v>INGREDIENTS</v>
          </cell>
          <cell r="J3638" t="str">
            <v>HENRIQUE FERREIRA</v>
          </cell>
          <cell r="K3638" t="str">
            <v>ITAMBÉ</v>
          </cell>
          <cell r="L3638" t="str">
            <v>MAURICIO</v>
          </cell>
          <cell r="M3638" t="str">
            <v>JOEL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  <cell r="H3639" t="str">
            <v>QSR</v>
          </cell>
          <cell r="I3639" t="str">
            <v>FOOD SERVICE</v>
          </cell>
          <cell r="J3639" t="str">
            <v>VAGO QSR</v>
          </cell>
          <cell r="K3639" t="str">
            <v>ITAMBÉ</v>
          </cell>
          <cell r="L3639" t="str">
            <v>PEDRO</v>
          </cell>
          <cell r="M3639" t="str">
            <v>VAGO QSR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  <cell r="H3640" t="str">
            <v>DISTRIBUIÇÃO</v>
          </cell>
          <cell r="I3640" t="str">
            <v>FOOD SERVICE</v>
          </cell>
          <cell r="J3640" t="str">
            <v>FLAC 5</v>
          </cell>
          <cell r="K3640" t="str">
            <v>LACTALIS</v>
          </cell>
          <cell r="L3640" t="str">
            <v>RODRIGO</v>
          </cell>
          <cell r="M3640" t="str">
            <v>RAQUEL BARBOSA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  <cell r="H3641" t="str">
            <v>QSR</v>
          </cell>
          <cell r="I3641" t="str">
            <v>FOOD SERVICE</v>
          </cell>
          <cell r="J3641" t="str">
            <v>ANA MENIQUETE</v>
          </cell>
          <cell r="K3641" t="str">
            <v>LACTALIS</v>
          </cell>
          <cell r="L3641" t="str">
            <v>PEDRO</v>
          </cell>
          <cell r="M3641" t="str">
            <v>ANA MENIQUETE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  <cell r="H3642" t="str">
            <v>DISTRIBUIÇÃO</v>
          </cell>
          <cell r="I3642" t="str">
            <v>FOOD SERVICE</v>
          </cell>
          <cell r="J3642" t="str">
            <v>ANGELICA BATISTELA</v>
          </cell>
          <cell r="K3642" t="str">
            <v>LACTALIS</v>
          </cell>
          <cell r="L3642" t="str">
            <v>RODRIGO</v>
          </cell>
          <cell r="M3642" t="str">
            <v>ANGELICA BATISTELA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  <cell r="H3643" t="str">
            <v>INGREDIENTS</v>
          </cell>
          <cell r="I3643" t="str">
            <v>INGREDIENTS</v>
          </cell>
          <cell r="J3643" t="str">
            <v>RJ ITB FS CDR REPRESENTAÇÕES</v>
          </cell>
          <cell r="K3643" t="str">
            <v>ITAMBÉ</v>
          </cell>
          <cell r="L3643" t="str">
            <v>MAURICIO</v>
          </cell>
          <cell r="M3643" t="str">
            <v>TATIANA NITTA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  <cell r="H3644" t="str">
            <v>QSR</v>
          </cell>
          <cell r="I3644" t="str">
            <v>FOOD SERVICE</v>
          </cell>
          <cell r="J3644" t="str">
            <v>VAGO QSR</v>
          </cell>
          <cell r="K3644" t="str">
            <v>ITAMBÉ</v>
          </cell>
          <cell r="L3644" t="str">
            <v>PEDRO</v>
          </cell>
          <cell r="M3644" t="str">
            <v>VAGO QSR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  <cell r="H3645" t="str">
            <v>INGREDIENTS</v>
          </cell>
          <cell r="I3645" t="str">
            <v>INGREDIENTS</v>
          </cell>
          <cell r="J3645" t="str">
            <v>TATIANA NITTA</v>
          </cell>
          <cell r="K3645" t="str">
            <v>LACTALIS</v>
          </cell>
          <cell r="L3645" t="str">
            <v>MAURICIO</v>
          </cell>
          <cell r="M3645" t="str">
            <v>TATIANA NITTA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  <cell r="H3646" t="str">
            <v>DISTRIBUIÇÃO</v>
          </cell>
          <cell r="I3646" t="str">
            <v>FOOD SERVICE</v>
          </cell>
          <cell r="J3646" t="str">
            <v>CLAUDIO JORGE/LUIZ</v>
          </cell>
          <cell r="K3646" t="str">
            <v>ITAMBÉ</v>
          </cell>
          <cell r="L3646" t="str">
            <v>RODRIGO</v>
          </cell>
          <cell r="M3646" t="str">
            <v>MARIA LOURDES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  <cell r="H3647" t="str">
            <v>INGREDIENTS</v>
          </cell>
          <cell r="I3647" t="str">
            <v>INGREDIENTS</v>
          </cell>
          <cell r="J3647" t="str">
            <v>MARCELO RODRIGUES</v>
          </cell>
          <cell r="K3647" t="str">
            <v>ITAMBÉ</v>
          </cell>
          <cell r="L3647" t="str">
            <v>MAURICIO</v>
          </cell>
          <cell r="M3647" t="str">
            <v>MARCELO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  <cell r="H3648" t="str">
            <v>DISTRIBUIÇÃO</v>
          </cell>
          <cell r="I3648" t="str">
            <v>FOOD SERVICE</v>
          </cell>
          <cell r="J3648" t="str">
            <v>ANGELICA BATISTELA</v>
          </cell>
          <cell r="K3648" t="str">
            <v>LACTALIS</v>
          </cell>
          <cell r="L3648" t="str">
            <v>RODRIGO</v>
          </cell>
          <cell r="M3648" t="str">
            <v>ANGELICA BATISTELA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  <cell r="H3649" t="str">
            <v>DISTRIBUIÇÃO</v>
          </cell>
          <cell r="I3649" t="str">
            <v>FOOD SERVICE</v>
          </cell>
          <cell r="J3649" t="str">
            <v>CLAUDIO JORGE</v>
          </cell>
          <cell r="K3649" t="str">
            <v>LACTALIS</v>
          </cell>
          <cell r="L3649" t="str">
            <v>RODRIGO</v>
          </cell>
          <cell r="M3649" t="str">
            <v>MARCO AURELIO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  <cell r="H3650" t="str">
            <v>INGREDIENTS</v>
          </cell>
          <cell r="I3650" t="str">
            <v>INGREDIENTS</v>
          </cell>
          <cell r="J3650" t="str">
            <v>HENRIQUE FERREIRA</v>
          </cell>
          <cell r="K3650" t="str">
            <v>ITAMBÉ</v>
          </cell>
          <cell r="L3650" t="str">
            <v>MAURICIO</v>
          </cell>
          <cell r="M3650" t="str">
            <v>JOEL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  <cell r="H3651" t="str">
            <v>DISTRIBUIÇÃO</v>
          </cell>
          <cell r="I3651" t="str">
            <v>FOOD SERVICE</v>
          </cell>
          <cell r="J3651" t="str">
            <v>FLAC 3</v>
          </cell>
          <cell r="K3651" t="str">
            <v>LACTALIS</v>
          </cell>
          <cell r="L3651" t="str">
            <v>RODRIGO</v>
          </cell>
          <cell r="M3651" t="str">
            <v>RAQUEL BARBOSA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  <cell r="H3652" t="str">
            <v>INGREDIENTS</v>
          </cell>
          <cell r="I3652" t="str">
            <v>INGREDIENTS</v>
          </cell>
          <cell r="J3652" t="str">
            <v>PE ITB FS L B REP</v>
          </cell>
          <cell r="K3652" t="str">
            <v>ITAMBÉ</v>
          </cell>
          <cell r="L3652" t="str">
            <v>MAURICIO</v>
          </cell>
          <cell r="M3652" t="str">
            <v>JOEL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  <cell r="H3653" t="str">
            <v>DISTRIBUIÇÃO</v>
          </cell>
          <cell r="I3653" t="str">
            <v>FOOD SERVICE</v>
          </cell>
          <cell r="J3653" t="str">
            <v>CLAUDIO JORGE/LUIZ</v>
          </cell>
          <cell r="K3653" t="str">
            <v>ITAMBÉ</v>
          </cell>
          <cell r="L3653" t="str">
            <v>RODRIGO</v>
          </cell>
          <cell r="M3653" t="str">
            <v>MARIA LOURDES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  <cell r="H3654" t="str">
            <v>INGREDIENTS</v>
          </cell>
          <cell r="I3654" t="str">
            <v>INGREDIENTS</v>
          </cell>
          <cell r="J3654" t="str">
            <v>MARCELO RODRIGUES</v>
          </cell>
          <cell r="K3654" t="str">
            <v>ITAMBÉ</v>
          </cell>
          <cell r="L3654" t="str">
            <v>MAURICIO</v>
          </cell>
          <cell r="M3654" t="str">
            <v>MARCELO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  <cell r="H3655" t="str">
            <v>INGREDIENTS</v>
          </cell>
          <cell r="I3655" t="str">
            <v>INGREDIENTS</v>
          </cell>
          <cell r="J3655" t="str">
            <v>PR ITB FS DONIZETH REPRES</v>
          </cell>
          <cell r="K3655" t="str">
            <v>ITAMBÉ</v>
          </cell>
          <cell r="L3655" t="str">
            <v>MAURICIO</v>
          </cell>
          <cell r="M3655" t="str">
            <v>MARCELO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  <cell r="H3656" t="str">
            <v>DISTRIBUIÇÃO</v>
          </cell>
          <cell r="I3656" t="str">
            <v>FOOD SERVICE</v>
          </cell>
          <cell r="J3656" t="str">
            <v>GUILHERME NASCIMENTO</v>
          </cell>
          <cell r="K3656" t="str">
            <v>ITAMBÉ</v>
          </cell>
          <cell r="L3656" t="str">
            <v>RODRIGO</v>
          </cell>
          <cell r="M3656" t="str">
            <v>ALEXANDRO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  <cell r="H3657" t="str">
            <v>INGREDIENTS</v>
          </cell>
          <cell r="I3657" t="str">
            <v>INGREDIENTS</v>
          </cell>
          <cell r="J3657" t="str">
            <v>JOEL ELEOTÉRIO</v>
          </cell>
          <cell r="K3657" t="str">
            <v>LACTALIS</v>
          </cell>
          <cell r="L3657" t="str">
            <v>MAURICIO</v>
          </cell>
          <cell r="M3657" t="str">
            <v>JOEL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  <cell r="H3658" t="str">
            <v>DISTRIBUIÇÃO</v>
          </cell>
          <cell r="I3658" t="str">
            <v>FOOD SERVICE</v>
          </cell>
          <cell r="J3658" t="str">
            <v>SP ITB FS FLAC REP.E COMERCIO</v>
          </cell>
          <cell r="K3658" t="str">
            <v>ITAMBÉ</v>
          </cell>
          <cell r="L3658" t="str">
            <v>RODRIGO</v>
          </cell>
          <cell r="M3658" t="str">
            <v>RAQUEL BARBOSA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  <cell r="H3659" t="str">
            <v>DISTRIBUIÇÃO</v>
          </cell>
          <cell r="I3659" t="str">
            <v>FOOD SERVICE</v>
          </cell>
          <cell r="J3659" t="str">
            <v>CLAUDIO JORGE</v>
          </cell>
          <cell r="K3659" t="str">
            <v>LACTALIS</v>
          </cell>
          <cell r="L3659" t="str">
            <v>RODRIGO</v>
          </cell>
          <cell r="M3659" t="str">
            <v>MARCO AURELIO</v>
          </cell>
        </row>
        <row r="3660">
          <cell r="B3660">
            <v>5281650</v>
          </cell>
          <cell r="C3660" t="str">
            <v>T R KLEINCIA LTDA</v>
          </cell>
          <cell r="D3660" t="str">
            <v>7001</v>
          </cell>
          <cell r="E3660" t="str">
            <v>0576</v>
          </cell>
          <cell r="F3660" t="str">
            <v>C1</v>
          </cell>
          <cell r="G3660" t="str">
            <v>RS</v>
          </cell>
          <cell r="H3660" t="str">
            <v>INGREDIENTS</v>
          </cell>
          <cell r="I3660" t="str">
            <v>INGREDIENTS</v>
          </cell>
          <cell r="J3660" t="str">
            <v>JOEL ELEOTÉRIO</v>
          </cell>
          <cell r="K3660" t="str">
            <v>LACTALIS</v>
          </cell>
          <cell r="L3660" t="str">
            <v>MAURICIO</v>
          </cell>
          <cell r="M3660" t="str">
            <v>JOEL</v>
          </cell>
        </row>
        <row r="3661">
          <cell r="B3661">
            <v>5366655</v>
          </cell>
          <cell r="C3661" t="str">
            <v>FECCHIO CAMA PANIFIC ARTES LTDA</v>
          </cell>
          <cell r="D3661" t="str">
            <v>7001</v>
          </cell>
          <cell r="E3661" t="str">
            <v>0749</v>
          </cell>
          <cell r="F3661" t="str">
            <v>C5</v>
          </cell>
          <cell r="G3661" t="str">
            <v>SP</v>
          </cell>
          <cell r="H3661" t="str">
            <v>DISTRIBUIÇÃO</v>
          </cell>
          <cell r="I3661" t="str">
            <v>FOOD SERVICE</v>
          </cell>
          <cell r="J3661" t="str">
            <v>FLAC 2</v>
          </cell>
          <cell r="K3661" t="str">
            <v>LACTALIS</v>
          </cell>
          <cell r="L3661" t="str">
            <v>RODRIGO</v>
          </cell>
          <cell r="M3661" t="str">
            <v>RAQUEL BARBOSA</v>
          </cell>
        </row>
        <row r="3662">
          <cell r="B3662">
            <v>5368174</v>
          </cell>
          <cell r="C3662" t="str">
            <v>TONINHA MASSAS CASEIRAS LTDA</v>
          </cell>
          <cell r="D3662" t="str">
            <v>7001</v>
          </cell>
          <cell r="E3662" t="str">
            <v>0749</v>
          </cell>
          <cell r="F3662" t="str">
            <v>C5</v>
          </cell>
          <cell r="G3662" t="str">
            <v>SP</v>
          </cell>
          <cell r="H3662" t="str">
            <v>DISTRIBUIÇÃO</v>
          </cell>
          <cell r="I3662" t="str">
            <v>FOOD SERVICE</v>
          </cell>
          <cell r="J3662" t="str">
            <v>FLAC 10</v>
          </cell>
          <cell r="K3662" t="str">
            <v>LACTALIS</v>
          </cell>
          <cell r="L3662" t="str">
            <v>RODRIGO</v>
          </cell>
          <cell r="M3662" t="str">
            <v>RAQUEL BARBOSA</v>
          </cell>
        </row>
        <row r="3663">
          <cell r="B3663">
            <v>5370073</v>
          </cell>
          <cell r="C3663" t="str">
            <v>FARINHA E AGUA LTDA</v>
          </cell>
          <cell r="D3663" t="str">
            <v>6001</v>
          </cell>
          <cell r="E3663" t="str">
            <v>6169</v>
          </cell>
          <cell r="F3663" t="str">
            <v>C1</v>
          </cell>
          <cell r="G3663" t="str">
            <v>ES</v>
          </cell>
          <cell r="H3663" t="str">
            <v>DISTRIBUIÇÃO</v>
          </cell>
          <cell r="I3663" t="str">
            <v>FOOD SERVICE</v>
          </cell>
          <cell r="J3663" t="str">
            <v>MARCELO DUARTE</v>
          </cell>
          <cell r="K3663" t="str">
            <v>ITAMBÉ</v>
          </cell>
          <cell r="L3663" t="str">
            <v>RODRIGO</v>
          </cell>
          <cell r="M3663" t="str">
            <v>JESSICA</v>
          </cell>
        </row>
        <row r="3664">
          <cell r="B3664">
            <v>5336832</v>
          </cell>
          <cell r="C3664" t="str">
            <v>COLORADO COMERCIO DE SORVETES L</v>
          </cell>
          <cell r="D3664" t="str">
            <v>7001</v>
          </cell>
          <cell r="E3664" t="str">
            <v>0722</v>
          </cell>
          <cell r="F3664" t="str">
            <v>C1</v>
          </cell>
          <cell r="G3664" t="str">
            <v>SP</v>
          </cell>
          <cell r="H3664" t="str">
            <v>QSR</v>
          </cell>
          <cell r="I3664" t="str">
            <v>FOOD SERVICE</v>
          </cell>
          <cell r="J3664" t="str">
            <v>ANA MENIQUETE</v>
          </cell>
          <cell r="K3664" t="str">
            <v>LACTALIS</v>
          </cell>
          <cell r="L3664" t="str">
            <v>PEDRO</v>
          </cell>
          <cell r="M3664" t="str">
            <v>ANA MENIQUETE</v>
          </cell>
        </row>
        <row r="3665">
          <cell r="B3665">
            <v>5009122</v>
          </cell>
          <cell r="C3665" t="str">
            <v>ROTTA DISTRI DE ALIMENTOS LTDA</v>
          </cell>
          <cell r="D3665" t="str">
            <v>7001</v>
          </cell>
          <cell r="E3665" t="str">
            <v>0752</v>
          </cell>
          <cell r="F3665" t="str">
            <v>C5</v>
          </cell>
          <cell r="G3665" t="str">
            <v>PR</v>
          </cell>
          <cell r="H3665" t="str">
            <v>DISTRIBUIÇÃO</v>
          </cell>
          <cell r="I3665" t="str">
            <v>FOOD SERVICE</v>
          </cell>
          <cell r="J3665" t="str">
            <v>ANGELICA BATISTELA</v>
          </cell>
          <cell r="K3665" t="str">
            <v>LACTALIS</v>
          </cell>
          <cell r="L3665" t="str">
            <v>RODRIGO</v>
          </cell>
          <cell r="M3665" t="str">
            <v>ANGELICA BATISTELA</v>
          </cell>
        </row>
        <row r="3666">
          <cell r="B3666">
            <v>5228956</v>
          </cell>
          <cell r="C3666" t="str">
            <v>MARTINS E SILVA COMERCIO LTDA</v>
          </cell>
          <cell r="D3666" t="str">
            <v>7001</v>
          </cell>
          <cell r="E3666" t="str">
            <v>0580</v>
          </cell>
          <cell r="F3666" t="str">
            <v>C5</v>
          </cell>
          <cell r="G3666" t="str">
            <v>RR</v>
          </cell>
          <cell r="H3666" t="str">
            <v>DISTRIBUIÇÃO</v>
          </cell>
          <cell r="I3666" t="str">
            <v>FOOD SERVICE</v>
          </cell>
          <cell r="J3666" t="str">
            <v>CLAUDIO JORGE</v>
          </cell>
          <cell r="K3666" t="str">
            <v>LACTALIS</v>
          </cell>
          <cell r="L3666" t="str">
            <v>RODRIGO</v>
          </cell>
          <cell r="M3666" t="str">
            <v>MARCO AURELIO</v>
          </cell>
        </row>
        <row r="3667">
          <cell r="B3667">
            <v>5370388</v>
          </cell>
          <cell r="C3667" t="str">
            <v>MIRI COMERCIO ATAC DE ALIM LTDA</v>
          </cell>
          <cell r="D3667" t="str">
            <v>4001</v>
          </cell>
          <cell r="E3667" t="str">
            <v>0437</v>
          </cell>
          <cell r="F3667" t="str">
            <v>C1</v>
          </cell>
          <cell r="G3667" t="str">
            <v>DF</v>
          </cell>
          <cell r="H3667" t="str">
            <v>INGREDIENTS</v>
          </cell>
          <cell r="I3667" t="str">
            <v>INGREDIENTS</v>
          </cell>
          <cell r="J3667" t="str">
            <v>MARCELO RODRIGUES</v>
          </cell>
          <cell r="K3667" t="str">
            <v>LACTALIS</v>
          </cell>
          <cell r="L3667" t="str">
            <v>MAURICIO</v>
          </cell>
          <cell r="M3667" t="str">
            <v>MARCELO</v>
          </cell>
        </row>
        <row r="3668">
          <cell r="B3668">
            <v>5029624</v>
          </cell>
          <cell r="C3668" t="str">
            <v>LANCHONETE MELLO E FILHOS LTDA</v>
          </cell>
          <cell r="D3668" t="str">
            <v>7001</v>
          </cell>
          <cell r="E3668" t="str">
            <v>0749</v>
          </cell>
          <cell r="F3668" t="str">
            <v>C5</v>
          </cell>
          <cell r="G3668" t="str">
            <v>SP</v>
          </cell>
          <cell r="H3668" t="str">
            <v>DISTRIBUIÇÃO</v>
          </cell>
          <cell r="I3668" t="str">
            <v>FOOD SERVICE</v>
          </cell>
          <cell r="J3668" t="str">
            <v>FLAC 4</v>
          </cell>
          <cell r="K3668" t="str">
            <v>LACTALIS</v>
          </cell>
          <cell r="L3668" t="str">
            <v>RODRIGO</v>
          </cell>
          <cell r="M3668" t="str">
            <v>RAQUEL BARBOSA</v>
          </cell>
        </row>
        <row r="3669">
          <cell r="B3669">
            <v>5302221</v>
          </cell>
          <cell r="C3669" t="str">
            <v>DEVERDADE PANIFICADORA LTDA</v>
          </cell>
          <cell r="D3669" t="str">
            <v>7001</v>
          </cell>
          <cell r="E3669" t="str">
            <v>0749</v>
          </cell>
          <cell r="F3669" t="str">
            <v>C5</v>
          </cell>
          <cell r="G3669" t="str">
            <v>SP</v>
          </cell>
          <cell r="H3669" t="str">
            <v>DISTRIBUIÇÃO</v>
          </cell>
          <cell r="I3669" t="str">
            <v>FOOD SERVICE</v>
          </cell>
          <cell r="J3669" t="str">
            <v>FLAC 2</v>
          </cell>
          <cell r="K3669" t="str">
            <v>LACTALIS</v>
          </cell>
          <cell r="L3669" t="str">
            <v>RODRIGO</v>
          </cell>
          <cell r="M3669" t="str">
            <v>RAQUEL BARBOSA</v>
          </cell>
        </row>
        <row r="3670">
          <cell r="B3670">
            <v>5370339</v>
          </cell>
          <cell r="C3670" t="str">
            <v>ICEFRUTA SORVETES E GELADOS LTD</v>
          </cell>
          <cell r="D3670" t="str">
            <v>3001</v>
          </cell>
          <cell r="E3670" t="str">
            <v>0028</v>
          </cell>
          <cell r="F3670" t="str">
            <v>C1</v>
          </cell>
          <cell r="G3670" t="str">
            <v>MG</v>
          </cell>
          <cell r="H3670" t="str">
            <v>INGREDIENTS</v>
          </cell>
          <cell r="I3670" t="str">
            <v>INGREDIENTS</v>
          </cell>
          <cell r="J3670" t="str">
            <v>HENRIQUE FERREIRA</v>
          </cell>
          <cell r="K3670" t="str">
            <v>ITAMBÉ</v>
          </cell>
          <cell r="L3670" t="str">
            <v>MAURICIO</v>
          </cell>
          <cell r="M3670" t="str">
            <v>JOEL</v>
          </cell>
        </row>
        <row r="3671">
          <cell r="B3671">
            <v>5370388</v>
          </cell>
          <cell r="C3671" t="str">
            <v>MIRI COMERCIO ATAC DE ALIM LTDA</v>
          </cell>
          <cell r="D3671" t="str">
            <v>6001</v>
          </cell>
          <cell r="E3671" t="str">
            <v>6125</v>
          </cell>
          <cell r="F3671" t="str">
            <v>C1</v>
          </cell>
          <cell r="G3671" t="str">
            <v>DF</v>
          </cell>
          <cell r="H3671" t="str">
            <v>INGREDIENTS</v>
          </cell>
          <cell r="I3671" t="str">
            <v>INGREDIENTS</v>
          </cell>
          <cell r="J3671" t="str">
            <v>MARCELO RODRIGUES</v>
          </cell>
          <cell r="K3671" t="str">
            <v>ITAMBÉ</v>
          </cell>
          <cell r="L3671" t="str">
            <v>MAURICIO</v>
          </cell>
          <cell r="M3671" t="str">
            <v>MARCELO</v>
          </cell>
        </row>
        <row r="3672">
          <cell r="B3672">
            <v>5166804</v>
          </cell>
          <cell r="C3672" t="str">
            <v>SKINABON ALIMENTOS LTDA</v>
          </cell>
          <cell r="D3672" t="str">
            <v>4001</v>
          </cell>
          <cell r="E3672" t="str">
            <v>0455</v>
          </cell>
          <cell r="F3672" t="str">
            <v>C1</v>
          </cell>
          <cell r="G3672" t="str">
            <v>RS</v>
          </cell>
          <cell r="H3672" t="str">
            <v>INGREDIENTS</v>
          </cell>
          <cell r="I3672" t="str">
            <v>INGREDIENTS</v>
          </cell>
          <cell r="J3672" t="str">
            <v>MARCELO RODRIGUES</v>
          </cell>
          <cell r="K3672" t="str">
            <v>LACTALIS</v>
          </cell>
          <cell r="L3672" t="str">
            <v>MAURICIO</v>
          </cell>
          <cell r="M3672" t="str">
            <v>MARCELO</v>
          </cell>
        </row>
        <row r="3673">
          <cell r="B3673">
            <v>5173494</v>
          </cell>
          <cell r="C3673" t="str">
            <v>STAMPA PET E FOOD LTDA</v>
          </cell>
          <cell r="D3673" t="str">
            <v>7001</v>
          </cell>
          <cell r="E3673" t="str">
            <v>0752</v>
          </cell>
          <cell r="F3673" t="str">
            <v>C5</v>
          </cell>
          <cell r="G3673" t="str">
            <v>PR</v>
          </cell>
          <cell r="H3673" t="str">
            <v>DISTRIBUIÇÃO</v>
          </cell>
          <cell r="I3673" t="str">
            <v>FOOD SERVICE</v>
          </cell>
          <cell r="J3673" t="str">
            <v>ANGELICA BATISTELA</v>
          </cell>
          <cell r="K3673" t="str">
            <v>LACTALIS</v>
          </cell>
          <cell r="L3673" t="str">
            <v>RODRIGO</v>
          </cell>
          <cell r="M3673" t="str">
            <v>ANGELICA BATISTELA</v>
          </cell>
        </row>
        <row r="3674">
          <cell r="B3674">
            <v>5192471</v>
          </cell>
          <cell r="C3674" t="str">
            <v>RAJK RESTAURANTES LTDA</v>
          </cell>
          <cell r="D3674" t="str">
            <v>7001</v>
          </cell>
          <cell r="E3674" t="str">
            <v>0722</v>
          </cell>
          <cell r="F3674" t="str">
            <v>C1</v>
          </cell>
          <cell r="G3674" t="str">
            <v>SP</v>
          </cell>
          <cell r="H3674" t="str">
            <v>QSR</v>
          </cell>
          <cell r="I3674" t="str">
            <v>FOOD SERVICE</v>
          </cell>
          <cell r="J3674" t="str">
            <v>ANA MENIQUETE</v>
          </cell>
          <cell r="K3674" t="str">
            <v>LACTALIS</v>
          </cell>
          <cell r="L3674" t="str">
            <v>PEDRO</v>
          </cell>
          <cell r="M3674" t="str">
            <v>ANA MENIQUETE</v>
          </cell>
        </row>
        <row r="3675">
          <cell r="B3675">
            <v>5192473</v>
          </cell>
          <cell r="C3675" t="str">
            <v>LIRAL RESTAURANTES LTDA</v>
          </cell>
          <cell r="D3675" t="str">
            <v>7001</v>
          </cell>
          <cell r="E3675" t="str">
            <v>0722</v>
          </cell>
          <cell r="F3675" t="str">
            <v>C1</v>
          </cell>
          <cell r="G3675" t="str">
            <v>SP</v>
          </cell>
          <cell r="H3675" t="str">
            <v>QSR</v>
          </cell>
          <cell r="I3675" t="str">
            <v>FOOD SERVICE</v>
          </cell>
          <cell r="J3675" t="str">
            <v>ANA MENIQUETE</v>
          </cell>
          <cell r="K3675" t="str">
            <v>LACTALIS</v>
          </cell>
          <cell r="L3675" t="str">
            <v>PEDRO</v>
          </cell>
          <cell r="M3675" t="str">
            <v>ANA MENIQUETE</v>
          </cell>
        </row>
        <row r="3676">
          <cell r="B3676">
            <v>5263977</v>
          </cell>
          <cell r="C3676" t="str">
            <v>SIGTELY RESTAURANTE E FORNECIME</v>
          </cell>
          <cell r="D3676" t="str">
            <v>7001</v>
          </cell>
          <cell r="E3676" t="str">
            <v>0749</v>
          </cell>
          <cell r="F3676" t="str">
            <v>C5</v>
          </cell>
          <cell r="G3676" t="str">
            <v>SP</v>
          </cell>
          <cell r="H3676" t="str">
            <v>DISTRIBUIÇÃO</v>
          </cell>
          <cell r="I3676" t="str">
            <v>FOOD SERVICE</v>
          </cell>
          <cell r="J3676" t="str">
            <v>FLAC 6</v>
          </cell>
          <cell r="K3676" t="str">
            <v>LACTALIS</v>
          </cell>
          <cell r="L3676" t="str">
            <v>RODRIGO</v>
          </cell>
          <cell r="M3676" t="str">
            <v>RAQUEL BARBOSA</v>
          </cell>
        </row>
        <row r="3677">
          <cell r="B3677">
            <v>5366377</v>
          </cell>
          <cell r="C3677" t="str">
            <v>SAO BENTO PADARIA LTDA</v>
          </cell>
          <cell r="D3677" t="str">
            <v>6001</v>
          </cell>
          <cell r="E3677" t="str">
            <v>6125</v>
          </cell>
          <cell r="F3677" t="str">
            <v>C1</v>
          </cell>
          <cell r="G3677" t="str">
            <v>SP</v>
          </cell>
          <cell r="H3677" t="str">
            <v>DISTRIBUIÇÃO</v>
          </cell>
          <cell r="I3677" t="str">
            <v>FOOD SERVICE</v>
          </cell>
          <cell r="J3677" t="str">
            <v>SP ITB FS FLAC REP.E COMERCIO</v>
          </cell>
          <cell r="K3677" t="str">
            <v>ITAMBÉ</v>
          </cell>
          <cell r="L3677" t="str">
            <v>RODRIGO</v>
          </cell>
          <cell r="M3677" t="str">
            <v>RAQUEL BARBOSA</v>
          </cell>
        </row>
        <row r="3678">
          <cell r="B3678">
            <v>5185627</v>
          </cell>
          <cell r="C3678" t="str">
            <v>BOLOS DA DINDA EIRELI</v>
          </cell>
          <cell r="D3678" t="str">
            <v>6001</v>
          </cell>
          <cell r="E3678" t="str">
            <v>6028</v>
          </cell>
          <cell r="F3678" t="str">
            <v>C1</v>
          </cell>
          <cell r="G3678" t="str">
            <v>SP</v>
          </cell>
          <cell r="H3678" t="str">
            <v>INGREDIENTS</v>
          </cell>
          <cell r="I3678" t="str">
            <v>INGREDIENTS</v>
          </cell>
          <cell r="J3678" t="str">
            <v>HENRIQUE FERREIRA</v>
          </cell>
          <cell r="K3678" t="str">
            <v>ITAMBÉ</v>
          </cell>
          <cell r="L3678" t="str">
            <v>MAURICIO</v>
          </cell>
          <cell r="M3678" t="str">
            <v>JOEL</v>
          </cell>
        </row>
        <row r="3679">
          <cell r="B3679">
            <v>5361414</v>
          </cell>
          <cell r="C3679" t="str">
            <v>BONADIO FOODS LTDA</v>
          </cell>
          <cell r="D3679" t="str">
            <v>7001</v>
          </cell>
          <cell r="E3679" t="str">
            <v>0749</v>
          </cell>
          <cell r="F3679" t="str">
            <v>C5</v>
          </cell>
          <cell r="G3679" t="str">
            <v>SP</v>
          </cell>
          <cell r="H3679" t="str">
            <v>DISTRIBUIÇÃO</v>
          </cell>
          <cell r="I3679" t="str">
            <v>FOOD SERVICE</v>
          </cell>
          <cell r="J3679" t="str">
            <v>FLAC 3</v>
          </cell>
          <cell r="K3679" t="str">
            <v>LACTALIS</v>
          </cell>
          <cell r="L3679" t="str">
            <v>RODRIGO</v>
          </cell>
          <cell r="M3679" t="str">
            <v>RAQUEL BARBOSA</v>
          </cell>
        </row>
        <row r="3680">
          <cell r="B3680">
            <v>5235841</v>
          </cell>
          <cell r="C3680" t="str">
            <v>EMEC EMPREENDIMENTOS MEDICO CIRURGI</v>
          </cell>
          <cell r="D3680" t="str">
            <v>6001</v>
          </cell>
          <cell r="E3680" t="str">
            <v>6127</v>
          </cell>
          <cell r="F3680" t="str">
            <v>C1</v>
          </cell>
          <cell r="G3680" t="str">
            <v>BA</v>
          </cell>
          <cell r="H3680" t="str">
            <v>DISTRIBUIÇÃO</v>
          </cell>
          <cell r="I3680" t="str">
            <v>FOOD SERVICE</v>
          </cell>
          <cell r="J3680" t="str">
            <v>CLAUDIO JORGE/LUIZ</v>
          </cell>
          <cell r="K3680" t="str">
            <v>ITAMBÉ</v>
          </cell>
          <cell r="L3680" t="str">
            <v>RODRIGO</v>
          </cell>
          <cell r="M3680" t="str">
            <v>MARIA LOURDES</v>
          </cell>
        </row>
        <row r="3681">
          <cell r="B3681">
            <v>5278512</v>
          </cell>
          <cell r="C3681" t="str">
            <v>MARCIA S CATERING LTDA</v>
          </cell>
          <cell r="D3681" t="str">
            <v>7001</v>
          </cell>
          <cell r="E3681" t="str">
            <v>0749</v>
          </cell>
          <cell r="F3681" t="str">
            <v>C5</v>
          </cell>
          <cell r="G3681" t="str">
            <v>SP</v>
          </cell>
          <cell r="H3681" t="str">
            <v>DISTRIBUIÇÃO</v>
          </cell>
          <cell r="I3681" t="str">
            <v>FOOD SERVICE</v>
          </cell>
          <cell r="J3681" t="str">
            <v>FLAC 10</v>
          </cell>
          <cell r="K3681" t="str">
            <v>LACTALIS</v>
          </cell>
          <cell r="L3681" t="str">
            <v>RODRIGO</v>
          </cell>
          <cell r="M3681" t="str">
            <v>RAQUEL BARBOSA</v>
          </cell>
        </row>
        <row r="3682">
          <cell r="B3682">
            <v>5313121</v>
          </cell>
          <cell r="C3682" t="str">
            <v>RAVELY SERVICOS ADMINISTRATIVOS</v>
          </cell>
          <cell r="D3682" t="str">
            <v>7001</v>
          </cell>
          <cell r="E3682" t="str">
            <v>0749</v>
          </cell>
          <cell r="F3682" t="str">
            <v>C5</v>
          </cell>
          <cell r="G3682" t="str">
            <v>SP</v>
          </cell>
          <cell r="H3682" t="str">
            <v>DISTRIBUIÇÃO</v>
          </cell>
          <cell r="I3682" t="str">
            <v>FOOD SERVICE</v>
          </cell>
          <cell r="J3682" t="str">
            <v>FLAC 4</v>
          </cell>
          <cell r="K3682" t="str">
            <v>LACTALIS</v>
          </cell>
          <cell r="L3682" t="str">
            <v>RODRIGO</v>
          </cell>
          <cell r="M3682" t="str">
            <v>RAQUEL BARBOSA</v>
          </cell>
        </row>
        <row r="3683">
          <cell r="B3683">
            <v>5263268</v>
          </cell>
          <cell r="C3683" t="str">
            <v>GELATO D AMORE VAR E DEL LTDA</v>
          </cell>
          <cell r="D3683" t="str">
            <v>7001</v>
          </cell>
          <cell r="E3683" t="str">
            <v>0749</v>
          </cell>
          <cell r="F3683" t="str">
            <v>C5</v>
          </cell>
          <cell r="G3683" t="str">
            <v>SP</v>
          </cell>
          <cell r="H3683" t="str">
            <v>DISTRIBUIÇÃO</v>
          </cell>
          <cell r="I3683" t="str">
            <v>FOOD SERVICE</v>
          </cell>
          <cell r="J3683" t="str">
            <v>FLAC 6</v>
          </cell>
          <cell r="K3683" t="str">
            <v>LACTALIS</v>
          </cell>
          <cell r="L3683" t="str">
            <v>RODRIGO</v>
          </cell>
          <cell r="M3683" t="str">
            <v>RAQUEL BARBOSA</v>
          </cell>
        </row>
        <row r="3684">
          <cell r="B3684">
            <v>5314057</v>
          </cell>
          <cell r="C3684" t="str">
            <v>VILAC BRAZIL LTDA</v>
          </cell>
          <cell r="D3684" t="str">
            <v>4001</v>
          </cell>
          <cell r="E3684" t="str">
            <v>0423</v>
          </cell>
          <cell r="F3684" t="str">
            <v>C5</v>
          </cell>
          <cell r="G3684" t="str">
            <v>ES</v>
          </cell>
          <cell r="H3684" t="str">
            <v>INGREDIENTS</v>
          </cell>
          <cell r="I3684" t="str">
            <v>INGREDIENTS</v>
          </cell>
          <cell r="J3684" t="str">
            <v>DLUM</v>
          </cell>
          <cell r="K3684" t="str">
            <v>LACTALIS</v>
          </cell>
          <cell r="L3684" t="str">
            <v>MAURICIO</v>
          </cell>
          <cell r="M3684" t="str">
            <v>JOEL</v>
          </cell>
        </row>
        <row r="3685">
          <cell r="B3685">
            <v>5173494</v>
          </cell>
          <cell r="C3685" t="str">
            <v>STAMPA PET E FOOD LTDA</v>
          </cell>
          <cell r="D3685" t="str">
            <v>7001</v>
          </cell>
          <cell r="E3685" t="str">
            <v>0755</v>
          </cell>
          <cell r="F3685" t="str">
            <v>C1</v>
          </cell>
          <cell r="G3685" t="str">
            <v>PR</v>
          </cell>
          <cell r="H3685" t="str">
            <v>DISTRIBUIÇÃO</v>
          </cell>
          <cell r="I3685" t="str">
            <v>FOOD SERVICE</v>
          </cell>
          <cell r="J3685" t="str">
            <v>ANGELICA BATISTELA</v>
          </cell>
          <cell r="K3685" t="str">
            <v>LACTALIS</v>
          </cell>
          <cell r="L3685" t="str">
            <v>RODRIGO</v>
          </cell>
          <cell r="M3685" t="str">
            <v>ANGELICA BATISTELA</v>
          </cell>
        </row>
        <row r="3686">
          <cell r="B3686">
            <v>5336487</v>
          </cell>
          <cell r="C3686" t="str">
            <v>EMPORIO SAO JOSE INDAIATUBA LTD</v>
          </cell>
          <cell r="D3686" t="str">
            <v>7001</v>
          </cell>
          <cell r="E3686" t="str">
            <v>0749</v>
          </cell>
          <cell r="F3686" t="str">
            <v>C5</v>
          </cell>
          <cell r="G3686" t="str">
            <v>SP</v>
          </cell>
          <cell r="H3686" t="str">
            <v>DISTRIBUIÇÃO</v>
          </cell>
          <cell r="I3686" t="str">
            <v>FOOD SERVICE</v>
          </cell>
          <cell r="J3686" t="str">
            <v>FLAC 7</v>
          </cell>
          <cell r="K3686" t="str">
            <v>LACTALIS</v>
          </cell>
          <cell r="L3686" t="str">
            <v>RODRIGO</v>
          </cell>
          <cell r="M3686" t="str">
            <v>RAQUEL BARBOSA</v>
          </cell>
        </row>
        <row r="3687">
          <cell r="B3687">
            <v>5363396</v>
          </cell>
          <cell r="C3687" t="str">
            <v>C F LIMA</v>
          </cell>
          <cell r="D3687" t="str">
            <v>6001</v>
          </cell>
          <cell r="E3687" t="str">
            <v>6169</v>
          </cell>
          <cell r="F3687" t="str">
            <v>C1</v>
          </cell>
          <cell r="G3687" t="str">
            <v>ES</v>
          </cell>
          <cell r="H3687" t="str">
            <v>DISTRIBUIÇÃO</v>
          </cell>
          <cell r="I3687" t="str">
            <v>FOOD SERVICE</v>
          </cell>
          <cell r="J3687" t="str">
            <v>MARCELO DUARTE</v>
          </cell>
          <cell r="K3687" t="str">
            <v>ITAMBÉ</v>
          </cell>
          <cell r="L3687" t="str">
            <v>RODRIGO</v>
          </cell>
          <cell r="M3687" t="str">
            <v>JESSICA</v>
          </cell>
        </row>
        <row r="3688">
          <cell r="B3688">
            <v>5370267</v>
          </cell>
          <cell r="C3688" t="str">
            <v>HMF REPRESENTACAO DE ALIMENTOS</v>
          </cell>
          <cell r="D3688" t="str">
            <v>7001</v>
          </cell>
          <cell r="E3688" t="str">
            <v>0722</v>
          </cell>
          <cell r="F3688" t="str">
            <v>C1</v>
          </cell>
          <cell r="G3688" t="str">
            <v>SP</v>
          </cell>
          <cell r="H3688" t="str">
            <v>DISTRIBUIÇÃO</v>
          </cell>
          <cell r="I3688" t="str">
            <v>FOOD SERVICE</v>
          </cell>
          <cell r="J3688" t="str">
            <v>RAQUEL BARBOSA</v>
          </cell>
          <cell r="K3688" t="str">
            <v>LACTALIS</v>
          </cell>
          <cell r="L3688" t="str">
            <v>RODRIGO</v>
          </cell>
          <cell r="M3688" t="str">
            <v>RAQUEL BARBOSA</v>
          </cell>
        </row>
        <row r="3689">
          <cell r="B3689">
            <v>5167822</v>
          </cell>
          <cell r="C3689" t="str">
            <v>JUMBO ALIMENTOS LTDA</v>
          </cell>
          <cell r="D3689" t="str">
            <v>4001</v>
          </cell>
          <cell r="E3689" t="str">
            <v>0455</v>
          </cell>
          <cell r="F3689" t="str">
            <v>C1</v>
          </cell>
          <cell r="G3689" t="str">
            <v>PR</v>
          </cell>
          <cell r="H3689" t="str">
            <v>INGREDIENTS</v>
          </cell>
          <cell r="I3689" t="str">
            <v>INGREDIENTS</v>
          </cell>
          <cell r="J3689" t="str">
            <v>MARCELO RODRIGUES</v>
          </cell>
          <cell r="K3689" t="str">
            <v>LACTALIS</v>
          </cell>
          <cell r="L3689" t="str">
            <v>MAURICIO</v>
          </cell>
          <cell r="M3689" t="str">
            <v>MARCELO</v>
          </cell>
        </row>
        <row r="3690">
          <cell r="B3690">
            <v>5179194</v>
          </cell>
          <cell r="C3690" t="str">
            <v>G M MUZINI ME</v>
          </cell>
          <cell r="D3690" t="str">
            <v>6001</v>
          </cell>
          <cell r="E3690" t="str">
            <v>6028</v>
          </cell>
          <cell r="F3690" t="str">
            <v>C1</v>
          </cell>
          <cell r="G3690" t="str">
            <v>ES</v>
          </cell>
          <cell r="H3690" t="str">
            <v>INGREDIENTS</v>
          </cell>
          <cell r="I3690" t="str">
            <v>INGREDIENTS</v>
          </cell>
          <cell r="J3690" t="str">
            <v>ES ITB FS RADTKE REPRES</v>
          </cell>
          <cell r="K3690" t="str">
            <v>ITAMBÉ</v>
          </cell>
          <cell r="L3690" t="str">
            <v>MAURICIO</v>
          </cell>
          <cell r="M3690" t="str">
            <v>JOEL</v>
          </cell>
        </row>
        <row r="3691">
          <cell r="B3691">
            <v>5229103</v>
          </cell>
          <cell r="C3691" t="str">
            <v>COOPERATIVA AGRO PECUARIA VALE</v>
          </cell>
          <cell r="D3691" t="str">
            <v>4001</v>
          </cell>
          <cell r="E3691" t="str">
            <v>0423</v>
          </cell>
          <cell r="F3691" t="str">
            <v>C5</v>
          </cell>
          <cell r="G3691" t="str">
            <v>MG</v>
          </cell>
          <cell r="H3691" t="str">
            <v>INGREDIENTS</v>
          </cell>
          <cell r="I3691" t="str">
            <v>INGREDIENTS</v>
          </cell>
          <cell r="J3691" t="str">
            <v>DLUM</v>
          </cell>
          <cell r="K3691" t="str">
            <v>LACTALIS</v>
          </cell>
          <cell r="L3691" t="str">
            <v>MAURICIO</v>
          </cell>
          <cell r="M3691" t="str">
            <v>JOEL</v>
          </cell>
        </row>
        <row r="3692">
          <cell r="B3692">
            <v>5369774</v>
          </cell>
          <cell r="C3692" t="str">
            <v>ZAMP SA</v>
          </cell>
          <cell r="D3692" t="str">
            <v>7001</v>
          </cell>
          <cell r="E3692" t="str">
            <v>0722</v>
          </cell>
          <cell r="F3692" t="str">
            <v>C1</v>
          </cell>
          <cell r="G3692" t="str">
            <v>SP</v>
          </cell>
          <cell r="H3692" t="str">
            <v>QSR</v>
          </cell>
          <cell r="I3692" t="str">
            <v>FOOD SERVICE</v>
          </cell>
          <cell r="J3692" t="str">
            <v>ANA MENIQUETE</v>
          </cell>
          <cell r="K3692" t="str">
            <v>LACTALIS</v>
          </cell>
          <cell r="L3692" t="str">
            <v>PEDRO</v>
          </cell>
          <cell r="M3692" t="str">
            <v>ANA MENIQUETE</v>
          </cell>
        </row>
        <row r="3693">
          <cell r="B3693">
            <v>5088425</v>
          </cell>
          <cell r="C3693" t="str">
            <v>VILLA GRANO PAES E CONVENIENCIAS LTDA</v>
          </cell>
          <cell r="D3693" t="str">
            <v>7001</v>
          </cell>
          <cell r="E3693" t="str">
            <v>0749</v>
          </cell>
          <cell r="F3693" t="str">
            <v>C5</v>
          </cell>
          <cell r="G3693" t="str">
            <v>SP</v>
          </cell>
          <cell r="H3693" t="str">
            <v>DISTRIBUIÇÃO</v>
          </cell>
          <cell r="I3693" t="str">
            <v>FOOD SERVICE</v>
          </cell>
          <cell r="J3693" t="str">
            <v>FLAC 4</v>
          </cell>
          <cell r="K3693" t="str">
            <v>LACTALIS</v>
          </cell>
          <cell r="L3693" t="str">
            <v>RODRIGO</v>
          </cell>
          <cell r="M3693" t="str">
            <v>RAQUEL BARBOSA</v>
          </cell>
        </row>
        <row r="3694">
          <cell r="B3694">
            <v>5110910</v>
          </cell>
          <cell r="C3694" t="str">
            <v>SORVETERIA RIBEIRA LTDA</v>
          </cell>
          <cell r="D3694" t="str">
            <v>6001</v>
          </cell>
          <cell r="E3694" t="str">
            <v>6009</v>
          </cell>
          <cell r="F3694" t="str">
            <v>C1</v>
          </cell>
          <cell r="G3694" t="str">
            <v>BA</v>
          </cell>
          <cell r="H3694" t="str">
            <v>DISTRIBUIÇÃO</v>
          </cell>
          <cell r="I3694" t="str">
            <v>FOOD SERVICE</v>
          </cell>
          <cell r="J3694" t="str">
            <v>CLAUDIO JORGE/LUIZ</v>
          </cell>
          <cell r="K3694" t="str">
            <v>ITAMBÉ</v>
          </cell>
          <cell r="L3694" t="str">
            <v>RODRIGO</v>
          </cell>
          <cell r="M3694" t="str">
            <v>MARIA LOURDES</v>
          </cell>
        </row>
        <row r="3695">
          <cell r="B3695">
            <v>5225860</v>
          </cell>
          <cell r="C3695" t="str">
            <v>DISPAN DISTRIBUIDORA DE ALIMENT</v>
          </cell>
          <cell r="D3695" t="str">
            <v>7001</v>
          </cell>
          <cell r="E3695" t="str">
            <v>0585</v>
          </cell>
          <cell r="F3695" t="str">
            <v>C5</v>
          </cell>
          <cell r="G3695" t="str">
            <v>PE</v>
          </cell>
          <cell r="H3695" t="str">
            <v>DISTRIBUIÇÃO</v>
          </cell>
          <cell r="I3695" t="str">
            <v>FOOD SERVICE</v>
          </cell>
          <cell r="J3695" t="str">
            <v>CLAUDIO JORGE</v>
          </cell>
          <cell r="K3695" t="str">
            <v>LACTALIS</v>
          </cell>
          <cell r="L3695" t="str">
            <v>RODRIGO</v>
          </cell>
          <cell r="M3695" t="str">
            <v>MARIA LOURDES</v>
          </cell>
        </row>
        <row r="3696">
          <cell r="B3696">
            <v>5309443</v>
          </cell>
          <cell r="C3696" t="str">
            <v>TRIBO GOURMET VILA MARIANA REST</v>
          </cell>
          <cell r="D3696" t="str">
            <v>7001</v>
          </cell>
          <cell r="E3696" t="str">
            <v>0749</v>
          </cell>
          <cell r="F3696" t="str">
            <v>C5</v>
          </cell>
          <cell r="G3696" t="str">
            <v>SP</v>
          </cell>
          <cell r="H3696" t="str">
            <v>DISTRIBUIÇÃO</v>
          </cell>
          <cell r="I3696" t="str">
            <v>FOOD SERVICE</v>
          </cell>
          <cell r="J3696" t="str">
            <v>FLAC 3</v>
          </cell>
          <cell r="K3696" t="str">
            <v>LACTALIS</v>
          </cell>
          <cell r="L3696" t="str">
            <v>RODRIGO</v>
          </cell>
          <cell r="M3696" t="str">
            <v>RAQUEL BARBOSA</v>
          </cell>
        </row>
        <row r="3697">
          <cell r="B3697">
            <v>5029624</v>
          </cell>
          <cell r="C3697" t="str">
            <v>LANCHONETE MELLO E FILHOS LTDA</v>
          </cell>
          <cell r="D3697" t="str">
            <v>6001</v>
          </cell>
          <cell r="E3697" t="str">
            <v>6125</v>
          </cell>
          <cell r="F3697" t="str">
            <v>C1</v>
          </cell>
          <cell r="G3697" t="str">
            <v>SP</v>
          </cell>
          <cell r="H3697" t="str">
            <v>DISTRIBUIÇÃO</v>
          </cell>
          <cell r="I3697" t="str">
            <v>FOOD SERVICE</v>
          </cell>
          <cell r="J3697" t="str">
            <v>SP ITB FS FLAC REP.E COMERCIO</v>
          </cell>
          <cell r="K3697" t="str">
            <v>ITAMBÉ</v>
          </cell>
          <cell r="L3697" t="str">
            <v>RODRIGO</v>
          </cell>
          <cell r="M3697" t="str">
            <v>RAQUEL BARBOSA</v>
          </cell>
        </row>
        <row r="3698">
          <cell r="B3698">
            <v>5357324</v>
          </cell>
          <cell r="C3698" t="str">
            <v>OESA COMERCIO E REPRESENTACOES</v>
          </cell>
          <cell r="D3698" t="str">
            <v>3001</v>
          </cell>
          <cell r="E3698" t="str">
            <v>0123</v>
          </cell>
          <cell r="F3698" t="str">
            <v>C1</v>
          </cell>
          <cell r="G3698" t="str">
            <v>MT</v>
          </cell>
          <cell r="H3698" t="str">
            <v>DISTRIBUIÇÃO</v>
          </cell>
          <cell r="I3698" t="str">
            <v>FOOD SERVICE</v>
          </cell>
          <cell r="J3698" t="str">
            <v>CLAUDIO JORGE</v>
          </cell>
          <cell r="K3698" t="str">
            <v>ITAMBÉ</v>
          </cell>
          <cell r="L3698" t="str">
            <v>RODRIGO</v>
          </cell>
          <cell r="M3698" t="str">
            <v>MARCO AURELIO</v>
          </cell>
        </row>
        <row r="3699">
          <cell r="B3699">
            <v>5162285</v>
          </cell>
          <cell r="C3699" t="str">
            <v>KOB COMERCIAL LTDA</v>
          </cell>
          <cell r="D3699" t="str">
            <v>7001</v>
          </cell>
          <cell r="E3699" t="str">
            <v>0755</v>
          </cell>
          <cell r="F3699" t="str">
            <v>C1</v>
          </cell>
          <cell r="G3699" t="str">
            <v>PR</v>
          </cell>
          <cell r="H3699" t="str">
            <v>DISTRIBUIÇÃO</v>
          </cell>
          <cell r="I3699" t="str">
            <v>FOOD SERVICE</v>
          </cell>
          <cell r="J3699" t="str">
            <v>ANGELICA BATISTELA</v>
          </cell>
          <cell r="K3699" t="str">
            <v>LACTALIS</v>
          </cell>
          <cell r="L3699" t="str">
            <v>RODRIGO</v>
          </cell>
          <cell r="M3699" t="str">
            <v>ANGELICA BATISTELA</v>
          </cell>
        </row>
        <row r="3700">
          <cell r="B3700">
            <v>5342745</v>
          </cell>
          <cell r="C3700" t="str">
            <v>INICIAL COM E DISTRIB DE ALIM L</v>
          </cell>
          <cell r="D3700" t="str">
            <v>3001</v>
          </cell>
          <cell r="E3700" t="str">
            <v>0028</v>
          </cell>
          <cell r="F3700" t="str">
            <v>C1</v>
          </cell>
          <cell r="G3700" t="str">
            <v>MS</v>
          </cell>
          <cell r="H3700" t="str">
            <v>INGREDIENTS</v>
          </cell>
          <cell r="I3700" t="str">
            <v>INGREDIENTS</v>
          </cell>
          <cell r="J3700" t="str">
            <v>MS ITB FS MAWIL REPRESENTAÇÕES</v>
          </cell>
          <cell r="K3700" t="str">
            <v>ITAMBÉ</v>
          </cell>
          <cell r="L3700" t="str">
            <v>MAURICIO</v>
          </cell>
          <cell r="M3700" t="str">
            <v>MARCELO</v>
          </cell>
        </row>
        <row r="3701">
          <cell r="B3701">
            <v>5348324</v>
          </cell>
          <cell r="C3701" t="str">
            <v>DIST NORD DE CONFEIT E PANIF LTDA</v>
          </cell>
          <cell r="D3701" t="str">
            <v>3001</v>
          </cell>
          <cell r="E3701" t="str">
            <v>0127</v>
          </cell>
          <cell r="F3701" t="str">
            <v>C1</v>
          </cell>
          <cell r="G3701" t="str">
            <v>BA</v>
          </cell>
          <cell r="H3701" t="str">
            <v>DISTRIBUIÇÃO</v>
          </cell>
          <cell r="I3701" t="str">
            <v>FOOD SERVICE</v>
          </cell>
          <cell r="J3701" t="str">
            <v>CLAUDIO JORGE</v>
          </cell>
          <cell r="K3701" t="str">
            <v>ITAMBÉ</v>
          </cell>
          <cell r="L3701" t="str">
            <v>RODRIGO</v>
          </cell>
          <cell r="M3701" t="str">
            <v>MARIA LOURDES</v>
          </cell>
        </row>
        <row r="3702">
          <cell r="B3702">
            <v>5368302</v>
          </cell>
          <cell r="C3702" t="str">
            <v>SCALON E CERCHI LTDA</v>
          </cell>
          <cell r="D3702" t="str">
            <v>4001</v>
          </cell>
          <cell r="E3702" t="str">
            <v>0458</v>
          </cell>
          <cell r="F3702" t="str">
            <v>C1</v>
          </cell>
          <cell r="G3702" t="str">
            <v>MG</v>
          </cell>
          <cell r="H3702" t="str">
            <v>INGREDIENTS</v>
          </cell>
          <cell r="I3702" t="str">
            <v>INGREDIENTS</v>
          </cell>
          <cell r="J3702" t="str">
            <v>JOEL ELEOTÉRIO</v>
          </cell>
          <cell r="K3702" t="str">
            <v>ITAMBÉ</v>
          </cell>
          <cell r="L3702" t="str">
            <v>MAURICIO</v>
          </cell>
          <cell r="M3702" t="str">
            <v>JOEL</v>
          </cell>
        </row>
        <row r="3703">
          <cell r="B3703">
            <v>5370992</v>
          </cell>
          <cell r="C3703" t="str">
            <v>PUSH MATCHA SA</v>
          </cell>
          <cell r="D3703" t="str">
            <v>6001</v>
          </cell>
          <cell r="E3703" t="str">
            <v>6028</v>
          </cell>
          <cell r="F3703" t="str">
            <v>C1</v>
          </cell>
          <cell r="G3703" t="str">
            <v>SP</v>
          </cell>
          <cell r="H3703" t="str">
            <v>INGREDIENTS</v>
          </cell>
          <cell r="I3703" t="str">
            <v>INGREDIENTS</v>
          </cell>
          <cell r="J3703" t="str">
            <v>TATIANA NITTA</v>
          </cell>
          <cell r="K3703" t="str">
            <v>ITAMBÉ</v>
          </cell>
          <cell r="L3703" t="str">
            <v>MAURICIO</v>
          </cell>
          <cell r="M3703" t="str">
            <v>TATIANA NITTA</v>
          </cell>
        </row>
        <row r="3704">
          <cell r="B3704">
            <v>5155823</v>
          </cell>
          <cell r="C3704" t="str">
            <v>UNIQUE SER D HOT E ALIM CO E PART L</v>
          </cell>
          <cell r="D3704" t="str">
            <v>7001</v>
          </cell>
          <cell r="E3704" t="str">
            <v>0749</v>
          </cell>
          <cell r="F3704" t="str">
            <v>C5</v>
          </cell>
          <cell r="G3704" t="str">
            <v>SP</v>
          </cell>
          <cell r="H3704" t="str">
            <v>DISTRIBUIÇÃO</v>
          </cell>
          <cell r="I3704" t="str">
            <v>FOOD SERVICE</v>
          </cell>
          <cell r="J3704" t="str">
            <v>FLAC 2</v>
          </cell>
          <cell r="K3704" t="str">
            <v>LACTALIS</v>
          </cell>
          <cell r="L3704" t="str">
            <v>RODRIGO</v>
          </cell>
          <cell r="M3704" t="str">
            <v>RAQUEL BARBOSA</v>
          </cell>
        </row>
        <row r="3705">
          <cell r="B3705">
            <v>5232460</v>
          </cell>
          <cell r="C3705" t="str">
            <v>GELATO LUCE COMERCIO LTDA</v>
          </cell>
          <cell r="D3705" t="str">
            <v>3001</v>
          </cell>
          <cell r="E3705" t="str">
            <v>0127</v>
          </cell>
          <cell r="F3705" t="str">
            <v>C1</v>
          </cell>
          <cell r="G3705" t="str">
            <v>BA</v>
          </cell>
          <cell r="H3705" t="str">
            <v>DISTRIBUIÇÃO</v>
          </cell>
          <cell r="I3705" t="str">
            <v>FOOD SERVICE</v>
          </cell>
          <cell r="J3705" t="str">
            <v>CLAUDIO JORGE/LUIZ</v>
          </cell>
          <cell r="K3705" t="str">
            <v>ITAMBÉ</v>
          </cell>
          <cell r="L3705" t="str">
            <v>RODRIGO</v>
          </cell>
          <cell r="M3705" t="str">
            <v>MARIA LOURDES</v>
          </cell>
        </row>
        <row r="3706">
          <cell r="B3706">
            <v>5235841</v>
          </cell>
          <cell r="C3706" t="str">
            <v>EMEC EMPREENDIMENTOS MEDICO CIR</v>
          </cell>
          <cell r="D3706" t="str">
            <v>3001</v>
          </cell>
          <cell r="E3706" t="str">
            <v>0127</v>
          </cell>
          <cell r="F3706" t="str">
            <v>C1</v>
          </cell>
          <cell r="G3706" t="str">
            <v>BA</v>
          </cell>
          <cell r="H3706" t="str">
            <v>DISTRIBUIÇÃO</v>
          </cell>
          <cell r="I3706" t="str">
            <v>FOOD SERVICE</v>
          </cell>
          <cell r="J3706" t="str">
            <v>CLAUDIO JORGE/LUIZ</v>
          </cell>
          <cell r="K3706" t="str">
            <v>ITAMBÉ</v>
          </cell>
          <cell r="L3706" t="str">
            <v>RODRIGO</v>
          </cell>
          <cell r="M3706" t="str">
            <v>MARIA LOURDES</v>
          </cell>
        </row>
        <row r="3707">
          <cell r="B3707">
            <v>5167822</v>
          </cell>
          <cell r="C3707" t="str">
            <v>JUMBO ALIMENTOS LTDA</v>
          </cell>
          <cell r="D3707" t="str">
            <v>3001</v>
          </cell>
          <cell r="E3707" t="str">
            <v>0028</v>
          </cell>
          <cell r="F3707" t="str">
            <v>C1</v>
          </cell>
          <cell r="G3707" t="str">
            <v>PR</v>
          </cell>
          <cell r="H3707" t="str">
            <v>INGREDIENTS</v>
          </cell>
          <cell r="I3707" t="str">
            <v>INGREDIENTS</v>
          </cell>
          <cell r="J3707" t="str">
            <v>MARCELO RODRIGUES</v>
          </cell>
          <cell r="K3707" t="str">
            <v>ITAMBÉ</v>
          </cell>
          <cell r="L3707" t="str">
            <v>MAURICIO</v>
          </cell>
          <cell r="M3707" t="str">
            <v>MARCELO</v>
          </cell>
        </row>
        <row r="3708">
          <cell r="B3708">
            <v>5234837</v>
          </cell>
          <cell r="C3708" t="str">
            <v>A FORNADA ITAIM PAES E REFEICOES LT</v>
          </cell>
          <cell r="D3708" t="str">
            <v>7001</v>
          </cell>
          <cell r="E3708" t="str">
            <v>0749</v>
          </cell>
          <cell r="F3708" t="str">
            <v>C5</v>
          </cell>
          <cell r="G3708" t="str">
            <v>SP</v>
          </cell>
          <cell r="H3708" t="str">
            <v>DISTRIBUIÇÃO</v>
          </cell>
          <cell r="I3708" t="str">
            <v>FOOD SERVICE</v>
          </cell>
          <cell r="J3708" t="str">
            <v>FLAC 10</v>
          </cell>
          <cell r="K3708" t="str">
            <v>LACTALIS</v>
          </cell>
          <cell r="L3708" t="str">
            <v>RODRIGO</v>
          </cell>
          <cell r="M3708" t="str">
            <v>RAQUEL BARBOSA</v>
          </cell>
        </row>
        <row r="3709">
          <cell r="B3709">
            <v>5309626</v>
          </cell>
          <cell r="C3709" t="str">
            <v>RSG SABOREIE DOCES E SALGADOS L</v>
          </cell>
          <cell r="D3709" t="str">
            <v>3001</v>
          </cell>
          <cell r="E3709" t="str">
            <v>0127</v>
          </cell>
          <cell r="F3709" t="str">
            <v>C1</v>
          </cell>
          <cell r="G3709" t="str">
            <v>BA</v>
          </cell>
          <cell r="H3709" t="str">
            <v>DISTRIBUIÇÃO</v>
          </cell>
          <cell r="I3709" t="str">
            <v>FOOD SERVICE</v>
          </cell>
          <cell r="J3709" t="str">
            <v>CLAUDIO JORGE/LUIZ</v>
          </cell>
          <cell r="K3709" t="str">
            <v>ITAMBÉ</v>
          </cell>
          <cell r="L3709" t="str">
            <v>RODRIGO</v>
          </cell>
          <cell r="M3709" t="str">
            <v>MARIA LOURDES</v>
          </cell>
        </row>
        <row r="3710">
          <cell r="B3710">
            <v>5371202</v>
          </cell>
          <cell r="C3710" t="str">
            <v>VOYA NUTRITION LTDA</v>
          </cell>
          <cell r="D3710" t="str">
            <v>6001</v>
          </cell>
          <cell r="E3710" t="str">
            <v>6028</v>
          </cell>
          <cell r="F3710" t="str">
            <v>C1</v>
          </cell>
          <cell r="G3710" t="str">
            <v>SP</v>
          </cell>
          <cell r="H3710" t="str">
            <v>INGREDIENTS</v>
          </cell>
          <cell r="I3710" t="str">
            <v>INGREDIENTS</v>
          </cell>
          <cell r="J3710" t="str">
            <v>TATIANA NITTA</v>
          </cell>
          <cell r="K3710" t="str">
            <v>ITAMBÉ</v>
          </cell>
          <cell r="L3710" t="str">
            <v>MAURICIO</v>
          </cell>
          <cell r="M3710" t="str">
            <v>TATIANA NITTA</v>
          </cell>
        </row>
        <row r="3711">
          <cell r="B3711">
            <v>5052329</v>
          </cell>
          <cell r="C3711" t="str">
            <v>MECANO PACK EMBALAGENS SA</v>
          </cell>
          <cell r="D3711" t="str">
            <v>6001</v>
          </cell>
          <cell r="E3711" t="str">
            <v>6028</v>
          </cell>
          <cell r="F3711" t="str">
            <v>C1</v>
          </cell>
          <cell r="G3711" t="str">
            <v>SP</v>
          </cell>
          <cell r="H3711" t="str">
            <v>INGREDIENTS</v>
          </cell>
          <cell r="I3711" t="str">
            <v>INGREDIENTS</v>
          </cell>
          <cell r="J3711" t="str">
            <v>TATIANA NITTA</v>
          </cell>
          <cell r="K3711" t="str">
            <v>ITAMBÉ</v>
          </cell>
          <cell r="L3711" t="str">
            <v>MAURICIO</v>
          </cell>
          <cell r="M3711" t="str">
            <v>TATIANA NITTA</v>
          </cell>
        </row>
        <row r="3712">
          <cell r="B3712">
            <v>5190347</v>
          </cell>
          <cell r="C3712" t="str">
            <v>HIPER PAN DISTDE PROD DE PAN LT</v>
          </cell>
          <cell r="D3712" t="str">
            <v>3001</v>
          </cell>
          <cell r="E3712" t="str">
            <v>0127</v>
          </cell>
          <cell r="F3712" t="str">
            <v>C1</v>
          </cell>
          <cell r="G3712" t="str">
            <v>BA</v>
          </cell>
          <cell r="H3712" t="str">
            <v>DISTRIBUIÇÃO</v>
          </cell>
          <cell r="I3712" t="str">
            <v>FOOD SERVICE</v>
          </cell>
          <cell r="J3712" t="str">
            <v>CLAUDIO JORGE/LUIZ</v>
          </cell>
          <cell r="K3712" t="str">
            <v>ITAMBÉ</v>
          </cell>
          <cell r="L3712" t="str">
            <v>RODRIGO</v>
          </cell>
          <cell r="M3712" t="str">
            <v>MARIA LOURDES</v>
          </cell>
        </row>
        <row r="3713">
          <cell r="B3713">
            <v>5327327</v>
          </cell>
          <cell r="C3713" t="str">
            <v>BNZ BEBIDAS LTDA</v>
          </cell>
          <cell r="D3713" t="str">
            <v>6001</v>
          </cell>
          <cell r="E3713" t="str">
            <v>6028</v>
          </cell>
          <cell r="F3713" t="str">
            <v>C1</v>
          </cell>
          <cell r="G3713" t="str">
            <v>SP</v>
          </cell>
          <cell r="H3713" t="str">
            <v>INGREDIENTS</v>
          </cell>
          <cell r="I3713" t="str">
            <v>INGREDIENTS</v>
          </cell>
          <cell r="J3713" t="str">
            <v>TATIANA NITTA</v>
          </cell>
          <cell r="K3713" t="str">
            <v>ITAMBÉ</v>
          </cell>
          <cell r="L3713" t="str">
            <v>MAURICIO</v>
          </cell>
          <cell r="M3713" t="str">
            <v>TATIANA NITTA</v>
          </cell>
        </row>
        <row r="3714">
          <cell r="B3714">
            <v>5371102</v>
          </cell>
          <cell r="C3714" t="str">
            <v>TRANSWERLE TRANSPORTES LTDA</v>
          </cell>
          <cell r="D3714" t="str">
            <v>4001</v>
          </cell>
          <cell r="E3714" t="str">
            <v>0546</v>
          </cell>
          <cell r="F3714" t="str">
            <v>C1</v>
          </cell>
          <cell r="G3714" t="str">
            <v>RS</v>
          </cell>
          <cell r="H3714" t="str">
            <v>INGREDIENTS</v>
          </cell>
          <cell r="I3714" t="str">
            <v>INGREDIENTS</v>
          </cell>
          <cell r="J3714" t="str">
            <v>JOEL ELEOTÉRIO</v>
          </cell>
          <cell r="K3714" t="str">
            <v>LACTALIS</v>
          </cell>
          <cell r="L3714" t="str">
            <v>MAURICIO</v>
          </cell>
          <cell r="M3714" t="str">
            <v>JOEL</v>
          </cell>
        </row>
        <row r="3715">
          <cell r="B3715">
            <v>5162170</v>
          </cell>
          <cell r="C3715" t="str">
            <v>DAN VIGOR IND E COM DE LATICINI</v>
          </cell>
          <cell r="D3715" t="str">
            <v>4001</v>
          </cell>
          <cell r="E3715" t="str">
            <v>0445</v>
          </cell>
          <cell r="F3715" t="str">
            <v>C7</v>
          </cell>
          <cell r="G3715" t="str">
            <v>SP</v>
          </cell>
          <cell r="H3715" t="str">
            <v>INGREDIENTS</v>
          </cell>
          <cell r="I3715" t="str">
            <v>INGREDIENTS</v>
          </cell>
          <cell r="J3715" t="str">
            <v>JOEL ELEOTÉRIO</v>
          </cell>
          <cell r="K3715" t="str">
            <v>LACTALIS</v>
          </cell>
          <cell r="L3715" t="str">
            <v>MAURICIO</v>
          </cell>
          <cell r="M3715" t="str">
            <v>JOEL</v>
          </cell>
        </row>
        <row r="3716">
          <cell r="B3716">
            <v>5193784</v>
          </cell>
          <cell r="C3716" t="str">
            <v>CAROLE CREMA CHOCOLATES LTDA</v>
          </cell>
          <cell r="D3716" t="str">
            <v>6001</v>
          </cell>
          <cell r="E3716" t="str">
            <v>6125</v>
          </cell>
          <cell r="F3716" t="str">
            <v>C1</v>
          </cell>
          <cell r="G3716" t="str">
            <v>SP</v>
          </cell>
          <cell r="H3716" t="str">
            <v>DISTRIBUIÇÃO</v>
          </cell>
          <cell r="I3716" t="str">
            <v>FOOD SERVICE</v>
          </cell>
          <cell r="J3716" t="str">
            <v>SP ITB FS FLAC REP.E COMERCIO</v>
          </cell>
          <cell r="K3716" t="str">
            <v>ITAMBÉ</v>
          </cell>
          <cell r="L3716" t="str">
            <v>RODRIGO</v>
          </cell>
          <cell r="M3716" t="str">
            <v>RAQUEL BARBOSA</v>
          </cell>
        </row>
        <row r="3717">
          <cell r="B3717">
            <v>5198702</v>
          </cell>
          <cell r="C3717" t="str">
            <v>GELATERIA PERINO IND COM G LTDA</v>
          </cell>
          <cell r="D3717" t="str">
            <v>7001</v>
          </cell>
          <cell r="E3717" t="str">
            <v>0749</v>
          </cell>
          <cell r="F3717" t="str">
            <v>C5</v>
          </cell>
          <cell r="G3717" t="str">
            <v>SP</v>
          </cell>
          <cell r="H3717" t="str">
            <v>DISTRIBUIÇÃO</v>
          </cell>
          <cell r="I3717" t="str">
            <v>FOOD SERVICE</v>
          </cell>
          <cell r="J3717" t="str">
            <v>FLAC 7</v>
          </cell>
          <cell r="K3717" t="str">
            <v>LACTALIS</v>
          </cell>
          <cell r="L3717" t="str">
            <v>RODRIGO</v>
          </cell>
          <cell r="M3717" t="str">
            <v>RAQUEL BARBOSA</v>
          </cell>
        </row>
        <row r="3718">
          <cell r="B3718">
            <v>5332489</v>
          </cell>
          <cell r="C3718" t="str">
            <v>VIAMIX DISTRIBUICAO LTDA</v>
          </cell>
          <cell r="D3718" t="str">
            <v>3001</v>
          </cell>
          <cell r="E3718" t="str">
            <v>0127</v>
          </cell>
          <cell r="F3718" t="str">
            <v>C1</v>
          </cell>
          <cell r="G3718" t="str">
            <v>BA</v>
          </cell>
          <cell r="H3718" t="str">
            <v>DISTRIBUIÇÃO</v>
          </cell>
          <cell r="I3718" t="str">
            <v>FOOD SERVICE</v>
          </cell>
          <cell r="J3718" t="str">
            <v>CLAUDIO JORGE/LUIZ</v>
          </cell>
          <cell r="K3718" t="str">
            <v>ITAMBÉ</v>
          </cell>
          <cell r="L3718" t="str">
            <v>RODRIGO</v>
          </cell>
          <cell r="M3718" t="str">
            <v>MARIA LOURDES</v>
          </cell>
        </row>
        <row r="3719">
          <cell r="B3719">
            <v>5371254</v>
          </cell>
          <cell r="C3719" t="str">
            <v>COM PLENA DISTRIB DE ALIM LTDA</v>
          </cell>
          <cell r="D3719" t="str">
            <v>4001</v>
          </cell>
          <cell r="E3719" t="str">
            <v>0437</v>
          </cell>
          <cell r="F3719" t="str">
            <v>C1</v>
          </cell>
          <cell r="G3719" t="str">
            <v>RJ</v>
          </cell>
          <cell r="H3719" t="str">
            <v>INGREDIENTS</v>
          </cell>
          <cell r="I3719" t="str">
            <v>INGREDIENTS</v>
          </cell>
          <cell r="J3719" t="str">
            <v>JOEL ELEOTÉRIO</v>
          </cell>
          <cell r="K3719" t="str">
            <v>LACTALIS</v>
          </cell>
          <cell r="L3719" t="str">
            <v>MAURICIO</v>
          </cell>
          <cell r="M3719" t="str">
            <v>JOEL</v>
          </cell>
        </row>
        <row r="3720">
          <cell r="B3720">
            <v>5170033</v>
          </cell>
          <cell r="C3720" t="str">
            <v>SORVETERIA SANTIAGO LTDA</v>
          </cell>
          <cell r="D3720" t="str">
            <v>3001</v>
          </cell>
          <cell r="E3720" t="str">
            <v>0028</v>
          </cell>
          <cell r="F3720" t="str">
            <v>C1</v>
          </cell>
          <cell r="G3720" t="str">
            <v>BA</v>
          </cell>
          <cell r="H3720" t="str">
            <v>INGREDIENTS</v>
          </cell>
          <cell r="I3720" t="str">
            <v>INGREDIENTS</v>
          </cell>
          <cell r="J3720" t="str">
            <v>BA ITB FS ML FLAVORS</v>
          </cell>
          <cell r="K3720" t="str">
            <v>ITAMBÉ</v>
          </cell>
          <cell r="L3720" t="str">
            <v>MAURICIO</v>
          </cell>
          <cell r="M3720" t="str">
            <v>JOEL</v>
          </cell>
        </row>
        <row r="3721">
          <cell r="B3721">
            <v>5211582</v>
          </cell>
          <cell r="C3721" t="str">
            <v>DAN VIGOR IND E COM LATICINIOS LTDA</v>
          </cell>
          <cell r="D3721" t="str">
            <v>4001</v>
          </cell>
          <cell r="E3721" t="str">
            <v>0445</v>
          </cell>
          <cell r="F3721" t="str">
            <v>C7</v>
          </cell>
          <cell r="G3721" t="str">
            <v>SP</v>
          </cell>
          <cell r="H3721" t="str">
            <v>INGREDIENTS</v>
          </cell>
          <cell r="I3721" t="str">
            <v>INGREDIENTS</v>
          </cell>
          <cell r="J3721" t="str">
            <v>JOEL ELEOTÉRIO</v>
          </cell>
          <cell r="K3721" t="str">
            <v>LACTALIS</v>
          </cell>
          <cell r="L3721" t="str">
            <v>MAURICIO</v>
          </cell>
          <cell r="M3721" t="str">
            <v>JOEL</v>
          </cell>
        </row>
        <row r="3722">
          <cell r="B3722">
            <v>5371290</v>
          </cell>
          <cell r="C3722" t="str">
            <v>ALESILVA COMERCIO LTDA</v>
          </cell>
          <cell r="D3722" t="str">
            <v>4001</v>
          </cell>
          <cell r="E3722" t="str">
            <v>0437</v>
          </cell>
          <cell r="F3722" t="str">
            <v>C1</v>
          </cell>
          <cell r="G3722" t="str">
            <v>SP</v>
          </cell>
          <cell r="H3722" t="str">
            <v>INGREDIENTS</v>
          </cell>
          <cell r="I3722" t="str">
            <v>INGREDIENTS</v>
          </cell>
          <cell r="J3722" t="str">
            <v>MARCELO RODRIGUES</v>
          </cell>
          <cell r="K3722" t="str">
            <v>LACTALIS</v>
          </cell>
          <cell r="L3722" t="str">
            <v>MAURICIO</v>
          </cell>
          <cell r="M3722" t="str">
            <v>MARCELO</v>
          </cell>
        </row>
        <row r="3723">
          <cell r="B3723">
            <v>5067885</v>
          </cell>
          <cell r="C3723" t="str">
            <v>SOAZA COM PROD ALIMENTICIOS LTDA</v>
          </cell>
          <cell r="D3723" t="str">
            <v>7001</v>
          </cell>
          <cell r="E3723" t="str">
            <v>0722</v>
          </cell>
          <cell r="F3723" t="str">
            <v>C1</v>
          </cell>
          <cell r="G3723" t="str">
            <v>SP</v>
          </cell>
          <cell r="H3723" t="str">
            <v>DISTRIBUIÇÃO</v>
          </cell>
          <cell r="I3723" t="str">
            <v>FOOD SERVICE</v>
          </cell>
          <cell r="J3723" t="str">
            <v>ALEXANDRE BONANI</v>
          </cell>
          <cell r="K3723" t="str">
            <v>LACTALIS</v>
          </cell>
          <cell r="L3723" t="str">
            <v>RODRIGO</v>
          </cell>
          <cell r="M3723" t="str">
            <v>ALEXANDRE BONANI</v>
          </cell>
        </row>
        <row r="3724">
          <cell r="B3724">
            <v>5193733</v>
          </cell>
          <cell r="C3724" t="str">
            <v>ARTIAGA E CARNEIRO LTDA ME</v>
          </cell>
          <cell r="D3724" t="str">
            <v>3001</v>
          </cell>
          <cell r="E3724" t="str">
            <v>0123</v>
          </cell>
          <cell r="F3724" t="str">
            <v>C1</v>
          </cell>
          <cell r="G3724" t="str">
            <v>GO</v>
          </cell>
          <cell r="H3724" t="str">
            <v>DISTRIBUIÇÃO</v>
          </cell>
          <cell r="I3724" t="str">
            <v>FOOD SERVICE</v>
          </cell>
          <cell r="J3724" t="str">
            <v>CLAUDIO JORGE</v>
          </cell>
          <cell r="K3724" t="str">
            <v>ITAMBÉ</v>
          </cell>
          <cell r="L3724" t="str">
            <v>RODRIGO</v>
          </cell>
          <cell r="M3724" t="str">
            <v>MARCO AURELIO</v>
          </cell>
        </row>
        <row r="3725">
          <cell r="B3725">
            <v>5265210</v>
          </cell>
          <cell r="C3725" t="str">
            <v>TRIBO GOURMET RESTAURANTE LTDA ME</v>
          </cell>
          <cell r="D3725" t="str">
            <v>7001</v>
          </cell>
          <cell r="E3725" t="str">
            <v>0749</v>
          </cell>
          <cell r="F3725" t="str">
            <v>C5</v>
          </cell>
          <cell r="G3725" t="str">
            <v>SP</v>
          </cell>
          <cell r="H3725" t="str">
            <v>DISTRIBUIÇÃO</v>
          </cell>
          <cell r="I3725" t="str">
            <v>FOOD SERVICE</v>
          </cell>
          <cell r="J3725" t="str">
            <v>FLAC 3</v>
          </cell>
          <cell r="K3725" t="str">
            <v>LACTALIS</v>
          </cell>
          <cell r="L3725" t="str">
            <v>RODRIGO</v>
          </cell>
          <cell r="M3725" t="str">
            <v>RAQUEL BARBOSA</v>
          </cell>
        </row>
        <row r="3726">
          <cell r="B3726">
            <v>5294983</v>
          </cell>
          <cell r="C3726" t="str">
            <v>PRET MAM RESTAURANTE LTDA</v>
          </cell>
          <cell r="D3726" t="str">
            <v>7001</v>
          </cell>
          <cell r="E3726" t="str">
            <v>0749</v>
          </cell>
          <cell r="F3726" t="str">
            <v>C5</v>
          </cell>
          <cell r="G3726" t="str">
            <v>SP</v>
          </cell>
          <cell r="H3726" t="str">
            <v>DISTRIBUIÇÃO</v>
          </cell>
          <cell r="I3726" t="str">
            <v>FOOD SERVICE</v>
          </cell>
          <cell r="J3726" t="str">
            <v>FLAC 3</v>
          </cell>
          <cell r="K3726" t="str">
            <v>LACTALIS</v>
          </cell>
          <cell r="L3726" t="str">
            <v>RODRIGO</v>
          </cell>
          <cell r="M3726" t="str">
            <v>RAQUEL BARBOSA</v>
          </cell>
        </row>
        <row r="3727">
          <cell r="B3727">
            <v>5353255</v>
          </cell>
          <cell r="C3727" t="str">
            <v>PAULIMAR IND DIST E IMP LTDA</v>
          </cell>
          <cell r="D3727" t="str">
            <v>6001</v>
          </cell>
          <cell r="E3727" t="str">
            <v>6125</v>
          </cell>
          <cell r="F3727" t="str">
            <v>C1</v>
          </cell>
          <cell r="G3727" t="str">
            <v>SP</v>
          </cell>
          <cell r="H3727" t="str">
            <v>DISTRIBUIÇÃO</v>
          </cell>
          <cell r="I3727" t="str">
            <v>FOOD SERVICE</v>
          </cell>
          <cell r="J3727" t="str">
            <v>SP ITB FS FLAC REP.E COMERCIO</v>
          </cell>
          <cell r="K3727" t="str">
            <v>ITAMBÉ</v>
          </cell>
          <cell r="L3727" t="str">
            <v>RODRIGO</v>
          </cell>
          <cell r="M3727" t="str">
            <v>RAQUEL BARBOSA</v>
          </cell>
        </row>
        <row r="3728">
          <cell r="B3728">
            <v>5366377</v>
          </cell>
          <cell r="C3728" t="str">
            <v>SAO BENTO PADARIA LTDA</v>
          </cell>
          <cell r="D3728" t="str">
            <v>7001</v>
          </cell>
          <cell r="E3728" t="str">
            <v>0749</v>
          </cell>
          <cell r="F3728" t="str">
            <v>C5</v>
          </cell>
          <cell r="G3728" t="str">
            <v>SP</v>
          </cell>
          <cell r="H3728" t="str">
            <v>DISTRIBUIÇÃO</v>
          </cell>
          <cell r="I3728" t="str">
            <v>FOOD SERVICE</v>
          </cell>
          <cell r="J3728" t="str">
            <v>FLAC 3</v>
          </cell>
          <cell r="K3728" t="str">
            <v>LACTALIS</v>
          </cell>
          <cell r="L3728" t="str">
            <v>RODRIGO</v>
          </cell>
          <cell r="M3728" t="str">
            <v>RAQUEL BARBOSA</v>
          </cell>
        </row>
        <row r="3729">
          <cell r="B3729">
            <v>5371289</v>
          </cell>
          <cell r="C3729" t="str">
            <v>YGB VAREJO BRASILEIRO LTDA</v>
          </cell>
          <cell r="D3729" t="str">
            <v>7001</v>
          </cell>
          <cell r="E3729" t="str">
            <v>0722</v>
          </cell>
          <cell r="F3729" t="str">
            <v>C1</v>
          </cell>
          <cell r="G3729" t="str">
            <v>SP</v>
          </cell>
          <cell r="H3729" t="str">
            <v>QSR</v>
          </cell>
          <cell r="I3729" t="str">
            <v>FOOD SERVICE</v>
          </cell>
          <cell r="J3729" t="str">
            <v>ANA MENIQUETE</v>
          </cell>
          <cell r="K3729" t="str">
            <v>LACTALIS</v>
          </cell>
          <cell r="L3729" t="str">
            <v>PEDRO</v>
          </cell>
          <cell r="M3729" t="str">
            <v>ANA MENIQUETE</v>
          </cell>
        </row>
        <row r="3730">
          <cell r="B3730">
            <v>5168151</v>
          </cell>
          <cell r="C3730" t="str">
            <v>I S M GOMES DE MATTOS LTDA</v>
          </cell>
          <cell r="D3730" t="str">
            <v>3001</v>
          </cell>
          <cell r="E3730" t="str">
            <v>0075</v>
          </cell>
          <cell r="F3730" t="str">
            <v>C1</v>
          </cell>
          <cell r="G3730" t="str">
            <v>CE</v>
          </cell>
          <cell r="H3730" t="str">
            <v>DISTRIBUIÇÃO</v>
          </cell>
          <cell r="I3730" t="str">
            <v>FOOD SERVICE</v>
          </cell>
          <cell r="J3730" t="str">
            <v>WH FOOD SERVICE CE</v>
          </cell>
          <cell r="K3730" t="str">
            <v>ITAMBÉ</v>
          </cell>
          <cell r="L3730" t="str">
            <v>RODRIGO</v>
          </cell>
          <cell r="M3730" t="str">
            <v>MARIA LOURDES</v>
          </cell>
        </row>
        <row r="3731">
          <cell r="B3731">
            <v>5214280</v>
          </cell>
          <cell r="C3731" t="str">
            <v>AN SABINO EMPREENDIMENTOS HOTE</v>
          </cell>
          <cell r="D3731" t="str">
            <v>7001</v>
          </cell>
          <cell r="E3731" t="str">
            <v>0749</v>
          </cell>
          <cell r="F3731" t="str">
            <v>C5</v>
          </cell>
          <cell r="G3731" t="str">
            <v>SP</v>
          </cell>
          <cell r="H3731" t="str">
            <v>DISTRIBUIÇÃO</v>
          </cell>
          <cell r="I3731" t="str">
            <v>FOOD SERVICE</v>
          </cell>
          <cell r="J3731" t="str">
            <v>FLAC 2</v>
          </cell>
          <cell r="K3731" t="str">
            <v>LACTALIS</v>
          </cell>
          <cell r="L3731" t="str">
            <v>RODRIGO</v>
          </cell>
          <cell r="M3731" t="str">
            <v>RAQUEL BARBOSA</v>
          </cell>
        </row>
        <row r="3732">
          <cell r="B3732">
            <v>5222398</v>
          </cell>
          <cell r="C3732" t="str">
            <v>GOURMET EXPRESS ALIMENTACAO LTD</v>
          </cell>
          <cell r="D3732" t="str">
            <v>6001</v>
          </cell>
          <cell r="E3732" t="str">
            <v>6125</v>
          </cell>
          <cell r="F3732" t="str">
            <v>C1</v>
          </cell>
          <cell r="G3732" t="str">
            <v>SP</v>
          </cell>
          <cell r="H3732" t="str">
            <v>DISTRIBUIÇÃO</v>
          </cell>
          <cell r="I3732" t="str">
            <v>FOOD SERVICE</v>
          </cell>
          <cell r="J3732" t="str">
            <v>SP ITB FS FLAC REP.E COMERCIO</v>
          </cell>
          <cell r="K3732" t="str">
            <v>ITAMBÉ</v>
          </cell>
          <cell r="L3732" t="str">
            <v>RODRIGO</v>
          </cell>
          <cell r="M3732" t="str">
            <v>RAQUEL BARBOSA</v>
          </cell>
        </row>
        <row r="3733">
          <cell r="B3733">
            <v>5230555</v>
          </cell>
          <cell r="C3733" t="str">
            <v>LEAL ROSA IND E COM E REPRES LT</v>
          </cell>
          <cell r="D3733" t="str">
            <v>7001</v>
          </cell>
          <cell r="E3733" t="str">
            <v>0749</v>
          </cell>
          <cell r="F3733" t="str">
            <v>C5</v>
          </cell>
          <cell r="G3733" t="str">
            <v>SP</v>
          </cell>
          <cell r="H3733" t="str">
            <v>DISTRIBUIÇÃO</v>
          </cell>
          <cell r="I3733" t="str">
            <v>FOOD SERVICE</v>
          </cell>
          <cell r="J3733" t="str">
            <v>FLAC 6</v>
          </cell>
          <cell r="K3733" t="str">
            <v>LACTALIS</v>
          </cell>
          <cell r="L3733" t="str">
            <v>RODRIGO</v>
          </cell>
          <cell r="M3733" t="str">
            <v>RAQUEL BARBOSA</v>
          </cell>
        </row>
        <row r="3734">
          <cell r="B3734">
            <v>5328091</v>
          </cell>
          <cell r="C3734" t="str">
            <v>AN LORENZO ITAIM GELATERIA LTD</v>
          </cell>
          <cell r="D3734" t="str">
            <v>7001</v>
          </cell>
          <cell r="E3734" t="str">
            <v>0749</v>
          </cell>
          <cell r="F3734" t="str">
            <v>C5</v>
          </cell>
          <cell r="G3734" t="str">
            <v>SP</v>
          </cell>
          <cell r="H3734" t="str">
            <v>DISTRIBUIÇÃO</v>
          </cell>
          <cell r="I3734" t="str">
            <v>FOOD SERVICE</v>
          </cell>
          <cell r="J3734" t="str">
            <v>FLAC 3</v>
          </cell>
          <cell r="K3734" t="str">
            <v>LACTALIS</v>
          </cell>
          <cell r="L3734" t="str">
            <v>RODRIGO</v>
          </cell>
          <cell r="M3734" t="str">
            <v>RAQUEL BARBOSA</v>
          </cell>
        </row>
        <row r="3735">
          <cell r="B3735">
            <v>5331746</v>
          </cell>
          <cell r="C3735" t="str">
            <v>EKOP GELATERIA LTDA</v>
          </cell>
          <cell r="D3735" t="str">
            <v>7001</v>
          </cell>
          <cell r="E3735" t="str">
            <v>0749</v>
          </cell>
          <cell r="F3735" t="str">
            <v>C5</v>
          </cell>
          <cell r="G3735" t="str">
            <v>SP</v>
          </cell>
          <cell r="H3735" t="str">
            <v>DISTRIBUIÇÃO</v>
          </cell>
          <cell r="I3735" t="str">
            <v>FOOD SERVICE</v>
          </cell>
          <cell r="J3735" t="str">
            <v>FLAC 2</v>
          </cell>
          <cell r="K3735" t="str">
            <v>LACTALIS</v>
          </cell>
          <cell r="L3735" t="str">
            <v>RODRIGO</v>
          </cell>
          <cell r="M3735" t="str">
            <v>RAQUEL BARBOSA</v>
          </cell>
        </row>
        <row r="3736">
          <cell r="B3736">
            <v>5370386</v>
          </cell>
          <cell r="C3736" t="str">
            <v>MATHEUS M ARAUJO 12710898667</v>
          </cell>
          <cell r="D3736" t="str">
            <v>3001</v>
          </cell>
          <cell r="E3736" t="str">
            <v>0028</v>
          </cell>
          <cell r="F3736" t="str">
            <v>C1</v>
          </cell>
          <cell r="G3736" t="str">
            <v>MG</v>
          </cell>
          <cell r="H3736" t="str">
            <v>INGREDIENTS</v>
          </cell>
          <cell r="I3736" t="str">
            <v>INGREDIENTS</v>
          </cell>
          <cell r="J3736" t="str">
            <v>HENRIQUE FERREIRA</v>
          </cell>
          <cell r="K3736" t="str">
            <v>ITAMBÉ</v>
          </cell>
          <cell r="L3736" t="str">
            <v>MAURICIO</v>
          </cell>
          <cell r="M3736" t="str">
            <v>JOEL</v>
          </cell>
        </row>
        <row r="3737">
          <cell r="B3737">
            <v>5371107</v>
          </cell>
          <cell r="C3737" t="str">
            <v>MIXUE BR LTDA</v>
          </cell>
          <cell r="D3737" t="str">
            <v>6001</v>
          </cell>
          <cell r="E3737" t="str">
            <v>6125</v>
          </cell>
          <cell r="F3737" t="str">
            <v>C1</v>
          </cell>
          <cell r="G3737" t="str">
            <v>SP</v>
          </cell>
          <cell r="H3737" t="str">
            <v>QSR</v>
          </cell>
          <cell r="I3737" t="str">
            <v>FOOD SERVICE</v>
          </cell>
          <cell r="J3737" t="str">
            <v>ANA MENIQUETE</v>
          </cell>
          <cell r="K3737" t="str">
            <v>ITAMBÉ</v>
          </cell>
          <cell r="L3737" t="str">
            <v>PEDRO</v>
          </cell>
          <cell r="M3737" t="str">
            <v>ANA MENIQUETE</v>
          </cell>
        </row>
        <row r="3738">
          <cell r="B3738">
            <v>5371414</v>
          </cell>
          <cell r="C3738" t="str">
            <v>FC DISTRIBUIDORA DE CHOCOLATES</v>
          </cell>
          <cell r="D3738" t="str">
            <v>3001</v>
          </cell>
          <cell r="E3738" t="str">
            <v>0126</v>
          </cell>
          <cell r="F3738" t="str">
            <v>C1</v>
          </cell>
          <cell r="G3738" t="str">
            <v>PR</v>
          </cell>
          <cell r="H3738" t="str">
            <v>DISTRIBUIÇÃO</v>
          </cell>
          <cell r="I3738" t="str">
            <v>FOOD SERVICE</v>
          </cell>
          <cell r="J3738" t="str">
            <v>ANGELICA BATISTELA</v>
          </cell>
          <cell r="K3738" t="str">
            <v>ITAMBÉ</v>
          </cell>
          <cell r="L3738" t="str">
            <v>RODRIGO</v>
          </cell>
          <cell r="M3738" t="str">
            <v>ANGELICA BATISTELA</v>
          </cell>
        </row>
        <row r="3739">
          <cell r="B3739">
            <v>5371598</v>
          </cell>
          <cell r="C3739" t="str">
            <v>GELO MIX SORVETES LTD</v>
          </cell>
          <cell r="D3739" t="str">
            <v>3001</v>
          </cell>
          <cell r="E3739" t="str">
            <v>0028</v>
          </cell>
          <cell r="F3739" t="str">
            <v>C1</v>
          </cell>
          <cell r="G3739" t="str">
            <v>MG</v>
          </cell>
          <cell r="H3739" t="str">
            <v>INGREDIENTS</v>
          </cell>
          <cell r="I3739" t="str">
            <v>INGREDIENTS</v>
          </cell>
          <cell r="J3739" t="str">
            <v>HENRIQUE FERREIRA</v>
          </cell>
          <cell r="K3739" t="str">
            <v>ITAMBÉ</v>
          </cell>
          <cell r="L3739" t="str">
            <v>MAURICIO</v>
          </cell>
          <cell r="M3739" t="str">
            <v>JOEL</v>
          </cell>
        </row>
        <row r="3740">
          <cell r="B3740">
            <v>5182903</v>
          </cell>
          <cell r="C3740" t="str">
            <v>CERVINO E MARTINEZ LTDA</v>
          </cell>
          <cell r="D3740" t="str">
            <v>3001</v>
          </cell>
          <cell r="E3740" t="str">
            <v>0127</v>
          </cell>
          <cell r="F3740" t="str">
            <v>C1</v>
          </cell>
          <cell r="G3740" t="str">
            <v>BA</v>
          </cell>
          <cell r="H3740" t="str">
            <v>DISTRIBUIÇÃO</v>
          </cell>
          <cell r="I3740" t="str">
            <v>FOOD SERVICE</v>
          </cell>
          <cell r="J3740" t="str">
            <v>CLAUDIO JORGE/LUIZ</v>
          </cell>
          <cell r="K3740" t="str">
            <v>ITAMBÉ</v>
          </cell>
          <cell r="L3740" t="str">
            <v>RODRIGO</v>
          </cell>
          <cell r="M3740" t="str">
            <v>MARIA LOURDES</v>
          </cell>
        </row>
        <row r="3741">
          <cell r="B3741">
            <v>5216119</v>
          </cell>
          <cell r="C3741" t="str">
            <v>GLOBAL QUALITY FOODS LTDA</v>
          </cell>
          <cell r="D3741" t="str">
            <v>6001</v>
          </cell>
          <cell r="E3741" t="str">
            <v>6028</v>
          </cell>
          <cell r="F3741" t="str">
            <v>C1</v>
          </cell>
          <cell r="G3741" t="str">
            <v>SP</v>
          </cell>
          <cell r="H3741" t="str">
            <v>INGREDIENTS</v>
          </cell>
          <cell r="I3741" t="str">
            <v>INGREDIENTS</v>
          </cell>
          <cell r="J3741" t="str">
            <v>HENRIQUE FERREIRA</v>
          </cell>
          <cell r="K3741" t="str">
            <v>ITAMBÉ</v>
          </cell>
          <cell r="L3741" t="str">
            <v>MAURICIO</v>
          </cell>
          <cell r="M3741" t="str">
            <v>JOEL</v>
          </cell>
        </row>
        <row r="3742">
          <cell r="B3742">
            <v>5336831</v>
          </cell>
          <cell r="C3742" t="str">
            <v>COMERCIO VAREJISTA DE SORVETES</v>
          </cell>
          <cell r="D3742" t="str">
            <v>7001</v>
          </cell>
          <cell r="E3742" t="str">
            <v>0722</v>
          </cell>
          <cell r="F3742" t="str">
            <v>C1</v>
          </cell>
          <cell r="G3742" t="str">
            <v>SP</v>
          </cell>
          <cell r="H3742" t="str">
            <v>QSR</v>
          </cell>
          <cell r="I3742" t="str">
            <v>FOOD SERVICE</v>
          </cell>
          <cell r="J3742" t="str">
            <v>ANA MENIQUETE</v>
          </cell>
          <cell r="K3742" t="str">
            <v>LACTALIS</v>
          </cell>
          <cell r="L3742" t="str">
            <v>PEDRO</v>
          </cell>
          <cell r="M3742" t="str">
            <v>ANA MENIQUETE</v>
          </cell>
        </row>
        <row r="3743">
          <cell r="B3743">
            <v>5023870</v>
          </cell>
          <cell r="C3743" t="str">
            <v>GOLD INDUSTRIA E COMERCIO LTDA</v>
          </cell>
          <cell r="D3743" t="str">
            <v>7001</v>
          </cell>
          <cell r="E3743" t="str">
            <v>0755</v>
          </cell>
          <cell r="F3743" t="str">
            <v>C1</v>
          </cell>
          <cell r="G3743" t="str">
            <v>PR</v>
          </cell>
          <cell r="H3743" t="str">
            <v>DISTRIBUIÇÃO</v>
          </cell>
          <cell r="I3743" t="str">
            <v>FOOD SERVICE</v>
          </cell>
          <cell r="J3743" t="str">
            <v>ANGELICA BATISTELA</v>
          </cell>
          <cell r="K3743" t="str">
            <v>LACTALIS</v>
          </cell>
          <cell r="L3743" t="str">
            <v>RODRIGO</v>
          </cell>
          <cell r="M3743" t="str">
            <v>ANGELICA BATISTELA</v>
          </cell>
        </row>
        <row r="3744">
          <cell r="B3744">
            <v>5371677</v>
          </cell>
          <cell r="C3744" t="str">
            <v>ALVILAC BRASIL LTDA</v>
          </cell>
          <cell r="D3744" t="str">
            <v>6001</v>
          </cell>
          <cell r="E3744" t="str">
            <v>6028</v>
          </cell>
          <cell r="F3744" t="str">
            <v>C1</v>
          </cell>
          <cell r="G3744" t="str">
            <v>SP</v>
          </cell>
          <cell r="H3744" t="str">
            <v>INGREDIENTS</v>
          </cell>
          <cell r="I3744" t="str">
            <v>INGREDIENTS</v>
          </cell>
          <cell r="J3744" t="str">
            <v>DLUM</v>
          </cell>
          <cell r="K3744" t="str">
            <v>ITAMBÉ</v>
          </cell>
          <cell r="L3744" t="str">
            <v>MAURICIO</v>
          </cell>
          <cell r="M3744" t="str">
            <v>JOEL</v>
          </cell>
        </row>
        <row r="3745">
          <cell r="B3745">
            <v>5333873</v>
          </cell>
          <cell r="C3745" t="str">
            <v>FJN ACAIS E SORVETES LTDA</v>
          </cell>
          <cell r="D3745" t="str">
            <v>6001</v>
          </cell>
          <cell r="E3745" t="str">
            <v>6028</v>
          </cell>
          <cell r="F3745" t="str">
            <v>C1</v>
          </cell>
          <cell r="G3745" t="str">
            <v>SP</v>
          </cell>
          <cell r="H3745" t="str">
            <v>INGREDIENTS</v>
          </cell>
          <cell r="I3745" t="str">
            <v>INGREDIENTS</v>
          </cell>
          <cell r="J3745" t="str">
            <v>TATIANA NITTA</v>
          </cell>
          <cell r="K3745" t="str">
            <v>ITAMBÉ</v>
          </cell>
          <cell r="L3745" t="str">
            <v>MAURICIO</v>
          </cell>
          <cell r="M3745" t="str">
            <v>TATIANA NITTA</v>
          </cell>
        </row>
        <row r="3746">
          <cell r="B3746">
            <v>5341010</v>
          </cell>
          <cell r="C3746" t="str">
            <v>TROPICALMEX IND E COM INTERN DE</v>
          </cell>
          <cell r="D3746" t="str">
            <v>3001</v>
          </cell>
          <cell r="E3746" t="str">
            <v>0028</v>
          </cell>
          <cell r="F3746" t="str">
            <v>C1</v>
          </cell>
          <cell r="G3746" t="str">
            <v>MG</v>
          </cell>
          <cell r="H3746" t="str">
            <v>INGREDIENTS</v>
          </cell>
          <cell r="I3746" t="str">
            <v>INGREDIENTS</v>
          </cell>
          <cell r="J3746" t="str">
            <v>HENRIQUE FERREIRA</v>
          </cell>
          <cell r="K3746" t="str">
            <v>ITAMBÉ</v>
          </cell>
          <cell r="L3746" t="str">
            <v>MAURICIO</v>
          </cell>
          <cell r="M3746" t="str">
            <v>JOEL</v>
          </cell>
        </row>
        <row r="3747">
          <cell r="B3747">
            <v>5371467</v>
          </cell>
          <cell r="C3747" t="str">
            <v>49148019 VICTOR NEVES DE SOUZA</v>
          </cell>
          <cell r="D3747" t="str">
            <v>7001</v>
          </cell>
          <cell r="E3747" t="str">
            <v>0749</v>
          </cell>
          <cell r="F3747" t="str">
            <v>C5</v>
          </cell>
          <cell r="G3747" t="str">
            <v>SP</v>
          </cell>
          <cell r="H3747" t="str">
            <v>DISTRIBUIÇÃO</v>
          </cell>
          <cell r="I3747" t="str">
            <v>FOOD SERVICE</v>
          </cell>
          <cell r="J3747" t="str">
            <v>FLAC 2</v>
          </cell>
          <cell r="K3747" t="str">
            <v>LACTALIS</v>
          </cell>
          <cell r="L3747" t="str">
            <v>RODRIGO</v>
          </cell>
          <cell r="M3747" t="str">
            <v>RAQUEL BARBOSA</v>
          </cell>
        </row>
        <row r="3748">
          <cell r="B3748">
            <v>5371694</v>
          </cell>
          <cell r="C3748" t="str">
            <v>NILMA FERREIRA DE MOURA SANTOS</v>
          </cell>
          <cell r="D3748" t="str">
            <v>7001</v>
          </cell>
          <cell r="E3748" t="str">
            <v>0749</v>
          </cell>
          <cell r="F3748" t="str">
            <v>C5</v>
          </cell>
          <cell r="G3748" t="str">
            <v>SP</v>
          </cell>
          <cell r="H3748" t="str">
            <v>DISTRIBUIÇÃO</v>
          </cell>
          <cell r="I3748" t="str">
            <v>FOOD SERVICE</v>
          </cell>
          <cell r="J3748" t="str">
            <v>FLAC 6</v>
          </cell>
          <cell r="K3748" t="str">
            <v>LACTALIS</v>
          </cell>
          <cell r="L3748" t="str">
            <v>RODRIGO</v>
          </cell>
          <cell r="M3748" t="str">
            <v>RAQUEL BARBOSA</v>
          </cell>
        </row>
        <row r="3749">
          <cell r="B3749">
            <v>5108416</v>
          </cell>
          <cell r="C3749" t="str">
            <v>FORNERIA LUCE RIO COM DE PROD A LTD</v>
          </cell>
          <cell r="D3749" t="str">
            <v>6001</v>
          </cell>
          <cell r="E3749" t="str">
            <v>6169</v>
          </cell>
          <cell r="F3749" t="str">
            <v>C1</v>
          </cell>
          <cell r="G3749" t="str">
            <v>RJ</v>
          </cell>
          <cell r="H3749" t="str">
            <v>DISTRIBUIÇÃO</v>
          </cell>
          <cell r="I3749" t="str">
            <v>FOOD SERVICE</v>
          </cell>
          <cell r="J3749" t="str">
            <v>JULIANA CORDEIRO</v>
          </cell>
          <cell r="K3749" t="str">
            <v>ITAMBÉ</v>
          </cell>
          <cell r="L3749" t="str">
            <v>RODRIGO</v>
          </cell>
          <cell r="M3749" t="str">
            <v>JESSICA</v>
          </cell>
        </row>
        <row r="3750">
          <cell r="B3750">
            <v>5111905</v>
          </cell>
          <cell r="C3750" t="str">
            <v>BIMBETTO ALIMENTOS LTDA</v>
          </cell>
          <cell r="D3750" t="str">
            <v>4001</v>
          </cell>
          <cell r="E3750" t="str">
            <v>0455</v>
          </cell>
          <cell r="F3750" t="str">
            <v>C1</v>
          </cell>
          <cell r="G3750" t="str">
            <v>PR</v>
          </cell>
          <cell r="H3750" t="str">
            <v>DISTRIBUIÇÃO</v>
          </cell>
          <cell r="I3750" t="str">
            <v>FOOD SERVICE</v>
          </cell>
          <cell r="J3750" t="str">
            <v>ANGELICA BATISTELA</v>
          </cell>
          <cell r="K3750" t="str">
            <v>LACTALIS</v>
          </cell>
          <cell r="L3750" t="str">
            <v>RODRIGO</v>
          </cell>
          <cell r="M3750" t="str">
            <v>ANGELICA BATISTELA</v>
          </cell>
        </row>
        <row r="3751">
          <cell r="B3751">
            <v>5166163</v>
          </cell>
          <cell r="C3751" t="str">
            <v>DISMAPRI COMERCIO IMP E EXP LTD</v>
          </cell>
          <cell r="D3751" t="str">
            <v>4001</v>
          </cell>
          <cell r="E3751" t="str">
            <v>0437</v>
          </cell>
          <cell r="F3751" t="str">
            <v>C1</v>
          </cell>
          <cell r="G3751" t="str">
            <v>SP</v>
          </cell>
          <cell r="H3751" t="str">
            <v>INGREDIENTS</v>
          </cell>
          <cell r="I3751" t="str">
            <v>INGREDIENTS</v>
          </cell>
          <cell r="J3751" t="str">
            <v>JOEL ELEOTÉRIO</v>
          </cell>
          <cell r="K3751" t="str">
            <v>LACTALIS</v>
          </cell>
          <cell r="L3751" t="str">
            <v>MAURICIO</v>
          </cell>
          <cell r="M3751" t="str">
            <v>JOEL</v>
          </cell>
        </row>
        <row r="3752">
          <cell r="B3752">
            <v>5360865</v>
          </cell>
          <cell r="C3752" t="str">
            <v>GRANZOTO FRIOS E LATICINIOS LTD</v>
          </cell>
          <cell r="D3752" t="str">
            <v>7001</v>
          </cell>
          <cell r="E3752" t="str">
            <v>0722</v>
          </cell>
          <cell r="F3752" t="str">
            <v>C1</v>
          </cell>
          <cell r="G3752" t="str">
            <v>SP</v>
          </cell>
          <cell r="H3752" t="str">
            <v>DISTRIBUIÇÃO</v>
          </cell>
          <cell r="I3752" t="str">
            <v>FOOD SERVICE</v>
          </cell>
          <cell r="J3752" t="str">
            <v>ALEXANDRE BONANI</v>
          </cell>
          <cell r="K3752" t="str">
            <v>LACTALIS</v>
          </cell>
          <cell r="L3752" t="str">
            <v>RODRIGO</v>
          </cell>
          <cell r="M3752" t="str">
            <v>ALEXANDRE BONANI</v>
          </cell>
        </row>
        <row r="3753">
          <cell r="B3753">
            <v>5165046</v>
          </cell>
          <cell r="C3753" t="str">
            <v>SLOOP IND COM DE ALIM LTDA</v>
          </cell>
          <cell r="D3753" t="str">
            <v>4001</v>
          </cell>
          <cell r="E3753" t="str">
            <v>0437</v>
          </cell>
          <cell r="F3753" t="str">
            <v>C1</v>
          </cell>
          <cell r="G3753" t="str">
            <v>RJ</v>
          </cell>
          <cell r="H3753" t="str">
            <v>INGREDIENTS</v>
          </cell>
          <cell r="I3753" t="str">
            <v>INGREDIENTS</v>
          </cell>
          <cell r="J3753" t="str">
            <v>TATIANA NITTA</v>
          </cell>
          <cell r="K3753" t="str">
            <v>LACTALIS</v>
          </cell>
          <cell r="L3753" t="str">
            <v>MAURICIO</v>
          </cell>
          <cell r="M3753" t="str">
            <v>TATIANA NITTA</v>
          </cell>
        </row>
        <row r="3754">
          <cell r="B3754">
            <v>5261997</v>
          </cell>
          <cell r="C3754" t="str">
            <v>Q NUTRE SERVICOS DE ALIMENTACAO LTD</v>
          </cell>
          <cell r="D3754" t="str">
            <v>7001</v>
          </cell>
          <cell r="E3754" t="str">
            <v>0749</v>
          </cell>
          <cell r="F3754" t="str">
            <v>C5</v>
          </cell>
          <cell r="G3754" t="str">
            <v>SP</v>
          </cell>
          <cell r="H3754" t="str">
            <v>DISTRIBUIÇÃO</v>
          </cell>
          <cell r="I3754" t="str">
            <v>FOOD SERVICE</v>
          </cell>
          <cell r="J3754" t="str">
            <v>FLAC 6</v>
          </cell>
          <cell r="K3754" t="str">
            <v>LACTALIS</v>
          </cell>
          <cell r="L3754" t="str">
            <v>RODRIGO</v>
          </cell>
          <cell r="M3754" t="str">
            <v>RAQUEL BARBOSA</v>
          </cell>
        </row>
        <row r="3755">
          <cell r="B3755">
            <v>5358195</v>
          </cell>
          <cell r="C3755" t="str">
            <v>CAMILA DE LIMA MENDES PIRES 4025105</v>
          </cell>
          <cell r="D3755" t="str">
            <v>7001</v>
          </cell>
          <cell r="E3755" t="str">
            <v>0739</v>
          </cell>
          <cell r="F3755" t="str">
            <v>C1</v>
          </cell>
          <cell r="G3755" t="str">
            <v>SP</v>
          </cell>
          <cell r="H3755" t="str">
            <v>DISTRIBUIÇÃO</v>
          </cell>
          <cell r="I3755" t="str">
            <v>FOOD SERVICE</v>
          </cell>
          <cell r="J3755" t="str">
            <v>FLAC 4</v>
          </cell>
          <cell r="K3755" t="str">
            <v>LACTALIS</v>
          </cell>
          <cell r="L3755" t="str">
            <v>RODRIGO</v>
          </cell>
          <cell r="M3755" t="str">
            <v>RAQUEL BARBOSA</v>
          </cell>
        </row>
        <row r="3756">
          <cell r="B3756">
            <v>5312284</v>
          </cell>
          <cell r="C3756" t="str">
            <v>BELLA COMERCIO DE EMBALAGENS LTDA</v>
          </cell>
          <cell r="D3756" t="str">
            <v>7001</v>
          </cell>
          <cell r="E3756" t="str">
            <v>0749</v>
          </cell>
          <cell r="F3756" t="str">
            <v>C5</v>
          </cell>
          <cell r="G3756" t="str">
            <v>ES</v>
          </cell>
          <cell r="H3756" t="str">
            <v>DISTRIBUIÇÃO</v>
          </cell>
          <cell r="I3756" t="str">
            <v>FOOD SERVICE</v>
          </cell>
          <cell r="J3756" t="str">
            <v>MARCELO DUARTE</v>
          </cell>
          <cell r="K3756" t="str">
            <v>LACTALIS</v>
          </cell>
          <cell r="L3756" t="str">
            <v>RODRIGO</v>
          </cell>
          <cell r="M3756" t="str">
            <v>JESSICA</v>
          </cell>
        </row>
        <row r="3757">
          <cell r="B3757">
            <v>5369726</v>
          </cell>
          <cell r="C3757" t="str">
            <v>MAGNIFICA PAES LTDA</v>
          </cell>
          <cell r="D3757" t="str">
            <v>7001</v>
          </cell>
          <cell r="E3757" t="str">
            <v>0749</v>
          </cell>
          <cell r="F3757" t="str">
            <v>C5</v>
          </cell>
          <cell r="G3757" t="str">
            <v>SP</v>
          </cell>
          <cell r="H3757" t="str">
            <v>DISTRIBUIÇÃO</v>
          </cell>
          <cell r="I3757" t="str">
            <v>FOOD SERVICE</v>
          </cell>
          <cell r="J3757" t="str">
            <v>FLAC 2</v>
          </cell>
          <cell r="K3757" t="str">
            <v>LACTALIS</v>
          </cell>
          <cell r="L3757" t="str">
            <v>RODRIGO</v>
          </cell>
          <cell r="M3757" t="str">
            <v>RAQUEL BARBOSA</v>
          </cell>
        </row>
        <row r="3758">
          <cell r="B3758">
            <v>5370695</v>
          </cell>
          <cell r="C3758" t="str">
            <v>ATRIO HOTEIS SA</v>
          </cell>
          <cell r="D3758" t="str">
            <v>7001</v>
          </cell>
          <cell r="E3758" t="str">
            <v>0749</v>
          </cell>
          <cell r="F3758" t="str">
            <v>C5</v>
          </cell>
          <cell r="G3758" t="str">
            <v>SP</v>
          </cell>
          <cell r="H3758" t="str">
            <v>DISTRIBUIÇÃO</v>
          </cell>
          <cell r="I3758" t="str">
            <v>FOOD SERVICE</v>
          </cell>
          <cell r="J3758" t="str">
            <v>FLAC 5</v>
          </cell>
          <cell r="K3758" t="str">
            <v>LACTALIS</v>
          </cell>
          <cell r="L3758" t="str">
            <v>RODRIGO</v>
          </cell>
          <cell r="M3758" t="str">
            <v>RAQUEL BARBOSA</v>
          </cell>
        </row>
        <row r="3759">
          <cell r="B3759">
            <v>5182318</v>
          </cell>
          <cell r="C3759" t="str">
            <v>MARQUISE EMPREENDIMENTOS SA</v>
          </cell>
          <cell r="D3759" t="str">
            <v>3001</v>
          </cell>
          <cell r="E3759" t="str">
            <v>0127</v>
          </cell>
          <cell r="F3759" t="str">
            <v>C1</v>
          </cell>
          <cell r="G3759" t="str">
            <v>CE</v>
          </cell>
          <cell r="H3759" t="str">
            <v>DISTRIBUIÇÃO</v>
          </cell>
          <cell r="I3759" t="str">
            <v>FOOD SERVICE</v>
          </cell>
          <cell r="J3759" t="str">
            <v>WH FOOD SERVICE CE</v>
          </cell>
          <cell r="K3759" t="str">
            <v>ITAMBÉ</v>
          </cell>
          <cell r="L3759" t="str">
            <v>RODRIGO</v>
          </cell>
          <cell r="M3759" t="str">
            <v>MARIA LOURDES</v>
          </cell>
        </row>
        <row r="3760">
          <cell r="B3760">
            <v>5309626</v>
          </cell>
          <cell r="C3760" t="str">
            <v>RSG SABOREIE DOCES E SALGADOS L</v>
          </cell>
          <cell r="D3760" t="str">
            <v>3001</v>
          </cell>
          <cell r="E3760" t="str">
            <v>0009</v>
          </cell>
          <cell r="F3760" t="str">
            <v>C1</v>
          </cell>
          <cell r="G3760" t="str">
            <v>BA</v>
          </cell>
          <cell r="H3760" t="str">
            <v>DISTRIBUIÇÃO</v>
          </cell>
          <cell r="I3760" t="str">
            <v>FOOD SERVICE</v>
          </cell>
          <cell r="J3760" t="str">
            <v>CLAUDIO JORGE/LUIZ</v>
          </cell>
          <cell r="K3760" t="str">
            <v>ITAMBÉ</v>
          </cell>
          <cell r="L3760" t="str">
            <v>RODRIGO</v>
          </cell>
          <cell r="M3760" t="str">
            <v>MARIA LOURDES</v>
          </cell>
        </row>
        <row r="3761">
          <cell r="B3761">
            <v>5360865</v>
          </cell>
          <cell r="C3761" t="str">
            <v>GRANZOTO FRIOS E LATICINIOS LTDA</v>
          </cell>
          <cell r="D3761" t="str">
            <v>6001</v>
          </cell>
          <cell r="E3761" t="str">
            <v>6125</v>
          </cell>
          <cell r="F3761" t="str">
            <v>C1</v>
          </cell>
          <cell r="G3761" t="str">
            <v>SP</v>
          </cell>
          <cell r="H3761" t="str">
            <v>DISTRIBUIÇÃO</v>
          </cell>
          <cell r="I3761" t="str">
            <v>FOOD SERVICE</v>
          </cell>
          <cell r="J3761" t="str">
            <v>ALEXANDRE BONANI</v>
          </cell>
          <cell r="K3761" t="str">
            <v>ITAMBÉ</v>
          </cell>
          <cell r="L3761" t="str">
            <v>RODRIGO</v>
          </cell>
          <cell r="M3761" t="str">
            <v>RAQUEL BARBOSA</v>
          </cell>
        </row>
        <row r="3762">
          <cell r="B3762">
            <v>5371291</v>
          </cell>
          <cell r="C3762" t="str">
            <v>CERRO AZUL ALIMENTOS LTDA</v>
          </cell>
          <cell r="D3762" t="str">
            <v>7001</v>
          </cell>
          <cell r="E3762" t="str">
            <v>0755</v>
          </cell>
          <cell r="F3762" t="str">
            <v>C1</v>
          </cell>
          <cell r="G3762" t="str">
            <v>PR</v>
          </cell>
          <cell r="H3762" t="str">
            <v>DISTRIBUIÇÃO</v>
          </cell>
          <cell r="I3762" t="str">
            <v>FOOD SERVICE</v>
          </cell>
          <cell r="J3762" t="str">
            <v>ANGELICA BATISTELA</v>
          </cell>
          <cell r="K3762" t="str">
            <v>LACTALIS</v>
          </cell>
          <cell r="L3762" t="str">
            <v>RODRIGO</v>
          </cell>
          <cell r="M3762" t="str">
            <v>ANGELICA BATISTELA</v>
          </cell>
        </row>
        <row r="3763">
          <cell r="B3763">
            <v>5371512</v>
          </cell>
          <cell r="C3763" t="str">
            <v>LDN DISTRIBUIDORA LTDA</v>
          </cell>
          <cell r="D3763" t="str">
            <v>4001</v>
          </cell>
          <cell r="E3763" t="str">
            <v>0437</v>
          </cell>
          <cell r="F3763" t="str">
            <v>C1</v>
          </cell>
          <cell r="G3763" t="str">
            <v>SP</v>
          </cell>
          <cell r="H3763" t="str">
            <v>INGREDIENTS</v>
          </cell>
          <cell r="I3763" t="str">
            <v>INGREDIENTS</v>
          </cell>
          <cell r="J3763" t="str">
            <v>TATIANA NITTA</v>
          </cell>
          <cell r="K3763" t="str">
            <v>LACTALIS</v>
          </cell>
          <cell r="L3763" t="str">
            <v>MAURICIO</v>
          </cell>
          <cell r="M3763" t="str">
            <v>TATIANA NITTA</v>
          </cell>
        </row>
        <row r="3764">
          <cell r="B3764">
            <v>5367556</v>
          </cell>
          <cell r="C3764" t="str">
            <v>M FOODS LTDA</v>
          </cell>
          <cell r="D3764" t="str">
            <v>7001</v>
          </cell>
          <cell r="E3764" t="str">
            <v>0749</v>
          </cell>
          <cell r="F3764" t="str">
            <v>C5</v>
          </cell>
          <cell r="G3764" t="str">
            <v>SP</v>
          </cell>
          <cell r="H3764" t="str">
            <v>DISTRIBUIÇÃO</v>
          </cell>
          <cell r="I3764" t="str">
            <v>FOOD SERVICE</v>
          </cell>
          <cell r="J3764" t="str">
            <v>FLAC 6</v>
          </cell>
          <cell r="K3764" t="str">
            <v>LACTALIS</v>
          </cell>
          <cell r="L3764" t="str">
            <v>RODRIGO</v>
          </cell>
          <cell r="M3764" t="str">
            <v>RAQUEL BARBOSA</v>
          </cell>
        </row>
        <row r="3765">
          <cell r="B3765">
            <v>5367557</v>
          </cell>
          <cell r="C3765" t="str">
            <v>M FOODS LTDA</v>
          </cell>
          <cell r="D3765" t="str">
            <v>7001</v>
          </cell>
          <cell r="E3765" t="str">
            <v>0749</v>
          </cell>
          <cell r="F3765" t="str">
            <v>C5</v>
          </cell>
          <cell r="G3765" t="str">
            <v>SP</v>
          </cell>
          <cell r="H3765" t="str">
            <v>DISTRIBUIÇÃO</v>
          </cell>
          <cell r="I3765" t="str">
            <v>FOOD SERVICE</v>
          </cell>
          <cell r="J3765" t="str">
            <v>FLAC 6</v>
          </cell>
          <cell r="K3765" t="str">
            <v>LACTALIS</v>
          </cell>
          <cell r="L3765" t="str">
            <v>RODRIGO</v>
          </cell>
          <cell r="M3765" t="str">
            <v>RAQUEL BARBOSA</v>
          </cell>
        </row>
        <row r="3766">
          <cell r="B3766">
            <v>5372019</v>
          </cell>
          <cell r="C3766" t="str">
            <v>LCF GLOBAL FOODS LTDA</v>
          </cell>
          <cell r="D3766" t="str">
            <v>7001</v>
          </cell>
          <cell r="E3766" t="str">
            <v>0749</v>
          </cell>
          <cell r="F3766" t="str">
            <v>C5</v>
          </cell>
          <cell r="G3766" t="str">
            <v>SP</v>
          </cell>
          <cell r="H3766" t="str">
            <v>DISTRIBUIÇÃO</v>
          </cell>
          <cell r="I3766" t="str">
            <v>FOOD SERVICE</v>
          </cell>
          <cell r="J3766" t="str">
            <v>FLAC 10</v>
          </cell>
          <cell r="K3766" t="str">
            <v>LACTALIS</v>
          </cell>
          <cell r="L3766" t="str">
            <v>RODRIGO</v>
          </cell>
          <cell r="M3766" t="str">
            <v>RAQUEL BARBOSA</v>
          </cell>
        </row>
        <row r="3767">
          <cell r="B3767">
            <v>5136048</v>
          </cell>
          <cell r="C3767" t="str">
            <v>TARGUZ COMERCIO LTDA</v>
          </cell>
          <cell r="D3767" t="str">
            <v>7001</v>
          </cell>
          <cell r="E3767" t="str">
            <v>0782</v>
          </cell>
          <cell r="F3767" t="str">
            <v>C5</v>
          </cell>
          <cell r="G3767" t="str">
            <v>AL</v>
          </cell>
          <cell r="H3767" t="str">
            <v>DISTRIBUIÇÃO</v>
          </cell>
          <cell r="I3767" t="str">
            <v>FOOD SERVICE</v>
          </cell>
          <cell r="J3767" t="str">
            <v>CLAUDIO JORGE</v>
          </cell>
          <cell r="K3767" t="str">
            <v>LACTALIS</v>
          </cell>
          <cell r="L3767" t="str">
            <v>RODRIGO</v>
          </cell>
          <cell r="M3767" t="str">
            <v>MARIA LOURDES</v>
          </cell>
        </row>
        <row r="3768">
          <cell r="B3768">
            <v>5229985</v>
          </cell>
          <cell r="C3768" t="str">
            <v>FRANCISCO C LIMA DISTRIB DE ALIM LT</v>
          </cell>
          <cell r="D3768" t="str">
            <v>7001</v>
          </cell>
          <cell r="E3768" t="str">
            <v>0559</v>
          </cell>
          <cell r="F3768" t="str">
            <v>C5</v>
          </cell>
          <cell r="G3768" t="str">
            <v>CE</v>
          </cell>
          <cell r="H3768" t="str">
            <v>DISTRIBUIÇÃO</v>
          </cell>
          <cell r="I3768" t="str">
            <v>FOOD SERVICE</v>
          </cell>
          <cell r="J3768" t="str">
            <v>CLAUDIO JORGE</v>
          </cell>
          <cell r="K3768" t="str">
            <v>LACTALIS</v>
          </cell>
          <cell r="L3768" t="str">
            <v>RODRIGO</v>
          </cell>
          <cell r="M3768" t="str">
            <v>MARIA LOURDES</v>
          </cell>
        </row>
        <row r="3769">
          <cell r="B3769">
            <v>5263106</v>
          </cell>
          <cell r="C3769" t="str">
            <v>L R REST E LANCHONETE</v>
          </cell>
          <cell r="D3769" t="str">
            <v>7001</v>
          </cell>
          <cell r="E3769" t="str">
            <v>0749</v>
          </cell>
          <cell r="F3769" t="str">
            <v>C5</v>
          </cell>
          <cell r="G3769" t="str">
            <v>SP</v>
          </cell>
          <cell r="H3769" t="str">
            <v>DISTRIBUIÇÃO</v>
          </cell>
          <cell r="I3769" t="str">
            <v>FOOD SERVICE</v>
          </cell>
          <cell r="J3769" t="str">
            <v>FLAC 6</v>
          </cell>
          <cell r="K3769" t="str">
            <v>LACTALIS</v>
          </cell>
          <cell r="L3769" t="str">
            <v>RODRIGO</v>
          </cell>
          <cell r="M3769" t="str">
            <v>RAQUEL BARBOSA</v>
          </cell>
        </row>
        <row r="3770">
          <cell r="B3770">
            <v>5330772</v>
          </cell>
          <cell r="C3770" t="str">
            <v>A C R A VAREJO DE ALIMENTOS LTD</v>
          </cell>
          <cell r="D3770" t="str">
            <v>7001</v>
          </cell>
          <cell r="E3770" t="str">
            <v>0749</v>
          </cell>
          <cell r="F3770" t="str">
            <v>C5</v>
          </cell>
          <cell r="G3770" t="str">
            <v>SP</v>
          </cell>
          <cell r="H3770" t="str">
            <v>DISTRIBUIÇÃO</v>
          </cell>
          <cell r="I3770" t="str">
            <v>FOOD SERVICE</v>
          </cell>
          <cell r="J3770" t="str">
            <v>FLAC 3</v>
          </cell>
          <cell r="K3770" t="str">
            <v>LACTALIS</v>
          </cell>
          <cell r="L3770" t="str">
            <v>RODRIGO</v>
          </cell>
          <cell r="M3770" t="str">
            <v>RAQUEL BARBOSA</v>
          </cell>
        </row>
        <row r="3771">
          <cell r="B3771">
            <v>5371512</v>
          </cell>
          <cell r="C3771" t="str">
            <v>LDN DISTRIBUIDORA LTDA</v>
          </cell>
          <cell r="D3771" t="str">
            <v>6001</v>
          </cell>
          <cell r="E3771" t="str">
            <v>6028</v>
          </cell>
          <cell r="F3771" t="str">
            <v>C1</v>
          </cell>
          <cell r="G3771" t="str">
            <v>SP</v>
          </cell>
          <cell r="H3771" t="str">
            <v>INGREDIENTS</v>
          </cell>
          <cell r="I3771" t="str">
            <v>INGREDIENTS</v>
          </cell>
          <cell r="J3771" t="str">
            <v>TATIANA NITTA</v>
          </cell>
          <cell r="K3771" t="str">
            <v>ITAMBÉ</v>
          </cell>
          <cell r="L3771" t="str">
            <v>MAURICIO</v>
          </cell>
          <cell r="M3771" t="str">
            <v>TATIANA NITTA</v>
          </cell>
        </row>
        <row r="3772">
          <cell r="B3772">
            <v>5371725</v>
          </cell>
          <cell r="C3772" t="str">
            <v>SO GELO DISTRIBUIDORA LTDA</v>
          </cell>
          <cell r="D3772" t="str">
            <v>3001</v>
          </cell>
          <cell r="E3772" t="str">
            <v>0028</v>
          </cell>
          <cell r="F3772" t="str">
            <v>C1</v>
          </cell>
          <cell r="G3772" t="str">
            <v>MG</v>
          </cell>
          <cell r="H3772" t="str">
            <v>INGREDIENTS</v>
          </cell>
          <cell r="I3772" t="str">
            <v>INGREDIENTS</v>
          </cell>
          <cell r="J3772" t="str">
            <v>HENRIQUE FERREIRA</v>
          </cell>
          <cell r="K3772" t="str">
            <v>ITAMBÉ</v>
          </cell>
          <cell r="L3772" t="str">
            <v>MAURICIO</v>
          </cell>
          <cell r="M3772" t="str">
            <v>TATIANA NITTA</v>
          </cell>
        </row>
        <row r="3773">
          <cell r="B3773">
            <v>5372000</v>
          </cell>
          <cell r="C3773" t="str">
            <v>BARBAROSA GASTRONOMIA LTDA</v>
          </cell>
          <cell r="D3773" t="str">
            <v>7001</v>
          </cell>
          <cell r="E3773" t="str">
            <v>0749</v>
          </cell>
          <cell r="F3773" t="str">
            <v>C5</v>
          </cell>
          <cell r="G3773" t="str">
            <v>SP</v>
          </cell>
          <cell r="H3773" t="str">
            <v>DISTRIBUIÇÃO</v>
          </cell>
          <cell r="I3773" t="str">
            <v>FOOD SERVICE</v>
          </cell>
          <cell r="J3773" t="str">
            <v>FLAC 3</v>
          </cell>
          <cell r="K3773" t="str">
            <v>LACTALIS</v>
          </cell>
          <cell r="L3773" t="str">
            <v>RODRIGO</v>
          </cell>
          <cell r="M3773" t="str">
            <v>RAQUEL BARBOSA</v>
          </cell>
        </row>
        <row r="3774">
          <cell r="B3774">
            <v>5372115</v>
          </cell>
          <cell r="C3774" t="str">
            <v>A R R A COM VAR DE MERC EM GERA</v>
          </cell>
          <cell r="D3774" t="str">
            <v>7001</v>
          </cell>
          <cell r="E3774" t="str">
            <v>0749</v>
          </cell>
          <cell r="F3774" t="str">
            <v>C5</v>
          </cell>
          <cell r="G3774" t="str">
            <v>SP</v>
          </cell>
          <cell r="H3774" t="str">
            <v>DISTRIBUIÇÃO</v>
          </cell>
          <cell r="I3774" t="str">
            <v>FOOD SERVICE</v>
          </cell>
          <cell r="J3774" t="str">
            <v>FLAC 3</v>
          </cell>
          <cell r="K3774" t="str">
            <v>LACTALIS</v>
          </cell>
          <cell r="L3774" t="str">
            <v>RODRIGO</v>
          </cell>
          <cell r="M3774" t="str">
            <v>RAQUEL BARBOSA</v>
          </cell>
        </row>
        <row r="3775">
          <cell r="B3775">
            <v>5009911</v>
          </cell>
          <cell r="C3775" t="str">
            <v>DOMICILI IND COM DE ALIMENTOS LTDA</v>
          </cell>
          <cell r="D3775" t="str">
            <v>6001</v>
          </cell>
          <cell r="E3775" t="str">
            <v>6125</v>
          </cell>
          <cell r="F3775" t="str">
            <v>C1</v>
          </cell>
          <cell r="G3775" t="str">
            <v>SP</v>
          </cell>
          <cell r="H3775" t="str">
            <v>DISTRIBUIÇÃO</v>
          </cell>
          <cell r="I3775" t="str">
            <v>FOOD SERVICE</v>
          </cell>
          <cell r="J3775" t="str">
            <v>SP ITB FS FLAC REP.E COMERCIO</v>
          </cell>
          <cell r="K3775" t="str">
            <v>ITAMBÉ</v>
          </cell>
          <cell r="L3775" t="str">
            <v>RODRIGO</v>
          </cell>
          <cell r="M3775" t="str">
            <v>RAQUEL BARBOSA</v>
          </cell>
        </row>
        <row r="3776">
          <cell r="B3776">
            <v>5083201</v>
          </cell>
          <cell r="C3776" t="str">
            <v>SILVA BRAGA COML DE ALIMENTOS L</v>
          </cell>
          <cell r="D3776" t="str">
            <v>3001</v>
          </cell>
          <cell r="E3776" t="str">
            <v>0127</v>
          </cell>
          <cell r="F3776" t="str">
            <v>C1</v>
          </cell>
          <cell r="G3776" t="str">
            <v>CE</v>
          </cell>
          <cell r="H3776" t="str">
            <v>DISTRIBUIÇÃO</v>
          </cell>
          <cell r="I3776" t="str">
            <v>FOOD SERVICE</v>
          </cell>
          <cell r="J3776" t="str">
            <v>WH FOOD SERVICE CE</v>
          </cell>
          <cell r="K3776" t="str">
            <v>ITAMBÉ</v>
          </cell>
          <cell r="L3776" t="str">
            <v>RODRIGO</v>
          </cell>
          <cell r="M3776" t="str">
            <v>MARIA LOURDES</v>
          </cell>
        </row>
        <row r="3777">
          <cell r="B3777">
            <v>5133664</v>
          </cell>
          <cell r="C3777" t="str">
            <v>PADEIRAO COMERCIO PROD PARA PAN</v>
          </cell>
          <cell r="D3777" t="str">
            <v>7001</v>
          </cell>
          <cell r="E3777" t="str">
            <v>0585</v>
          </cell>
          <cell r="F3777" t="str">
            <v>C5</v>
          </cell>
          <cell r="G3777" t="str">
            <v>PE</v>
          </cell>
          <cell r="H3777" t="str">
            <v>DISTRIBUIÇÃO</v>
          </cell>
          <cell r="I3777" t="str">
            <v>FOOD SERVICE</v>
          </cell>
          <cell r="J3777" t="str">
            <v>CLAUDIO JORGE</v>
          </cell>
          <cell r="K3777" t="str">
            <v>LACTALIS</v>
          </cell>
          <cell r="L3777" t="str">
            <v>RODRIGO</v>
          </cell>
          <cell r="M3777" t="str">
            <v>MARIA LOURDES</v>
          </cell>
        </row>
        <row r="3778">
          <cell r="B3778">
            <v>5227470</v>
          </cell>
          <cell r="C3778" t="str">
            <v>PANDURATA ALIMENTOS LTDA</v>
          </cell>
          <cell r="D3778" t="str">
            <v>4001</v>
          </cell>
          <cell r="E3778" t="str">
            <v>0437</v>
          </cell>
          <cell r="F3778" t="str">
            <v>C1</v>
          </cell>
          <cell r="G3778" t="str">
            <v>SP</v>
          </cell>
          <cell r="H3778" t="str">
            <v>INGREDIENTS</v>
          </cell>
          <cell r="I3778" t="str">
            <v>INGREDIENTS</v>
          </cell>
          <cell r="J3778" t="str">
            <v>JOEL ELEOTÉRIO</v>
          </cell>
          <cell r="K3778" t="str">
            <v>LACTALIS</v>
          </cell>
          <cell r="L3778" t="str">
            <v>MAURICIO</v>
          </cell>
          <cell r="M3778" t="str">
            <v>JOEL</v>
          </cell>
        </row>
        <row r="3779">
          <cell r="B3779">
            <v>5311373</v>
          </cell>
          <cell r="C3779" t="str">
            <v>FENIX FOODS ALIMENTOS LTDA</v>
          </cell>
          <cell r="D3779" t="str">
            <v>6001</v>
          </cell>
          <cell r="E3779" t="str">
            <v>6125</v>
          </cell>
          <cell r="F3779" t="str">
            <v>C1</v>
          </cell>
          <cell r="G3779" t="str">
            <v>SP</v>
          </cell>
          <cell r="H3779" t="str">
            <v>DISTRIBUIÇÃO</v>
          </cell>
          <cell r="I3779" t="str">
            <v>FOOD SERVICE</v>
          </cell>
          <cell r="J3779" t="str">
            <v>SP ITB FS FLAC REP.E COMERCIO</v>
          </cell>
          <cell r="K3779" t="str">
            <v>ITAMBÉ</v>
          </cell>
          <cell r="L3779" t="str">
            <v>RODRIGO</v>
          </cell>
          <cell r="M3779" t="str">
            <v>RAQUEL BARBOSA</v>
          </cell>
        </row>
        <row r="3780">
          <cell r="B3780">
            <v>5336848</v>
          </cell>
          <cell r="C3780" t="str">
            <v>MORUMBI COM DE SORVETES LTDA</v>
          </cell>
          <cell r="D3780" t="str">
            <v>7001</v>
          </cell>
          <cell r="E3780" t="str">
            <v>0722</v>
          </cell>
          <cell r="F3780" t="str">
            <v>C1</v>
          </cell>
          <cell r="G3780" t="str">
            <v>SP</v>
          </cell>
          <cell r="H3780" t="str">
            <v>QSR</v>
          </cell>
          <cell r="I3780" t="str">
            <v>FOOD SERVICE</v>
          </cell>
          <cell r="J3780" t="str">
            <v>ANA MENIQUETE</v>
          </cell>
          <cell r="K3780" t="str">
            <v>LACTALIS</v>
          </cell>
          <cell r="L3780" t="str">
            <v>PEDRO</v>
          </cell>
          <cell r="M3780" t="str">
            <v>ANA MENIQUETE</v>
          </cell>
        </row>
        <row r="3781">
          <cell r="B3781">
            <v>5367902</v>
          </cell>
          <cell r="C3781" t="str">
            <v>AMMAI SERVICOS DE CATERING LTDA</v>
          </cell>
          <cell r="D3781" t="str">
            <v>7001</v>
          </cell>
          <cell r="E3781" t="str">
            <v>0749</v>
          </cell>
          <cell r="F3781" t="str">
            <v>C5</v>
          </cell>
          <cell r="G3781" t="str">
            <v>SP</v>
          </cell>
          <cell r="H3781" t="str">
            <v>DISTRIBUIÇÃO</v>
          </cell>
          <cell r="I3781" t="str">
            <v>FOOD SERVICE</v>
          </cell>
          <cell r="J3781" t="str">
            <v>FLAC 6</v>
          </cell>
          <cell r="K3781" t="str">
            <v>LACTALIS</v>
          </cell>
          <cell r="L3781" t="str">
            <v>RODRIGO</v>
          </cell>
          <cell r="M3781" t="str">
            <v>RAQUEL BARBOSA</v>
          </cell>
        </row>
        <row r="3782">
          <cell r="B3782">
            <v>5371376</v>
          </cell>
          <cell r="C3782" t="str">
            <v>TAMBORE CAFE LTDA</v>
          </cell>
          <cell r="D3782" t="str">
            <v>7001</v>
          </cell>
          <cell r="E3782" t="str">
            <v>0749</v>
          </cell>
          <cell r="F3782" t="str">
            <v>C5</v>
          </cell>
          <cell r="G3782" t="str">
            <v>SP</v>
          </cell>
          <cell r="H3782" t="str">
            <v>DISTRIBUIÇÃO</v>
          </cell>
          <cell r="I3782" t="str">
            <v>FOOD SERVICE</v>
          </cell>
          <cell r="J3782" t="str">
            <v>FLAC 5</v>
          </cell>
          <cell r="K3782" t="str">
            <v>LACTALIS</v>
          </cell>
          <cell r="L3782" t="str">
            <v>RODRIGO</v>
          </cell>
          <cell r="M3782" t="str">
            <v>RAQUEL BARBOSA</v>
          </cell>
        </row>
        <row r="3783">
          <cell r="B3783">
            <v>5371951</v>
          </cell>
          <cell r="C3783" t="str">
            <v>B E A COMERCIO ALIMENTICIO LTDA</v>
          </cell>
          <cell r="D3783" t="str">
            <v>3001</v>
          </cell>
          <cell r="E3783" t="str">
            <v>0028</v>
          </cell>
          <cell r="F3783" t="str">
            <v>C1</v>
          </cell>
          <cell r="G3783" t="str">
            <v>PE</v>
          </cell>
          <cell r="H3783" t="str">
            <v>INGREDIENTS</v>
          </cell>
          <cell r="I3783" t="str">
            <v>INGREDIENTS</v>
          </cell>
          <cell r="J3783" t="str">
            <v>JOEL ELEOTÉRIO</v>
          </cell>
          <cell r="K3783" t="str">
            <v>ITAMBÉ</v>
          </cell>
          <cell r="L3783" t="str">
            <v>MAURICIO</v>
          </cell>
          <cell r="M3783" t="str">
            <v>JOEL</v>
          </cell>
        </row>
        <row r="3784">
          <cell r="B3784">
            <v>5167791</v>
          </cell>
          <cell r="C3784" t="str">
            <v>DAN VIGOR IND E COM DE LATICINIOS L</v>
          </cell>
          <cell r="D3784" t="str">
            <v>4001</v>
          </cell>
          <cell r="E3784" t="str">
            <v>0445</v>
          </cell>
          <cell r="F3784" t="str">
            <v>C7</v>
          </cell>
          <cell r="G3784" t="str">
            <v>SP</v>
          </cell>
          <cell r="H3784" t="str">
            <v>INGREDIENTS</v>
          </cell>
          <cell r="I3784" t="str">
            <v>INGREDIENTS</v>
          </cell>
          <cell r="J3784" t="str">
            <v>JOEL ELEOTÉRIO</v>
          </cell>
          <cell r="K3784" t="str">
            <v>LACTALIS</v>
          </cell>
          <cell r="L3784" t="str">
            <v>MAURICIO</v>
          </cell>
          <cell r="M3784" t="str">
            <v>JOEL</v>
          </cell>
        </row>
        <row r="3785">
          <cell r="B3785">
            <v>5371004</v>
          </cell>
          <cell r="C3785" t="str">
            <v>VANDERLEI VICENTE</v>
          </cell>
          <cell r="D3785" t="str">
            <v>7001</v>
          </cell>
          <cell r="E3785" t="str">
            <v>0749</v>
          </cell>
          <cell r="F3785" t="str">
            <v>C5</v>
          </cell>
          <cell r="G3785" t="str">
            <v>SP</v>
          </cell>
          <cell r="H3785" t="str">
            <v>DISTRIBUIÇÃO</v>
          </cell>
          <cell r="I3785" t="str">
            <v>FOOD SERVICE</v>
          </cell>
          <cell r="J3785" t="str">
            <v>FLAC 3</v>
          </cell>
          <cell r="K3785" t="str">
            <v>LACTALIS</v>
          </cell>
          <cell r="L3785" t="str">
            <v>RODRIGO</v>
          </cell>
          <cell r="M3785" t="str">
            <v>RAQUEL BARBOSA</v>
          </cell>
        </row>
        <row r="3786">
          <cell r="B3786">
            <v>5371999</v>
          </cell>
          <cell r="C3786" t="str">
            <v>HOTEL ARUJA LTDA</v>
          </cell>
          <cell r="D3786" t="str">
            <v>7001</v>
          </cell>
          <cell r="E3786" t="str">
            <v>0749</v>
          </cell>
          <cell r="F3786" t="str">
            <v>C5</v>
          </cell>
          <cell r="G3786" t="str">
            <v>SP</v>
          </cell>
          <cell r="H3786" t="str">
            <v>DISTRIBUIÇÃO</v>
          </cell>
          <cell r="I3786" t="str">
            <v>FOOD SERVICE</v>
          </cell>
          <cell r="J3786" t="str">
            <v>FLAC 3</v>
          </cell>
          <cell r="K3786" t="str">
            <v>LACTALIS</v>
          </cell>
          <cell r="L3786" t="str">
            <v>RODRIGO</v>
          </cell>
          <cell r="M3786" t="str">
            <v>RAQUEL BARBOSA</v>
          </cell>
        </row>
        <row r="3787">
          <cell r="B3787">
            <v>5372182</v>
          </cell>
          <cell r="C3787" t="str">
            <v>TRIBO GOURMET VILA MARIANA II L</v>
          </cell>
          <cell r="D3787" t="str">
            <v>7001</v>
          </cell>
          <cell r="E3787" t="str">
            <v>0749</v>
          </cell>
          <cell r="F3787" t="str">
            <v>C5</v>
          </cell>
          <cell r="G3787" t="str">
            <v>SP</v>
          </cell>
          <cell r="H3787" t="str">
            <v>DISTRIBUIÇÃO</v>
          </cell>
          <cell r="I3787" t="str">
            <v>FOOD SERVICE</v>
          </cell>
          <cell r="J3787" t="str">
            <v>FLAC 3</v>
          </cell>
          <cell r="K3787" t="str">
            <v>LACTALIS</v>
          </cell>
          <cell r="L3787" t="str">
            <v>RODRIGO</v>
          </cell>
          <cell r="M3787" t="str">
            <v>RAQUEL BARBOSA</v>
          </cell>
        </row>
        <row r="3788">
          <cell r="B3788">
            <v>5253195</v>
          </cell>
          <cell r="C3788" t="str">
            <v>GALERIA DO QUEIJO LTDA</v>
          </cell>
          <cell r="D3788" t="str">
            <v>7001</v>
          </cell>
          <cell r="E3788" t="str">
            <v>0749</v>
          </cell>
          <cell r="F3788" t="str">
            <v>C5</v>
          </cell>
          <cell r="G3788" t="str">
            <v>SP</v>
          </cell>
          <cell r="H3788" t="str">
            <v>DISTRIBUIÇÃO</v>
          </cell>
          <cell r="I3788" t="str">
            <v>FOOD SERVICE</v>
          </cell>
          <cell r="J3788" t="str">
            <v>FLAC 10</v>
          </cell>
          <cell r="K3788" t="str">
            <v>LACTALIS</v>
          </cell>
          <cell r="L3788" t="str">
            <v>RODRIGO</v>
          </cell>
          <cell r="M3788" t="str">
            <v>RAQUEL BARBOSA</v>
          </cell>
        </row>
        <row r="3789">
          <cell r="B3789">
            <v>5352264</v>
          </cell>
          <cell r="C3789" t="str">
            <v>DOM PASTEL ALIMENTOS LTDA</v>
          </cell>
          <cell r="D3789" t="str">
            <v>3001</v>
          </cell>
          <cell r="E3789" t="str">
            <v>0127</v>
          </cell>
          <cell r="F3789" t="str">
            <v>C1</v>
          </cell>
          <cell r="G3789" t="str">
            <v>CE</v>
          </cell>
          <cell r="H3789" t="str">
            <v>QSR</v>
          </cell>
          <cell r="I3789" t="str">
            <v>FOOD SERVICE</v>
          </cell>
          <cell r="J3789" t="str">
            <v>VAGO QSR</v>
          </cell>
          <cell r="K3789" t="str">
            <v>ITAMBÉ</v>
          </cell>
          <cell r="L3789" t="str">
            <v>PEDRO</v>
          </cell>
          <cell r="M3789" t="str">
            <v>VAGO QSR</v>
          </cell>
        </row>
        <row r="3790">
          <cell r="B3790">
            <v>5367607</v>
          </cell>
          <cell r="C3790" t="str">
            <v>BANELLA BAKERY CAFE E BISTRO LT</v>
          </cell>
          <cell r="D3790" t="str">
            <v>7001</v>
          </cell>
          <cell r="E3790" t="str">
            <v>0749</v>
          </cell>
          <cell r="F3790" t="str">
            <v>C5</v>
          </cell>
          <cell r="G3790" t="str">
            <v>SP</v>
          </cell>
          <cell r="H3790" t="str">
            <v>DISTRIBUIÇÃO</v>
          </cell>
          <cell r="I3790" t="str">
            <v>FOOD SERVICE</v>
          </cell>
          <cell r="J3790" t="str">
            <v>FLAC 2</v>
          </cell>
          <cell r="K3790" t="str">
            <v>LACTALIS</v>
          </cell>
          <cell r="L3790" t="str">
            <v>RODRIGO</v>
          </cell>
          <cell r="M3790" t="str">
            <v>RAQUEL BARBOSA</v>
          </cell>
        </row>
        <row r="3791">
          <cell r="B3791">
            <v>5370234</v>
          </cell>
          <cell r="C3791" t="str">
            <v>DAN INN HOTEL LTDA</v>
          </cell>
          <cell r="D3791" t="str">
            <v>7001</v>
          </cell>
          <cell r="E3791" t="str">
            <v>0749</v>
          </cell>
          <cell r="F3791" t="str">
            <v>C5</v>
          </cell>
          <cell r="G3791" t="str">
            <v>SP</v>
          </cell>
          <cell r="H3791" t="str">
            <v>DISTRIBUIÇÃO</v>
          </cell>
          <cell r="I3791" t="str">
            <v>FOOD SERVICE</v>
          </cell>
          <cell r="J3791" t="str">
            <v>FLAC 7</v>
          </cell>
          <cell r="K3791" t="str">
            <v>LACTALIS</v>
          </cell>
          <cell r="L3791" t="str">
            <v>RODRIGO</v>
          </cell>
          <cell r="M3791" t="str">
            <v>RAQUEL BARBOSA</v>
          </cell>
        </row>
        <row r="3792">
          <cell r="B3792">
            <v>5371230</v>
          </cell>
          <cell r="C3792" t="str">
            <v>GONTIJO VIEIRA DISTRIB DE ALIM</v>
          </cell>
          <cell r="D3792" t="str">
            <v>4001</v>
          </cell>
          <cell r="E3792" t="str">
            <v>0458</v>
          </cell>
          <cell r="F3792" t="str">
            <v>C1</v>
          </cell>
          <cell r="G3792" t="str">
            <v>MG</v>
          </cell>
          <cell r="H3792" t="str">
            <v>INGREDIENTS</v>
          </cell>
          <cell r="I3792" t="str">
            <v>INGREDIENTS</v>
          </cell>
          <cell r="J3792" t="str">
            <v>MARCELO RODRIGUES</v>
          </cell>
          <cell r="K3792" t="str">
            <v>LACTALIS</v>
          </cell>
          <cell r="L3792" t="str">
            <v>MAURICIO</v>
          </cell>
          <cell r="M3792" t="str">
            <v>MARCELO</v>
          </cell>
        </row>
        <row r="3793">
          <cell r="B3793">
            <v>5371406</v>
          </cell>
          <cell r="C3793" t="str">
            <v>BAR DA ESQUINA RESTAURANTE LTDA</v>
          </cell>
          <cell r="D3793" t="str">
            <v>7001</v>
          </cell>
          <cell r="E3793" t="str">
            <v>0749</v>
          </cell>
          <cell r="F3793" t="str">
            <v>C5</v>
          </cell>
          <cell r="G3793" t="str">
            <v>SP</v>
          </cell>
          <cell r="H3793" t="str">
            <v>DISTRIBUIÇÃO</v>
          </cell>
          <cell r="I3793" t="str">
            <v>FOOD SERVICE</v>
          </cell>
          <cell r="J3793" t="str">
            <v>FLAC 3</v>
          </cell>
          <cell r="K3793" t="str">
            <v>LACTALIS</v>
          </cell>
          <cell r="L3793" t="str">
            <v>RODRIGO</v>
          </cell>
          <cell r="M3793" t="str">
            <v>RAQUEL BARBOSA</v>
          </cell>
        </row>
        <row r="3794">
          <cell r="B3794">
            <v>5008478</v>
          </cell>
          <cell r="C3794" t="str">
            <v>JCA FOODS COM DE PROD ALIM LTDA</v>
          </cell>
          <cell r="D3794" t="str">
            <v>3001</v>
          </cell>
          <cell r="E3794" t="str">
            <v>0125</v>
          </cell>
          <cell r="F3794" t="str">
            <v>C1</v>
          </cell>
          <cell r="G3794" t="str">
            <v>SP</v>
          </cell>
          <cell r="H3794" t="str">
            <v>DISTRIBUIÇÃO</v>
          </cell>
          <cell r="I3794" t="str">
            <v>FOOD SERVICE</v>
          </cell>
          <cell r="J3794" t="str">
            <v>VAGO SP</v>
          </cell>
          <cell r="K3794" t="str">
            <v>ITAMBÉ</v>
          </cell>
          <cell r="L3794" t="str">
            <v>RODRIGO</v>
          </cell>
          <cell r="M3794" t="str">
            <v>RAQUEL BARBOSA</v>
          </cell>
        </row>
        <row r="3795">
          <cell r="B3795">
            <v>5020352</v>
          </cell>
          <cell r="C3795" t="str">
            <v>SPAN VALE COM DE PROD ALIM LTDA</v>
          </cell>
          <cell r="D3795" t="str">
            <v>3001</v>
          </cell>
          <cell r="E3795" t="str">
            <v>0125</v>
          </cell>
          <cell r="F3795" t="str">
            <v>C1</v>
          </cell>
          <cell r="G3795" t="str">
            <v>SP</v>
          </cell>
          <cell r="H3795" t="str">
            <v>DISTRIBUIÇÃO</v>
          </cell>
          <cell r="I3795" t="str">
            <v>FOOD SERVICE</v>
          </cell>
          <cell r="J3795" t="str">
            <v>GUILHERME NASCIMENTO</v>
          </cell>
          <cell r="K3795" t="str">
            <v>ITAMBÉ</v>
          </cell>
          <cell r="L3795" t="str">
            <v>RODRIGO</v>
          </cell>
          <cell r="M3795" t="str">
            <v>ALEXANDRO</v>
          </cell>
        </row>
        <row r="3796">
          <cell r="B3796">
            <v>5271447</v>
          </cell>
          <cell r="C3796" t="str">
            <v>NOBREDO COMERCIO E LOGISTICA LT</v>
          </cell>
          <cell r="D3796" t="str">
            <v>3001</v>
          </cell>
          <cell r="E3796" t="str">
            <v>0169</v>
          </cell>
          <cell r="F3796" t="str">
            <v>C1</v>
          </cell>
          <cell r="G3796" t="str">
            <v>ES</v>
          </cell>
          <cell r="H3796" t="str">
            <v>DISTRIBUIÇÃO</v>
          </cell>
          <cell r="I3796" t="str">
            <v>FOOD SERVICE</v>
          </cell>
          <cell r="J3796" t="str">
            <v>LUCIANA MARTINS</v>
          </cell>
          <cell r="K3796" t="str">
            <v>ITAMBÉ</v>
          </cell>
          <cell r="L3796" t="str">
            <v>RODRIGO</v>
          </cell>
          <cell r="M3796" t="str">
            <v>JESSICA</v>
          </cell>
        </row>
        <row r="3797">
          <cell r="B3797">
            <v>5343413</v>
          </cell>
          <cell r="C3797" t="str">
            <v>ELEVEN CASE COM VAR DE ALIM LTD</v>
          </cell>
          <cell r="D3797" t="str">
            <v>7001</v>
          </cell>
          <cell r="E3797" t="str">
            <v>0749</v>
          </cell>
          <cell r="F3797" t="str">
            <v>C5</v>
          </cell>
          <cell r="G3797" t="str">
            <v>SP</v>
          </cell>
          <cell r="H3797" t="str">
            <v>DISTRIBUIÇÃO</v>
          </cell>
          <cell r="I3797" t="str">
            <v>FOOD SERVICE</v>
          </cell>
          <cell r="J3797" t="str">
            <v>FLAC 3</v>
          </cell>
          <cell r="K3797" t="str">
            <v>LACTALIS</v>
          </cell>
          <cell r="L3797" t="str">
            <v>RODRIGO</v>
          </cell>
          <cell r="M3797" t="str">
            <v>RAQUEL BARBOSA</v>
          </cell>
        </row>
        <row r="3798">
          <cell r="B3798">
            <v>5371040</v>
          </cell>
          <cell r="C3798" t="str">
            <v>CAFE E CHA NO JD SP COM DE ALIM</v>
          </cell>
          <cell r="D3798" t="str">
            <v>7001</v>
          </cell>
          <cell r="E3798" t="str">
            <v>0749</v>
          </cell>
          <cell r="F3798" t="str">
            <v>C5</v>
          </cell>
          <cell r="G3798" t="str">
            <v>SP</v>
          </cell>
          <cell r="H3798" t="str">
            <v>DISTRIBUIÇÃO</v>
          </cell>
          <cell r="I3798" t="str">
            <v>FOOD SERVICE</v>
          </cell>
          <cell r="J3798" t="str">
            <v>FLAC 3</v>
          </cell>
          <cell r="K3798" t="str">
            <v>LACTALIS</v>
          </cell>
          <cell r="L3798" t="str">
            <v>RODRIGO</v>
          </cell>
          <cell r="M3798" t="str">
            <v>RAQUEL BARBOSA</v>
          </cell>
        </row>
        <row r="3799">
          <cell r="B3799">
            <v>5371078</v>
          </cell>
          <cell r="C3799" t="str">
            <v>YGB VAREJO BRASILEIRO LTDA</v>
          </cell>
          <cell r="D3799" t="str">
            <v>7001</v>
          </cell>
          <cell r="E3799" t="str">
            <v>0722</v>
          </cell>
          <cell r="F3799" t="str">
            <v>C1</v>
          </cell>
          <cell r="G3799" t="str">
            <v>SP</v>
          </cell>
          <cell r="H3799" t="str">
            <v>QSR</v>
          </cell>
          <cell r="I3799" t="str">
            <v>FOOD SERVICE</v>
          </cell>
          <cell r="J3799" t="str">
            <v>ANA MENIQUETE</v>
          </cell>
          <cell r="K3799" t="str">
            <v>LACTALIS</v>
          </cell>
          <cell r="L3799" t="str">
            <v>PEDRO</v>
          </cell>
          <cell r="M3799" t="str">
            <v>ANA MENIQUETE</v>
          </cell>
        </row>
        <row r="3800">
          <cell r="B3800">
            <v>5002549</v>
          </cell>
          <cell r="C3800" t="str">
            <v>SERVCATER INTERNACIONAL LTDA</v>
          </cell>
          <cell r="D3800" t="str">
            <v>3001</v>
          </cell>
          <cell r="E3800" t="str">
            <v>0125</v>
          </cell>
          <cell r="F3800" t="str">
            <v>C1</v>
          </cell>
          <cell r="G3800" t="str">
            <v>SP</v>
          </cell>
          <cell r="H3800" t="str">
            <v>QSR</v>
          </cell>
          <cell r="I3800" t="str">
            <v>FOOD SERVICE</v>
          </cell>
          <cell r="J3800" t="str">
            <v>ANA MENIQUETE</v>
          </cell>
          <cell r="K3800" t="str">
            <v>ITAMBÉ</v>
          </cell>
          <cell r="L3800" t="str">
            <v>PEDRO</v>
          </cell>
          <cell r="M3800" t="str">
            <v>ANA MENIQUETE</v>
          </cell>
        </row>
        <row r="3801">
          <cell r="B3801">
            <v>5004685</v>
          </cell>
          <cell r="C3801" t="str">
            <v>DINIZ COM ATAC DE PROD ALIM LTD</v>
          </cell>
          <cell r="D3801" t="str">
            <v>3001</v>
          </cell>
          <cell r="E3801" t="str">
            <v>0125</v>
          </cell>
          <cell r="F3801" t="str">
            <v>C1</v>
          </cell>
          <cell r="G3801" t="str">
            <v>SP</v>
          </cell>
          <cell r="H3801" t="str">
            <v>DISTRIBUIÇÃO</v>
          </cell>
          <cell r="I3801" t="str">
            <v>FOOD SERVICE</v>
          </cell>
          <cell r="J3801" t="str">
            <v>ALEXANDRO RODRIGUES</v>
          </cell>
          <cell r="K3801" t="str">
            <v>ITAMBÉ</v>
          </cell>
          <cell r="L3801" t="str">
            <v>RODRIGO</v>
          </cell>
          <cell r="M3801" t="str">
            <v>ALEXANDRO</v>
          </cell>
        </row>
        <row r="3802">
          <cell r="B3802">
            <v>5006978</v>
          </cell>
          <cell r="C3802" t="str">
            <v>DISTRIBUIDORA E IMP IRMAOS AVEL</v>
          </cell>
          <cell r="D3802" t="str">
            <v>3001</v>
          </cell>
          <cell r="E3802" t="str">
            <v>0125</v>
          </cell>
          <cell r="F3802" t="str">
            <v>C1</v>
          </cell>
          <cell r="G3802" t="str">
            <v>SP</v>
          </cell>
          <cell r="H3802" t="str">
            <v>DISTRIBUIÇÃO</v>
          </cell>
          <cell r="I3802" t="str">
            <v>FOOD SERVICE</v>
          </cell>
          <cell r="J3802" t="str">
            <v>RAQUEL BARBOSA</v>
          </cell>
          <cell r="K3802" t="str">
            <v>ITAMBÉ</v>
          </cell>
          <cell r="L3802" t="str">
            <v>RODRIGO</v>
          </cell>
          <cell r="M3802" t="str">
            <v>RAQUEL BARBOSA</v>
          </cell>
        </row>
        <row r="3803">
          <cell r="B3803">
            <v>5070522</v>
          </cell>
          <cell r="C3803" t="str">
            <v>WEA COM DE PROD DE PANIF LTDA</v>
          </cell>
          <cell r="D3803" t="str">
            <v>3001</v>
          </cell>
          <cell r="E3803" t="str">
            <v>0125</v>
          </cell>
          <cell r="F3803" t="str">
            <v>C1</v>
          </cell>
          <cell r="G3803" t="str">
            <v>SP</v>
          </cell>
          <cell r="H3803" t="str">
            <v>DISTRIBUIÇÃO</v>
          </cell>
          <cell r="I3803" t="str">
            <v>FOOD SERVICE</v>
          </cell>
          <cell r="J3803" t="str">
            <v>GUILHERME NASCIMENTO</v>
          </cell>
          <cell r="K3803" t="str">
            <v>ITAMBÉ</v>
          </cell>
          <cell r="L3803" t="str">
            <v>RODRIGO</v>
          </cell>
          <cell r="M3803" t="str">
            <v>ALEXANDRO</v>
          </cell>
        </row>
        <row r="3804">
          <cell r="B3804">
            <v>5107152</v>
          </cell>
          <cell r="C3804" t="str">
            <v>CALIFORNIA COM DE SORVETES LTDA</v>
          </cell>
          <cell r="D3804" t="str">
            <v>7001</v>
          </cell>
          <cell r="E3804" t="str">
            <v>0739</v>
          </cell>
          <cell r="F3804" t="str">
            <v>C1</v>
          </cell>
          <cell r="G3804" t="str">
            <v>RJ</v>
          </cell>
          <cell r="H3804" t="str">
            <v>QSR</v>
          </cell>
          <cell r="I3804" t="str">
            <v>FOOD SERVICE</v>
          </cell>
          <cell r="J3804" t="str">
            <v>NUTRI</v>
          </cell>
          <cell r="K3804" t="str">
            <v>LACTALIS</v>
          </cell>
          <cell r="L3804" t="str">
            <v>PEDRO</v>
          </cell>
          <cell r="M3804" t="str">
            <v>VAGO QSR</v>
          </cell>
        </row>
        <row r="3805">
          <cell r="B3805">
            <v>5118346</v>
          </cell>
          <cell r="C3805" t="str">
            <v>CONFESPAN COMERCIO E DISTRIBUICAO L</v>
          </cell>
          <cell r="D3805" t="str">
            <v>3001</v>
          </cell>
          <cell r="E3805" t="str">
            <v>0125</v>
          </cell>
          <cell r="F3805" t="str">
            <v>C1</v>
          </cell>
          <cell r="G3805" t="str">
            <v>SP</v>
          </cell>
          <cell r="H3805" t="str">
            <v>DISTRIBUIÇÃO</v>
          </cell>
          <cell r="I3805" t="str">
            <v>FOOD SERVICE</v>
          </cell>
          <cell r="J3805" t="str">
            <v>VAGO SP</v>
          </cell>
          <cell r="K3805" t="str">
            <v>ITAMBÉ</v>
          </cell>
          <cell r="L3805" t="str">
            <v>RODRIGO</v>
          </cell>
          <cell r="M3805" t="str">
            <v>RAQUEL BARBOSA</v>
          </cell>
        </row>
        <row r="3806">
          <cell r="B3806">
            <v>5131101</v>
          </cell>
          <cell r="C3806" t="str">
            <v>GRANO NICOLETTI COM ALIM LTDA</v>
          </cell>
          <cell r="D3806" t="str">
            <v>3001</v>
          </cell>
          <cell r="E3806" t="str">
            <v>0125</v>
          </cell>
          <cell r="F3806" t="str">
            <v>C1</v>
          </cell>
          <cell r="G3806" t="str">
            <v>SP</v>
          </cell>
          <cell r="H3806" t="str">
            <v>DISTRIBUIÇÃO</v>
          </cell>
          <cell r="I3806" t="str">
            <v>FOOD SERVICE</v>
          </cell>
          <cell r="J3806" t="str">
            <v>VAGO SP</v>
          </cell>
          <cell r="K3806" t="str">
            <v>ITAMBÉ</v>
          </cell>
          <cell r="L3806" t="str">
            <v>RODRIGO</v>
          </cell>
          <cell r="M3806" t="str">
            <v>RAQUEL BARBOSA</v>
          </cell>
        </row>
        <row r="3807">
          <cell r="B3807">
            <v>5149985</v>
          </cell>
          <cell r="C3807" t="str">
            <v>AROUMAR DISTRIB DE PRODUTOS ALIM LT</v>
          </cell>
          <cell r="D3807" t="str">
            <v>3001</v>
          </cell>
          <cell r="E3807" t="str">
            <v>0125</v>
          </cell>
          <cell r="F3807" t="str">
            <v>C1</v>
          </cell>
          <cell r="G3807" t="str">
            <v>SP</v>
          </cell>
          <cell r="H3807" t="str">
            <v>DISTRIBUIÇÃO</v>
          </cell>
          <cell r="I3807" t="str">
            <v>FOOD SERVICE</v>
          </cell>
          <cell r="J3807" t="str">
            <v>GUILHERME NASCIMENTO</v>
          </cell>
          <cell r="K3807" t="str">
            <v>ITAMBÉ</v>
          </cell>
          <cell r="L3807" t="str">
            <v>RODRIGO</v>
          </cell>
          <cell r="M3807" t="str">
            <v>ALEXANDRO</v>
          </cell>
        </row>
        <row r="3808">
          <cell r="B3808">
            <v>5165046</v>
          </cell>
          <cell r="C3808" t="str">
            <v>SLOOP IND COM DE ALIM LTDA</v>
          </cell>
          <cell r="D3808" t="str">
            <v>3001</v>
          </cell>
          <cell r="E3808" t="str">
            <v>0028</v>
          </cell>
          <cell r="F3808" t="str">
            <v>C1</v>
          </cell>
          <cell r="G3808" t="str">
            <v>RJ</v>
          </cell>
          <cell r="H3808" t="str">
            <v>INGREDIENTS</v>
          </cell>
          <cell r="I3808" t="str">
            <v>INGREDIENTS</v>
          </cell>
          <cell r="J3808" t="str">
            <v>RJ ITB FS L T MARTINS</v>
          </cell>
          <cell r="K3808" t="str">
            <v>ITAMBÉ</v>
          </cell>
          <cell r="L3808" t="str">
            <v>MAURICIO</v>
          </cell>
          <cell r="M3808" t="str">
            <v>TATIANA NITTA</v>
          </cell>
        </row>
        <row r="3809">
          <cell r="B3809">
            <v>5174977</v>
          </cell>
          <cell r="C3809" t="str">
            <v>MARTINS DA COSTA E CIA LTDA</v>
          </cell>
          <cell r="D3809" t="str">
            <v>3001</v>
          </cell>
          <cell r="E3809" t="str">
            <v>0125</v>
          </cell>
          <cell r="F3809" t="str">
            <v>C1</v>
          </cell>
          <cell r="G3809" t="str">
            <v>SP</v>
          </cell>
          <cell r="H3809" t="str">
            <v>QSR</v>
          </cell>
          <cell r="I3809" t="str">
            <v>FOOD SERVICE</v>
          </cell>
          <cell r="J3809" t="str">
            <v>ANA MENIQUETE</v>
          </cell>
          <cell r="K3809" t="str">
            <v>ITAMBÉ</v>
          </cell>
          <cell r="L3809" t="str">
            <v>PEDRO</v>
          </cell>
          <cell r="M3809" t="str">
            <v>ANA MENIQUETE</v>
          </cell>
        </row>
        <row r="3810">
          <cell r="B3810">
            <v>5176053</v>
          </cell>
          <cell r="C3810" t="str">
            <v>BAKELS BRASIL INGREDIENT PARA P</v>
          </cell>
          <cell r="D3810" t="str">
            <v>3001</v>
          </cell>
          <cell r="E3810" t="str">
            <v>0028</v>
          </cell>
          <cell r="F3810" t="str">
            <v>C1</v>
          </cell>
          <cell r="G3810" t="str">
            <v>SP</v>
          </cell>
          <cell r="H3810" t="str">
            <v>INGREDIENTS</v>
          </cell>
          <cell r="I3810" t="str">
            <v>INGREDIENTS</v>
          </cell>
          <cell r="J3810" t="str">
            <v>TATIANA NITTA</v>
          </cell>
          <cell r="K3810" t="str">
            <v>ITAMBÉ</v>
          </cell>
          <cell r="L3810" t="str">
            <v>MAURICIO</v>
          </cell>
          <cell r="M3810" t="str">
            <v>TATIANA NITTA</v>
          </cell>
        </row>
        <row r="3811">
          <cell r="B3811">
            <v>5181144</v>
          </cell>
          <cell r="C3811" t="str">
            <v>INDUSTRIA DE SORVETES CAMAGIVA LTDA</v>
          </cell>
          <cell r="D3811" t="str">
            <v>3001</v>
          </cell>
          <cell r="E3811" t="str">
            <v>0125</v>
          </cell>
          <cell r="F3811" t="str">
            <v>C1</v>
          </cell>
          <cell r="G3811" t="str">
            <v>SP</v>
          </cell>
          <cell r="H3811" t="str">
            <v>QSR</v>
          </cell>
          <cell r="I3811" t="str">
            <v>FOOD SERVICE</v>
          </cell>
          <cell r="J3811" t="str">
            <v>ANA MENIQUETE</v>
          </cell>
          <cell r="K3811" t="str">
            <v>ITAMBÉ</v>
          </cell>
          <cell r="L3811" t="str">
            <v>PEDRO</v>
          </cell>
          <cell r="M3811" t="str">
            <v>ANA MENIQUETE</v>
          </cell>
        </row>
        <row r="3812">
          <cell r="B3812">
            <v>5188800</v>
          </cell>
          <cell r="C3812" t="str">
            <v>DIEGO CESAR GOMES DA SILVA</v>
          </cell>
          <cell r="D3812" t="str">
            <v>3001</v>
          </cell>
          <cell r="E3812" t="str">
            <v>0028</v>
          </cell>
          <cell r="F3812" t="str">
            <v>C1</v>
          </cell>
          <cell r="G3812" t="str">
            <v>SP</v>
          </cell>
          <cell r="H3812" t="str">
            <v>INGREDIENTS</v>
          </cell>
          <cell r="I3812" t="str">
            <v>INGREDIENTS</v>
          </cell>
          <cell r="J3812" t="str">
            <v>HENRIQUE FERREIRA</v>
          </cell>
          <cell r="K3812" t="str">
            <v>ITAMBÉ</v>
          </cell>
          <cell r="L3812" t="str">
            <v>MAURICIO</v>
          </cell>
          <cell r="M3812" t="str">
            <v>JOEL</v>
          </cell>
        </row>
        <row r="3813">
          <cell r="B3813">
            <v>5188896</v>
          </cell>
          <cell r="C3813" t="str">
            <v>DOCE MINEIRO LTDA</v>
          </cell>
          <cell r="D3813" t="str">
            <v>4001</v>
          </cell>
          <cell r="E3813" t="str">
            <v>0458</v>
          </cell>
          <cell r="F3813" t="str">
            <v>C1</v>
          </cell>
          <cell r="G3813" t="str">
            <v>MG</v>
          </cell>
          <cell r="H3813" t="str">
            <v>INGREDIENTS</v>
          </cell>
          <cell r="I3813" t="str">
            <v>INGREDIENTS</v>
          </cell>
          <cell r="J3813" t="str">
            <v>TATIANA NITTA</v>
          </cell>
          <cell r="K3813" t="str">
            <v>LACTALIS</v>
          </cell>
          <cell r="L3813" t="str">
            <v>MAURICIO</v>
          </cell>
          <cell r="M3813" t="str">
            <v>TATIANA NITTA</v>
          </cell>
        </row>
        <row r="3814">
          <cell r="B3814">
            <v>5206787</v>
          </cell>
          <cell r="C3814" t="str">
            <v>CS FABRICACAO DE ALIMENTOS</v>
          </cell>
          <cell r="D3814" t="str">
            <v>3001</v>
          </cell>
          <cell r="E3814" t="str">
            <v>0125</v>
          </cell>
          <cell r="F3814" t="str">
            <v>C1</v>
          </cell>
          <cell r="G3814" t="str">
            <v>SP</v>
          </cell>
          <cell r="H3814" t="str">
            <v>QSR</v>
          </cell>
          <cell r="I3814" t="str">
            <v>FOOD SERVICE</v>
          </cell>
          <cell r="J3814" t="str">
            <v>ANA MENIQUETE</v>
          </cell>
          <cell r="K3814" t="str">
            <v>ITAMBÉ</v>
          </cell>
          <cell r="L3814" t="str">
            <v>PEDRO</v>
          </cell>
          <cell r="M3814" t="str">
            <v>ANA MENIQUETE</v>
          </cell>
        </row>
        <row r="3815">
          <cell r="B3815">
            <v>5217293</v>
          </cell>
          <cell r="C3815" t="str">
            <v>OESA COMERCIO E REPRESENTACOES SA</v>
          </cell>
          <cell r="D3815" t="str">
            <v>3001</v>
          </cell>
          <cell r="E3815" t="str">
            <v>0125</v>
          </cell>
          <cell r="F3815" t="str">
            <v>C1</v>
          </cell>
          <cell r="G3815" t="str">
            <v>SP</v>
          </cell>
          <cell r="H3815" t="str">
            <v>DISTRIBUIÇÃO</v>
          </cell>
          <cell r="I3815" t="str">
            <v>FOOD SERVICE</v>
          </cell>
          <cell r="J3815" t="str">
            <v>VAGO SP</v>
          </cell>
          <cell r="K3815" t="str">
            <v>ITAMBÉ</v>
          </cell>
          <cell r="L3815" t="str">
            <v>RODRIGO</v>
          </cell>
          <cell r="M3815" t="str">
            <v>RAQUEL BARBOSA</v>
          </cell>
        </row>
        <row r="3816">
          <cell r="B3816">
            <v>5227772</v>
          </cell>
          <cell r="C3816" t="str">
            <v>CHOCONATA INDUSTRIA E COM DE AL</v>
          </cell>
          <cell r="D3816" t="str">
            <v>3001</v>
          </cell>
          <cell r="E3816" t="str">
            <v>0028</v>
          </cell>
          <cell r="F3816" t="str">
            <v>C1</v>
          </cell>
          <cell r="G3816" t="str">
            <v>RJ</v>
          </cell>
          <cell r="H3816" t="str">
            <v>INGREDIENTS</v>
          </cell>
          <cell r="I3816" t="str">
            <v>INGREDIENTS</v>
          </cell>
          <cell r="J3816" t="str">
            <v>TATIANA NITTA</v>
          </cell>
          <cell r="K3816" t="str">
            <v>ITAMBÉ</v>
          </cell>
          <cell r="L3816" t="str">
            <v>MAURICIO</v>
          </cell>
          <cell r="M3816" t="str">
            <v>TATIANA NITTA</v>
          </cell>
        </row>
        <row r="3817">
          <cell r="B3817">
            <v>5229831</v>
          </cell>
          <cell r="C3817" t="str">
            <v>BRIGADEIRO INDUSTRIA E COMERCIO</v>
          </cell>
          <cell r="D3817" t="str">
            <v>3001</v>
          </cell>
          <cell r="E3817" t="str">
            <v>0028</v>
          </cell>
          <cell r="F3817" t="str">
            <v>C1</v>
          </cell>
          <cell r="G3817" t="str">
            <v>RJ</v>
          </cell>
          <cell r="H3817" t="str">
            <v>INGREDIENTS</v>
          </cell>
          <cell r="I3817" t="str">
            <v>INGREDIENTS</v>
          </cell>
          <cell r="J3817" t="str">
            <v>TATIANA NITTA</v>
          </cell>
          <cell r="K3817" t="str">
            <v>ITAMBÉ</v>
          </cell>
          <cell r="L3817" t="str">
            <v>MAURICIO</v>
          </cell>
          <cell r="M3817" t="str">
            <v>TATIANA NITTA</v>
          </cell>
        </row>
        <row r="3818">
          <cell r="B3818">
            <v>5261089</v>
          </cell>
          <cell r="C3818" t="str">
            <v>INTERFRIOS COM FRIOS LATCINIOS</v>
          </cell>
          <cell r="D3818" t="str">
            <v>3001</v>
          </cell>
          <cell r="E3818" t="str">
            <v>0125</v>
          </cell>
          <cell r="F3818" t="str">
            <v>C1</v>
          </cell>
          <cell r="G3818" t="str">
            <v>SP</v>
          </cell>
          <cell r="H3818" t="str">
            <v>DISTRIBUIÇÃO</v>
          </cell>
          <cell r="I3818" t="str">
            <v>FOOD SERVICE</v>
          </cell>
          <cell r="J3818" t="str">
            <v>GUILHERME NASCIMENTO</v>
          </cell>
          <cell r="K3818" t="str">
            <v>ITAMBÉ</v>
          </cell>
          <cell r="L3818" t="str">
            <v>RODRIGO</v>
          </cell>
          <cell r="M3818" t="str">
            <v>ALEXANDRO</v>
          </cell>
        </row>
        <row r="3819">
          <cell r="B3819">
            <v>5369565</v>
          </cell>
          <cell r="C3819" t="str">
            <v>ALLPAN COM DE PROD ALIMEN LTDA</v>
          </cell>
          <cell r="D3819" t="str">
            <v>3001</v>
          </cell>
          <cell r="E3819" t="str">
            <v>0125</v>
          </cell>
          <cell r="F3819" t="str">
            <v>C1</v>
          </cell>
          <cell r="G3819" t="str">
            <v>SP</v>
          </cell>
          <cell r="H3819" t="str">
            <v>DISTRIBUIÇÃO</v>
          </cell>
          <cell r="I3819" t="str">
            <v>FOOD SERVICE</v>
          </cell>
          <cell r="J3819" t="str">
            <v>SP ITB FS FLAC REP.E COMERCIO</v>
          </cell>
          <cell r="K3819" t="str">
            <v>ITAMBÉ</v>
          </cell>
          <cell r="L3819" t="str">
            <v>RODRIGO</v>
          </cell>
          <cell r="M3819" t="str">
            <v>RAQUEL BARBOSA</v>
          </cell>
        </row>
        <row r="3820">
          <cell r="B3820">
            <v>5371677</v>
          </cell>
          <cell r="C3820" t="str">
            <v>ALVILAC BRASIL LTDA</v>
          </cell>
          <cell r="D3820" t="str">
            <v>3001</v>
          </cell>
          <cell r="E3820" t="str">
            <v>0028</v>
          </cell>
          <cell r="F3820" t="str">
            <v>C1</v>
          </cell>
          <cell r="G3820" t="str">
            <v>SP</v>
          </cell>
          <cell r="H3820" t="str">
            <v>INGREDIENTS</v>
          </cell>
          <cell r="I3820" t="str">
            <v>INGREDIENTS</v>
          </cell>
          <cell r="J3820" t="str">
            <v>DLUM</v>
          </cell>
          <cell r="K3820" t="str">
            <v>ITAMBÉ</v>
          </cell>
          <cell r="L3820" t="str">
            <v>MAURICIO</v>
          </cell>
          <cell r="M3820" t="str">
            <v>JOEL</v>
          </cell>
        </row>
        <row r="3821">
          <cell r="B3821">
            <v>5372066</v>
          </cell>
          <cell r="C3821" t="str">
            <v>A R ROSA E CIA LTDA</v>
          </cell>
          <cell r="D3821" t="str">
            <v>3001</v>
          </cell>
          <cell r="E3821" t="str">
            <v>0028</v>
          </cell>
          <cell r="F3821" t="str">
            <v>C1</v>
          </cell>
          <cell r="G3821" t="str">
            <v>PR</v>
          </cell>
          <cell r="H3821" t="str">
            <v>INGREDIENTS</v>
          </cell>
          <cell r="I3821" t="str">
            <v>INGREDIENTS</v>
          </cell>
          <cell r="J3821" t="str">
            <v>PR ITB FS DONIZETH REPRES</v>
          </cell>
          <cell r="K3821" t="str">
            <v>ITAMBÉ</v>
          </cell>
          <cell r="L3821" t="str">
            <v>MAURICIO</v>
          </cell>
          <cell r="M3821" t="str">
            <v>MARCELO</v>
          </cell>
        </row>
        <row r="3822">
          <cell r="B3822">
            <v>5372144</v>
          </cell>
          <cell r="C3822" t="str">
            <v>MJ COMERCIO ALIMENTICIO LTDA</v>
          </cell>
          <cell r="D3822" t="str">
            <v>7001</v>
          </cell>
          <cell r="E3822" t="str">
            <v>0749</v>
          </cell>
          <cell r="F3822" t="str">
            <v>C5</v>
          </cell>
          <cell r="G3822" t="str">
            <v>SP</v>
          </cell>
          <cell r="H3822" t="str">
            <v>DISTRIBUIÇÃO</v>
          </cell>
          <cell r="I3822" t="str">
            <v>FOOD SERVICE</v>
          </cell>
          <cell r="J3822" t="str">
            <v>FLAC 10</v>
          </cell>
          <cell r="K3822" t="str">
            <v>LACTALIS</v>
          </cell>
          <cell r="L3822" t="str">
            <v>RODRIGO</v>
          </cell>
          <cell r="M3822" t="str">
            <v>RAQUEL BARBOSA</v>
          </cell>
        </row>
        <row r="3823">
          <cell r="B3823">
            <v>5372246</v>
          </cell>
          <cell r="C3823" t="str">
            <v>64051523 FILIPE LOPES</v>
          </cell>
          <cell r="D3823" t="str">
            <v>7001</v>
          </cell>
          <cell r="E3823" t="str">
            <v>0749</v>
          </cell>
          <cell r="F3823" t="str">
            <v>C5</v>
          </cell>
          <cell r="G3823" t="str">
            <v>SP</v>
          </cell>
          <cell r="H3823" t="str">
            <v>DISTRIBUIÇÃO</v>
          </cell>
          <cell r="I3823" t="str">
            <v>FOOD SERVICE</v>
          </cell>
          <cell r="J3823" t="str">
            <v>FLAC 5</v>
          </cell>
          <cell r="K3823" t="str">
            <v>LACTALIS</v>
          </cell>
          <cell r="L3823" t="str">
            <v>RODRIGO</v>
          </cell>
          <cell r="M3823" t="str">
            <v>RAQUEL BARBOSA</v>
          </cell>
        </row>
        <row r="3824">
          <cell r="B3824">
            <v>5372253</v>
          </cell>
          <cell r="C3824" t="str">
            <v>PLANET ICE DIST DE SOVETES LTDA</v>
          </cell>
          <cell r="D3824" t="str">
            <v>3001</v>
          </cell>
          <cell r="E3824" t="str">
            <v>0028</v>
          </cell>
          <cell r="F3824" t="str">
            <v>C1</v>
          </cell>
          <cell r="G3824" t="str">
            <v>PR</v>
          </cell>
          <cell r="H3824" t="str">
            <v>INGREDIENTS</v>
          </cell>
          <cell r="I3824" t="str">
            <v>INGREDIENTS</v>
          </cell>
          <cell r="J3824" t="str">
            <v>PR ITB FS REPRES TREVISANI</v>
          </cell>
          <cell r="K3824" t="str">
            <v>ITAMBÉ</v>
          </cell>
          <cell r="L3824" t="str">
            <v>MAURICIO</v>
          </cell>
          <cell r="M3824" t="str">
            <v>MARCELO</v>
          </cell>
        </row>
        <row r="3825">
          <cell r="B3825">
            <v>5372327</v>
          </cell>
          <cell r="C3825" t="str">
            <v>ALFA REFEICOES FOOD SERVICE LTDA</v>
          </cell>
          <cell r="D3825" t="str">
            <v>7001</v>
          </cell>
          <cell r="E3825" t="str">
            <v>0749</v>
          </cell>
          <cell r="F3825" t="str">
            <v>C5</v>
          </cell>
          <cell r="G3825" t="str">
            <v>SP</v>
          </cell>
          <cell r="H3825" t="str">
            <v>DISTRIBUIÇÃO</v>
          </cell>
          <cell r="I3825" t="str">
            <v>FOOD SERVICE</v>
          </cell>
          <cell r="J3825" t="str">
            <v>FLAC 3</v>
          </cell>
          <cell r="K3825" t="str">
            <v>LACTALIS</v>
          </cell>
          <cell r="L3825" t="str">
            <v>RODRIGO</v>
          </cell>
          <cell r="M3825" t="str">
            <v>RAQUEL BARBOSA</v>
          </cell>
        </row>
        <row r="3826">
          <cell r="B3826">
            <v>5019126</v>
          </cell>
          <cell r="C3826" t="str">
            <v>ROCHA PAN INDUSTRIA E COMERCIO LTDA</v>
          </cell>
          <cell r="D3826" t="str">
            <v>3001</v>
          </cell>
          <cell r="E3826" t="str">
            <v>0125</v>
          </cell>
          <cell r="F3826" t="str">
            <v>C1</v>
          </cell>
          <cell r="G3826" t="str">
            <v>SP</v>
          </cell>
          <cell r="H3826" t="str">
            <v>DISTRIBUIÇÃO</v>
          </cell>
          <cell r="I3826" t="str">
            <v>FOOD SERVICE</v>
          </cell>
          <cell r="J3826" t="str">
            <v>VAGO SP</v>
          </cell>
          <cell r="K3826" t="str">
            <v>ITAMBÉ</v>
          </cell>
          <cell r="L3826" t="str">
            <v>RODRIGO</v>
          </cell>
          <cell r="M3826" t="str">
            <v>RAQUEL BARBOSA</v>
          </cell>
        </row>
        <row r="3827">
          <cell r="B3827">
            <v>5019640</v>
          </cell>
          <cell r="C3827" t="str">
            <v>BIG CHURROS DE PIRACICABA LTDA</v>
          </cell>
          <cell r="D3827" t="str">
            <v>3001</v>
          </cell>
          <cell r="E3827" t="str">
            <v>0028</v>
          </cell>
          <cell r="F3827" t="str">
            <v>C1</v>
          </cell>
          <cell r="G3827" t="str">
            <v>SP</v>
          </cell>
          <cell r="H3827" t="str">
            <v>INGREDIENTS</v>
          </cell>
          <cell r="I3827" t="str">
            <v>INGREDIENTS</v>
          </cell>
          <cell r="J3827" t="str">
            <v>HENRIQUE FERREIRA</v>
          </cell>
          <cell r="K3827" t="str">
            <v>ITAMBÉ</v>
          </cell>
          <cell r="L3827" t="str">
            <v>MAURICIO</v>
          </cell>
          <cell r="M3827" t="str">
            <v>JOEL</v>
          </cell>
        </row>
        <row r="3828">
          <cell r="B3828">
            <v>5114387</v>
          </cell>
          <cell r="C3828" t="str">
            <v>JAQUELINI CARDOSO COSTA DA SILV</v>
          </cell>
          <cell r="D3828" t="str">
            <v>3001</v>
          </cell>
          <cell r="E3828" t="str">
            <v>0125</v>
          </cell>
          <cell r="F3828" t="str">
            <v>C1</v>
          </cell>
          <cell r="G3828" t="str">
            <v>SP</v>
          </cell>
          <cell r="H3828" t="str">
            <v>INGREDIENTS</v>
          </cell>
          <cell r="I3828" t="str">
            <v>INGREDIENTS</v>
          </cell>
          <cell r="J3828" t="str">
            <v>HENRIQUE FERREIRA</v>
          </cell>
          <cell r="K3828" t="str">
            <v>ITAMBÉ</v>
          </cell>
          <cell r="L3828" t="str">
            <v>MAURICIO</v>
          </cell>
          <cell r="M3828" t="str">
            <v>JOEL</v>
          </cell>
        </row>
        <row r="3829">
          <cell r="B3829">
            <v>5162411</v>
          </cell>
          <cell r="C3829" t="str">
            <v>MARIMEL DIST DE PROD ALIM LTDA</v>
          </cell>
          <cell r="D3829" t="str">
            <v>3001</v>
          </cell>
          <cell r="E3829" t="str">
            <v>0126</v>
          </cell>
          <cell r="F3829" t="str">
            <v>C1</v>
          </cell>
          <cell r="G3829" t="str">
            <v>PR</v>
          </cell>
          <cell r="H3829" t="str">
            <v>INGREDIENTS</v>
          </cell>
          <cell r="I3829" t="str">
            <v>INGREDIENTS</v>
          </cell>
          <cell r="J3829" t="str">
            <v>MARCELO RODRIGUES</v>
          </cell>
          <cell r="K3829" t="str">
            <v>ITAMBÉ</v>
          </cell>
          <cell r="L3829" t="str">
            <v>MAURICIO</v>
          </cell>
          <cell r="M3829" t="str">
            <v>MARCELO</v>
          </cell>
        </row>
        <row r="3830">
          <cell r="B3830">
            <v>5213484</v>
          </cell>
          <cell r="C3830" t="str">
            <v>HAVANA COMERCIO DE BEBIDAS LTDA</v>
          </cell>
          <cell r="D3830" t="str">
            <v>3001</v>
          </cell>
          <cell r="E3830" t="str">
            <v>0125</v>
          </cell>
          <cell r="F3830" t="str">
            <v>C1</v>
          </cell>
          <cell r="G3830" t="str">
            <v>SP</v>
          </cell>
          <cell r="H3830" t="str">
            <v>DISTRIBUIÇÃO</v>
          </cell>
          <cell r="I3830" t="str">
            <v>FOOD SERVICE</v>
          </cell>
          <cell r="J3830" t="str">
            <v>SP ITB FS FLAC REP.E COMERCIO</v>
          </cell>
          <cell r="K3830" t="str">
            <v>ITAMBÉ</v>
          </cell>
          <cell r="L3830" t="str">
            <v>RODRIGO</v>
          </cell>
          <cell r="M3830" t="str">
            <v>RAQUEL BARBOSA</v>
          </cell>
        </row>
        <row r="3831">
          <cell r="B3831">
            <v>5216119</v>
          </cell>
          <cell r="C3831" t="str">
            <v>GLOBAL QUALITY FOODS LTDA</v>
          </cell>
          <cell r="D3831" t="str">
            <v>3001</v>
          </cell>
          <cell r="E3831" t="str">
            <v>0125</v>
          </cell>
          <cell r="F3831" t="str">
            <v>C1</v>
          </cell>
          <cell r="G3831" t="str">
            <v>SP</v>
          </cell>
          <cell r="H3831" t="str">
            <v>INGREDIENTS</v>
          </cell>
          <cell r="I3831" t="str">
            <v>INGREDIENTS</v>
          </cell>
          <cell r="J3831" t="str">
            <v>HENRIQUE FERREIRA</v>
          </cell>
          <cell r="K3831" t="str">
            <v>ITAMBÉ</v>
          </cell>
          <cell r="L3831" t="str">
            <v>MAURICIO</v>
          </cell>
          <cell r="M3831" t="str">
            <v>JOEL</v>
          </cell>
        </row>
        <row r="3832">
          <cell r="B3832">
            <v>5216588</v>
          </cell>
          <cell r="C3832" t="str">
            <v>A CARDOSO G EMB E FESTAS LTDA</v>
          </cell>
          <cell r="D3832" t="str">
            <v>3001</v>
          </cell>
          <cell r="E3832" t="str">
            <v>0126</v>
          </cell>
          <cell r="F3832" t="str">
            <v>C1</v>
          </cell>
          <cell r="G3832" t="str">
            <v>PR</v>
          </cell>
          <cell r="H3832" t="str">
            <v>DISTRIBUIÇÃO</v>
          </cell>
          <cell r="I3832" t="str">
            <v>FOOD SERVICE</v>
          </cell>
          <cell r="J3832" t="str">
            <v>ANGELICA BATISTELA</v>
          </cell>
          <cell r="K3832" t="str">
            <v>ITAMBÉ</v>
          </cell>
          <cell r="L3832" t="str">
            <v>RODRIGO</v>
          </cell>
          <cell r="M3832" t="str">
            <v>ANGELICA BATISTELA</v>
          </cell>
        </row>
        <row r="3833">
          <cell r="B3833">
            <v>5264769</v>
          </cell>
          <cell r="C3833" t="str">
            <v>DOMANI HOTEL LTDA</v>
          </cell>
          <cell r="D3833" t="str">
            <v>7001</v>
          </cell>
          <cell r="E3833" t="str">
            <v>0749</v>
          </cell>
          <cell r="F3833" t="str">
            <v>C5</v>
          </cell>
          <cell r="G3833" t="str">
            <v>SP</v>
          </cell>
          <cell r="H3833" t="str">
            <v>DISTRIBUIÇÃO</v>
          </cell>
          <cell r="I3833" t="str">
            <v>FOOD SERVICE</v>
          </cell>
          <cell r="J3833" t="str">
            <v>FLAC 3</v>
          </cell>
          <cell r="K3833" t="str">
            <v>LACTALIS</v>
          </cell>
          <cell r="L3833" t="str">
            <v>RODRIGO</v>
          </cell>
          <cell r="M3833" t="str">
            <v>RAQUEL BARBOSA</v>
          </cell>
        </row>
        <row r="3834">
          <cell r="B3834">
            <v>5340507</v>
          </cell>
          <cell r="C3834" t="str">
            <v>SUAVE SABOR DOCERIA LTDA</v>
          </cell>
          <cell r="D3834" t="str">
            <v>3001</v>
          </cell>
          <cell r="E3834" t="str">
            <v>0028</v>
          </cell>
          <cell r="F3834" t="str">
            <v>C1</v>
          </cell>
          <cell r="G3834" t="str">
            <v>SP</v>
          </cell>
          <cell r="H3834" t="str">
            <v>INGREDIENTS</v>
          </cell>
          <cell r="I3834" t="str">
            <v>INGREDIENTS</v>
          </cell>
          <cell r="J3834" t="str">
            <v>TATIANA NITTA</v>
          </cell>
          <cell r="K3834" t="str">
            <v>ITAMBÉ</v>
          </cell>
          <cell r="L3834" t="str">
            <v>MAURICIO</v>
          </cell>
          <cell r="M3834" t="str">
            <v>TATIANA NITTA</v>
          </cell>
        </row>
        <row r="3835">
          <cell r="B3835">
            <v>5347144</v>
          </cell>
          <cell r="C3835" t="str">
            <v>MBF IND E COM DE ALIMENTOS LTDA</v>
          </cell>
          <cell r="D3835" t="str">
            <v>3001</v>
          </cell>
          <cell r="E3835" t="str">
            <v>0028</v>
          </cell>
          <cell r="F3835" t="str">
            <v>C1</v>
          </cell>
          <cell r="G3835" t="str">
            <v>SP</v>
          </cell>
          <cell r="H3835" t="str">
            <v>INGREDIENTS</v>
          </cell>
          <cell r="I3835" t="str">
            <v>INGREDIENTS</v>
          </cell>
          <cell r="J3835" t="str">
            <v>TATIANA NITTA</v>
          </cell>
          <cell r="K3835" t="str">
            <v>ITAMBÉ</v>
          </cell>
          <cell r="L3835" t="str">
            <v>MAURICIO</v>
          </cell>
          <cell r="M3835" t="str">
            <v>TATIANA NITTA</v>
          </cell>
        </row>
        <row r="3836">
          <cell r="B3836">
            <v>5348916</v>
          </cell>
          <cell r="C3836" t="str">
            <v>TOTAL CREAM</v>
          </cell>
          <cell r="D3836" t="str">
            <v>3001</v>
          </cell>
          <cell r="E3836" t="str">
            <v>0028</v>
          </cell>
          <cell r="F3836" t="str">
            <v>C1</v>
          </cell>
          <cell r="G3836" t="str">
            <v>SP</v>
          </cell>
          <cell r="H3836" t="str">
            <v>INGREDIENTS</v>
          </cell>
          <cell r="I3836" t="str">
            <v>INGREDIENTS</v>
          </cell>
          <cell r="J3836" t="str">
            <v>TATIANA NITTA</v>
          </cell>
          <cell r="K3836" t="str">
            <v>ITAMBÉ</v>
          </cell>
          <cell r="L3836" t="str">
            <v>MAURICIO</v>
          </cell>
          <cell r="M3836" t="str">
            <v>TATIANA NITTA</v>
          </cell>
        </row>
        <row r="3837">
          <cell r="B3837">
            <v>5351400</v>
          </cell>
          <cell r="C3837" t="str">
            <v>HARALD IND E COM DE ALIMENTOS L</v>
          </cell>
          <cell r="D3837" t="str">
            <v>4001</v>
          </cell>
          <cell r="E3837" t="str">
            <v>0437</v>
          </cell>
          <cell r="F3837" t="str">
            <v>C1</v>
          </cell>
          <cell r="G3837" t="str">
            <v>SP</v>
          </cell>
          <cell r="H3837" t="str">
            <v>INGREDIENTS</v>
          </cell>
          <cell r="I3837" t="str">
            <v>INGREDIENTS</v>
          </cell>
          <cell r="J3837" t="str">
            <v>TATIANA NITTA</v>
          </cell>
          <cell r="K3837" t="str">
            <v>LACTALIS</v>
          </cell>
          <cell r="L3837" t="str">
            <v>MAURICIO</v>
          </cell>
          <cell r="M3837" t="str">
            <v>TATIANA NITTA</v>
          </cell>
        </row>
        <row r="3838">
          <cell r="B3838">
            <v>5364891</v>
          </cell>
          <cell r="C3838" t="str">
            <v>NILSON HONORATO SOUZA</v>
          </cell>
          <cell r="D3838" t="str">
            <v>3001</v>
          </cell>
          <cell r="E3838" t="str">
            <v>0127</v>
          </cell>
          <cell r="F3838" t="str">
            <v>C1</v>
          </cell>
          <cell r="G3838" t="str">
            <v>PB</v>
          </cell>
          <cell r="H3838" t="str">
            <v>INGREDIENTS</v>
          </cell>
          <cell r="I3838" t="str">
            <v>INGREDIENTS</v>
          </cell>
          <cell r="J3838" t="str">
            <v>RN ITB FS W S REPRESENTAÇÕES</v>
          </cell>
          <cell r="K3838" t="str">
            <v>ITAMBÉ</v>
          </cell>
          <cell r="L3838" t="str">
            <v>MAURICIO</v>
          </cell>
          <cell r="M3838" t="str">
            <v>JOEL</v>
          </cell>
        </row>
        <row r="3839">
          <cell r="B3839">
            <v>5367394</v>
          </cell>
          <cell r="C3839" t="str">
            <v>NATALIA SALVE DAMASCENO 3256521</v>
          </cell>
          <cell r="D3839" t="str">
            <v>3001</v>
          </cell>
          <cell r="E3839" t="str">
            <v>0125</v>
          </cell>
          <cell r="F3839" t="str">
            <v>C1</v>
          </cell>
          <cell r="G3839" t="str">
            <v>SP</v>
          </cell>
          <cell r="H3839" t="str">
            <v>DISTRIBUIÇÃO</v>
          </cell>
          <cell r="I3839" t="str">
            <v>FOOD SERVICE</v>
          </cell>
          <cell r="J3839" t="str">
            <v>SP ITB FS FLAC REP.E COMERCIO</v>
          </cell>
          <cell r="K3839" t="str">
            <v>ITAMBÉ</v>
          </cell>
          <cell r="L3839" t="str">
            <v>RODRIGO</v>
          </cell>
          <cell r="M3839" t="str">
            <v>RAQUEL BARBOSA</v>
          </cell>
        </row>
        <row r="3840">
          <cell r="B3840">
            <v>5368572</v>
          </cell>
          <cell r="C3840" t="str">
            <v>IHC SAO PAULO HOTELARIA S A</v>
          </cell>
          <cell r="D3840" t="str">
            <v>7001</v>
          </cell>
          <cell r="E3840" t="str">
            <v>0749</v>
          </cell>
          <cell r="F3840" t="str">
            <v>C5</v>
          </cell>
          <cell r="G3840" t="str">
            <v>SP</v>
          </cell>
          <cell r="H3840" t="str">
            <v>DISTRIBUIÇÃO</v>
          </cell>
          <cell r="I3840" t="str">
            <v>FOOD SERVICE</v>
          </cell>
          <cell r="J3840" t="str">
            <v>FLAC 2</v>
          </cell>
          <cell r="K3840" t="str">
            <v>LACTALIS</v>
          </cell>
          <cell r="L3840" t="str">
            <v>RODRIGO</v>
          </cell>
          <cell r="M3840" t="str">
            <v>RAQUEL BARBOSA</v>
          </cell>
        </row>
        <row r="3841">
          <cell r="B3841">
            <v>5369632</v>
          </cell>
          <cell r="C3841" t="str">
            <v>INOV3 ENGENHARIA DE ALIMENT LTD</v>
          </cell>
          <cell r="D3841" t="str">
            <v>3001</v>
          </cell>
          <cell r="E3841" t="str">
            <v>0028</v>
          </cell>
          <cell r="F3841" t="str">
            <v>C1</v>
          </cell>
          <cell r="G3841" t="str">
            <v>SP</v>
          </cell>
          <cell r="H3841" t="str">
            <v>INGREDIENTS</v>
          </cell>
          <cell r="I3841" t="str">
            <v>INGREDIENTS</v>
          </cell>
          <cell r="J3841" t="str">
            <v>TATIANA NITTA</v>
          </cell>
          <cell r="K3841" t="str">
            <v>ITAMBÉ</v>
          </cell>
          <cell r="L3841" t="str">
            <v>MAURICIO</v>
          </cell>
          <cell r="M3841" t="str">
            <v>TATIANA NITTA</v>
          </cell>
        </row>
        <row r="3842">
          <cell r="B3842">
            <v>5370073</v>
          </cell>
          <cell r="C3842" t="str">
            <v>FARINHA E AGUA LTDA</v>
          </cell>
          <cell r="D3842" t="str">
            <v>3001</v>
          </cell>
          <cell r="E3842" t="str">
            <v>0169</v>
          </cell>
          <cell r="F3842" t="str">
            <v>C1</v>
          </cell>
          <cell r="G3842" t="str">
            <v>ES</v>
          </cell>
          <cell r="H3842" t="str">
            <v>DISTRIBUIÇÃO</v>
          </cell>
          <cell r="I3842" t="str">
            <v>FOOD SERVICE</v>
          </cell>
          <cell r="J3842" t="str">
            <v>MARCELO DUARTE</v>
          </cell>
          <cell r="K3842" t="str">
            <v>ITAMBÉ</v>
          </cell>
          <cell r="L3842" t="str">
            <v>RODRIGO</v>
          </cell>
          <cell r="M3842" t="str">
            <v>JESSICA</v>
          </cell>
        </row>
        <row r="3843">
          <cell r="B3843">
            <v>5372166</v>
          </cell>
          <cell r="C3843" t="str">
            <v>GRANVITALE COMERCIO E INDUSTRIA</v>
          </cell>
          <cell r="D3843" t="str">
            <v>4001</v>
          </cell>
          <cell r="E3843" t="str">
            <v>0437</v>
          </cell>
          <cell r="F3843" t="str">
            <v>C1</v>
          </cell>
          <cell r="G3843" t="str">
            <v>SP</v>
          </cell>
          <cell r="H3843" t="str">
            <v>INGREDIENTS</v>
          </cell>
          <cell r="I3843" t="str">
            <v>INGREDIENTS</v>
          </cell>
          <cell r="J3843" t="str">
            <v>TATIANA NITTA</v>
          </cell>
          <cell r="K3843" t="str">
            <v>LACTALIS</v>
          </cell>
          <cell r="L3843" t="str">
            <v>MAURICIO</v>
          </cell>
          <cell r="M3843" t="str">
            <v>TATIANA NITTA</v>
          </cell>
        </row>
        <row r="3844">
          <cell r="B3844">
            <v>5372291</v>
          </cell>
          <cell r="C3844" t="str">
            <v>BRUBI DISTRIBUIDORA LTDA</v>
          </cell>
          <cell r="D3844" t="str">
            <v>3001</v>
          </cell>
          <cell r="E3844" t="str">
            <v>0028</v>
          </cell>
          <cell r="F3844" t="str">
            <v>C1</v>
          </cell>
          <cell r="G3844" t="str">
            <v>SP</v>
          </cell>
          <cell r="H3844" t="str">
            <v>INGREDIENTS</v>
          </cell>
          <cell r="I3844" t="str">
            <v>INGREDIENTS</v>
          </cell>
          <cell r="J3844" t="str">
            <v>TATIANA NITTA</v>
          </cell>
          <cell r="K3844" t="str">
            <v>ITAMBÉ</v>
          </cell>
          <cell r="L3844" t="str">
            <v>MAURICIO</v>
          </cell>
          <cell r="M3844" t="str">
            <v>TATIANA NITTA</v>
          </cell>
        </row>
        <row r="3845">
          <cell r="B3845">
            <v>5148812</v>
          </cell>
          <cell r="C3845" t="str">
            <v>CB VILA VELHA COM ALIMENTOS LTDA</v>
          </cell>
          <cell r="D3845" t="str">
            <v>3001</v>
          </cell>
          <cell r="E3845" t="str">
            <v>0169</v>
          </cell>
          <cell r="F3845" t="str">
            <v>C1</v>
          </cell>
          <cell r="G3845" t="str">
            <v>ES</v>
          </cell>
          <cell r="H3845" t="str">
            <v>QSR</v>
          </cell>
          <cell r="I3845" t="str">
            <v>FOOD SERVICE</v>
          </cell>
          <cell r="J3845" t="str">
            <v>VAGO QSR</v>
          </cell>
          <cell r="K3845" t="str">
            <v>ITAMBÉ</v>
          </cell>
          <cell r="L3845" t="str">
            <v>PEDRO</v>
          </cell>
          <cell r="M3845" t="str">
            <v>VAGO QSR</v>
          </cell>
        </row>
        <row r="3846">
          <cell r="B3846">
            <v>5159289</v>
          </cell>
          <cell r="C3846" t="str">
            <v>FUNCHAL IND COM DE PAPEIS LTDA</v>
          </cell>
          <cell r="D3846" t="str">
            <v>3001</v>
          </cell>
          <cell r="E3846" t="str">
            <v>0125</v>
          </cell>
          <cell r="F3846" t="str">
            <v>C1</v>
          </cell>
          <cell r="G3846" t="str">
            <v>SP</v>
          </cell>
          <cell r="H3846" t="str">
            <v>DISTRIBUIÇÃO</v>
          </cell>
          <cell r="I3846" t="str">
            <v>FOOD SERVICE</v>
          </cell>
          <cell r="J3846" t="str">
            <v>VAGO SP</v>
          </cell>
          <cell r="K3846" t="str">
            <v>ITAMBÉ</v>
          </cell>
          <cell r="L3846" t="str">
            <v>RODRIGO</v>
          </cell>
          <cell r="M3846" t="str">
            <v>RAQUEL BARBOSA</v>
          </cell>
        </row>
        <row r="3847">
          <cell r="B3847">
            <v>5164717</v>
          </cell>
          <cell r="C3847" t="str">
            <v>HENDUPAN COM DE PROD CON LTDA</v>
          </cell>
          <cell r="D3847" t="str">
            <v>3001</v>
          </cell>
          <cell r="E3847" t="str">
            <v>0125</v>
          </cell>
          <cell r="F3847" t="str">
            <v>C1</v>
          </cell>
          <cell r="G3847" t="str">
            <v>SP</v>
          </cell>
          <cell r="H3847" t="str">
            <v>DISTRIBUIÇÃO</v>
          </cell>
          <cell r="I3847" t="str">
            <v>FOOD SERVICE</v>
          </cell>
          <cell r="J3847" t="str">
            <v>SP ITB FS FLAC REP.E COMERCIO</v>
          </cell>
          <cell r="K3847" t="str">
            <v>ITAMBÉ</v>
          </cell>
          <cell r="L3847" t="str">
            <v>RODRIGO</v>
          </cell>
          <cell r="M3847" t="str">
            <v>RAQUEL BARBOSA</v>
          </cell>
        </row>
        <row r="3848">
          <cell r="B3848">
            <v>5210879</v>
          </cell>
          <cell r="C3848" t="str">
            <v>CB RIO BOTAFOGO C DE ALIMENTOS</v>
          </cell>
          <cell r="D3848" t="str">
            <v>3001</v>
          </cell>
          <cell r="E3848" t="str">
            <v>0169</v>
          </cell>
          <cell r="F3848" t="str">
            <v>C1</v>
          </cell>
          <cell r="G3848" t="str">
            <v>RJ</v>
          </cell>
          <cell r="H3848" t="str">
            <v>QSR</v>
          </cell>
          <cell r="I3848" t="str">
            <v>FOOD SERVICE</v>
          </cell>
          <cell r="J3848" t="str">
            <v>VAGO QSR</v>
          </cell>
          <cell r="K3848" t="str">
            <v>ITAMBÉ</v>
          </cell>
          <cell r="L3848" t="str">
            <v>PEDRO</v>
          </cell>
          <cell r="M3848" t="str">
            <v>VAGO QSR</v>
          </cell>
        </row>
        <row r="3849">
          <cell r="B3849">
            <v>5226985</v>
          </cell>
          <cell r="C3849" t="str">
            <v>DISTRIBUIDORA E IMP IRMAOS AVEL</v>
          </cell>
          <cell r="D3849" t="str">
            <v>3001</v>
          </cell>
          <cell r="E3849" t="str">
            <v>0125</v>
          </cell>
          <cell r="F3849" t="str">
            <v>C1</v>
          </cell>
          <cell r="G3849" t="str">
            <v>SP</v>
          </cell>
          <cell r="H3849" t="str">
            <v>DISTRIBUIÇÃO</v>
          </cell>
          <cell r="I3849" t="str">
            <v>FOOD SERVICE</v>
          </cell>
          <cell r="J3849" t="str">
            <v>RAQUEL BARBOSA</v>
          </cell>
          <cell r="K3849" t="str">
            <v>ITAMBÉ</v>
          </cell>
          <cell r="L3849" t="str">
            <v>RODRIGO</v>
          </cell>
          <cell r="M3849" t="str">
            <v>RAQUEL BARBOSA</v>
          </cell>
        </row>
        <row r="3850">
          <cell r="B3850">
            <v>5350655</v>
          </cell>
          <cell r="C3850" t="str">
            <v>CB CAMPINAS COM DE ALIMEN LTDA</v>
          </cell>
          <cell r="D3850" t="str">
            <v>3001</v>
          </cell>
          <cell r="E3850" t="str">
            <v>0125</v>
          </cell>
          <cell r="F3850" t="str">
            <v>C1</v>
          </cell>
          <cell r="G3850" t="str">
            <v>SP</v>
          </cell>
          <cell r="H3850" t="str">
            <v>QSR</v>
          </cell>
          <cell r="I3850" t="str">
            <v>FOOD SERVICE</v>
          </cell>
          <cell r="J3850" t="str">
            <v>VAGO QSR</v>
          </cell>
          <cell r="K3850" t="str">
            <v>ITAMBÉ</v>
          </cell>
          <cell r="L3850" t="str">
            <v>PEDRO</v>
          </cell>
          <cell r="M3850" t="str">
            <v>VAGO QSR</v>
          </cell>
        </row>
        <row r="3851">
          <cell r="B3851">
            <v>5350702</v>
          </cell>
          <cell r="C3851" t="str">
            <v>CB SAO JOSE DO RIO PRETO COM DE AL</v>
          </cell>
          <cell r="D3851" t="str">
            <v>3001</v>
          </cell>
          <cell r="E3851" t="str">
            <v>0125</v>
          </cell>
          <cell r="F3851" t="str">
            <v>C1</v>
          </cell>
          <cell r="G3851" t="str">
            <v>SP</v>
          </cell>
          <cell r="H3851" t="str">
            <v>QSR</v>
          </cell>
          <cell r="I3851" t="str">
            <v>FOOD SERVICE</v>
          </cell>
          <cell r="J3851" t="str">
            <v>VAGO QSR</v>
          </cell>
          <cell r="K3851" t="str">
            <v>ITAMBÉ</v>
          </cell>
          <cell r="L3851" t="str">
            <v>PEDRO</v>
          </cell>
          <cell r="M3851" t="str">
            <v>VAGO QSR</v>
          </cell>
        </row>
        <row r="3852">
          <cell r="B3852">
            <v>5351895</v>
          </cell>
          <cell r="C3852" t="str">
            <v>CB RIO NORTE SHOP COM DE ALI LT</v>
          </cell>
          <cell r="D3852" t="str">
            <v>3001</v>
          </cell>
          <cell r="E3852" t="str">
            <v>0169</v>
          </cell>
          <cell r="F3852" t="str">
            <v>C1</v>
          </cell>
          <cell r="G3852" t="str">
            <v>RJ</v>
          </cell>
          <cell r="H3852" t="str">
            <v>QSR</v>
          </cell>
          <cell r="I3852" t="str">
            <v>FOOD SERVICE</v>
          </cell>
          <cell r="J3852" t="str">
            <v>VAGO QSR</v>
          </cell>
          <cell r="K3852" t="str">
            <v>ITAMBÉ</v>
          </cell>
          <cell r="L3852" t="str">
            <v>PEDRO</v>
          </cell>
          <cell r="M3852" t="str">
            <v>VAGO QSR</v>
          </cell>
        </row>
        <row r="3853">
          <cell r="B3853">
            <v>5352345</v>
          </cell>
          <cell r="C3853" t="str">
            <v>CB CUIABA COMERCIO DE ALIMENT L</v>
          </cell>
          <cell r="D3853" t="str">
            <v>3001</v>
          </cell>
          <cell r="E3853" t="str">
            <v>0123</v>
          </cell>
          <cell r="F3853" t="str">
            <v>C1</v>
          </cell>
          <cell r="G3853" t="str">
            <v>MT</v>
          </cell>
          <cell r="H3853" t="str">
            <v>QSR</v>
          </cell>
          <cell r="I3853" t="str">
            <v>FOOD SERVICE</v>
          </cell>
          <cell r="J3853" t="str">
            <v>VAGO QSR</v>
          </cell>
          <cell r="K3853" t="str">
            <v>ITAMBÉ</v>
          </cell>
          <cell r="L3853" t="str">
            <v>PEDRO</v>
          </cell>
          <cell r="M3853" t="str">
            <v>VAGO QSR</v>
          </cell>
        </row>
        <row r="3854">
          <cell r="B3854">
            <v>5355972</v>
          </cell>
          <cell r="C3854" t="str">
            <v>BROWNIE DA MINHA MAE DOCERIA LT</v>
          </cell>
          <cell r="D3854" t="str">
            <v>3001</v>
          </cell>
          <cell r="E3854" t="str">
            <v>0125</v>
          </cell>
          <cell r="F3854" t="str">
            <v>C1</v>
          </cell>
          <cell r="G3854" t="str">
            <v>SP</v>
          </cell>
          <cell r="H3854" t="str">
            <v>DISTRIBUIÇÃO</v>
          </cell>
          <cell r="I3854" t="str">
            <v>FOOD SERVICE</v>
          </cell>
          <cell r="J3854" t="str">
            <v>SP ITB FS FLAC REP.E COMERCIO</v>
          </cell>
          <cell r="K3854" t="str">
            <v>ITAMBÉ</v>
          </cell>
          <cell r="L3854" t="str">
            <v>RODRIGO</v>
          </cell>
          <cell r="M3854" t="str">
            <v>RAQUEL BARBOSA</v>
          </cell>
        </row>
        <row r="3855">
          <cell r="B3855">
            <v>5359414</v>
          </cell>
          <cell r="C3855" t="str">
            <v>MEL INDUSTRIA ALIMENTICIA DE DO</v>
          </cell>
          <cell r="D3855" t="str">
            <v>3001</v>
          </cell>
          <cell r="E3855" t="str">
            <v>0028</v>
          </cell>
          <cell r="F3855" t="str">
            <v>C1</v>
          </cell>
          <cell r="G3855" t="str">
            <v>MG</v>
          </cell>
          <cell r="H3855" t="str">
            <v>INGREDIENTS</v>
          </cell>
          <cell r="I3855" t="str">
            <v>INGREDIENTS</v>
          </cell>
          <cell r="J3855" t="str">
            <v>HENRIQUE FERREIRA</v>
          </cell>
          <cell r="K3855" t="str">
            <v>ITAMBÉ</v>
          </cell>
          <cell r="L3855" t="str">
            <v>MAURICIO</v>
          </cell>
          <cell r="M3855" t="str">
            <v>JOEL</v>
          </cell>
        </row>
        <row r="3856">
          <cell r="B3856">
            <v>5363598</v>
          </cell>
          <cell r="C3856" t="str">
            <v>CB RIO VOLTA REDONDA COM DE AL</v>
          </cell>
          <cell r="D3856" t="str">
            <v>3001</v>
          </cell>
          <cell r="E3856" t="str">
            <v>0169</v>
          </cell>
          <cell r="F3856" t="str">
            <v>C1</v>
          </cell>
          <cell r="G3856" t="str">
            <v>RJ</v>
          </cell>
          <cell r="H3856" t="str">
            <v>QSR</v>
          </cell>
          <cell r="I3856" t="str">
            <v>FOOD SERVICE</v>
          </cell>
          <cell r="J3856" t="str">
            <v>VAGO QSR</v>
          </cell>
          <cell r="K3856" t="str">
            <v>ITAMBÉ</v>
          </cell>
          <cell r="L3856" t="str">
            <v>PEDRO</v>
          </cell>
          <cell r="M3856" t="str">
            <v>VAGO QSR</v>
          </cell>
        </row>
        <row r="3857">
          <cell r="B3857">
            <v>5371677</v>
          </cell>
          <cell r="C3857" t="str">
            <v>ALVILAC BRASIL LTDA</v>
          </cell>
          <cell r="D3857" t="str">
            <v>4001</v>
          </cell>
          <cell r="E3857" t="str">
            <v>0437</v>
          </cell>
          <cell r="F3857" t="str">
            <v>C1</v>
          </cell>
          <cell r="G3857" t="str">
            <v>SP</v>
          </cell>
          <cell r="H3857" t="str">
            <v>INGREDIENTS</v>
          </cell>
          <cell r="I3857" t="str">
            <v>INGREDIENTS</v>
          </cell>
          <cell r="J3857" t="str">
            <v>JOEL ELEOTÉRIO</v>
          </cell>
          <cell r="K3857" t="str">
            <v>LACTALIS</v>
          </cell>
          <cell r="L3857" t="str">
            <v>MAURICIO</v>
          </cell>
          <cell r="M3857" t="str">
            <v>JOEL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A0BDE-E6C8-4B65-9542-F70F3610FBA9}">
  <sheetPr>
    <tabColor theme="7" tint="-0.499984740745262"/>
  </sheetPr>
  <dimension ref="A1:W485"/>
  <sheetViews>
    <sheetView showGridLines="0" tabSelected="1" topLeftCell="A31" workbookViewId="0">
      <selection activeCell="J13" sqref="J13"/>
    </sheetView>
  </sheetViews>
  <sheetFormatPr defaultColWidth="9.109375" defaultRowHeight="15" customHeight="1" x14ac:dyDescent="0.25"/>
  <cols>
    <col min="1" max="1" width="9.109375" style="2"/>
    <col min="2" max="2" width="9.33203125" style="2" customWidth="1"/>
    <col min="3" max="3" width="9.109375" style="2"/>
    <col min="4" max="4" width="11.33203125" style="3" customWidth="1"/>
    <col min="5" max="5" width="10.88671875" style="4" bestFit="1" customWidth="1"/>
    <col min="6" max="6" width="11" style="3" bestFit="1" customWidth="1"/>
    <col min="7" max="7" width="11.88671875" style="3" bestFit="1" customWidth="1"/>
    <col min="8" max="8" width="30.88671875" style="3" bestFit="1" customWidth="1"/>
    <col min="9" max="9" width="3.109375" style="3" bestFit="1" customWidth="1"/>
    <col min="10" max="10" width="4.44140625" style="3" bestFit="1" customWidth="1"/>
    <col min="11" max="11" width="7.33203125" style="3" bestFit="1" customWidth="1"/>
    <col min="12" max="12" width="5.6640625" style="5" bestFit="1" customWidth="1"/>
    <col min="13" max="13" width="17" style="10" customWidth="1"/>
    <col min="14" max="14" width="10.5546875" style="6" bestFit="1" customWidth="1"/>
    <col min="15" max="15" width="13.44140625" style="3" bestFit="1" customWidth="1"/>
    <col min="16" max="16" width="13.44140625" style="3" customWidth="1"/>
    <col min="17" max="17" width="12.6640625" style="3" bestFit="1" customWidth="1"/>
    <col min="18" max="18" width="22.88671875" style="7" bestFit="1" customWidth="1"/>
    <col min="19" max="19" width="11.5546875" style="8" bestFit="1" customWidth="1"/>
    <col min="20" max="22" width="9" style="9" customWidth="1"/>
    <col min="23" max="23" width="14.5546875" style="9" bestFit="1" customWidth="1"/>
    <col min="24" max="16384" width="9.109375" style="1"/>
  </cols>
  <sheetData>
    <row r="1" spans="1:23" s="11" customFormat="1" ht="15" customHeight="1" x14ac:dyDescent="0.25">
      <c r="A1" s="12" t="s">
        <v>0</v>
      </c>
      <c r="B1" s="12" t="s">
        <v>1</v>
      </c>
      <c r="C1" s="12" t="s">
        <v>2</v>
      </c>
      <c r="D1" s="13" t="s">
        <v>3</v>
      </c>
      <c r="E1" s="13" t="s">
        <v>4</v>
      </c>
      <c r="F1" s="13" t="s">
        <v>275</v>
      </c>
      <c r="G1" s="13" t="s">
        <v>6</v>
      </c>
      <c r="H1" s="13" t="s">
        <v>5</v>
      </c>
      <c r="I1" s="13" t="s">
        <v>7</v>
      </c>
      <c r="J1" s="13" t="s">
        <v>8</v>
      </c>
      <c r="K1" s="13" t="s">
        <v>9</v>
      </c>
      <c r="L1" s="14" t="s">
        <v>10</v>
      </c>
      <c r="M1" s="15" t="s">
        <v>11</v>
      </c>
      <c r="N1" s="16" t="s">
        <v>12</v>
      </c>
      <c r="O1" s="13" t="s">
        <v>13</v>
      </c>
      <c r="P1" s="13" t="s">
        <v>0</v>
      </c>
      <c r="Q1" s="13" t="s">
        <v>397</v>
      </c>
      <c r="R1" s="17" t="s">
        <v>14</v>
      </c>
      <c r="S1" s="18" t="s">
        <v>15</v>
      </c>
      <c r="T1" s="19" t="s">
        <v>16</v>
      </c>
      <c r="U1" s="19" t="s">
        <v>17</v>
      </c>
      <c r="V1" s="19" t="s">
        <v>18</v>
      </c>
      <c r="W1" s="19" t="s">
        <v>19</v>
      </c>
    </row>
    <row r="2" spans="1:23" ht="15" customHeight="1" x14ac:dyDescent="0.25">
      <c r="A2" s="20" t="str">
        <f>VLOOKUP(F2,[1]CLIENTES!B:L,11,0)</f>
        <v>RODRIGO</v>
      </c>
      <c r="B2" s="20" t="s">
        <v>20</v>
      </c>
      <c r="C2" s="20">
        <v>46028</v>
      </c>
      <c r="D2" s="21" t="s">
        <v>21</v>
      </c>
      <c r="E2" s="21">
        <v>215</v>
      </c>
      <c r="F2" s="21">
        <v>5023831</v>
      </c>
      <c r="G2" s="21">
        <v>126676</v>
      </c>
      <c r="H2" s="21" t="s">
        <v>22</v>
      </c>
      <c r="I2" s="21" t="s">
        <v>23</v>
      </c>
      <c r="J2" s="21">
        <v>6125</v>
      </c>
      <c r="K2" s="21">
        <v>692</v>
      </c>
      <c r="L2" s="22">
        <v>93</v>
      </c>
      <c r="M2" s="23" t="s">
        <v>24</v>
      </c>
      <c r="N2" s="24" t="s">
        <v>25</v>
      </c>
      <c r="O2" s="25">
        <v>46055</v>
      </c>
      <c r="P2" s="25" t="str">
        <f>VLOOKUP(F2,[1]CLIENTES!B:L,11,0)</f>
        <v>RODRIGO</v>
      </c>
      <c r="Q2" s="25" t="str">
        <f>VLOOKUP(F2,[1]CLIENTES!B:M,12,0)</f>
        <v>RAQUEL BARBOSA</v>
      </c>
      <c r="R2" s="26" t="str">
        <f>VLOOKUP(F2,[1]CLIENTES!B:J,9,0)</f>
        <v>VAGO SP</v>
      </c>
      <c r="S2" s="27">
        <v>6000</v>
      </c>
      <c r="T2" s="28" t="s">
        <v>27</v>
      </c>
      <c r="U2" s="28" t="s">
        <v>28</v>
      </c>
      <c r="V2" s="28" t="s">
        <v>29</v>
      </c>
      <c r="W2" s="28" t="s">
        <v>30</v>
      </c>
    </row>
    <row r="3" spans="1:23" ht="15" customHeight="1" x14ac:dyDescent="0.25">
      <c r="A3" s="20" t="str">
        <f>VLOOKUP(F3,[1]CLIENTES!B:L,11,0)</f>
        <v>RODRIGO</v>
      </c>
      <c r="B3" s="20" t="s">
        <v>20</v>
      </c>
      <c r="C3" s="20">
        <v>46225</v>
      </c>
      <c r="D3" s="21" t="s">
        <v>21</v>
      </c>
      <c r="E3" s="21">
        <v>206</v>
      </c>
      <c r="F3" s="21">
        <v>5017576</v>
      </c>
      <c r="G3" s="21">
        <v>116132</v>
      </c>
      <c r="H3" s="21" t="s">
        <v>31</v>
      </c>
      <c r="I3" s="21" t="s">
        <v>32</v>
      </c>
      <c r="J3" s="21">
        <v>6169</v>
      </c>
      <c r="K3" s="21">
        <v>690</v>
      </c>
      <c r="L3" s="22">
        <v>92</v>
      </c>
      <c r="M3" s="23" t="s">
        <v>33</v>
      </c>
      <c r="N3" s="24" t="s">
        <v>25</v>
      </c>
      <c r="O3" s="25">
        <v>46055</v>
      </c>
      <c r="P3" s="25" t="str">
        <f>VLOOKUP(F3,[1]CLIENTES!B:L,11,0)</f>
        <v>RODRIGO</v>
      </c>
      <c r="Q3" s="25" t="str">
        <f>VLOOKUP(F3,[1]CLIENTES!B:M,12,0)</f>
        <v>JESSICA</v>
      </c>
      <c r="R3" s="26" t="str">
        <f>VLOOKUP(F3,[1]CLIENTES!B:J,9,0)</f>
        <v>MARCELO DUARTE</v>
      </c>
      <c r="S3" s="27">
        <v>15000</v>
      </c>
      <c r="T3" s="28" t="s">
        <v>34</v>
      </c>
      <c r="U3" s="28" t="s">
        <v>28</v>
      </c>
      <c r="V3" s="28" t="s">
        <v>29</v>
      </c>
      <c r="W3" s="28" t="s">
        <v>35</v>
      </c>
    </row>
    <row r="4" spans="1:23" ht="15" customHeight="1" x14ac:dyDescent="0.25">
      <c r="A4" s="20" t="str">
        <f>VLOOKUP(F4,[1]CLIENTES!B:L,11,0)</f>
        <v>RODRIGO</v>
      </c>
      <c r="B4" s="20" t="s">
        <v>20</v>
      </c>
      <c r="C4" s="20">
        <v>46047</v>
      </c>
      <c r="D4" s="21" t="s">
        <v>21</v>
      </c>
      <c r="E4" s="21">
        <v>277</v>
      </c>
      <c r="F4" s="21">
        <v>5115019</v>
      </c>
      <c r="G4" s="21">
        <v>123456</v>
      </c>
      <c r="H4" s="21" t="s">
        <v>36</v>
      </c>
      <c r="I4" s="21" t="s">
        <v>37</v>
      </c>
      <c r="J4" s="21">
        <v>6169</v>
      </c>
      <c r="K4" s="21">
        <v>689</v>
      </c>
      <c r="L4" s="22">
        <v>92</v>
      </c>
      <c r="M4" s="23" t="s">
        <v>38</v>
      </c>
      <c r="N4" s="24" t="s">
        <v>25</v>
      </c>
      <c r="O4" s="25">
        <v>46055</v>
      </c>
      <c r="P4" s="25" t="str">
        <f>VLOOKUP(F4,[1]CLIENTES!B:L,11,0)</f>
        <v>RODRIGO</v>
      </c>
      <c r="Q4" s="25" t="str">
        <f>VLOOKUP(F4,[1]CLIENTES!B:M,12,0)</f>
        <v>JESSICA</v>
      </c>
      <c r="R4" s="26" t="str">
        <f>VLOOKUP(F4,[1]CLIENTES!B:J,9,0)</f>
        <v>JESSICA CARLA</v>
      </c>
      <c r="S4" s="27">
        <v>15715</v>
      </c>
      <c r="T4" s="28" t="s">
        <v>34</v>
      </c>
      <c r="U4" s="28" t="s">
        <v>28</v>
      </c>
      <c r="V4" s="28" t="s">
        <v>29</v>
      </c>
      <c r="W4" s="28" t="s">
        <v>35</v>
      </c>
    </row>
    <row r="5" spans="1:23" ht="15" customHeight="1" x14ac:dyDescent="0.25">
      <c r="A5" s="20" t="str">
        <f>VLOOKUP(F5,[1]CLIENTES!B:L,11,0)</f>
        <v>RODRIGO</v>
      </c>
      <c r="B5" s="20" t="s">
        <v>20</v>
      </c>
      <c r="C5" s="20">
        <v>46312</v>
      </c>
      <c r="D5" s="21" t="s">
        <v>21</v>
      </c>
      <c r="E5" s="21">
        <v>239</v>
      </c>
      <c r="F5" s="21">
        <v>5225860</v>
      </c>
      <c r="G5" s="21">
        <v>180402</v>
      </c>
      <c r="H5" s="21" t="s">
        <v>39</v>
      </c>
      <c r="I5" s="21" t="s">
        <v>40</v>
      </c>
      <c r="J5" s="21" t="s">
        <v>41</v>
      </c>
      <c r="K5" s="21">
        <v>194</v>
      </c>
      <c r="L5" s="22">
        <v>92</v>
      </c>
      <c r="M5" s="23" t="s">
        <v>42</v>
      </c>
      <c r="N5" s="24" t="s">
        <v>25</v>
      </c>
      <c r="O5" s="25">
        <v>46055</v>
      </c>
      <c r="P5" s="25" t="str">
        <f>VLOOKUP(F5,[1]CLIENTES!B:L,11,0)</f>
        <v>RODRIGO</v>
      </c>
      <c r="Q5" s="25" t="str">
        <f>VLOOKUP(F5,[1]CLIENTES!B:M,12,0)</f>
        <v>MARIA LOURDES</v>
      </c>
      <c r="R5" s="26" t="str">
        <f>VLOOKUP(F5,[1]CLIENTES!B:J,9,0)</f>
        <v>CLAUDIO JORGE/AMANDA SANDS</v>
      </c>
      <c r="S5" s="27">
        <v>14000</v>
      </c>
      <c r="T5" s="28" t="s">
        <v>44</v>
      </c>
      <c r="U5" s="28" t="s">
        <v>28</v>
      </c>
      <c r="V5" s="28" t="s">
        <v>29</v>
      </c>
      <c r="W5" s="28" t="s">
        <v>45</v>
      </c>
    </row>
    <row r="6" spans="1:23" ht="15" customHeight="1" x14ac:dyDescent="0.25">
      <c r="A6" s="20" t="str">
        <f>VLOOKUP(F6,[1]CLIENTES!B:L,11,0)</f>
        <v>RODRIGO</v>
      </c>
      <c r="B6" s="20" t="s">
        <v>20</v>
      </c>
      <c r="C6" s="20">
        <v>46034</v>
      </c>
      <c r="D6" s="21" t="s">
        <v>21</v>
      </c>
      <c r="E6" s="21">
        <v>842</v>
      </c>
      <c r="F6" s="21">
        <v>5278208</v>
      </c>
      <c r="G6" s="21">
        <v>186345</v>
      </c>
      <c r="H6" s="21" t="s">
        <v>46</v>
      </c>
      <c r="I6" s="21" t="s">
        <v>23</v>
      </c>
      <c r="J6" s="21" t="s">
        <v>47</v>
      </c>
      <c r="K6" s="21">
        <v>722</v>
      </c>
      <c r="L6" s="22">
        <v>11</v>
      </c>
      <c r="M6" s="23" t="s">
        <v>48</v>
      </c>
      <c r="N6" s="24" t="s">
        <v>25</v>
      </c>
      <c r="O6" s="25">
        <v>46055</v>
      </c>
      <c r="P6" s="25" t="str">
        <f>VLOOKUP(F6,[1]CLIENTES!B:L,11,0)</f>
        <v>RODRIGO</v>
      </c>
      <c r="Q6" s="25" t="str">
        <f>VLOOKUP(F6,[1]CLIENTES!B:M,12,0)</f>
        <v>ALEXANDRO</v>
      </c>
      <c r="R6" s="26" t="str">
        <f>VLOOKUP(F6,[1]CLIENTES!B:J,9,0)</f>
        <v>GUILHERME NASCIMENTO</v>
      </c>
      <c r="S6" s="27">
        <v>2625</v>
      </c>
      <c r="T6" s="28" t="s">
        <v>27</v>
      </c>
      <c r="U6" s="28" t="s">
        <v>50</v>
      </c>
      <c r="V6" s="28" t="s">
        <v>51</v>
      </c>
      <c r="W6" s="28" t="s">
        <v>52</v>
      </c>
    </row>
    <row r="7" spans="1:23" ht="15" customHeight="1" x14ac:dyDescent="0.25">
      <c r="A7" s="20" t="str">
        <f>VLOOKUP(F7,[1]CLIENTES!B:L,11,0)</f>
        <v>RODRIGO</v>
      </c>
      <c r="B7" s="20" t="s">
        <v>20</v>
      </c>
      <c r="C7" s="20">
        <v>46029</v>
      </c>
      <c r="D7" s="21" t="s">
        <v>21</v>
      </c>
      <c r="E7" s="21">
        <v>271</v>
      </c>
      <c r="F7" s="21">
        <v>5182828</v>
      </c>
      <c r="G7" s="21">
        <v>142649</v>
      </c>
      <c r="H7" s="21" t="s">
        <v>53</v>
      </c>
      <c r="I7" s="21" t="s">
        <v>54</v>
      </c>
      <c r="J7" s="21" t="s">
        <v>55</v>
      </c>
      <c r="K7" s="21">
        <v>191</v>
      </c>
      <c r="L7" s="22">
        <v>93</v>
      </c>
      <c r="M7" s="23" t="s">
        <v>56</v>
      </c>
      <c r="N7" s="24" t="s">
        <v>25</v>
      </c>
      <c r="O7" s="25">
        <v>46055</v>
      </c>
      <c r="P7" s="25" t="str">
        <f>VLOOKUP(F7,[1]CLIENTES!B:L,11,0)</f>
        <v>RODRIGO</v>
      </c>
      <c r="Q7" s="25" t="str">
        <f>VLOOKUP(F7,[1]CLIENTES!B:M,12,0)</f>
        <v>MARCO AURELIO</v>
      </c>
      <c r="R7" s="26" t="str">
        <f>VLOOKUP(F7,[1]CLIENTES!B:J,9,0)</f>
        <v>CLAUDIO JORGE</v>
      </c>
      <c r="S7" s="27">
        <v>12287.68</v>
      </c>
      <c r="T7" s="28" t="s">
        <v>34</v>
      </c>
      <c r="U7" s="28" t="s">
        <v>28</v>
      </c>
      <c r="V7" s="28" t="s">
        <v>29</v>
      </c>
      <c r="W7" s="28" t="s">
        <v>52</v>
      </c>
    </row>
    <row r="8" spans="1:23" ht="15" customHeight="1" x14ac:dyDescent="0.25">
      <c r="A8" s="20" t="str">
        <f>VLOOKUP(F8,[1]CLIENTES!B:L,11,0)</f>
        <v>RODRIGO</v>
      </c>
      <c r="B8" s="20" t="s">
        <v>20</v>
      </c>
      <c r="C8" s="20">
        <v>46034</v>
      </c>
      <c r="D8" s="21" t="s">
        <v>21</v>
      </c>
      <c r="E8" s="21">
        <v>844</v>
      </c>
      <c r="F8" s="21">
        <v>5006978</v>
      </c>
      <c r="G8" s="21">
        <v>103036</v>
      </c>
      <c r="H8" s="21" t="s">
        <v>58</v>
      </c>
      <c r="I8" s="21" t="s">
        <v>23</v>
      </c>
      <c r="J8" s="21" t="s">
        <v>47</v>
      </c>
      <c r="K8" s="21">
        <v>722</v>
      </c>
      <c r="L8" s="22">
        <v>25</v>
      </c>
      <c r="M8" s="23" t="s">
        <v>59</v>
      </c>
      <c r="N8" s="24" t="s">
        <v>25</v>
      </c>
      <c r="O8" s="25">
        <v>46055</v>
      </c>
      <c r="P8" s="25" t="str">
        <f>VLOOKUP(F8,[1]CLIENTES!B:L,11,0)</f>
        <v>RODRIGO</v>
      </c>
      <c r="Q8" s="25" t="str">
        <f>VLOOKUP(F8,[1]CLIENTES!B:M,12,0)</f>
        <v>RAQUEL BARBOSA</v>
      </c>
      <c r="R8" s="26" t="str">
        <f>VLOOKUP(F8,[1]CLIENTES!B:J,9,0)</f>
        <v>RAQUEL BARBOSA</v>
      </c>
      <c r="S8" s="27">
        <v>45414</v>
      </c>
      <c r="T8" s="28" t="s">
        <v>44</v>
      </c>
      <c r="U8" s="28" t="s">
        <v>50</v>
      </c>
      <c r="V8" s="28" t="s">
        <v>51</v>
      </c>
      <c r="W8" s="28" t="s">
        <v>60</v>
      </c>
    </row>
    <row r="9" spans="1:23" ht="15" customHeight="1" x14ac:dyDescent="0.25">
      <c r="A9" s="20" t="str">
        <f>VLOOKUP(F9,[1]CLIENTES!B:L,11,0)</f>
        <v>RODRIGO</v>
      </c>
      <c r="B9" s="20" t="s">
        <v>20</v>
      </c>
      <c r="C9" s="20">
        <v>46034</v>
      </c>
      <c r="D9" s="21" t="s">
        <v>21</v>
      </c>
      <c r="E9" s="21">
        <v>214</v>
      </c>
      <c r="F9" s="21">
        <v>5006978</v>
      </c>
      <c r="G9" s="21">
        <v>103036</v>
      </c>
      <c r="H9" s="21" t="s">
        <v>58</v>
      </c>
      <c r="I9" s="21" t="s">
        <v>23</v>
      </c>
      <c r="J9" s="21">
        <v>6125</v>
      </c>
      <c r="K9" s="21">
        <v>692</v>
      </c>
      <c r="L9" s="22">
        <v>92</v>
      </c>
      <c r="M9" s="23" t="s">
        <v>59</v>
      </c>
      <c r="N9" s="24" t="s">
        <v>25</v>
      </c>
      <c r="O9" s="25">
        <v>46055</v>
      </c>
      <c r="P9" s="25" t="str">
        <f>VLOOKUP(F9,[1]CLIENTES!B:L,11,0)</f>
        <v>RODRIGO</v>
      </c>
      <c r="Q9" s="25" t="str">
        <f>VLOOKUP(F9,[1]CLIENTES!B:M,12,0)</f>
        <v>RAQUEL BARBOSA</v>
      </c>
      <c r="R9" s="26" t="str">
        <f>VLOOKUP(F9,[1]CLIENTES!B:J,9,0)</f>
        <v>RAQUEL BARBOSA</v>
      </c>
      <c r="S9" s="27">
        <v>23785</v>
      </c>
      <c r="T9" s="28" t="s">
        <v>44</v>
      </c>
      <c r="U9" s="28" t="s">
        <v>28</v>
      </c>
      <c r="V9" s="28" t="s">
        <v>29</v>
      </c>
      <c r="W9" s="28" t="s">
        <v>60</v>
      </c>
    </row>
    <row r="10" spans="1:23" ht="15" customHeight="1" x14ac:dyDescent="0.25">
      <c r="A10" s="20" t="str">
        <f>VLOOKUP(F10,[1]CLIENTES!B:L,11,0)</f>
        <v>RODRIGO</v>
      </c>
      <c r="B10" s="20" t="s">
        <v>20</v>
      </c>
      <c r="C10" s="20">
        <v>46034</v>
      </c>
      <c r="D10" s="21" t="s">
        <v>21</v>
      </c>
      <c r="E10" s="21">
        <v>214</v>
      </c>
      <c r="F10" s="21">
        <v>5006978</v>
      </c>
      <c r="G10" s="21">
        <v>103036</v>
      </c>
      <c r="H10" s="21" t="s">
        <v>58</v>
      </c>
      <c r="I10" s="21" t="s">
        <v>23</v>
      </c>
      <c r="J10" s="21">
        <v>6125</v>
      </c>
      <c r="K10" s="21">
        <v>692</v>
      </c>
      <c r="L10" s="22">
        <v>92</v>
      </c>
      <c r="M10" s="23" t="s">
        <v>61</v>
      </c>
      <c r="N10" s="24" t="s">
        <v>25</v>
      </c>
      <c r="O10" s="25">
        <v>46055</v>
      </c>
      <c r="P10" s="25" t="str">
        <f>VLOOKUP(F10,[1]CLIENTES!B:L,11,0)</f>
        <v>RODRIGO</v>
      </c>
      <c r="Q10" s="25" t="str">
        <f>VLOOKUP(F10,[1]CLIENTES!B:M,12,0)</f>
        <v>RAQUEL BARBOSA</v>
      </c>
      <c r="R10" s="26" t="str">
        <f>VLOOKUP(F10,[1]CLIENTES!B:J,9,0)</f>
        <v>RAQUEL BARBOSA</v>
      </c>
      <c r="S10" s="27">
        <v>34500</v>
      </c>
      <c r="T10" s="28" t="s">
        <v>44</v>
      </c>
      <c r="U10" s="28" t="s">
        <v>28</v>
      </c>
      <c r="V10" s="28" t="s">
        <v>29</v>
      </c>
      <c r="W10" s="28" t="s">
        <v>60</v>
      </c>
    </row>
    <row r="11" spans="1:23" ht="15" customHeight="1" x14ac:dyDescent="0.25">
      <c r="A11" s="20" t="str">
        <f>VLOOKUP(F11,[1]CLIENTES!B:L,11,0)</f>
        <v>RODRIGO</v>
      </c>
      <c r="B11" s="20" t="s">
        <v>20</v>
      </c>
      <c r="C11" s="20">
        <v>46041</v>
      </c>
      <c r="D11" s="21" t="s">
        <v>21</v>
      </c>
      <c r="E11" s="21">
        <v>220</v>
      </c>
      <c r="F11" s="21">
        <v>5107112</v>
      </c>
      <c r="G11" s="21">
        <v>123370</v>
      </c>
      <c r="H11" s="21" t="s">
        <v>62</v>
      </c>
      <c r="I11" s="21" t="s">
        <v>23</v>
      </c>
      <c r="J11" s="21">
        <v>6125</v>
      </c>
      <c r="K11" s="21">
        <v>692</v>
      </c>
      <c r="L11" s="22">
        <v>93</v>
      </c>
      <c r="M11" s="23" t="s">
        <v>63</v>
      </c>
      <c r="N11" s="24" t="s">
        <v>25</v>
      </c>
      <c r="O11" s="25">
        <v>46055</v>
      </c>
      <c r="P11" s="25" t="str">
        <f>VLOOKUP(F11,[1]CLIENTES!B:L,11,0)</f>
        <v>RODRIGO</v>
      </c>
      <c r="Q11" s="25" t="str">
        <f>VLOOKUP(F11,[1]CLIENTES!B:M,12,0)</f>
        <v>ALEXANDRO</v>
      </c>
      <c r="R11" s="26" t="str">
        <f>VLOOKUP(F11,[1]CLIENTES!B:J,9,0)</f>
        <v>GUILHERME NASCIMENTO</v>
      </c>
      <c r="S11" s="27">
        <v>15461</v>
      </c>
      <c r="T11" s="28" t="s">
        <v>44</v>
      </c>
      <c r="U11" s="28" t="s">
        <v>28</v>
      </c>
      <c r="V11" s="28" t="s">
        <v>29</v>
      </c>
      <c r="W11" s="28" t="s">
        <v>64</v>
      </c>
    </row>
    <row r="12" spans="1:23" ht="15" customHeight="1" x14ac:dyDescent="0.25">
      <c r="A12" s="20" t="str">
        <f>VLOOKUP(F12,[1]CLIENTES!B:L,11,0)</f>
        <v>RODRIGO</v>
      </c>
      <c r="B12" s="20" t="s">
        <v>20</v>
      </c>
      <c r="C12" s="20">
        <v>46042</v>
      </c>
      <c r="D12" s="21" t="s">
        <v>21</v>
      </c>
      <c r="E12" s="21">
        <v>215</v>
      </c>
      <c r="F12" s="21">
        <v>5023831</v>
      </c>
      <c r="G12" s="21">
        <v>126676</v>
      </c>
      <c r="H12" s="21" t="s">
        <v>22</v>
      </c>
      <c r="I12" s="21" t="s">
        <v>23</v>
      </c>
      <c r="J12" s="21">
        <v>6125</v>
      </c>
      <c r="K12" s="21">
        <v>692</v>
      </c>
      <c r="L12" s="22">
        <v>93</v>
      </c>
      <c r="M12" s="23" t="s">
        <v>65</v>
      </c>
      <c r="N12" s="24" t="s">
        <v>25</v>
      </c>
      <c r="O12" s="25">
        <v>46055</v>
      </c>
      <c r="P12" s="25" t="str">
        <f>VLOOKUP(F12,[1]CLIENTES!B:L,11,0)</f>
        <v>RODRIGO</v>
      </c>
      <c r="Q12" s="25" t="str">
        <f>VLOOKUP(F12,[1]CLIENTES!B:M,12,0)</f>
        <v>RAQUEL BARBOSA</v>
      </c>
      <c r="R12" s="26" t="str">
        <f>VLOOKUP(F12,[1]CLIENTES!B:J,9,0)</f>
        <v>VAGO SP</v>
      </c>
      <c r="S12" s="27">
        <v>2000</v>
      </c>
      <c r="T12" s="28" t="s">
        <v>44</v>
      </c>
      <c r="U12" s="28" t="s">
        <v>28</v>
      </c>
      <c r="V12" s="28" t="s">
        <v>29</v>
      </c>
      <c r="W12" s="28" t="s">
        <v>52</v>
      </c>
    </row>
    <row r="13" spans="1:23" ht="15" customHeight="1" x14ac:dyDescent="0.25">
      <c r="A13" s="20" t="str">
        <f>VLOOKUP(F13,[1]CLIENTES!B:L,11,0)</f>
        <v>RODRIGO</v>
      </c>
      <c r="B13" s="20" t="s">
        <v>20</v>
      </c>
      <c r="C13" s="20">
        <v>46043</v>
      </c>
      <c r="D13" s="21" t="s">
        <v>21</v>
      </c>
      <c r="E13" s="21">
        <v>226</v>
      </c>
      <c r="F13" s="21">
        <v>5070522</v>
      </c>
      <c r="G13" s="21">
        <v>143311</v>
      </c>
      <c r="H13" s="21" t="s">
        <v>66</v>
      </c>
      <c r="I13" s="21" t="s">
        <v>23</v>
      </c>
      <c r="J13" s="21">
        <v>6125</v>
      </c>
      <c r="K13" s="21">
        <v>692</v>
      </c>
      <c r="L13" s="22">
        <v>93</v>
      </c>
      <c r="M13" s="23" t="s">
        <v>67</v>
      </c>
      <c r="N13" s="24" t="s">
        <v>25</v>
      </c>
      <c r="O13" s="25">
        <v>46055</v>
      </c>
      <c r="P13" s="25" t="str">
        <f>VLOOKUP(F13,[1]CLIENTES!B:L,11,0)</f>
        <v>RODRIGO</v>
      </c>
      <c r="Q13" s="25" t="str">
        <f>VLOOKUP(F13,[1]CLIENTES!B:M,12,0)</f>
        <v>ALEXANDRO</v>
      </c>
      <c r="R13" s="26" t="str">
        <f>VLOOKUP(F13,[1]CLIENTES!B:J,9,0)</f>
        <v>GUILHERME NASCIMENTO</v>
      </c>
      <c r="S13" s="27">
        <v>1101.5999999999999</v>
      </c>
      <c r="T13" s="28" t="s">
        <v>44</v>
      </c>
      <c r="U13" s="28" t="s">
        <v>28</v>
      </c>
      <c r="V13" s="28" t="s">
        <v>29</v>
      </c>
      <c r="W13" s="28" t="s">
        <v>52</v>
      </c>
    </row>
    <row r="14" spans="1:23" ht="15" customHeight="1" x14ac:dyDescent="0.25">
      <c r="A14" s="20" t="str">
        <f>VLOOKUP(F14,[1]CLIENTES!B:L,11,0)</f>
        <v>RODRIGO</v>
      </c>
      <c r="B14" s="20" t="s">
        <v>20</v>
      </c>
      <c r="C14" s="20">
        <v>46043</v>
      </c>
      <c r="D14" s="21" t="s">
        <v>21</v>
      </c>
      <c r="E14" s="21">
        <v>272</v>
      </c>
      <c r="F14" s="21">
        <v>5115189</v>
      </c>
      <c r="G14" s="21">
        <v>129296</v>
      </c>
      <c r="H14" s="21" t="s">
        <v>68</v>
      </c>
      <c r="I14" s="21" t="s">
        <v>54</v>
      </c>
      <c r="J14" s="21" t="s">
        <v>55</v>
      </c>
      <c r="K14" s="21">
        <v>191</v>
      </c>
      <c r="L14" s="22">
        <v>92</v>
      </c>
      <c r="M14" s="23" t="s">
        <v>69</v>
      </c>
      <c r="N14" s="24" t="s">
        <v>25</v>
      </c>
      <c r="O14" s="25">
        <v>46055</v>
      </c>
      <c r="P14" s="25" t="str">
        <f>VLOOKUP(F14,[1]CLIENTES!B:L,11,0)</f>
        <v>RODRIGO</v>
      </c>
      <c r="Q14" s="25" t="str">
        <f>VLOOKUP(F14,[1]CLIENTES!B:M,12,0)</f>
        <v>MARCO AURELIO</v>
      </c>
      <c r="R14" s="26" t="str">
        <f>VLOOKUP(F14,[1]CLIENTES!B:J,9,0)</f>
        <v>CLAUDIO JORGE/MARIA LAURA</v>
      </c>
      <c r="S14" s="27">
        <v>10000</v>
      </c>
      <c r="T14" s="28" t="s">
        <v>44</v>
      </c>
      <c r="U14" s="28" t="s">
        <v>28</v>
      </c>
      <c r="V14" s="28" t="s">
        <v>29</v>
      </c>
      <c r="W14" s="28" t="s">
        <v>52</v>
      </c>
    </row>
    <row r="15" spans="1:23" ht="15" customHeight="1" x14ac:dyDescent="0.25">
      <c r="A15" s="20" t="str">
        <f>VLOOKUP(F15,[1]CLIENTES!B:L,11,0)</f>
        <v>RODRIGO</v>
      </c>
      <c r="B15" s="20" t="s">
        <v>20</v>
      </c>
      <c r="C15" s="20">
        <v>46043</v>
      </c>
      <c r="D15" s="21" t="s">
        <v>21</v>
      </c>
      <c r="E15" s="21">
        <v>233</v>
      </c>
      <c r="F15" s="21">
        <v>5011709</v>
      </c>
      <c r="G15" s="21">
        <v>117424</v>
      </c>
      <c r="H15" s="21" t="s">
        <v>70</v>
      </c>
      <c r="I15" s="21" t="s">
        <v>71</v>
      </c>
      <c r="J15" s="21" t="s">
        <v>72</v>
      </c>
      <c r="K15" s="21">
        <v>186</v>
      </c>
      <c r="L15" s="22">
        <v>92</v>
      </c>
      <c r="M15" s="23" t="s">
        <v>73</v>
      </c>
      <c r="N15" s="24" t="s">
        <v>25</v>
      </c>
      <c r="O15" s="25">
        <v>46055</v>
      </c>
      <c r="P15" s="25" t="str">
        <f>VLOOKUP(F15,[1]CLIENTES!B:L,11,0)</f>
        <v>RODRIGO</v>
      </c>
      <c r="Q15" s="25" t="str">
        <f>VLOOKUP(F15,[1]CLIENTES!B:M,12,0)</f>
        <v>CELIO MARTINS</v>
      </c>
      <c r="R15" s="26" t="str">
        <f>VLOOKUP(F15,[1]CLIENTES!B:J,9,0)</f>
        <v>CELIO MARTINS</v>
      </c>
      <c r="S15" s="27">
        <v>1650</v>
      </c>
      <c r="T15" s="28" t="s">
        <v>44</v>
      </c>
      <c r="U15" s="28" t="s">
        <v>28</v>
      </c>
      <c r="V15" s="28" t="s">
        <v>29</v>
      </c>
      <c r="W15" s="28" t="s">
        <v>52</v>
      </c>
    </row>
    <row r="16" spans="1:23" ht="15" customHeight="1" x14ac:dyDescent="0.25">
      <c r="A16" s="20" t="str">
        <f>VLOOKUP(F16,[1]CLIENTES!B:L,11,0)</f>
        <v>RODRIGO</v>
      </c>
      <c r="B16" s="20" t="s">
        <v>20</v>
      </c>
      <c r="C16" s="20">
        <v>46043</v>
      </c>
      <c r="D16" s="21" t="s">
        <v>21</v>
      </c>
      <c r="E16" s="21">
        <v>271</v>
      </c>
      <c r="F16" s="21">
        <v>5182828</v>
      </c>
      <c r="G16" s="21">
        <v>142649</v>
      </c>
      <c r="H16" s="21" t="s">
        <v>53</v>
      </c>
      <c r="I16" s="21" t="s">
        <v>54</v>
      </c>
      <c r="J16" s="21" t="s">
        <v>55</v>
      </c>
      <c r="K16" s="21">
        <v>191</v>
      </c>
      <c r="L16" s="22">
        <v>93</v>
      </c>
      <c r="M16" s="23" t="s">
        <v>74</v>
      </c>
      <c r="N16" s="24" t="s">
        <v>25</v>
      </c>
      <c r="O16" s="25">
        <v>46055</v>
      </c>
      <c r="P16" s="25" t="str">
        <f>VLOOKUP(F16,[1]CLIENTES!B:L,11,0)</f>
        <v>RODRIGO</v>
      </c>
      <c r="Q16" s="25" t="str">
        <f>VLOOKUP(F16,[1]CLIENTES!B:M,12,0)</f>
        <v>MARCO AURELIO</v>
      </c>
      <c r="R16" s="26" t="str">
        <f>VLOOKUP(F16,[1]CLIENTES!B:J,9,0)</f>
        <v>CLAUDIO JORGE</v>
      </c>
      <c r="S16" s="27">
        <v>3000</v>
      </c>
      <c r="T16" s="28" t="s">
        <v>44</v>
      </c>
      <c r="U16" s="28" t="s">
        <v>28</v>
      </c>
      <c r="V16" s="28" t="s">
        <v>29</v>
      </c>
      <c r="W16" s="28" t="s">
        <v>52</v>
      </c>
    </row>
    <row r="17" spans="1:23" ht="15" customHeight="1" x14ac:dyDescent="0.25">
      <c r="A17" s="20" t="str">
        <f>VLOOKUP(F17,[1]CLIENTES!B:L,11,0)</f>
        <v>RODRIGO</v>
      </c>
      <c r="B17" s="20" t="s">
        <v>20</v>
      </c>
      <c r="C17" s="20">
        <v>46043</v>
      </c>
      <c r="D17" s="21" t="s">
        <v>21</v>
      </c>
      <c r="E17" s="21">
        <v>280</v>
      </c>
      <c r="F17" s="21">
        <v>5179610</v>
      </c>
      <c r="G17" s="21">
        <v>138067</v>
      </c>
      <c r="H17" s="21" t="s">
        <v>75</v>
      </c>
      <c r="I17" s="21" t="s">
        <v>76</v>
      </c>
      <c r="J17" s="21">
        <v>6123</v>
      </c>
      <c r="K17" s="21">
        <v>675</v>
      </c>
      <c r="L17" s="22">
        <v>92</v>
      </c>
      <c r="M17" s="23" t="s">
        <v>77</v>
      </c>
      <c r="N17" s="24" t="s">
        <v>25</v>
      </c>
      <c r="O17" s="25">
        <v>46055</v>
      </c>
      <c r="P17" s="25" t="str">
        <f>VLOOKUP(F17,[1]CLIENTES!B:L,11,0)</f>
        <v>RODRIGO</v>
      </c>
      <c r="Q17" s="25" t="str">
        <f>VLOOKUP(F17,[1]CLIENTES!B:M,12,0)</f>
        <v>MARCO AURELIO</v>
      </c>
      <c r="R17" s="26" t="str">
        <f>VLOOKUP(F17,[1]CLIENTES!B:J,9,0)</f>
        <v>CLAUDIO JORGE</v>
      </c>
      <c r="S17" s="27">
        <v>1000</v>
      </c>
      <c r="T17" s="28" t="s">
        <v>44</v>
      </c>
      <c r="U17" s="28" t="s">
        <v>28</v>
      </c>
      <c r="V17" s="28" t="s">
        <v>29</v>
      </c>
      <c r="W17" s="28" t="s">
        <v>52</v>
      </c>
    </row>
    <row r="18" spans="1:23" ht="15" customHeight="1" x14ac:dyDescent="0.25">
      <c r="A18" s="20" t="str">
        <f>VLOOKUP(F18,[1]CLIENTES!B:L,11,0)</f>
        <v>RODRIGO</v>
      </c>
      <c r="B18" s="20" t="s">
        <v>20</v>
      </c>
      <c r="C18" s="20">
        <v>46043</v>
      </c>
      <c r="D18" s="21" t="s">
        <v>21</v>
      </c>
      <c r="E18" s="21">
        <v>202</v>
      </c>
      <c r="F18" s="21">
        <v>5083008</v>
      </c>
      <c r="G18" s="21">
        <v>114905</v>
      </c>
      <c r="H18" s="21" t="s">
        <v>78</v>
      </c>
      <c r="I18" s="21" t="s">
        <v>23</v>
      </c>
      <c r="J18" s="21">
        <v>6125</v>
      </c>
      <c r="K18" s="21">
        <v>692</v>
      </c>
      <c r="L18" s="22">
        <v>93</v>
      </c>
      <c r="M18" s="23" t="s">
        <v>79</v>
      </c>
      <c r="N18" s="24" t="s">
        <v>25</v>
      </c>
      <c r="O18" s="25">
        <v>46055</v>
      </c>
      <c r="P18" s="25" t="str">
        <f>VLOOKUP(F18,[1]CLIENTES!B:L,11,0)</f>
        <v>RODRIGO</v>
      </c>
      <c r="Q18" s="25" t="str">
        <f>VLOOKUP(F18,[1]CLIENTES!B:M,12,0)</f>
        <v>ALEXANDRE BONANI</v>
      </c>
      <c r="R18" s="26" t="str">
        <f>VLOOKUP(F18,[1]CLIENTES!B:J,9,0)</f>
        <v>ALEXANDRE BONANI</v>
      </c>
      <c r="S18" s="27">
        <v>1728</v>
      </c>
      <c r="T18" s="28" t="s">
        <v>44</v>
      </c>
      <c r="U18" s="28" t="s">
        <v>28</v>
      </c>
      <c r="V18" s="28" t="s">
        <v>29</v>
      </c>
      <c r="W18" s="28" t="s">
        <v>52</v>
      </c>
    </row>
    <row r="19" spans="1:23" ht="15" customHeight="1" x14ac:dyDescent="0.25">
      <c r="A19" s="20" t="str">
        <f>VLOOKUP(F19,[1]CLIENTES!B:L,11,0)</f>
        <v>RODRIGO</v>
      </c>
      <c r="B19" s="20" t="s">
        <v>20</v>
      </c>
      <c r="C19" s="20">
        <v>46043</v>
      </c>
      <c r="D19" s="21" t="s">
        <v>21</v>
      </c>
      <c r="E19" s="21">
        <v>240</v>
      </c>
      <c r="F19" s="21">
        <v>5308411</v>
      </c>
      <c r="G19" s="21">
        <v>181236</v>
      </c>
      <c r="H19" s="21" t="s">
        <v>80</v>
      </c>
      <c r="I19" s="21" t="s">
        <v>71</v>
      </c>
      <c r="J19" s="21" t="s">
        <v>72</v>
      </c>
      <c r="K19" s="21">
        <v>186</v>
      </c>
      <c r="L19" s="22">
        <v>92</v>
      </c>
      <c r="M19" s="23" t="s">
        <v>81</v>
      </c>
      <c r="N19" s="24" t="s">
        <v>25</v>
      </c>
      <c r="O19" s="25">
        <v>46055</v>
      </c>
      <c r="P19" s="25" t="str">
        <f>VLOOKUP(F19,[1]CLIENTES!B:L,11,0)</f>
        <v>RODRIGO</v>
      </c>
      <c r="Q19" s="25" t="str">
        <f>VLOOKUP(F19,[1]CLIENTES!B:M,12,0)</f>
        <v>CELIO MARTINS</v>
      </c>
      <c r="R19" s="26" t="str">
        <f>VLOOKUP(F19,[1]CLIENTES!B:J,9,0)</f>
        <v>MARCELO SILVA</v>
      </c>
      <c r="S19" s="27">
        <v>700</v>
      </c>
      <c r="T19" s="28" t="s">
        <v>44</v>
      </c>
      <c r="U19" s="28" t="s">
        <v>28</v>
      </c>
      <c r="V19" s="28" t="s">
        <v>29</v>
      </c>
      <c r="W19" s="28" t="s">
        <v>52</v>
      </c>
    </row>
    <row r="20" spans="1:23" ht="15" customHeight="1" x14ac:dyDescent="0.25">
      <c r="A20" s="20" t="str">
        <f>VLOOKUP(F20,[1]CLIENTES!B:L,11,0)</f>
        <v>RODRIGO</v>
      </c>
      <c r="B20" s="20" t="s">
        <v>20</v>
      </c>
      <c r="C20" s="20">
        <v>46043</v>
      </c>
      <c r="D20" s="21" t="s">
        <v>21</v>
      </c>
      <c r="E20" s="21">
        <v>241</v>
      </c>
      <c r="F20" s="21">
        <v>5308411</v>
      </c>
      <c r="G20" s="21">
        <v>181236</v>
      </c>
      <c r="H20" s="21" t="s">
        <v>80</v>
      </c>
      <c r="I20" s="21" t="s">
        <v>71</v>
      </c>
      <c r="J20" s="21" t="s">
        <v>72</v>
      </c>
      <c r="K20" s="21">
        <v>186</v>
      </c>
      <c r="L20" s="22">
        <v>92</v>
      </c>
      <c r="M20" s="23" t="s">
        <v>82</v>
      </c>
      <c r="N20" s="24" t="s">
        <v>25</v>
      </c>
      <c r="O20" s="25">
        <v>46055</v>
      </c>
      <c r="P20" s="25" t="str">
        <f>VLOOKUP(F20,[1]CLIENTES!B:L,11,0)</f>
        <v>RODRIGO</v>
      </c>
      <c r="Q20" s="25" t="str">
        <f>VLOOKUP(F20,[1]CLIENTES!B:M,12,0)</f>
        <v>CELIO MARTINS</v>
      </c>
      <c r="R20" s="26" t="str">
        <f>VLOOKUP(F20,[1]CLIENTES!B:J,9,0)</f>
        <v>MARCELO SILVA</v>
      </c>
      <c r="S20" s="27">
        <v>1843.38</v>
      </c>
      <c r="T20" s="28" t="s">
        <v>44</v>
      </c>
      <c r="U20" s="28" t="s">
        <v>28</v>
      </c>
      <c r="V20" s="28" t="s">
        <v>29</v>
      </c>
      <c r="W20" s="28" t="s">
        <v>83</v>
      </c>
    </row>
    <row r="21" spans="1:23" ht="15" customHeight="1" x14ac:dyDescent="0.25">
      <c r="A21" s="20" t="str">
        <f>VLOOKUP(F21,[1]CLIENTES!B:L,11,0)</f>
        <v>RODRIGO</v>
      </c>
      <c r="B21" s="20" t="s">
        <v>20</v>
      </c>
      <c r="C21" s="20">
        <v>46043</v>
      </c>
      <c r="D21" s="21" t="s">
        <v>21</v>
      </c>
      <c r="E21" s="21">
        <v>219</v>
      </c>
      <c r="F21" s="21">
        <v>5338214</v>
      </c>
      <c r="G21" s="21">
        <v>184659</v>
      </c>
      <c r="H21" s="21" t="s">
        <v>84</v>
      </c>
      <c r="I21" s="21" t="s">
        <v>23</v>
      </c>
      <c r="J21" s="21">
        <v>6125</v>
      </c>
      <c r="K21" s="21">
        <v>692</v>
      </c>
      <c r="L21" s="22">
        <v>93</v>
      </c>
      <c r="M21" s="23" t="s">
        <v>85</v>
      </c>
      <c r="N21" s="24" t="s">
        <v>25</v>
      </c>
      <c r="O21" s="25">
        <v>46055</v>
      </c>
      <c r="P21" s="25" t="str">
        <f>VLOOKUP(F21,[1]CLIENTES!B:L,11,0)</f>
        <v>RODRIGO</v>
      </c>
      <c r="Q21" s="25" t="str">
        <f>VLOOKUP(F21,[1]CLIENTES!B:M,12,0)</f>
        <v>RAQUEL BARBOSA</v>
      </c>
      <c r="R21" s="26" t="str">
        <f>VLOOKUP(F21,[1]CLIENTES!B:J,9,0)</f>
        <v>VAGO SP</v>
      </c>
      <c r="S21" s="27">
        <v>436</v>
      </c>
      <c r="T21" s="28" t="s">
        <v>44</v>
      </c>
      <c r="U21" s="28" t="s">
        <v>28</v>
      </c>
      <c r="V21" s="28" t="s">
        <v>29</v>
      </c>
      <c r="W21" s="28" t="s">
        <v>52</v>
      </c>
    </row>
    <row r="22" spans="1:23" ht="15" customHeight="1" x14ac:dyDescent="0.25">
      <c r="A22" s="20" t="str">
        <f>VLOOKUP(F22,[1]CLIENTES!B:L,11,0)</f>
        <v>RODRIGO</v>
      </c>
      <c r="B22" s="20" t="s">
        <v>20</v>
      </c>
      <c r="C22" s="20">
        <v>46043</v>
      </c>
      <c r="D22" s="21" t="s">
        <v>21</v>
      </c>
      <c r="E22" s="21">
        <v>268</v>
      </c>
      <c r="F22" s="21">
        <v>5226805</v>
      </c>
      <c r="G22" s="21">
        <v>150155</v>
      </c>
      <c r="H22" s="21" t="s">
        <v>86</v>
      </c>
      <c r="I22" s="21" t="s">
        <v>71</v>
      </c>
      <c r="J22" s="21" t="s">
        <v>72</v>
      </c>
      <c r="K22" s="21">
        <v>186</v>
      </c>
      <c r="L22" s="22">
        <v>92</v>
      </c>
      <c r="M22" s="23" t="s">
        <v>87</v>
      </c>
      <c r="N22" s="24" t="s">
        <v>25</v>
      </c>
      <c r="O22" s="25">
        <v>46055</v>
      </c>
      <c r="P22" s="25" t="str">
        <f>VLOOKUP(F22,[1]CLIENTES!B:L,11,0)</f>
        <v>RODRIGO</v>
      </c>
      <c r="Q22" s="25" t="str">
        <f>VLOOKUP(F22,[1]CLIENTES!B:M,12,0)</f>
        <v>CELIO MARTINS</v>
      </c>
      <c r="R22" s="26" t="str">
        <f>VLOOKUP(F22,[1]CLIENTES!B:J,9,0)</f>
        <v>CELIO/MARANATHA</v>
      </c>
      <c r="S22" s="27">
        <v>900</v>
      </c>
      <c r="T22" s="28" t="s">
        <v>44</v>
      </c>
      <c r="U22" s="28" t="s">
        <v>28</v>
      </c>
      <c r="V22" s="28" t="s">
        <v>29</v>
      </c>
      <c r="W22" s="28" t="s">
        <v>52</v>
      </c>
    </row>
    <row r="23" spans="1:23" ht="15" customHeight="1" x14ac:dyDescent="0.25">
      <c r="A23" s="20" t="str">
        <f>VLOOKUP(F23,[1]CLIENTES!B:L,11,0)</f>
        <v>RODRIGO</v>
      </c>
      <c r="B23" s="20" t="s">
        <v>20</v>
      </c>
      <c r="C23" s="20">
        <v>46043</v>
      </c>
      <c r="D23" s="21" t="s">
        <v>21</v>
      </c>
      <c r="E23" s="21">
        <v>217</v>
      </c>
      <c r="F23" s="21">
        <v>5109682</v>
      </c>
      <c r="G23" s="21">
        <v>128100</v>
      </c>
      <c r="H23" s="21" t="s">
        <v>88</v>
      </c>
      <c r="I23" s="21" t="s">
        <v>23</v>
      </c>
      <c r="J23" s="21">
        <v>6125</v>
      </c>
      <c r="K23" s="21">
        <v>692</v>
      </c>
      <c r="L23" s="22">
        <v>93</v>
      </c>
      <c r="M23" s="23" t="s">
        <v>89</v>
      </c>
      <c r="N23" s="24" t="s">
        <v>25</v>
      </c>
      <c r="O23" s="25">
        <v>46055</v>
      </c>
      <c r="P23" s="25" t="str">
        <f>VLOOKUP(F23,[1]CLIENTES!B:L,11,0)</f>
        <v>RODRIGO</v>
      </c>
      <c r="Q23" s="25" t="str">
        <f>VLOOKUP(F23,[1]CLIENTES!B:M,12,0)</f>
        <v>RAQUEL BARBOSA</v>
      </c>
      <c r="R23" s="26" t="str">
        <f>VLOOKUP(F23,[1]CLIENTES!B:J,9,0)</f>
        <v>VAGO SP</v>
      </c>
      <c r="S23" s="27">
        <v>8333</v>
      </c>
      <c r="T23" s="28" t="s">
        <v>44</v>
      </c>
      <c r="U23" s="28" t="s">
        <v>28</v>
      </c>
      <c r="V23" s="28" t="s">
        <v>29</v>
      </c>
      <c r="W23" s="28" t="s">
        <v>60</v>
      </c>
    </row>
    <row r="24" spans="1:23" ht="15" customHeight="1" x14ac:dyDescent="0.25">
      <c r="A24" s="20" t="str">
        <f>VLOOKUP(F24,[1]CLIENTES!B:L,11,0)</f>
        <v>RODRIGO</v>
      </c>
      <c r="B24" s="20" t="s">
        <v>20</v>
      </c>
      <c r="C24" s="20">
        <v>46045</v>
      </c>
      <c r="D24" s="21" t="s">
        <v>21</v>
      </c>
      <c r="E24" s="21">
        <v>265</v>
      </c>
      <c r="F24" s="21">
        <v>5127060</v>
      </c>
      <c r="G24" s="21">
        <v>187971</v>
      </c>
      <c r="H24" s="21" t="s">
        <v>90</v>
      </c>
      <c r="I24" s="21" t="s">
        <v>71</v>
      </c>
      <c r="J24" s="21" t="s">
        <v>72</v>
      </c>
      <c r="K24" s="21">
        <v>186</v>
      </c>
      <c r="L24" s="22">
        <v>92</v>
      </c>
      <c r="M24" s="23" t="s">
        <v>91</v>
      </c>
      <c r="N24" s="24" t="s">
        <v>25</v>
      </c>
      <c r="O24" s="25">
        <v>46055</v>
      </c>
      <c r="P24" s="25" t="str">
        <f>VLOOKUP(F24,[1]CLIENTES!B:L,11,0)</f>
        <v>RODRIGO</v>
      </c>
      <c r="Q24" s="25" t="str">
        <f>VLOOKUP(F24,[1]CLIENTES!B:M,12,0)</f>
        <v>CELIO MARTINS</v>
      </c>
      <c r="R24" s="26" t="str">
        <f>VLOOKUP(F24,[1]CLIENTES!B:J,9,0)</f>
        <v>MARCELO SILVA</v>
      </c>
      <c r="S24" s="27">
        <v>500</v>
      </c>
      <c r="T24" s="28" t="s">
        <v>44</v>
      </c>
      <c r="U24" s="28" t="s">
        <v>28</v>
      </c>
      <c r="V24" s="28" t="s">
        <v>29</v>
      </c>
      <c r="W24" s="28" t="s">
        <v>52</v>
      </c>
    </row>
    <row r="25" spans="1:23" ht="15" customHeight="1" x14ac:dyDescent="0.25">
      <c r="A25" s="20" t="str">
        <f>VLOOKUP(F25,[1]CLIENTES!B:L,11,0)</f>
        <v>RODRIGO</v>
      </c>
      <c r="B25" s="20" t="s">
        <v>20</v>
      </c>
      <c r="C25" s="20">
        <v>46045</v>
      </c>
      <c r="D25" s="21" t="s">
        <v>21</v>
      </c>
      <c r="E25" s="21">
        <v>236</v>
      </c>
      <c r="F25" s="21">
        <v>5013871</v>
      </c>
      <c r="G25" s="21"/>
      <c r="H25" s="21" t="s">
        <v>92</v>
      </c>
      <c r="I25" s="21" t="s">
        <v>71</v>
      </c>
      <c r="J25" s="21" t="s">
        <v>72</v>
      </c>
      <c r="K25" s="21">
        <v>186</v>
      </c>
      <c r="L25" s="22">
        <v>92</v>
      </c>
      <c r="M25" s="23" t="s">
        <v>91</v>
      </c>
      <c r="N25" s="24" t="s">
        <v>25</v>
      </c>
      <c r="O25" s="25">
        <v>46055</v>
      </c>
      <c r="P25" s="25" t="str">
        <f>VLOOKUP(F25,[1]CLIENTES!B:L,11,0)</f>
        <v>RODRIGO</v>
      </c>
      <c r="Q25" s="25" t="str">
        <f>VLOOKUP(F25,[1]CLIENTES!B:M,12,0)</f>
        <v>CELIO MARTINS</v>
      </c>
      <c r="R25" s="26" t="str">
        <f>VLOOKUP(F25,[1]CLIENTES!B:J,9,0)</f>
        <v>MARCELO SILVA</v>
      </c>
      <c r="S25" s="27">
        <v>350</v>
      </c>
      <c r="T25" s="28" t="s">
        <v>44</v>
      </c>
      <c r="U25" s="28" t="s">
        <v>28</v>
      </c>
      <c r="V25" s="28" t="s">
        <v>29</v>
      </c>
      <c r="W25" s="28" t="s">
        <v>52</v>
      </c>
    </row>
    <row r="26" spans="1:23" ht="15" customHeight="1" x14ac:dyDescent="0.25">
      <c r="A26" s="20" t="str">
        <f>VLOOKUP(F26,[1]CLIENTES!B:L,11,0)</f>
        <v>RODRIGO</v>
      </c>
      <c r="B26" s="20" t="s">
        <v>20</v>
      </c>
      <c r="C26" s="20">
        <v>46045</v>
      </c>
      <c r="D26" s="21" t="s">
        <v>21</v>
      </c>
      <c r="E26" s="21">
        <v>278</v>
      </c>
      <c r="F26" s="21">
        <v>5040108</v>
      </c>
      <c r="G26" s="21">
        <v>123355</v>
      </c>
      <c r="H26" s="21" t="s">
        <v>93</v>
      </c>
      <c r="I26" s="21" t="s">
        <v>37</v>
      </c>
      <c r="J26" s="21">
        <v>6169</v>
      </c>
      <c r="K26" s="21">
        <v>689</v>
      </c>
      <c r="L26" s="22">
        <v>92</v>
      </c>
      <c r="M26" s="23" t="s">
        <v>94</v>
      </c>
      <c r="N26" s="24" t="s">
        <v>25</v>
      </c>
      <c r="O26" s="25">
        <v>46055</v>
      </c>
      <c r="P26" s="25" t="str">
        <f>VLOOKUP(F26,[1]CLIENTES!B:L,11,0)</f>
        <v>RODRIGO</v>
      </c>
      <c r="Q26" s="25" t="str">
        <f>VLOOKUP(F26,[1]CLIENTES!B:M,12,0)</f>
        <v>JESSICA</v>
      </c>
      <c r="R26" s="26" t="str">
        <f>VLOOKUP(F26,[1]CLIENTES!B:J,9,0)</f>
        <v>CLAUDIO JORGE</v>
      </c>
      <c r="S26" s="27">
        <v>21131.13</v>
      </c>
      <c r="T26" s="28" t="s">
        <v>44</v>
      </c>
      <c r="U26" s="28" t="s">
        <v>28</v>
      </c>
      <c r="V26" s="28" t="s">
        <v>29</v>
      </c>
      <c r="W26" s="28" t="s">
        <v>95</v>
      </c>
    </row>
    <row r="27" spans="1:23" ht="15" customHeight="1" x14ac:dyDescent="0.25">
      <c r="A27" s="20" t="str">
        <f>VLOOKUP(F27,[1]CLIENTES!B:L,11,0)</f>
        <v>RODRIGO</v>
      </c>
      <c r="B27" s="20" t="s">
        <v>20</v>
      </c>
      <c r="C27" s="20">
        <v>46045</v>
      </c>
      <c r="D27" s="21" t="s">
        <v>21</v>
      </c>
      <c r="E27" s="21">
        <v>278</v>
      </c>
      <c r="F27" s="21">
        <v>5040108</v>
      </c>
      <c r="G27" s="21">
        <v>123355</v>
      </c>
      <c r="H27" s="21" t="s">
        <v>93</v>
      </c>
      <c r="I27" s="21" t="s">
        <v>37</v>
      </c>
      <c r="J27" s="21">
        <v>6169</v>
      </c>
      <c r="K27" s="21">
        <v>689</v>
      </c>
      <c r="L27" s="22">
        <v>92</v>
      </c>
      <c r="M27" s="23" t="s">
        <v>96</v>
      </c>
      <c r="N27" s="24" t="s">
        <v>25</v>
      </c>
      <c r="O27" s="25">
        <v>46055</v>
      </c>
      <c r="P27" s="25" t="str">
        <f>VLOOKUP(F27,[1]CLIENTES!B:L,11,0)</f>
        <v>RODRIGO</v>
      </c>
      <c r="Q27" s="25" t="str">
        <f>VLOOKUP(F27,[1]CLIENTES!B:M,12,0)</f>
        <v>JESSICA</v>
      </c>
      <c r="R27" s="26" t="str">
        <f>VLOOKUP(F27,[1]CLIENTES!B:J,9,0)</f>
        <v>CLAUDIO JORGE</v>
      </c>
      <c r="S27" s="27">
        <v>10000</v>
      </c>
      <c r="T27" s="28" t="s">
        <v>44</v>
      </c>
      <c r="U27" s="28" t="s">
        <v>28</v>
      </c>
      <c r="V27" s="28" t="s">
        <v>29</v>
      </c>
      <c r="W27" s="28" t="s">
        <v>97</v>
      </c>
    </row>
    <row r="28" spans="1:23" ht="15" customHeight="1" x14ac:dyDescent="0.25">
      <c r="A28" s="20" t="str">
        <f>VLOOKUP(F28,[1]CLIENTES!B:L,11,0)</f>
        <v>RODRIGO</v>
      </c>
      <c r="B28" s="20" t="s">
        <v>20</v>
      </c>
      <c r="C28" s="20">
        <v>46045</v>
      </c>
      <c r="D28" s="21" t="s">
        <v>21</v>
      </c>
      <c r="E28" s="21">
        <v>851</v>
      </c>
      <c r="F28" s="21">
        <v>5115019</v>
      </c>
      <c r="G28" s="21">
        <v>123456</v>
      </c>
      <c r="H28" s="21" t="s">
        <v>36</v>
      </c>
      <c r="I28" s="21" t="s">
        <v>37</v>
      </c>
      <c r="J28" s="21" t="s">
        <v>98</v>
      </c>
      <c r="K28" s="21">
        <v>739</v>
      </c>
      <c r="L28" s="22">
        <v>11</v>
      </c>
      <c r="M28" s="23" t="s">
        <v>99</v>
      </c>
      <c r="N28" s="24" t="s">
        <v>25</v>
      </c>
      <c r="O28" s="25">
        <v>46055</v>
      </c>
      <c r="P28" s="25" t="str">
        <f>VLOOKUP(F28,[1]CLIENTES!B:L,11,0)</f>
        <v>RODRIGO</v>
      </c>
      <c r="Q28" s="25" t="str">
        <f>VLOOKUP(F28,[1]CLIENTES!B:M,12,0)</f>
        <v>JESSICA</v>
      </c>
      <c r="R28" s="26" t="str">
        <f>VLOOKUP(F28,[1]CLIENTES!B:J,9,0)</f>
        <v>JESSICA CARLA</v>
      </c>
      <c r="S28" s="27">
        <v>1667.84</v>
      </c>
      <c r="T28" s="28" t="s">
        <v>44</v>
      </c>
      <c r="U28" s="28" t="s">
        <v>50</v>
      </c>
      <c r="V28" s="28" t="s">
        <v>51</v>
      </c>
      <c r="W28" s="28" t="s">
        <v>95</v>
      </c>
    </row>
    <row r="29" spans="1:23" ht="15" customHeight="1" x14ac:dyDescent="0.25">
      <c r="A29" s="20" t="str">
        <f>VLOOKUP(F29,[1]CLIENTES!B:L,11,0)</f>
        <v>RODRIGO</v>
      </c>
      <c r="B29" s="20" t="s">
        <v>20</v>
      </c>
      <c r="C29" s="20">
        <v>46045</v>
      </c>
      <c r="D29" s="21" t="s">
        <v>21</v>
      </c>
      <c r="E29" s="21">
        <v>277</v>
      </c>
      <c r="F29" s="21">
        <v>5115019</v>
      </c>
      <c r="G29" s="21">
        <v>123456</v>
      </c>
      <c r="H29" s="21" t="s">
        <v>36</v>
      </c>
      <c r="I29" s="21" t="s">
        <v>37</v>
      </c>
      <c r="J29" s="21">
        <v>6169</v>
      </c>
      <c r="K29" s="21">
        <v>689</v>
      </c>
      <c r="L29" s="22">
        <v>92</v>
      </c>
      <c r="M29" s="23" t="s">
        <v>100</v>
      </c>
      <c r="N29" s="24" t="s">
        <v>25</v>
      </c>
      <c r="O29" s="25">
        <v>46055</v>
      </c>
      <c r="P29" s="25" t="str">
        <f>VLOOKUP(F29,[1]CLIENTES!B:L,11,0)</f>
        <v>RODRIGO</v>
      </c>
      <c r="Q29" s="25" t="str">
        <f>VLOOKUP(F29,[1]CLIENTES!B:M,12,0)</f>
        <v>JESSICA</v>
      </c>
      <c r="R29" s="26" t="str">
        <f>VLOOKUP(F29,[1]CLIENTES!B:J,9,0)</f>
        <v>JESSICA CARLA</v>
      </c>
      <c r="S29" s="27">
        <v>15000</v>
      </c>
      <c r="T29" s="28" t="s">
        <v>44</v>
      </c>
      <c r="U29" s="28" t="s">
        <v>28</v>
      </c>
      <c r="V29" s="28" t="s">
        <v>29</v>
      </c>
      <c r="W29" s="28" t="s">
        <v>52</v>
      </c>
    </row>
    <row r="30" spans="1:23" ht="15" customHeight="1" x14ac:dyDescent="0.25">
      <c r="A30" s="20" t="str">
        <f>VLOOKUP(F30,[1]CLIENTES!B:L,11,0)</f>
        <v>RODRIGO</v>
      </c>
      <c r="B30" s="20" t="s">
        <v>20</v>
      </c>
      <c r="C30" s="20">
        <v>46045</v>
      </c>
      <c r="D30" s="21" t="s">
        <v>21</v>
      </c>
      <c r="E30" s="21">
        <v>209</v>
      </c>
      <c r="F30" s="21">
        <v>5017576</v>
      </c>
      <c r="G30" s="21">
        <v>116132</v>
      </c>
      <c r="H30" s="21" t="s">
        <v>31</v>
      </c>
      <c r="I30" s="21" t="s">
        <v>37</v>
      </c>
      <c r="J30" s="21">
        <v>6169</v>
      </c>
      <c r="K30" s="21">
        <v>690</v>
      </c>
      <c r="L30" s="22">
        <v>92</v>
      </c>
      <c r="M30" s="23" t="s">
        <v>101</v>
      </c>
      <c r="N30" s="24" t="s">
        <v>25</v>
      </c>
      <c r="O30" s="25">
        <v>46055</v>
      </c>
      <c r="P30" s="25" t="str">
        <f>VLOOKUP(F30,[1]CLIENTES!B:L,11,0)</f>
        <v>RODRIGO</v>
      </c>
      <c r="Q30" s="25" t="str">
        <f>VLOOKUP(F30,[1]CLIENTES!B:M,12,0)</f>
        <v>JESSICA</v>
      </c>
      <c r="R30" s="26" t="str">
        <f>VLOOKUP(F30,[1]CLIENTES!B:J,9,0)</f>
        <v>MARCELO DUARTE</v>
      </c>
      <c r="S30" s="27">
        <v>36350.65</v>
      </c>
      <c r="T30" s="28" t="s">
        <v>44</v>
      </c>
      <c r="U30" s="28" t="s">
        <v>28</v>
      </c>
      <c r="V30" s="28" t="s">
        <v>29</v>
      </c>
      <c r="W30" s="28" t="s">
        <v>95</v>
      </c>
    </row>
    <row r="31" spans="1:23" ht="15" customHeight="1" x14ac:dyDescent="0.25">
      <c r="A31" s="20" t="str">
        <f>VLOOKUP(F31,[1]CLIENTES!B:L,11,0)</f>
        <v>RODRIGO</v>
      </c>
      <c r="B31" s="20" t="s">
        <v>20</v>
      </c>
      <c r="C31" s="20">
        <v>46045</v>
      </c>
      <c r="D31" s="21" t="s">
        <v>21</v>
      </c>
      <c r="E31" s="21">
        <v>853</v>
      </c>
      <c r="F31" s="21">
        <v>5017576</v>
      </c>
      <c r="G31" s="21">
        <v>116132</v>
      </c>
      <c r="H31" s="21" t="s">
        <v>31</v>
      </c>
      <c r="I31" s="21" t="s">
        <v>37</v>
      </c>
      <c r="J31" s="21" t="s">
        <v>98</v>
      </c>
      <c r="K31" s="21">
        <v>739</v>
      </c>
      <c r="L31" s="22">
        <v>25</v>
      </c>
      <c r="M31" s="23" t="s">
        <v>102</v>
      </c>
      <c r="N31" s="24" t="s">
        <v>25</v>
      </c>
      <c r="O31" s="25">
        <v>46055</v>
      </c>
      <c r="P31" s="25" t="str">
        <f>VLOOKUP(F31,[1]CLIENTES!B:L,11,0)</f>
        <v>RODRIGO</v>
      </c>
      <c r="Q31" s="25" t="str">
        <f>VLOOKUP(F31,[1]CLIENTES!B:M,12,0)</f>
        <v>JESSICA</v>
      </c>
      <c r="R31" s="26" t="str">
        <f>VLOOKUP(F31,[1]CLIENTES!B:J,9,0)</f>
        <v>MARCELO DUARTE</v>
      </c>
      <c r="S31" s="27">
        <v>1087.82</v>
      </c>
      <c r="T31" s="28" t="s">
        <v>44</v>
      </c>
      <c r="U31" s="28" t="s">
        <v>50</v>
      </c>
      <c r="V31" s="28" t="s">
        <v>51</v>
      </c>
      <c r="W31" s="28" t="s">
        <v>95</v>
      </c>
    </row>
    <row r="32" spans="1:23" ht="15" customHeight="1" x14ac:dyDescent="0.25">
      <c r="A32" s="20" t="str">
        <f>VLOOKUP(F32,[1]CLIENTES!B:L,11,0)</f>
        <v>RODRIGO</v>
      </c>
      <c r="B32" s="20" t="s">
        <v>20</v>
      </c>
      <c r="C32" s="20">
        <v>46045</v>
      </c>
      <c r="D32" s="21" t="s">
        <v>21</v>
      </c>
      <c r="E32" s="21">
        <v>208</v>
      </c>
      <c r="F32" s="21">
        <v>5017576</v>
      </c>
      <c r="G32" s="21">
        <v>116132</v>
      </c>
      <c r="H32" s="21" t="s">
        <v>31</v>
      </c>
      <c r="I32" s="21" t="s">
        <v>37</v>
      </c>
      <c r="J32" s="21">
        <v>6169</v>
      </c>
      <c r="K32" s="21">
        <v>690</v>
      </c>
      <c r="L32" s="22">
        <v>92</v>
      </c>
      <c r="M32" s="23" t="s">
        <v>103</v>
      </c>
      <c r="N32" s="24" t="s">
        <v>25</v>
      </c>
      <c r="O32" s="25">
        <v>46055</v>
      </c>
      <c r="P32" s="25" t="str">
        <f>VLOOKUP(F32,[1]CLIENTES!B:L,11,0)</f>
        <v>RODRIGO</v>
      </c>
      <c r="Q32" s="25" t="str">
        <f>VLOOKUP(F32,[1]CLIENTES!B:M,12,0)</f>
        <v>JESSICA</v>
      </c>
      <c r="R32" s="26" t="str">
        <f>VLOOKUP(F32,[1]CLIENTES!B:J,9,0)</f>
        <v>MARCELO DUARTE</v>
      </c>
      <c r="S32" s="27">
        <v>10000</v>
      </c>
      <c r="T32" s="28" t="s">
        <v>44</v>
      </c>
      <c r="U32" s="28" t="s">
        <v>28</v>
      </c>
      <c r="V32" s="28" t="s">
        <v>29</v>
      </c>
      <c r="W32" s="28" t="s">
        <v>52</v>
      </c>
    </row>
    <row r="33" spans="1:23" ht="15" customHeight="1" x14ac:dyDescent="0.25">
      <c r="A33" s="20" t="str">
        <f>VLOOKUP(F33,[1]CLIENTES!B:L,11,0)</f>
        <v>RODRIGO</v>
      </c>
      <c r="B33" s="20" t="s">
        <v>20</v>
      </c>
      <c r="C33" s="20">
        <v>46045</v>
      </c>
      <c r="D33" s="21" t="s">
        <v>21</v>
      </c>
      <c r="E33" s="21">
        <v>245</v>
      </c>
      <c r="F33" s="21">
        <v>5231303</v>
      </c>
      <c r="G33" s="21">
        <v>167018</v>
      </c>
      <c r="H33" s="21" t="s">
        <v>104</v>
      </c>
      <c r="I33" s="21" t="s">
        <v>37</v>
      </c>
      <c r="J33" s="21" t="s">
        <v>105</v>
      </c>
      <c r="K33" s="21">
        <v>189</v>
      </c>
      <c r="L33" s="22">
        <v>93</v>
      </c>
      <c r="M33" s="23" t="s">
        <v>106</v>
      </c>
      <c r="N33" s="24" t="s">
        <v>25</v>
      </c>
      <c r="O33" s="25">
        <v>46055</v>
      </c>
      <c r="P33" s="25" t="str">
        <f>VLOOKUP(F33,[1]CLIENTES!B:L,11,0)</f>
        <v>RODRIGO</v>
      </c>
      <c r="Q33" s="25" t="str">
        <f>VLOOKUP(F33,[1]CLIENTES!B:M,12,0)</f>
        <v>JESSICA</v>
      </c>
      <c r="R33" s="26" t="str">
        <f>VLOOKUP(F33,[1]CLIENTES!B:J,9,0)</f>
        <v>LUCIANA MARTINS</v>
      </c>
      <c r="S33" s="27">
        <v>10000</v>
      </c>
      <c r="T33" s="28" t="s">
        <v>44</v>
      </c>
      <c r="U33" s="28" t="s">
        <v>28</v>
      </c>
      <c r="V33" s="28" t="s">
        <v>29</v>
      </c>
      <c r="W33" s="28" t="s">
        <v>52</v>
      </c>
    </row>
    <row r="34" spans="1:23" ht="15" customHeight="1" x14ac:dyDescent="0.25">
      <c r="A34" s="20" t="str">
        <f>VLOOKUP(F34,[1]CLIENTES!B:L,11,0)</f>
        <v>RODRIGO</v>
      </c>
      <c r="B34" s="20" t="s">
        <v>20</v>
      </c>
      <c r="C34" s="20">
        <v>46045</v>
      </c>
      <c r="D34" s="21" t="s">
        <v>21</v>
      </c>
      <c r="E34" s="21">
        <v>245</v>
      </c>
      <c r="F34" s="21">
        <v>5231303</v>
      </c>
      <c r="G34" s="21">
        <v>167018</v>
      </c>
      <c r="H34" s="21" t="s">
        <v>104</v>
      </c>
      <c r="I34" s="21" t="s">
        <v>37</v>
      </c>
      <c r="J34" s="21" t="s">
        <v>105</v>
      </c>
      <c r="K34" s="21">
        <v>189</v>
      </c>
      <c r="L34" s="22">
        <v>93</v>
      </c>
      <c r="M34" s="23" t="s">
        <v>107</v>
      </c>
      <c r="N34" s="24" t="s">
        <v>25</v>
      </c>
      <c r="O34" s="25">
        <v>46055</v>
      </c>
      <c r="P34" s="25" t="str">
        <f>VLOOKUP(F34,[1]CLIENTES!B:L,11,0)</f>
        <v>RODRIGO</v>
      </c>
      <c r="Q34" s="25" t="str">
        <f>VLOOKUP(F34,[1]CLIENTES!B:M,12,0)</f>
        <v>JESSICA</v>
      </c>
      <c r="R34" s="26" t="str">
        <f>VLOOKUP(F34,[1]CLIENTES!B:J,9,0)</f>
        <v>LUCIANA MARTINS</v>
      </c>
      <c r="S34" s="27">
        <v>5000</v>
      </c>
      <c r="T34" s="28" t="s">
        <v>44</v>
      </c>
      <c r="U34" s="28" t="s">
        <v>28</v>
      </c>
      <c r="V34" s="28" t="s">
        <v>29</v>
      </c>
      <c r="W34" s="28" t="s">
        <v>52</v>
      </c>
    </row>
    <row r="35" spans="1:23" ht="15" customHeight="1" x14ac:dyDescent="0.25">
      <c r="A35" s="20" t="str">
        <f>VLOOKUP(F35,[1]CLIENTES!B:L,11,0)</f>
        <v>RODRIGO</v>
      </c>
      <c r="B35" s="20" t="s">
        <v>20</v>
      </c>
      <c r="C35" s="20">
        <v>46045</v>
      </c>
      <c r="D35" s="21" t="s">
        <v>21</v>
      </c>
      <c r="E35" s="21">
        <v>288</v>
      </c>
      <c r="F35" s="21">
        <v>5220627</v>
      </c>
      <c r="G35" s="21">
        <v>181228</v>
      </c>
      <c r="H35" s="21" t="s">
        <v>108</v>
      </c>
      <c r="I35" s="21" t="s">
        <v>37</v>
      </c>
      <c r="J35" s="21">
        <v>6169</v>
      </c>
      <c r="K35" s="21">
        <v>689</v>
      </c>
      <c r="L35" s="22">
        <v>81</v>
      </c>
      <c r="M35" s="23" t="s">
        <v>109</v>
      </c>
      <c r="N35" s="24" t="s">
        <v>25</v>
      </c>
      <c r="O35" s="25">
        <v>46055</v>
      </c>
      <c r="P35" s="25" t="str">
        <f>VLOOKUP(F35,[1]CLIENTES!B:L,11,0)</f>
        <v>RODRIGO</v>
      </c>
      <c r="Q35" s="25" t="str">
        <f>VLOOKUP(F35,[1]CLIENTES!B:M,12,0)</f>
        <v>JESSICA</v>
      </c>
      <c r="R35" s="26" t="str">
        <f>VLOOKUP(F35,[1]CLIENTES!B:J,9,0)</f>
        <v>LUCIANA MARTINS</v>
      </c>
      <c r="S35" s="27">
        <v>2000</v>
      </c>
      <c r="T35" s="28" t="s">
        <v>44</v>
      </c>
      <c r="U35" s="28" t="s">
        <v>28</v>
      </c>
      <c r="V35" s="28" t="s">
        <v>29</v>
      </c>
      <c r="W35" s="28" t="s">
        <v>52</v>
      </c>
    </row>
    <row r="36" spans="1:23" ht="15" customHeight="1" x14ac:dyDescent="0.25">
      <c r="A36" s="20" t="str">
        <f>VLOOKUP(F36,[1]CLIENTES!B:L,11,0)</f>
        <v>RODRIGO</v>
      </c>
      <c r="B36" s="20" t="s">
        <v>20</v>
      </c>
      <c r="C36" s="20">
        <v>46045</v>
      </c>
      <c r="D36" s="21" t="s">
        <v>21</v>
      </c>
      <c r="E36" s="21">
        <v>221</v>
      </c>
      <c r="F36" s="21">
        <v>5226531</v>
      </c>
      <c r="G36" s="21">
        <v>304970</v>
      </c>
      <c r="H36" s="21" t="s">
        <v>110</v>
      </c>
      <c r="I36" s="21" t="s">
        <v>37</v>
      </c>
      <c r="J36" s="21">
        <v>6169</v>
      </c>
      <c r="K36" s="21">
        <v>689</v>
      </c>
      <c r="L36" s="22">
        <v>93</v>
      </c>
      <c r="M36" s="23" t="s">
        <v>111</v>
      </c>
      <c r="N36" s="24" t="s">
        <v>25</v>
      </c>
      <c r="O36" s="25">
        <v>46055</v>
      </c>
      <c r="P36" s="25" t="str">
        <f>VLOOKUP(F36,[1]CLIENTES!B:L,11,0)</f>
        <v>RODRIGO</v>
      </c>
      <c r="Q36" s="25" t="str">
        <f>VLOOKUP(F36,[1]CLIENTES!B:M,12,0)</f>
        <v>JESSICA</v>
      </c>
      <c r="R36" s="26" t="str">
        <f>VLOOKUP(F36,[1]CLIENTES!B:J,9,0)</f>
        <v>LUCIANA MARTINS</v>
      </c>
      <c r="S36" s="27">
        <v>2000</v>
      </c>
      <c r="T36" s="28" t="s">
        <v>44</v>
      </c>
      <c r="U36" s="28" t="s">
        <v>28</v>
      </c>
      <c r="V36" s="28" t="s">
        <v>29</v>
      </c>
      <c r="W36" s="28" t="s">
        <v>52</v>
      </c>
    </row>
    <row r="37" spans="1:23" ht="15" customHeight="1" x14ac:dyDescent="0.25">
      <c r="A37" s="20" t="str">
        <f>VLOOKUP(F37,[1]CLIENTES!B:L,11,0)</f>
        <v>RODRIGO</v>
      </c>
      <c r="B37" s="20" t="s">
        <v>20</v>
      </c>
      <c r="C37" s="20">
        <v>46045</v>
      </c>
      <c r="D37" s="21" t="s">
        <v>21</v>
      </c>
      <c r="E37" s="21">
        <v>222</v>
      </c>
      <c r="F37" s="21">
        <v>5020319</v>
      </c>
      <c r="G37" s="21">
        <v>110315</v>
      </c>
      <c r="H37" s="21" t="s">
        <v>112</v>
      </c>
      <c r="I37" s="21" t="s">
        <v>113</v>
      </c>
      <c r="J37" s="21">
        <v>6127</v>
      </c>
      <c r="K37" s="21">
        <v>682</v>
      </c>
      <c r="L37" s="22">
        <v>92</v>
      </c>
      <c r="M37" s="23" t="s">
        <v>114</v>
      </c>
      <c r="N37" s="24" t="s">
        <v>25</v>
      </c>
      <c r="O37" s="25">
        <v>46055</v>
      </c>
      <c r="P37" s="25" t="str">
        <f>VLOOKUP(F37,[1]CLIENTES!B:L,11,0)</f>
        <v>RODRIGO</v>
      </c>
      <c r="Q37" s="25" t="str">
        <f>VLOOKUP(F37,[1]CLIENTES!B:M,12,0)</f>
        <v>MARIA LOURDES</v>
      </c>
      <c r="R37" s="26" t="str">
        <f>VLOOKUP(F37,[1]CLIENTES!B:J,9,0)</f>
        <v>CLAUDIO JORGE/LUIZ</v>
      </c>
      <c r="S37" s="27">
        <v>16500</v>
      </c>
      <c r="T37" s="28" t="s">
        <v>44</v>
      </c>
      <c r="U37" s="28" t="s">
        <v>28</v>
      </c>
      <c r="V37" s="28" t="s">
        <v>29</v>
      </c>
      <c r="W37" s="28" t="s">
        <v>52</v>
      </c>
    </row>
    <row r="38" spans="1:23" ht="15" customHeight="1" x14ac:dyDescent="0.25">
      <c r="A38" s="20" t="str">
        <f>VLOOKUP(F38,[1]CLIENTES!B:L,11,0)</f>
        <v>RODRIGO</v>
      </c>
      <c r="B38" s="20" t="s">
        <v>20</v>
      </c>
      <c r="C38" s="20">
        <v>46045</v>
      </c>
      <c r="D38" s="21" t="s">
        <v>21</v>
      </c>
      <c r="E38" s="21">
        <v>272</v>
      </c>
      <c r="F38" s="21">
        <v>5115189</v>
      </c>
      <c r="G38" s="21">
        <v>129296</v>
      </c>
      <c r="H38" s="21" t="s">
        <v>68</v>
      </c>
      <c r="I38" s="21" t="s">
        <v>54</v>
      </c>
      <c r="J38" s="21" t="s">
        <v>55</v>
      </c>
      <c r="K38" s="21">
        <v>191</v>
      </c>
      <c r="L38" s="22">
        <v>92</v>
      </c>
      <c r="M38" s="23" t="s">
        <v>115</v>
      </c>
      <c r="N38" s="24" t="s">
        <v>25</v>
      </c>
      <c r="O38" s="25">
        <v>46055</v>
      </c>
      <c r="P38" s="25" t="str">
        <f>VLOOKUP(F38,[1]CLIENTES!B:L,11,0)</f>
        <v>RODRIGO</v>
      </c>
      <c r="Q38" s="25" t="str">
        <f>VLOOKUP(F38,[1]CLIENTES!B:M,12,0)</f>
        <v>MARCO AURELIO</v>
      </c>
      <c r="R38" s="26" t="str">
        <f>VLOOKUP(F38,[1]CLIENTES!B:J,9,0)</f>
        <v>CLAUDIO JORGE/MARIA LAURA</v>
      </c>
      <c r="S38" s="27">
        <v>26157.77</v>
      </c>
      <c r="T38" s="28" t="s">
        <v>44</v>
      </c>
      <c r="U38" s="28" t="s">
        <v>28</v>
      </c>
      <c r="V38" s="28" t="s">
        <v>29</v>
      </c>
      <c r="W38" s="28" t="s">
        <v>95</v>
      </c>
    </row>
    <row r="39" spans="1:23" ht="15" customHeight="1" x14ac:dyDescent="0.25">
      <c r="A39" s="20" t="str">
        <f>VLOOKUP(F39,[1]CLIENTES!B:L,11,0)</f>
        <v>RODRIGO</v>
      </c>
      <c r="B39" s="20" t="s">
        <v>20</v>
      </c>
      <c r="C39" s="20">
        <v>46045</v>
      </c>
      <c r="D39" s="21" t="s">
        <v>21</v>
      </c>
      <c r="E39" s="21">
        <v>211</v>
      </c>
      <c r="F39" s="21">
        <v>5004685</v>
      </c>
      <c r="G39" s="21">
        <v>110434</v>
      </c>
      <c r="H39" s="21" t="s">
        <v>116</v>
      </c>
      <c r="I39" s="21" t="s">
        <v>23</v>
      </c>
      <c r="J39" s="21">
        <v>6125</v>
      </c>
      <c r="K39" s="21">
        <v>692</v>
      </c>
      <c r="L39" s="22">
        <v>93</v>
      </c>
      <c r="M39" s="23" t="s">
        <v>117</v>
      </c>
      <c r="N39" s="24" t="s">
        <v>25</v>
      </c>
      <c r="O39" s="25">
        <v>46055</v>
      </c>
      <c r="P39" s="25" t="str">
        <f>VLOOKUP(F39,[1]CLIENTES!B:L,11,0)</f>
        <v>RODRIGO</v>
      </c>
      <c r="Q39" s="25" t="str">
        <f>VLOOKUP(F39,[1]CLIENTES!B:M,12,0)</f>
        <v>ALEXANDRO</v>
      </c>
      <c r="R39" s="26" t="str">
        <f>VLOOKUP(F39,[1]CLIENTES!B:J,9,0)</f>
        <v>ALEXANDRO RODRIGUES</v>
      </c>
      <c r="S39" s="27">
        <v>21016.39</v>
      </c>
      <c r="T39" s="28" t="s">
        <v>44</v>
      </c>
      <c r="U39" s="28" t="s">
        <v>28</v>
      </c>
      <c r="V39" s="28" t="s">
        <v>29</v>
      </c>
      <c r="W39" s="28" t="s">
        <v>60</v>
      </c>
    </row>
    <row r="40" spans="1:23" ht="15" customHeight="1" x14ac:dyDescent="0.25">
      <c r="A40" s="20" t="str">
        <f>VLOOKUP(F40,[1]CLIENTES!B:L,11,0)</f>
        <v>RODRIGO</v>
      </c>
      <c r="B40" s="20" t="s">
        <v>20</v>
      </c>
      <c r="C40" s="20">
        <v>46045</v>
      </c>
      <c r="D40" s="21" t="s">
        <v>118</v>
      </c>
      <c r="E40" s="21">
        <v>4000153182</v>
      </c>
      <c r="F40" s="21">
        <v>5026399</v>
      </c>
      <c r="G40" s="21">
        <v>116247</v>
      </c>
      <c r="H40" s="21" t="s">
        <v>119</v>
      </c>
      <c r="I40" s="21" t="s">
        <v>37</v>
      </c>
      <c r="J40" s="21">
        <v>6169</v>
      </c>
      <c r="K40" s="21">
        <v>689</v>
      </c>
      <c r="L40" s="22">
        <v>92</v>
      </c>
      <c r="M40" s="23" t="s">
        <v>120</v>
      </c>
      <c r="N40" s="24" t="s">
        <v>25</v>
      </c>
      <c r="O40" s="25">
        <v>46055</v>
      </c>
      <c r="P40" s="25" t="str">
        <f>VLOOKUP(F40,[1]CLIENTES!B:L,11,0)</f>
        <v>RODRIGO</v>
      </c>
      <c r="Q40" s="25" t="str">
        <f>VLOOKUP(F40,[1]CLIENTES!B:M,12,0)</f>
        <v>JESSICA</v>
      </c>
      <c r="R40" s="26" t="str">
        <f>VLOOKUP(F40,[1]CLIENTES!B:J,9,0)</f>
        <v>JESSICA CARLA</v>
      </c>
      <c r="S40" s="27">
        <v>104604</v>
      </c>
      <c r="T40" s="28" t="s">
        <v>44</v>
      </c>
      <c r="U40" s="28" t="s">
        <v>28</v>
      </c>
      <c r="V40" s="28" t="s">
        <v>29</v>
      </c>
      <c r="W40" s="28" t="s">
        <v>95</v>
      </c>
    </row>
    <row r="41" spans="1:23" ht="15" customHeight="1" x14ac:dyDescent="0.25">
      <c r="A41" s="20" t="str">
        <f>VLOOKUP(F41,[1]CLIENTES!B:L,11,0)</f>
        <v>RODRIGO</v>
      </c>
      <c r="B41" s="20" t="s">
        <v>20</v>
      </c>
      <c r="C41" s="20">
        <v>46045</v>
      </c>
      <c r="D41" s="21" t="s">
        <v>118</v>
      </c>
      <c r="E41" s="21">
        <v>4000153186</v>
      </c>
      <c r="F41" s="21">
        <v>5026399</v>
      </c>
      <c r="G41" s="21">
        <v>116247</v>
      </c>
      <c r="H41" s="21" t="s">
        <v>119</v>
      </c>
      <c r="I41" s="21" t="s">
        <v>37</v>
      </c>
      <c r="J41" s="21">
        <v>6169</v>
      </c>
      <c r="K41" s="21">
        <v>689</v>
      </c>
      <c r="L41" s="22">
        <v>92</v>
      </c>
      <c r="M41" s="23" t="s">
        <v>121</v>
      </c>
      <c r="N41" s="24" t="s">
        <v>25</v>
      </c>
      <c r="O41" s="25">
        <v>46055</v>
      </c>
      <c r="P41" s="25" t="str">
        <f>VLOOKUP(F41,[1]CLIENTES!B:L,11,0)</f>
        <v>RODRIGO</v>
      </c>
      <c r="Q41" s="25" t="str">
        <f>VLOOKUP(F41,[1]CLIENTES!B:M,12,0)</f>
        <v>JESSICA</v>
      </c>
      <c r="R41" s="26" t="str">
        <f>VLOOKUP(F41,[1]CLIENTES!B:J,9,0)</f>
        <v>JESSICA CARLA</v>
      </c>
      <c r="S41" s="27">
        <v>32202.52</v>
      </c>
      <c r="T41" s="28" t="s">
        <v>44</v>
      </c>
      <c r="U41" s="28" t="s">
        <v>28</v>
      </c>
      <c r="V41" s="28" t="s">
        <v>29</v>
      </c>
      <c r="W41" s="28" t="s">
        <v>95</v>
      </c>
    </row>
    <row r="42" spans="1:23" ht="15" customHeight="1" x14ac:dyDescent="0.25">
      <c r="A42" s="20" t="str">
        <f>VLOOKUP(F42,[1]CLIENTES!B:L,11,0)</f>
        <v>RODRIGO</v>
      </c>
      <c r="B42" s="20" t="s">
        <v>20</v>
      </c>
      <c r="C42" s="20">
        <v>46045</v>
      </c>
      <c r="D42" s="21" t="s">
        <v>118</v>
      </c>
      <c r="E42" s="21">
        <v>4000153187</v>
      </c>
      <c r="F42" s="21">
        <v>5026399</v>
      </c>
      <c r="G42" s="21">
        <v>116247</v>
      </c>
      <c r="H42" s="21" t="s">
        <v>119</v>
      </c>
      <c r="I42" s="21" t="s">
        <v>37</v>
      </c>
      <c r="J42" s="21">
        <v>6169</v>
      </c>
      <c r="K42" s="21">
        <v>689</v>
      </c>
      <c r="L42" s="22">
        <v>92</v>
      </c>
      <c r="M42" s="23" t="s">
        <v>122</v>
      </c>
      <c r="N42" s="24" t="s">
        <v>25</v>
      </c>
      <c r="O42" s="25">
        <v>46055</v>
      </c>
      <c r="P42" s="25" t="str">
        <f>VLOOKUP(F42,[1]CLIENTES!B:L,11,0)</f>
        <v>RODRIGO</v>
      </c>
      <c r="Q42" s="25" t="str">
        <f>VLOOKUP(F42,[1]CLIENTES!B:M,12,0)</f>
        <v>JESSICA</v>
      </c>
      <c r="R42" s="26" t="str">
        <f>VLOOKUP(F42,[1]CLIENTES!B:J,9,0)</f>
        <v>JESSICA CARLA</v>
      </c>
      <c r="S42" s="27">
        <v>11100.24</v>
      </c>
      <c r="T42" s="28" t="s">
        <v>44</v>
      </c>
      <c r="U42" s="28" t="s">
        <v>28</v>
      </c>
      <c r="V42" s="28" t="s">
        <v>29</v>
      </c>
      <c r="W42" s="28" t="s">
        <v>95</v>
      </c>
    </row>
    <row r="43" spans="1:23" ht="15" customHeight="1" x14ac:dyDescent="0.25">
      <c r="A43" s="20" t="str">
        <f>VLOOKUP(F43,[1]CLIENTES!B:L,11,0)</f>
        <v>RODRIGO</v>
      </c>
      <c r="B43" s="20" t="s">
        <v>20</v>
      </c>
      <c r="C43" s="20">
        <v>46045</v>
      </c>
      <c r="D43" s="21" t="s">
        <v>118</v>
      </c>
      <c r="E43" s="21">
        <v>4000153484</v>
      </c>
      <c r="F43" s="21">
        <v>5026399</v>
      </c>
      <c r="G43" s="21">
        <v>116247</v>
      </c>
      <c r="H43" s="21" t="s">
        <v>119</v>
      </c>
      <c r="I43" s="21" t="s">
        <v>37</v>
      </c>
      <c r="J43" s="21" t="s">
        <v>98</v>
      </c>
      <c r="K43" s="21">
        <v>739</v>
      </c>
      <c r="L43" s="22">
        <v>37</v>
      </c>
      <c r="M43" s="23" t="s">
        <v>123</v>
      </c>
      <c r="N43" s="24" t="s">
        <v>25</v>
      </c>
      <c r="O43" s="25">
        <v>46055</v>
      </c>
      <c r="P43" s="25" t="str">
        <f>VLOOKUP(F43,[1]CLIENTES!B:L,11,0)</f>
        <v>RODRIGO</v>
      </c>
      <c r="Q43" s="25" t="str">
        <f>VLOOKUP(F43,[1]CLIENTES!B:M,12,0)</f>
        <v>JESSICA</v>
      </c>
      <c r="R43" s="26" t="str">
        <f>VLOOKUP(F43,[1]CLIENTES!B:J,9,0)</f>
        <v>JESSICA CARLA</v>
      </c>
      <c r="S43" s="27">
        <v>8400</v>
      </c>
      <c r="T43" s="28" t="s">
        <v>44</v>
      </c>
      <c r="U43" s="28" t="s">
        <v>50</v>
      </c>
      <c r="V43" s="28" t="s">
        <v>51</v>
      </c>
      <c r="W43" s="28" t="s">
        <v>95</v>
      </c>
    </row>
    <row r="44" spans="1:23" ht="15" customHeight="1" x14ac:dyDescent="0.25">
      <c r="A44" s="20" t="str">
        <f>VLOOKUP(F44,[1]CLIENTES!B:L,11,0)</f>
        <v>RODRIGO</v>
      </c>
      <c r="B44" s="20" t="s">
        <v>20</v>
      </c>
      <c r="C44" s="20">
        <v>46045</v>
      </c>
      <c r="D44" s="21" t="s">
        <v>21</v>
      </c>
      <c r="E44" s="21">
        <v>224</v>
      </c>
      <c r="F44" s="21">
        <v>5020352</v>
      </c>
      <c r="G44" s="21">
        <v>127298</v>
      </c>
      <c r="H44" s="21" t="s">
        <v>124</v>
      </c>
      <c r="I44" s="21" t="s">
        <v>23</v>
      </c>
      <c r="J44" s="21">
        <v>6125</v>
      </c>
      <c r="K44" s="21">
        <v>692</v>
      </c>
      <c r="L44" s="22">
        <v>92</v>
      </c>
      <c r="M44" s="23" t="s">
        <v>125</v>
      </c>
      <c r="N44" s="24" t="s">
        <v>25</v>
      </c>
      <c r="O44" s="25">
        <v>46055</v>
      </c>
      <c r="P44" s="25" t="str">
        <f>VLOOKUP(F44,[1]CLIENTES!B:L,11,0)</f>
        <v>RODRIGO</v>
      </c>
      <c r="Q44" s="25" t="str">
        <f>VLOOKUP(F44,[1]CLIENTES!B:M,12,0)</f>
        <v>ALEXANDRO</v>
      </c>
      <c r="R44" s="26" t="str">
        <f>VLOOKUP(F44,[1]CLIENTES!B:J,9,0)</f>
        <v>GUILHERME NASCIMENTO</v>
      </c>
      <c r="S44" s="27">
        <v>2200</v>
      </c>
      <c r="T44" s="28" t="s">
        <v>44</v>
      </c>
      <c r="U44" s="28" t="s">
        <v>28</v>
      </c>
      <c r="V44" s="28" t="s">
        <v>29</v>
      </c>
      <c r="W44" s="28" t="s">
        <v>126</v>
      </c>
    </row>
    <row r="45" spans="1:23" ht="15" customHeight="1" x14ac:dyDescent="0.25">
      <c r="A45" s="20" t="str">
        <f>VLOOKUP(F45,[1]CLIENTES!B:L,11,0)</f>
        <v>RODRIGO</v>
      </c>
      <c r="B45" s="20" t="s">
        <v>20</v>
      </c>
      <c r="C45" s="20">
        <v>46045</v>
      </c>
      <c r="D45" s="21" t="s">
        <v>21</v>
      </c>
      <c r="E45" s="21">
        <v>238</v>
      </c>
      <c r="F45" s="21">
        <v>5225860</v>
      </c>
      <c r="G45" s="21">
        <v>180402</v>
      </c>
      <c r="H45" s="21" t="s">
        <v>39</v>
      </c>
      <c r="I45" s="21" t="s">
        <v>40</v>
      </c>
      <c r="J45" s="21" t="s">
        <v>41</v>
      </c>
      <c r="K45" s="21">
        <v>194</v>
      </c>
      <c r="L45" s="22">
        <v>92</v>
      </c>
      <c r="M45" s="23" t="s">
        <v>127</v>
      </c>
      <c r="N45" s="24" t="s">
        <v>25</v>
      </c>
      <c r="O45" s="25">
        <v>46055</v>
      </c>
      <c r="P45" s="25" t="str">
        <f>VLOOKUP(F45,[1]CLIENTES!B:L,11,0)</f>
        <v>RODRIGO</v>
      </c>
      <c r="Q45" s="25" t="str">
        <f>VLOOKUP(F45,[1]CLIENTES!B:M,12,0)</f>
        <v>MARIA LOURDES</v>
      </c>
      <c r="R45" s="26" t="str">
        <f>VLOOKUP(F45,[1]CLIENTES!B:J,9,0)</f>
        <v>CLAUDIO JORGE/AMANDA SANDS</v>
      </c>
      <c r="S45" s="27">
        <v>67284.240000000005</v>
      </c>
      <c r="T45" s="28" t="s">
        <v>44</v>
      </c>
      <c r="U45" s="28" t="s">
        <v>28</v>
      </c>
      <c r="V45" s="28" t="s">
        <v>29</v>
      </c>
      <c r="W45" s="28" t="s">
        <v>95</v>
      </c>
    </row>
    <row r="46" spans="1:23" ht="15" customHeight="1" x14ac:dyDescent="0.25">
      <c r="A46" s="20" t="str">
        <f>VLOOKUP(F46,[1]CLIENTES!B:L,11,0)</f>
        <v>RODRIGO</v>
      </c>
      <c r="B46" s="20" t="s">
        <v>20</v>
      </c>
      <c r="C46" s="20">
        <v>46045</v>
      </c>
      <c r="D46" s="21" t="s">
        <v>21</v>
      </c>
      <c r="E46" s="21">
        <v>238</v>
      </c>
      <c r="F46" s="21">
        <v>5225860</v>
      </c>
      <c r="G46" s="21">
        <v>180402</v>
      </c>
      <c r="H46" s="21" t="s">
        <v>39</v>
      </c>
      <c r="I46" s="21" t="s">
        <v>40</v>
      </c>
      <c r="J46" s="21" t="s">
        <v>41</v>
      </c>
      <c r="K46" s="21">
        <v>194</v>
      </c>
      <c r="L46" s="22">
        <v>92</v>
      </c>
      <c r="M46" s="23" t="s">
        <v>128</v>
      </c>
      <c r="N46" s="24" t="s">
        <v>25</v>
      </c>
      <c r="O46" s="25">
        <v>46055</v>
      </c>
      <c r="P46" s="25" t="str">
        <f>VLOOKUP(F46,[1]CLIENTES!B:L,11,0)</f>
        <v>RODRIGO</v>
      </c>
      <c r="Q46" s="25" t="str">
        <f>VLOOKUP(F46,[1]CLIENTES!B:M,12,0)</f>
        <v>MARIA LOURDES</v>
      </c>
      <c r="R46" s="26" t="str">
        <f>VLOOKUP(F46,[1]CLIENTES!B:J,9,0)</f>
        <v>CLAUDIO JORGE/AMANDA SANDS</v>
      </c>
      <c r="S46" s="27">
        <v>20000</v>
      </c>
      <c r="T46" s="28" t="s">
        <v>44</v>
      </c>
      <c r="U46" s="28" t="s">
        <v>28</v>
      </c>
      <c r="V46" s="28" t="s">
        <v>29</v>
      </c>
      <c r="W46" s="28" t="s">
        <v>126</v>
      </c>
    </row>
    <row r="47" spans="1:23" ht="15" customHeight="1" x14ac:dyDescent="0.25">
      <c r="A47" s="20" t="str">
        <f>VLOOKUP(F47,[1]CLIENTES!B:L,11,0)</f>
        <v>RODRIGO</v>
      </c>
      <c r="B47" s="20" t="s">
        <v>20</v>
      </c>
      <c r="C47" s="20">
        <v>46045</v>
      </c>
      <c r="D47" s="21" t="s">
        <v>21</v>
      </c>
      <c r="E47" s="21">
        <v>225</v>
      </c>
      <c r="F47" s="21">
        <v>5020347</v>
      </c>
      <c r="G47" s="21">
        <v>112787</v>
      </c>
      <c r="H47" s="21" t="s">
        <v>129</v>
      </c>
      <c r="I47" s="21" t="s">
        <v>23</v>
      </c>
      <c r="J47" s="21">
        <v>6125</v>
      </c>
      <c r="K47" s="21">
        <v>692</v>
      </c>
      <c r="L47" s="22">
        <v>92</v>
      </c>
      <c r="M47" s="23" t="s">
        <v>130</v>
      </c>
      <c r="N47" s="24" t="s">
        <v>25</v>
      </c>
      <c r="O47" s="25">
        <v>46055</v>
      </c>
      <c r="P47" s="25" t="str">
        <f>VLOOKUP(F47,[1]CLIENTES!B:L,11,0)</f>
        <v>RODRIGO</v>
      </c>
      <c r="Q47" s="25" t="str">
        <f>VLOOKUP(F47,[1]CLIENTES!B:M,12,0)</f>
        <v>ALEXANDRO</v>
      </c>
      <c r="R47" s="26" t="str">
        <f>VLOOKUP(F47,[1]CLIENTES!B:J,9,0)</f>
        <v>GUILHERME NASCIMENTO</v>
      </c>
      <c r="S47" s="27">
        <v>3900</v>
      </c>
      <c r="T47" s="28" t="s">
        <v>44</v>
      </c>
      <c r="U47" s="28" t="s">
        <v>28</v>
      </c>
      <c r="V47" s="28" t="s">
        <v>29</v>
      </c>
      <c r="W47" s="28" t="s">
        <v>126</v>
      </c>
    </row>
    <row r="48" spans="1:23" ht="15" customHeight="1" x14ac:dyDescent="0.25">
      <c r="A48" s="20" t="str">
        <f>VLOOKUP(F48,[1]CLIENTES!B:L,11,0)</f>
        <v>RODRIGO</v>
      </c>
      <c r="B48" s="20" t="s">
        <v>20</v>
      </c>
      <c r="C48" s="20">
        <v>46045</v>
      </c>
      <c r="D48" s="21" t="s">
        <v>21</v>
      </c>
      <c r="E48" s="21">
        <v>285</v>
      </c>
      <c r="F48" s="21">
        <v>5229985</v>
      </c>
      <c r="G48" s="21">
        <v>180738</v>
      </c>
      <c r="H48" s="21" t="s">
        <v>131</v>
      </c>
      <c r="I48" s="21" t="s">
        <v>132</v>
      </c>
      <c r="J48" s="21">
        <v>6127</v>
      </c>
      <c r="K48" s="21">
        <v>605</v>
      </c>
      <c r="L48" s="22">
        <v>92</v>
      </c>
      <c r="M48" s="23" t="s">
        <v>133</v>
      </c>
      <c r="N48" s="24" t="s">
        <v>25</v>
      </c>
      <c r="O48" s="25">
        <v>46055</v>
      </c>
      <c r="P48" s="25" t="str">
        <f>VLOOKUP(F48,[1]CLIENTES!B:L,11,0)</f>
        <v>RODRIGO</v>
      </c>
      <c r="Q48" s="25" t="str">
        <f>VLOOKUP(F48,[1]CLIENTES!B:M,12,0)</f>
        <v>MARIA LOURDES</v>
      </c>
      <c r="R48" s="26" t="str">
        <f>VLOOKUP(F48,[1]CLIENTES!B:J,9,0)</f>
        <v>WH FOOD SERVICE CE</v>
      </c>
      <c r="S48" s="27">
        <v>38460.839999999997</v>
      </c>
      <c r="T48" s="28" t="s">
        <v>44</v>
      </c>
      <c r="U48" s="28" t="s">
        <v>28</v>
      </c>
      <c r="V48" s="28" t="s">
        <v>29</v>
      </c>
      <c r="W48" s="28" t="s">
        <v>95</v>
      </c>
    </row>
    <row r="49" spans="1:23" ht="15" customHeight="1" x14ac:dyDescent="0.25">
      <c r="A49" s="20" t="str">
        <f>VLOOKUP(F49,[1]CLIENTES!B:L,11,0)</f>
        <v>RODRIGO</v>
      </c>
      <c r="B49" s="20" t="s">
        <v>20</v>
      </c>
      <c r="C49" s="20">
        <v>46045</v>
      </c>
      <c r="D49" s="21" t="s">
        <v>21</v>
      </c>
      <c r="E49" s="21">
        <v>669</v>
      </c>
      <c r="F49" s="21">
        <v>5133664</v>
      </c>
      <c r="G49" s="21">
        <v>142632</v>
      </c>
      <c r="H49" s="21" t="s">
        <v>134</v>
      </c>
      <c r="I49" s="21" t="s">
        <v>40</v>
      </c>
      <c r="J49" s="21" t="s">
        <v>135</v>
      </c>
      <c r="K49" s="21">
        <v>536</v>
      </c>
      <c r="L49" s="22">
        <v>92</v>
      </c>
      <c r="M49" s="23" t="s">
        <v>136</v>
      </c>
      <c r="N49" s="24" t="s">
        <v>25</v>
      </c>
      <c r="O49" s="25">
        <v>46082</v>
      </c>
      <c r="P49" s="25" t="str">
        <f>VLOOKUP(F49,[1]CLIENTES!B:L,11,0)</f>
        <v>RODRIGO</v>
      </c>
      <c r="Q49" s="25" t="str">
        <f>VLOOKUP(F49,[1]CLIENTES!B:M,12,0)</f>
        <v>MARIA LOURDES</v>
      </c>
      <c r="R49" s="26" t="str">
        <f>VLOOKUP(F49,[1]CLIENTES!B:J,9,0)</f>
        <v>CLAUDIO JORGE/AMANDA SANDS</v>
      </c>
      <c r="S49" s="27">
        <v>852.33</v>
      </c>
      <c r="T49" s="28" t="s">
        <v>44</v>
      </c>
      <c r="U49" s="28" t="s">
        <v>50</v>
      </c>
      <c r="V49" s="28" t="s">
        <v>51</v>
      </c>
      <c r="W49" s="28" t="s">
        <v>95</v>
      </c>
    </row>
    <row r="50" spans="1:23" ht="15" customHeight="1" x14ac:dyDescent="0.25">
      <c r="A50" s="20" t="str">
        <f>VLOOKUP(F50,[1]CLIENTES!B:L,11,0)</f>
        <v>RODRIGO</v>
      </c>
      <c r="B50" s="20" t="s">
        <v>20</v>
      </c>
      <c r="C50" s="20">
        <v>46045</v>
      </c>
      <c r="D50" s="21" t="s">
        <v>21</v>
      </c>
      <c r="E50" s="21">
        <v>243</v>
      </c>
      <c r="F50" s="21">
        <v>5133664</v>
      </c>
      <c r="G50" s="21">
        <v>142632</v>
      </c>
      <c r="H50" s="21" t="s">
        <v>134</v>
      </c>
      <c r="I50" s="21" t="s">
        <v>40</v>
      </c>
      <c r="J50" s="21" t="s">
        <v>41</v>
      </c>
      <c r="K50" s="21">
        <v>194</v>
      </c>
      <c r="L50" s="22">
        <v>92</v>
      </c>
      <c r="M50" s="23" t="s">
        <v>137</v>
      </c>
      <c r="N50" s="24" t="s">
        <v>25</v>
      </c>
      <c r="O50" s="25">
        <v>46055</v>
      </c>
      <c r="P50" s="25" t="str">
        <f>VLOOKUP(F50,[1]CLIENTES!B:L,11,0)</f>
        <v>RODRIGO</v>
      </c>
      <c r="Q50" s="25" t="str">
        <f>VLOOKUP(F50,[1]CLIENTES!B:M,12,0)</f>
        <v>MARIA LOURDES</v>
      </c>
      <c r="R50" s="26" t="str">
        <f>VLOOKUP(F50,[1]CLIENTES!B:J,9,0)</f>
        <v>CLAUDIO JORGE/AMANDA SANDS</v>
      </c>
      <c r="S50" s="27">
        <v>39559.120000000003</v>
      </c>
      <c r="T50" s="28" t="s">
        <v>44</v>
      </c>
      <c r="U50" s="28" t="s">
        <v>28</v>
      </c>
      <c r="V50" s="28" t="s">
        <v>29</v>
      </c>
      <c r="W50" s="28" t="s">
        <v>95</v>
      </c>
    </row>
    <row r="51" spans="1:23" ht="15" customHeight="1" x14ac:dyDescent="0.25">
      <c r="A51" s="20" t="str">
        <f>VLOOKUP(F51,[1]CLIENTES!B:L,11,0)</f>
        <v>RODRIGO</v>
      </c>
      <c r="B51" s="20" t="s">
        <v>20</v>
      </c>
      <c r="C51" s="20">
        <v>46045</v>
      </c>
      <c r="D51" s="21" t="s">
        <v>21</v>
      </c>
      <c r="E51" s="21">
        <v>223</v>
      </c>
      <c r="F51" s="21">
        <v>5020319</v>
      </c>
      <c r="G51" s="21">
        <v>110315</v>
      </c>
      <c r="H51" s="21" t="s">
        <v>112</v>
      </c>
      <c r="I51" s="21" t="s">
        <v>113</v>
      </c>
      <c r="J51" s="21">
        <v>6127</v>
      </c>
      <c r="K51" s="21">
        <v>682</v>
      </c>
      <c r="L51" s="22">
        <v>92</v>
      </c>
      <c r="M51" s="23" t="s">
        <v>138</v>
      </c>
      <c r="N51" s="24" t="s">
        <v>25</v>
      </c>
      <c r="O51" s="25">
        <v>46055</v>
      </c>
      <c r="P51" s="25" t="str">
        <f>VLOOKUP(F51,[1]CLIENTES!B:L,11,0)</f>
        <v>RODRIGO</v>
      </c>
      <c r="Q51" s="25" t="str">
        <f>VLOOKUP(F51,[1]CLIENTES!B:M,12,0)</f>
        <v>MARIA LOURDES</v>
      </c>
      <c r="R51" s="26" t="str">
        <f>VLOOKUP(F51,[1]CLIENTES!B:J,9,0)</f>
        <v>CLAUDIO JORGE/LUIZ</v>
      </c>
      <c r="S51" s="27">
        <v>12634.94</v>
      </c>
      <c r="T51" s="28" t="s">
        <v>44</v>
      </c>
      <c r="U51" s="28" t="s">
        <v>28</v>
      </c>
      <c r="V51" s="28" t="s">
        <v>29</v>
      </c>
      <c r="W51" s="28" t="s">
        <v>95</v>
      </c>
    </row>
    <row r="52" spans="1:23" ht="15" customHeight="1" x14ac:dyDescent="0.25">
      <c r="A52" s="20" t="str">
        <f>VLOOKUP(F52,[1]CLIENTES!B:L,11,0)</f>
        <v>RODRIGO</v>
      </c>
      <c r="B52" s="20" t="s">
        <v>20</v>
      </c>
      <c r="C52" s="20">
        <v>46045</v>
      </c>
      <c r="D52" s="21" t="s">
        <v>21</v>
      </c>
      <c r="E52" s="21">
        <v>218</v>
      </c>
      <c r="F52" s="21">
        <v>5026768</v>
      </c>
      <c r="G52" s="21">
        <v>113399</v>
      </c>
      <c r="H52" s="21" t="s">
        <v>139</v>
      </c>
      <c r="I52" s="21" t="s">
        <v>132</v>
      </c>
      <c r="J52" s="21">
        <v>6127</v>
      </c>
      <c r="K52" s="21">
        <v>605</v>
      </c>
      <c r="L52" s="22">
        <v>92</v>
      </c>
      <c r="M52" s="23" t="s">
        <v>140</v>
      </c>
      <c r="N52" s="24" t="s">
        <v>25</v>
      </c>
      <c r="O52" s="25">
        <v>46055</v>
      </c>
      <c r="P52" s="25" t="str">
        <f>VLOOKUP(F52,[1]CLIENTES!B:L,11,0)</f>
        <v>RODRIGO</v>
      </c>
      <c r="Q52" s="25" t="str">
        <f>VLOOKUP(F52,[1]CLIENTES!B:M,12,0)</f>
        <v>MARIA LOURDES</v>
      </c>
      <c r="R52" s="26" t="str">
        <f>VLOOKUP(F52,[1]CLIENTES!B:J,9,0)</f>
        <v>WH FOOD SERVICE CE</v>
      </c>
      <c r="S52" s="27">
        <v>12868.97</v>
      </c>
      <c r="T52" s="28" t="s">
        <v>44</v>
      </c>
      <c r="U52" s="28" t="s">
        <v>28</v>
      </c>
      <c r="V52" s="28" t="s">
        <v>29</v>
      </c>
      <c r="W52" s="28" t="s">
        <v>95</v>
      </c>
    </row>
    <row r="53" spans="1:23" ht="15" customHeight="1" x14ac:dyDescent="0.25">
      <c r="A53" s="20" t="str">
        <f>VLOOKUP(F53,[1]CLIENTES!B:L,11,0)</f>
        <v>RODRIGO</v>
      </c>
      <c r="B53" s="20" t="s">
        <v>20</v>
      </c>
      <c r="C53" s="20">
        <v>46045</v>
      </c>
      <c r="D53" s="21" t="s">
        <v>21</v>
      </c>
      <c r="E53" s="21">
        <v>285</v>
      </c>
      <c r="F53" s="21">
        <v>5229985</v>
      </c>
      <c r="G53" s="21">
        <v>180738</v>
      </c>
      <c r="H53" s="21" t="s">
        <v>131</v>
      </c>
      <c r="I53" s="21" t="s">
        <v>132</v>
      </c>
      <c r="J53" s="21">
        <v>6127</v>
      </c>
      <c r="K53" s="21">
        <v>605</v>
      </c>
      <c r="L53" s="22">
        <v>92</v>
      </c>
      <c r="M53" s="23" t="s">
        <v>141</v>
      </c>
      <c r="N53" s="24" t="s">
        <v>25</v>
      </c>
      <c r="O53" s="25">
        <v>46055</v>
      </c>
      <c r="P53" s="25" t="str">
        <f>VLOOKUP(F53,[1]CLIENTES!B:L,11,0)</f>
        <v>RODRIGO</v>
      </c>
      <c r="Q53" s="25" t="str">
        <f>VLOOKUP(F53,[1]CLIENTES!B:M,12,0)</f>
        <v>MARIA LOURDES</v>
      </c>
      <c r="R53" s="26" t="str">
        <f>VLOOKUP(F53,[1]CLIENTES!B:J,9,0)</f>
        <v>WH FOOD SERVICE CE</v>
      </c>
      <c r="S53" s="27">
        <v>23000</v>
      </c>
      <c r="T53" s="28" t="s">
        <v>44</v>
      </c>
      <c r="U53" s="28" t="s">
        <v>28</v>
      </c>
      <c r="V53" s="28" t="s">
        <v>29</v>
      </c>
      <c r="W53" s="28" t="s">
        <v>126</v>
      </c>
    </row>
    <row r="54" spans="1:23" ht="15" customHeight="1" x14ac:dyDescent="0.25">
      <c r="A54" s="20" t="str">
        <f>VLOOKUP(F54,[1]CLIENTES!B:L,11,0)</f>
        <v>RODRIGO</v>
      </c>
      <c r="B54" s="20" t="s">
        <v>142</v>
      </c>
      <c r="C54" s="20">
        <v>46075</v>
      </c>
      <c r="D54" s="21" t="s">
        <v>21</v>
      </c>
      <c r="E54" s="21">
        <v>496</v>
      </c>
      <c r="F54" s="21">
        <v>5017576</v>
      </c>
      <c r="G54" s="21">
        <v>116132</v>
      </c>
      <c r="H54" s="21" t="s">
        <v>31</v>
      </c>
      <c r="I54" s="21" t="s">
        <v>32</v>
      </c>
      <c r="J54" s="21">
        <v>6169</v>
      </c>
      <c r="K54" s="21">
        <v>690</v>
      </c>
      <c r="L54" s="22">
        <v>92</v>
      </c>
      <c r="M54" s="23" t="s">
        <v>143</v>
      </c>
      <c r="N54" s="24" t="s">
        <v>25</v>
      </c>
      <c r="O54" s="25">
        <v>46082</v>
      </c>
      <c r="P54" s="25" t="str">
        <f>VLOOKUP(F54,[1]CLIENTES!B:L,11,0)</f>
        <v>RODRIGO</v>
      </c>
      <c r="Q54" s="25" t="str">
        <f>VLOOKUP(F54,[1]CLIENTES!B:M,12,0)</f>
        <v>JESSICA</v>
      </c>
      <c r="R54" s="26" t="str">
        <f>VLOOKUP(F54,[1]CLIENTES!B:J,9,0)</f>
        <v>MARCELO DUARTE</v>
      </c>
      <c r="S54" s="27">
        <v>15000</v>
      </c>
      <c r="T54" s="28" t="s">
        <v>34</v>
      </c>
      <c r="U54" s="28" t="s">
        <v>28</v>
      </c>
      <c r="V54" s="28" t="s">
        <v>29</v>
      </c>
      <c r="W54" s="28" t="s">
        <v>35</v>
      </c>
    </row>
    <row r="55" spans="1:23" ht="15" customHeight="1" x14ac:dyDescent="0.25">
      <c r="A55" s="20" t="str">
        <f>VLOOKUP(F55,[1]CLIENTES!B:L,11,0)</f>
        <v>RODRIGO</v>
      </c>
      <c r="B55" s="20" t="s">
        <v>142</v>
      </c>
      <c r="C55" s="20">
        <v>46078</v>
      </c>
      <c r="D55" s="21" t="s">
        <v>21</v>
      </c>
      <c r="E55" s="21">
        <v>516</v>
      </c>
      <c r="F55" s="21">
        <v>5115019</v>
      </c>
      <c r="G55" s="21">
        <v>123456</v>
      </c>
      <c r="H55" s="21" t="s">
        <v>36</v>
      </c>
      <c r="I55" s="21" t="s">
        <v>37</v>
      </c>
      <c r="J55" s="21">
        <v>6169</v>
      </c>
      <c r="K55" s="21">
        <v>689</v>
      </c>
      <c r="L55" s="22">
        <v>92</v>
      </c>
      <c r="M55" s="23" t="s">
        <v>144</v>
      </c>
      <c r="N55" s="24" t="s">
        <v>25</v>
      </c>
      <c r="O55" s="25">
        <v>46082</v>
      </c>
      <c r="P55" s="25" t="str">
        <f>VLOOKUP(F55,[1]CLIENTES!B:L,11,0)</f>
        <v>RODRIGO</v>
      </c>
      <c r="Q55" s="25" t="str">
        <f>VLOOKUP(F55,[1]CLIENTES!B:M,12,0)</f>
        <v>JESSICA</v>
      </c>
      <c r="R55" s="26" t="str">
        <f>VLOOKUP(F55,[1]CLIENTES!B:J,9,0)</f>
        <v>JESSICA CARLA</v>
      </c>
      <c r="S55" s="27">
        <v>15715</v>
      </c>
      <c r="T55" s="28" t="s">
        <v>34</v>
      </c>
      <c r="U55" s="28" t="s">
        <v>28</v>
      </c>
      <c r="V55" s="28" t="s">
        <v>29</v>
      </c>
      <c r="W55" s="28" t="s">
        <v>35</v>
      </c>
    </row>
    <row r="56" spans="1:23" ht="15" customHeight="1" x14ac:dyDescent="0.25">
      <c r="A56" s="20" t="str">
        <f>VLOOKUP(F56,[1]CLIENTES!B:L,11,0)</f>
        <v>RODRIGO</v>
      </c>
      <c r="B56" s="20" t="s">
        <v>142</v>
      </c>
      <c r="C56" s="20">
        <v>46070</v>
      </c>
      <c r="D56" s="21" t="s">
        <v>21</v>
      </c>
      <c r="E56" s="21">
        <v>515</v>
      </c>
      <c r="F56" s="21">
        <v>5225860</v>
      </c>
      <c r="G56" s="21">
        <v>180402</v>
      </c>
      <c r="H56" s="21" t="s">
        <v>39</v>
      </c>
      <c r="I56" s="21" t="s">
        <v>40</v>
      </c>
      <c r="J56" s="21" t="s">
        <v>41</v>
      </c>
      <c r="K56" s="21">
        <v>194</v>
      </c>
      <c r="L56" s="22">
        <v>92</v>
      </c>
      <c r="M56" s="23" t="s">
        <v>145</v>
      </c>
      <c r="N56" s="24" t="s">
        <v>25</v>
      </c>
      <c r="O56" s="25">
        <v>46082</v>
      </c>
      <c r="P56" s="25" t="str">
        <f>VLOOKUP(F56,[1]CLIENTES!B:L,11,0)</f>
        <v>RODRIGO</v>
      </c>
      <c r="Q56" s="25" t="str">
        <f>VLOOKUP(F56,[1]CLIENTES!B:M,12,0)</f>
        <v>MARIA LOURDES</v>
      </c>
      <c r="R56" s="26" t="str">
        <f>VLOOKUP(F56,[1]CLIENTES!B:J,9,0)</f>
        <v>CLAUDIO JORGE/AMANDA SANDS</v>
      </c>
      <c r="S56" s="27">
        <v>14000</v>
      </c>
      <c r="T56" s="28" t="s">
        <v>44</v>
      </c>
      <c r="U56" s="28" t="s">
        <v>28</v>
      </c>
      <c r="V56" s="28" t="s">
        <v>29</v>
      </c>
      <c r="W56" s="28" t="s">
        <v>45</v>
      </c>
    </row>
    <row r="57" spans="1:23" ht="15" customHeight="1" x14ac:dyDescent="0.25">
      <c r="A57" s="20" t="str">
        <f>VLOOKUP(F57,[1]CLIENTES!B:L,11,0)</f>
        <v>RODRIGO</v>
      </c>
      <c r="B57" s="20" t="s">
        <v>142</v>
      </c>
      <c r="C57" s="20">
        <v>46045</v>
      </c>
      <c r="D57" s="21" t="s">
        <v>21</v>
      </c>
      <c r="E57" s="21">
        <v>516</v>
      </c>
      <c r="F57" s="21">
        <v>5115019</v>
      </c>
      <c r="G57" s="21">
        <v>123456</v>
      </c>
      <c r="H57" s="21" t="s">
        <v>36</v>
      </c>
      <c r="I57" s="21" t="s">
        <v>37</v>
      </c>
      <c r="J57" s="21">
        <v>6169</v>
      </c>
      <c r="K57" s="21">
        <v>689</v>
      </c>
      <c r="L57" s="22">
        <v>92</v>
      </c>
      <c r="M57" s="23" t="s">
        <v>146</v>
      </c>
      <c r="N57" s="24" t="s">
        <v>25</v>
      </c>
      <c r="O57" s="25">
        <v>46082</v>
      </c>
      <c r="P57" s="25" t="str">
        <f>VLOOKUP(F57,[1]CLIENTES!B:L,11,0)</f>
        <v>RODRIGO</v>
      </c>
      <c r="Q57" s="25" t="str">
        <f>VLOOKUP(F57,[1]CLIENTES!B:M,12,0)</f>
        <v>JESSICA</v>
      </c>
      <c r="R57" s="26" t="str">
        <f>VLOOKUP(F57,[1]CLIENTES!B:J,9,0)</f>
        <v>JESSICA CARLA</v>
      </c>
      <c r="S57" s="27">
        <v>80667.25</v>
      </c>
      <c r="T57" s="28" t="s">
        <v>44</v>
      </c>
      <c r="U57" s="28" t="s">
        <v>28</v>
      </c>
      <c r="V57" s="28" t="s">
        <v>29</v>
      </c>
      <c r="W57" s="28" t="s">
        <v>95</v>
      </c>
    </row>
    <row r="58" spans="1:23" ht="15" customHeight="1" x14ac:dyDescent="0.25">
      <c r="A58" s="20" t="str">
        <f>VLOOKUP(F58,[1]CLIENTES!B:L,11,0)</f>
        <v>RODRIGO</v>
      </c>
      <c r="B58" s="20" t="s">
        <v>142</v>
      </c>
      <c r="C58" s="20">
        <v>46055.451064814799</v>
      </c>
      <c r="D58" s="21" t="s">
        <v>21</v>
      </c>
      <c r="E58" s="21">
        <v>559</v>
      </c>
      <c r="F58" s="21">
        <v>5022847</v>
      </c>
      <c r="G58" s="21"/>
      <c r="H58" s="21" t="s">
        <v>147</v>
      </c>
      <c r="I58" s="21" t="s">
        <v>23</v>
      </c>
      <c r="J58" s="21">
        <v>6125</v>
      </c>
      <c r="K58" s="21">
        <v>692</v>
      </c>
      <c r="L58" s="22">
        <v>93</v>
      </c>
      <c r="M58" s="23" t="s">
        <v>148</v>
      </c>
      <c r="N58" s="24" t="s">
        <v>25</v>
      </c>
      <c r="O58" s="25">
        <v>46082</v>
      </c>
      <c r="P58" s="25" t="str">
        <f>VLOOKUP(F58,[1]CLIENTES!B:L,11,0)</f>
        <v>RODRIGO</v>
      </c>
      <c r="Q58" s="25" t="str">
        <f>VLOOKUP(F58,[1]CLIENTES!B:M,12,0)</f>
        <v>RAQUEL BARBOSA</v>
      </c>
      <c r="R58" s="26" t="str">
        <f>VLOOKUP(F58,[1]CLIENTES!B:J,9,0)</f>
        <v>SP ITB FS FLAC REP.E COMERCIO</v>
      </c>
      <c r="S58" s="27">
        <v>640</v>
      </c>
      <c r="T58" s="28" t="s">
        <v>44</v>
      </c>
      <c r="U58" s="28" t="s">
        <v>28</v>
      </c>
      <c r="V58" s="28" t="s">
        <v>29</v>
      </c>
      <c r="W58" s="28" t="s">
        <v>149</v>
      </c>
    </row>
    <row r="59" spans="1:23" ht="15" customHeight="1" x14ac:dyDescent="0.25">
      <c r="A59" s="20" t="str">
        <f>VLOOKUP(F59,[1]CLIENTES!B:L,11,0)</f>
        <v>RODRIGO</v>
      </c>
      <c r="B59" s="20" t="s">
        <v>142</v>
      </c>
      <c r="C59" s="20">
        <v>46055.455266203702</v>
      </c>
      <c r="D59" s="21" t="s">
        <v>21</v>
      </c>
      <c r="E59" s="21">
        <v>493</v>
      </c>
      <c r="F59" s="21">
        <v>5330544</v>
      </c>
      <c r="G59" s="21">
        <v>186871</v>
      </c>
      <c r="H59" s="21" t="s">
        <v>150</v>
      </c>
      <c r="I59" s="21" t="s">
        <v>23</v>
      </c>
      <c r="J59" s="21">
        <v>6125</v>
      </c>
      <c r="K59" s="21">
        <v>692</v>
      </c>
      <c r="L59" s="22">
        <v>93</v>
      </c>
      <c r="M59" s="23" t="s">
        <v>151</v>
      </c>
      <c r="N59" s="24" t="s">
        <v>25</v>
      </c>
      <c r="O59" s="25">
        <v>46082</v>
      </c>
      <c r="P59" s="25" t="str">
        <f>VLOOKUP(F59,[1]CLIENTES!B:L,11,0)</f>
        <v>RODRIGO</v>
      </c>
      <c r="Q59" s="25" t="str">
        <f>VLOOKUP(F59,[1]CLIENTES!B:M,12,0)</f>
        <v>ALEXANDRE BONANI</v>
      </c>
      <c r="R59" s="26" t="str">
        <f>VLOOKUP(F59,[1]CLIENTES!B:J,9,0)</f>
        <v>ALEXANDRE BONANI</v>
      </c>
      <c r="S59" s="27">
        <v>1268</v>
      </c>
      <c r="T59" s="28" t="s">
        <v>44</v>
      </c>
      <c r="U59" s="28" t="s">
        <v>28</v>
      </c>
      <c r="V59" s="28" t="s">
        <v>29</v>
      </c>
      <c r="W59" s="28" t="s">
        <v>149</v>
      </c>
    </row>
    <row r="60" spans="1:23" ht="15" customHeight="1" x14ac:dyDescent="0.25">
      <c r="A60" s="20" t="str">
        <f>VLOOKUP(F60,[1]CLIENTES!B:L,11,0)</f>
        <v>RODRIGO</v>
      </c>
      <c r="B60" s="20" t="s">
        <v>142</v>
      </c>
      <c r="C60" s="20">
        <v>46055.482650462996</v>
      </c>
      <c r="D60" s="21" t="s">
        <v>21</v>
      </c>
      <c r="E60" s="21">
        <v>2515</v>
      </c>
      <c r="F60" s="21">
        <v>5006978</v>
      </c>
      <c r="G60" s="21">
        <v>103036</v>
      </c>
      <c r="H60" s="21" t="s">
        <v>58</v>
      </c>
      <c r="I60" s="21" t="s">
        <v>23</v>
      </c>
      <c r="J60" s="21" t="s">
        <v>47</v>
      </c>
      <c r="K60" s="21">
        <v>722</v>
      </c>
      <c r="L60" s="22">
        <v>25</v>
      </c>
      <c r="M60" s="23" t="s">
        <v>152</v>
      </c>
      <c r="N60" s="24" t="s">
        <v>25</v>
      </c>
      <c r="O60" s="25">
        <v>46082</v>
      </c>
      <c r="P60" s="25" t="str">
        <f>VLOOKUP(F60,[1]CLIENTES!B:L,11,0)</f>
        <v>RODRIGO</v>
      </c>
      <c r="Q60" s="25" t="str">
        <f>VLOOKUP(F60,[1]CLIENTES!B:M,12,0)</f>
        <v>RAQUEL BARBOSA</v>
      </c>
      <c r="R60" s="26" t="str">
        <f>VLOOKUP(F60,[1]CLIENTES!B:J,9,0)</f>
        <v>RAQUEL BARBOSA</v>
      </c>
      <c r="S60" s="27">
        <v>5000</v>
      </c>
      <c r="T60" s="28" t="s">
        <v>44</v>
      </c>
      <c r="U60" s="28" t="s">
        <v>50</v>
      </c>
      <c r="V60" s="28" t="s">
        <v>51</v>
      </c>
      <c r="W60" s="28" t="s">
        <v>60</v>
      </c>
    </row>
    <row r="61" spans="1:23" ht="15" customHeight="1" x14ac:dyDescent="0.25">
      <c r="A61" s="20" t="str">
        <f>VLOOKUP(F61,[1]CLIENTES!B:L,11,0)</f>
        <v>RODRIGO</v>
      </c>
      <c r="B61" s="20" t="s">
        <v>142</v>
      </c>
      <c r="C61" s="20">
        <v>46055.589236111096</v>
      </c>
      <c r="D61" s="21" t="s">
        <v>21</v>
      </c>
      <c r="E61" s="21">
        <v>510</v>
      </c>
      <c r="F61" s="21">
        <v>5109682</v>
      </c>
      <c r="G61" s="21">
        <v>128100</v>
      </c>
      <c r="H61" s="21" t="s">
        <v>88</v>
      </c>
      <c r="I61" s="21" t="s">
        <v>23</v>
      </c>
      <c r="J61" s="21">
        <v>6125</v>
      </c>
      <c r="K61" s="21">
        <v>692</v>
      </c>
      <c r="L61" s="22">
        <v>93</v>
      </c>
      <c r="M61" s="23" t="s">
        <v>153</v>
      </c>
      <c r="N61" s="24" t="s">
        <v>25</v>
      </c>
      <c r="O61" s="25">
        <v>46082</v>
      </c>
      <c r="P61" s="25" t="str">
        <f>VLOOKUP(F61,[1]CLIENTES!B:L,11,0)</f>
        <v>RODRIGO</v>
      </c>
      <c r="Q61" s="25" t="str">
        <f>VLOOKUP(F61,[1]CLIENTES!B:M,12,0)</f>
        <v>RAQUEL BARBOSA</v>
      </c>
      <c r="R61" s="26" t="str">
        <f>VLOOKUP(F61,[1]CLIENTES!B:J,9,0)</f>
        <v>VAGO SP</v>
      </c>
      <c r="S61" s="27">
        <v>2500</v>
      </c>
      <c r="T61" s="28" t="s">
        <v>44</v>
      </c>
      <c r="U61" s="28" t="s">
        <v>28</v>
      </c>
      <c r="V61" s="28" t="s">
        <v>29</v>
      </c>
      <c r="W61" s="28" t="s">
        <v>52</v>
      </c>
    </row>
    <row r="62" spans="1:23" ht="15" customHeight="1" x14ac:dyDescent="0.25">
      <c r="A62" s="20" t="str">
        <f>VLOOKUP(F62,[1]CLIENTES!B:L,11,0)</f>
        <v>RODRIGO</v>
      </c>
      <c r="B62" s="20" t="s">
        <v>142</v>
      </c>
      <c r="C62" s="20">
        <v>46056.437118055597</v>
      </c>
      <c r="D62" s="21" t="s">
        <v>21</v>
      </c>
      <c r="E62" s="21">
        <v>505</v>
      </c>
      <c r="F62" s="21">
        <v>5006978</v>
      </c>
      <c r="G62" s="21">
        <v>103036</v>
      </c>
      <c r="H62" s="21" t="s">
        <v>58</v>
      </c>
      <c r="I62" s="21" t="s">
        <v>23</v>
      </c>
      <c r="J62" s="21">
        <v>6125</v>
      </c>
      <c r="K62" s="21">
        <v>692</v>
      </c>
      <c r="L62" s="22">
        <v>92</v>
      </c>
      <c r="M62" s="23" t="s">
        <v>154</v>
      </c>
      <c r="N62" s="24" t="s">
        <v>25</v>
      </c>
      <c r="O62" s="25">
        <v>46082</v>
      </c>
      <c r="P62" s="25" t="str">
        <f>VLOOKUP(F62,[1]CLIENTES!B:L,11,0)</f>
        <v>RODRIGO</v>
      </c>
      <c r="Q62" s="25" t="str">
        <f>VLOOKUP(F62,[1]CLIENTES!B:M,12,0)</f>
        <v>RAQUEL BARBOSA</v>
      </c>
      <c r="R62" s="26" t="str">
        <f>VLOOKUP(F62,[1]CLIENTES!B:J,9,0)</f>
        <v>RAQUEL BARBOSA</v>
      </c>
      <c r="S62" s="27">
        <v>26026</v>
      </c>
      <c r="T62" s="28" t="s">
        <v>44</v>
      </c>
      <c r="U62" s="28" t="s">
        <v>28</v>
      </c>
      <c r="V62" s="28" t="s">
        <v>29</v>
      </c>
      <c r="W62" s="28" t="s">
        <v>60</v>
      </c>
    </row>
    <row r="63" spans="1:23" ht="15" customHeight="1" x14ac:dyDescent="0.25">
      <c r="A63" s="20" t="str">
        <f>VLOOKUP(F63,[1]CLIENTES!B:L,11,0)</f>
        <v>RODRIGO</v>
      </c>
      <c r="B63" s="20" t="s">
        <v>142</v>
      </c>
      <c r="C63" s="20">
        <v>46056.443206018499</v>
      </c>
      <c r="D63" s="21" t="s">
        <v>21</v>
      </c>
      <c r="E63" s="21">
        <v>2515</v>
      </c>
      <c r="F63" s="21">
        <v>5006978</v>
      </c>
      <c r="G63" s="21">
        <v>103036</v>
      </c>
      <c r="H63" s="21" t="s">
        <v>58</v>
      </c>
      <c r="I63" s="21" t="s">
        <v>23</v>
      </c>
      <c r="J63" s="21" t="s">
        <v>47</v>
      </c>
      <c r="K63" s="21">
        <v>722</v>
      </c>
      <c r="L63" s="22">
        <v>25</v>
      </c>
      <c r="M63" s="23" t="s">
        <v>155</v>
      </c>
      <c r="N63" s="24" t="s">
        <v>25</v>
      </c>
      <c r="O63" s="25">
        <v>46082</v>
      </c>
      <c r="P63" s="25" t="str">
        <f>VLOOKUP(F63,[1]CLIENTES!B:L,11,0)</f>
        <v>RODRIGO</v>
      </c>
      <c r="Q63" s="25" t="str">
        <f>VLOOKUP(F63,[1]CLIENTES!B:M,12,0)</f>
        <v>RAQUEL BARBOSA</v>
      </c>
      <c r="R63" s="26" t="str">
        <f>VLOOKUP(F63,[1]CLIENTES!B:J,9,0)</f>
        <v>RAQUEL BARBOSA</v>
      </c>
      <c r="S63" s="27">
        <v>21974</v>
      </c>
      <c r="T63" s="28" t="s">
        <v>44</v>
      </c>
      <c r="U63" s="28" t="s">
        <v>50</v>
      </c>
      <c r="V63" s="28" t="s">
        <v>51</v>
      </c>
      <c r="W63" s="28" t="s">
        <v>60</v>
      </c>
    </row>
    <row r="64" spans="1:23" ht="15" customHeight="1" x14ac:dyDescent="0.25">
      <c r="A64" s="20" t="str">
        <f>VLOOKUP(F64,[1]CLIENTES!B:L,11,0)</f>
        <v>RODRIGO</v>
      </c>
      <c r="B64" s="20" t="s">
        <v>142</v>
      </c>
      <c r="C64" s="20">
        <v>46057.717465277798</v>
      </c>
      <c r="D64" s="21" t="s">
        <v>21</v>
      </c>
      <c r="E64" s="21">
        <v>509</v>
      </c>
      <c r="F64" s="21">
        <v>5023831</v>
      </c>
      <c r="G64" s="21">
        <v>126676</v>
      </c>
      <c r="H64" s="21" t="s">
        <v>22</v>
      </c>
      <c r="I64" s="21" t="s">
        <v>23</v>
      </c>
      <c r="J64" s="21">
        <v>6125</v>
      </c>
      <c r="K64" s="21">
        <v>692</v>
      </c>
      <c r="L64" s="22">
        <v>93</v>
      </c>
      <c r="M64" s="23" t="s">
        <v>156</v>
      </c>
      <c r="N64" s="24" t="s">
        <v>25</v>
      </c>
      <c r="O64" s="25">
        <v>46082</v>
      </c>
      <c r="P64" s="25" t="str">
        <f>VLOOKUP(F64,[1]CLIENTES!B:L,11,0)</f>
        <v>RODRIGO</v>
      </c>
      <c r="Q64" s="25" t="str">
        <f>VLOOKUP(F64,[1]CLIENTES!B:M,12,0)</f>
        <v>RAQUEL BARBOSA</v>
      </c>
      <c r="R64" s="26" t="str">
        <f>VLOOKUP(F64,[1]CLIENTES!B:J,9,0)</f>
        <v>VAGO SP</v>
      </c>
      <c r="S64" s="27">
        <v>1081.8699999999999</v>
      </c>
      <c r="T64" s="28" t="s">
        <v>44</v>
      </c>
      <c r="U64" s="28" t="s">
        <v>28</v>
      </c>
      <c r="V64" s="28" t="s">
        <v>29</v>
      </c>
      <c r="W64" s="28" t="s">
        <v>60</v>
      </c>
    </row>
    <row r="65" spans="1:23" ht="15" customHeight="1" x14ac:dyDescent="0.25">
      <c r="A65" s="20" t="str">
        <f>VLOOKUP(F65,[1]CLIENTES!B:L,11,0)</f>
        <v>RODRIGO</v>
      </c>
      <c r="B65" s="20" t="s">
        <v>142</v>
      </c>
      <c r="C65" s="20">
        <v>46062.386527777802</v>
      </c>
      <c r="D65" s="21" t="s">
        <v>21</v>
      </c>
      <c r="E65" s="21">
        <v>529</v>
      </c>
      <c r="F65" s="21">
        <v>5164717</v>
      </c>
      <c r="G65" s="21">
        <v>143313</v>
      </c>
      <c r="H65" s="21" t="s">
        <v>157</v>
      </c>
      <c r="I65" s="21" t="s">
        <v>23</v>
      </c>
      <c r="J65" s="21">
        <v>6125</v>
      </c>
      <c r="K65" s="21">
        <v>692</v>
      </c>
      <c r="L65" s="22">
        <v>93</v>
      </c>
      <c r="M65" s="23" t="s">
        <v>158</v>
      </c>
      <c r="N65" s="24" t="s">
        <v>25</v>
      </c>
      <c r="O65" s="25">
        <v>46082</v>
      </c>
      <c r="P65" s="25" t="str">
        <f>VLOOKUP(F65,[1]CLIENTES!B:L,11,0)</f>
        <v>RODRIGO</v>
      </c>
      <c r="Q65" s="25" t="str">
        <f>VLOOKUP(F65,[1]CLIENTES!B:M,12,0)</f>
        <v>RAQUEL BARBOSA</v>
      </c>
      <c r="R65" s="26" t="str">
        <f>VLOOKUP(F65,[1]CLIENTES!B:J,9,0)</f>
        <v>SP ITB FS FLAC REP.E COMERCIO</v>
      </c>
      <c r="S65" s="27">
        <v>3190</v>
      </c>
      <c r="T65" s="28" t="s">
        <v>44</v>
      </c>
      <c r="U65" s="28" t="s">
        <v>28</v>
      </c>
      <c r="V65" s="28" t="s">
        <v>29</v>
      </c>
      <c r="W65" s="28" t="s">
        <v>52</v>
      </c>
    </row>
    <row r="66" spans="1:23" ht="15" customHeight="1" x14ac:dyDescent="0.25">
      <c r="A66" s="20" t="str">
        <f>VLOOKUP(F66,[1]CLIENTES!B:L,11,0)</f>
        <v>RODRIGO</v>
      </c>
      <c r="B66" s="20" t="s">
        <v>142</v>
      </c>
      <c r="C66" s="20">
        <v>46062.386527777802</v>
      </c>
      <c r="D66" s="21" t="s">
        <v>21</v>
      </c>
      <c r="E66" s="21">
        <v>548</v>
      </c>
      <c r="F66" s="21">
        <v>5259915</v>
      </c>
      <c r="G66" s="21">
        <v>166008</v>
      </c>
      <c r="H66" s="21" t="s">
        <v>159</v>
      </c>
      <c r="I66" s="21" t="s">
        <v>23</v>
      </c>
      <c r="J66" s="21">
        <v>6125</v>
      </c>
      <c r="K66" s="21">
        <v>692</v>
      </c>
      <c r="L66" s="22">
        <v>93</v>
      </c>
      <c r="M66" s="23" t="s">
        <v>160</v>
      </c>
      <c r="N66" s="24" t="s">
        <v>25</v>
      </c>
      <c r="O66" s="25">
        <v>46082</v>
      </c>
      <c r="P66" s="25" t="str">
        <f>VLOOKUP(F66,[1]CLIENTES!B:L,11,0)</f>
        <v>RODRIGO</v>
      </c>
      <c r="Q66" s="25" t="str">
        <f>VLOOKUP(F66,[1]CLIENTES!B:M,12,0)</f>
        <v>ALEXANDRO</v>
      </c>
      <c r="R66" s="26" t="str">
        <f>VLOOKUP(F66,[1]CLIENTES!B:J,9,0)</f>
        <v>GUILHERME NASCIMENTO</v>
      </c>
      <c r="S66" s="27">
        <v>1735.4</v>
      </c>
      <c r="T66" s="28" t="s">
        <v>44</v>
      </c>
      <c r="U66" s="28" t="s">
        <v>28</v>
      </c>
      <c r="V66" s="28" t="s">
        <v>29</v>
      </c>
      <c r="W66" s="28" t="s">
        <v>52</v>
      </c>
    </row>
    <row r="67" spans="1:23" ht="15" customHeight="1" x14ac:dyDescent="0.25">
      <c r="A67" s="20" t="str">
        <f>VLOOKUP(F67,[1]CLIENTES!B:L,11,0)</f>
        <v>RODRIGO</v>
      </c>
      <c r="B67" s="20" t="s">
        <v>142</v>
      </c>
      <c r="C67" s="20">
        <v>46071.371446759302</v>
      </c>
      <c r="D67" s="21" t="s">
        <v>21</v>
      </c>
      <c r="E67" s="21">
        <v>503</v>
      </c>
      <c r="F67" s="21">
        <v>5004685</v>
      </c>
      <c r="G67" s="21">
        <v>110434</v>
      </c>
      <c r="H67" s="21" t="s">
        <v>116</v>
      </c>
      <c r="I67" s="21" t="s">
        <v>23</v>
      </c>
      <c r="J67" s="21">
        <v>6125</v>
      </c>
      <c r="K67" s="21">
        <v>692</v>
      </c>
      <c r="L67" s="22">
        <v>93</v>
      </c>
      <c r="M67" s="23" t="s">
        <v>161</v>
      </c>
      <c r="N67" s="24" t="s">
        <v>25</v>
      </c>
      <c r="O67" s="25">
        <v>46082</v>
      </c>
      <c r="P67" s="25" t="str">
        <f>VLOOKUP(F67,[1]CLIENTES!B:L,11,0)</f>
        <v>RODRIGO</v>
      </c>
      <c r="Q67" s="25" t="str">
        <f>VLOOKUP(F67,[1]CLIENTES!B:M,12,0)</f>
        <v>ALEXANDRO</v>
      </c>
      <c r="R67" s="26" t="str">
        <f>VLOOKUP(F67,[1]CLIENTES!B:J,9,0)</f>
        <v>ALEXANDRO RODRIGUES</v>
      </c>
      <c r="S67" s="27">
        <v>7928</v>
      </c>
      <c r="T67" s="28" t="s">
        <v>44</v>
      </c>
      <c r="U67" s="28" t="s">
        <v>28</v>
      </c>
      <c r="V67" s="28" t="s">
        <v>29</v>
      </c>
      <c r="W67" s="28" t="s">
        <v>35</v>
      </c>
    </row>
    <row r="68" spans="1:23" ht="15" customHeight="1" x14ac:dyDescent="0.25">
      <c r="A68" s="20" t="str">
        <f>VLOOKUP(F68,[1]CLIENTES!B:L,11,0)</f>
        <v>RODRIGO</v>
      </c>
      <c r="B68" s="20" t="s">
        <v>142</v>
      </c>
      <c r="C68" s="20">
        <v>46072</v>
      </c>
      <c r="D68" s="21" t="s">
        <v>21</v>
      </c>
      <c r="E68" s="21">
        <v>519</v>
      </c>
      <c r="F68" s="21">
        <v>5107112</v>
      </c>
      <c r="G68" s="21">
        <v>123370</v>
      </c>
      <c r="H68" s="21" t="s">
        <v>62</v>
      </c>
      <c r="I68" s="21" t="s">
        <v>23</v>
      </c>
      <c r="J68" s="21">
        <v>6125</v>
      </c>
      <c r="K68" s="21">
        <v>692</v>
      </c>
      <c r="L68" s="22">
        <v>93</v>
      </c>
      <c r="M68" s="23" t="s">
        <v>162</v>
      </c>
      <c r="N68" s="24" t="s">
        <v>25</v>
      </c>
      <c r="O68" s="25">
        <v>46082</v>
      </c>
      <c r="P68" s="25" t="str">
        <f>VLOOKUP(F68,[1]CLIENTES!B:L,11,0)</f>
        <v>RODRIGO</v>
      </c>
      <c r="Q68" s="25" t="str">
        <f>VLOOKUP(F68,[1]CLIENTES!B:M,12,0)</f>
        <v>ALEXANDRO</v>
      </c>
      <c r="R68" s="26" t="str">
        <f>VLOOKUP(F68,[1]CLIENTES!B:J,9,0)</f>
        <v>GUILHERME NASCIMENTO</v>
      </c>
      <c r="S68" s="27">
        <v>6430</v>
      </c>
      <c r="T68" s="28" t="s">
        <v>44</v>
      </c>
      <c r="U68" s="28" t="s">
        <v>28</v>
      </c>
      <c r="V68" s="28" t="s">
        <v>29</v>
      </c>
      <c r="W68" s="28" t="s">
        <v>52</v>
      </c>
    </row>
    <row r="69" spans="1:23" ht="15" customHeight="1" x14ac:dyDescent="0.25">
      <c r="A69" s="20" t="str">
        <f>VLOOKUP(F69,[1]CLIENTES!B:L,11,0)</f>
        <v>RODRIGO</v>
      </c>
      <c r="B69" s="20" t="s">
        <v>142</v>
      </c>
      <c r="C69" s="20">
        <v>46072</v>
      </c>
      <c r="D69" s="21" t="s">
        <v>21</v>
      </c>
      <c r="E69" s="21">
        <v>524</v>
      </c>
      <c r="F69" s="21">
        <v>5217293</v>
      </c>
      <c r="G69" s="21">
        <v>145966</v>
      </c>
      <c r="H69" s="21" t="s">
        <v>86</v>
      </c>
      <c r="I69" s="21" t="s">
        <v>23</v>
      </c>
      <c r="J69" s="21">
        <v>6125</v>
      </c>
      <c r="K69" s="21">
        <v>692</v>
      </c>
      <c r="L69" s="22">
        <v>92</v>
      </c>
      <c r="M69" s="23" t="s">
        <v>163</v>
      </c>
      <c r="N69" s="24" t="s">
        <v>25</v>
      </c>
      <c r="O69" s="25">
        <v>46082</v>
      </c>
      <c r="P69" s="25" t="str">
        <f>VLOOKUP(F69,[1]CLIENTES!B:L,11,0)</f>
        <v>RODRIGO</v>
      </c>
      <c r="Q69" s="25" t="str">
        <f>VLOOKUP(F69,[1]CLIENTES!B:M,12,0)</f>
        <v>RAQUEL BARBOSA</v>
      </c>
      <c r="R69" s="26" t="str">
        <f>VLOOKUP(F69,[1]CLIENTES!B:J,9,0)</f>
        <v>VAGO SP</v>
      </c>
      <c r="S69" s="27">
        <v>5000</v>
      </c>
      <c r="T69" s="28" t="s">
        <v>44</v>
      </c>
      <c r="U69" s="28" t="s">
        <v>28</v>
      </c>
      <c r="V69" s="28" t="s">
        <v>29</v>
      </c>
      <c r="W69" s="28" t="s">
        <v>52</v>
      </c>
    </row>
    <row r="70" spans="1:23" ht="15" customHeight="1" x14ac:dyDescent="0.25">
      <c r="A70" s="20" t="str">
        <f>VLOOKUP(F70,[1]CLIENTES!B:L,11,0)</f>
        <v>RODRIGO</v>
      </c>
      <c r="B70" s="20" t="s">
        <v>142</v>
      </c>
      <c r="C70" s="20">
        <v>46072</v>
      </c>
      <c r="D70" s="21" t="s">
        <v>21</v>
      </c>
      <c r="E70" s="21">
        <v>513</v>
      </c>
      <c r="F70" s="21">
        <v>5131101</v>
      </c>
      <c r="G70" s="21">
        <v>167218</v>
      </c>
      <c r="H70" s="21" t="s">
        <v>164</v>
      </c>
      <c r="I70" s="21" t="s">
        <v>23</v>
      </c>
      <c r="J70" s="21">
        <v>6125</v>
      </c>
      <c r="K70" s="21">
        <v>692</v>
      </c>
      <c r="L70" s="22">
        <v>93</v>
      </c>
      <c r="M70" s="23" t="s">
        <v>165</v>
      </c>
      <c r="N70" s="24" t="s">
        <v>25</v>
      </c>
      <c r="O70" s="25">
        <v>46082</v>
      </c>
      <c r="P70" s="25" t="str">
        <f>VLOOKUP(F70,[1]CLIENTES!B:L,11,0)</f>
        <v>RODRIGO</v>
      </c>
      <c r="Q70" s="25" t="str">
        <f>VLOOKUP(F70,[1]CLIENTES!B:M,12,0)</f>
        <v>RAQUEL BARBOSA</v>
      </c>
      <c r="R70" s="26" t="str">
        <f>VLOOKUP(F70,[1]CLIENTES!B:J,9,0)</f>
        <v>VAGO SP</v>
      </c>
      <c r="S70" s="27">
        <v>1500</v>
      </c>
      <c r="T70" s="28" t="s">
        <v>44</v>
      </c>
      <c r="U70" s="28" t="s">
        <v>28</v>
      </c>
      <c r="V70" s="28" t="s">
        <v>29</v>
      </c>
      <c r="W70" s="28" t="s">
        <v>52</v>
      </c>
    </row>
    <row r="71" spans="1:23" ht="15" customHeight="1" x14ac:dyDescent="0.25">
      <c r="A71" s="20" t="str">
        <f>VLOOKUP(F71,[1]CLIENTES!B:L,11,0)</f>
        <v>RODRIGO</v>
      </c>
      <c r="B71" s="20" t="s">
        <v>142</v>
      </c>
      <c r="C71" s="20">
        <v>46072</v>
      </c>
      <c r="D71" s="21" t="s">
        <v>21</v>
      </c>
      <c r="E71" s="21">
        <v>491</v>
      </c>
      <c r="F71" s="21">
        <v>5185642</v>
      </c>
      <c r="G71" s="21">
        <v>142109</v>
      </c>
      <c r="H71" s="21" t="s">
        <v>166</v>
      </c>
      <c r="I71" s="21" t="s">
        <v>23</v>
      </c>
      <c r="J71" s="21">
        <v>6125</v>
      </c>
      <c r="K71" s="21">
        <v>692</v>
      </c>
      <c r="L71" s="22">
        <v>93</v>
      </c>
      <c r="M71" s="23" t="s">
        <v>167</v>
      </c>
      <c r="N71" s="24" t="s">
        <v>25</v>
      </c>
      <c r="O71" s="25">
        <v>46082</v>
      </c>
      <c r="P71" s="25" t="str">
        <f>VLOOKUP(F71,[1]CLIENTES!B:L,11,0)</f>
        <v>RODRIGO</v>
      </c>
      <c r="Q71" s="25" t="str">
        <f>VLOOKUP(F71,[1]CLIENTES!B:M,12,0)</f>
        <v>RAQUEL BARBOSA</v>
      </c>
      <c r="R71" s="26" t="str">
        <f>VLOOKUP(F71,[1]CLIENTES!B:J,9,0)</f>
        <v>VAGO SP</v>
      </c>
      <c r="S71" s="27">
        <v>2777</v>
      </c>
      <c r="T71" s="28" t="s">
        <v>44</v>
      </c>
      <c r="U71" s="28" t="s">
        <v>28</v>
      </c>
      <c r="V71" s="28" t="s">
        <v>29</v>
      </c>
      <c r="W71" s="28" t="s">
        <v>52</v>
      </c>
    </row>
    <row r="72" spans="1:23" ht="15" customHeight="1" x14ac:dyDescent="0.25">
      <c r="A72" s="20" t="str">
        <f>VLOOKUP(F72,[1]CLIENTES!B:L,11,0)</f>
        <v>RODRIGO</v>
      </c>
      <c r="B72" s="20" t="s">
        <v>142</v>
      </c>
      <c r="C72" s="20">
        <v>46072</v>
      </c>
      <c r="D72" s="21" t="s">
        <v>21</v>
      </c>
      <c r="E72" s="21">
        <v>510</v>
      </c>
      <c r="F72" s="21">
        <v>5109682</v>
      </c>
      <c r="G72" s="21">
        <v>128100</v>
      </c>
      <c r="H72" s="21" t="s">
        <v>88</v>
      </c>
      <c r="I72" s="21" t="s">
        <v>23</v>
      </c>
      <c r="J72" s="21">
        <v>6125</v>
      </c>
      <c r="K72" s="21">
        <v>692</v>
      </c>
      <c r="L72" s="22">
        <v>93</v>
      </c>
      <c r="M72" s="23" t="s">
        <v>168</v>
      </c>
      <c r="N72" s="24" t="s">
        <v>25</v>
      </c>
      <c r="O72" s="25">
        <v>46082</v>
      </c>
      <c r="P72" s="25" t="str">
        <f>VLOOKUP(F72,[1]CLIENTES!B:L,11,0)</f>
        <v>RODRIGO</v>
      </c>
      <c r="Q72" s="25" t="str">
        <f>VLOOKUP(F72,[1]CLIENTES!B:M,12,0)</f>
        <v>RAQUEL BARBOSA</v>
      </c>
      <c r="R72" s="26" t="str">
        <f>VLOOKUP(F72,[1]CLIENTES!B:J,9,0)</f>
        <v>VAGO SP</v>
      </c>
      <c r="S72" s="27">
        <v>2500</v>
      </c>
      <c r="T72" s="28" t="s">
        <v>44</v>
      </c>
      <c r="U72" s="28" t="s">
        <v>28</v>
      </c>
      <c r="V72" s="28" t="s">
        <v>29</v>
      </c>
      <c r="W72" s="28" t="s">
        <v>52</v>
      </c>
    </row>
    <row r="73" spans="1:23" ht="15" customHeight="1" x14ac:dyDescent="0.25">
      <c r="A73" s="20" t="str">
        <f>VLOOKUP(F73,[1]CLIENTES!B:L,11,0)</f>
        <v>RODRIGO</v>
      </c>
      <c r="B73" s="20" t="s">
        <v>142</v>
      </c>
      <c r="C73" s="20">
        <v>46072</v>
      </c>
      <c r="D73" s="21" t="s">
        <v>21</v>
      </c>
      <c r="E73" s="21">
        <v>491</v>
      </c>
      <c r="F73" s="21">
        <v>5185642</v>
      </c>
      <c r="G73" s="21">
        <v>142109</v>
      </c>
      <c r="H73" s="21" t="s">
        <v>166</v>
      </c>
      <c r="I73" s="21" t="s">
        <v>23</v>
      </c>
      <c r="J73" s="21">
        <v>6125</v>
      </c>
      <c r="K73" s="21">
        <v>692</v>
      </c>
      <c r="L73" s="22">
        <v>93</v>
      </c>
      <c r="M73" s="23" t="s">
        <v>169</v>
      </c>
      <c r="N73" s="24" t="s">
        <v>25</v>
      </c>
      <c r="O73" s="25">
        <v>46082</v>
      </c>
      <c r="P73" s="25" t="str">
        <f>VLOOKUP(F73,[1]CLIENTES!B:L,11,0)</f>
        <v>RODRIGO</v>
      </c>
      <c r="Q73" s="25" t="str">
        <f>VLOOKUP(F73,[1]CLIENTES!B:M,12,0)</f>
        <v>RAQUEL BARBOSA</v>
      </c>
      <c r="R73" s="26" t="str">
        <f>VLOOKUP(F73,[1]CLIENTES!B:J,9,0)</f>
        <v>VAGO SP</v>
      </c>
      <c r="S73" s="27">
        <v>3069</v>
      </c>
      <c r="T73" s="28" t="s">
        <v>44</v>
      </c>
      <c r="U73" s="28" t="s">
        <v>28</v>
      </c>
      <c r="V73" s="28" t="s">
        <v>29</v>
      </c>
      <c r="W73" s="28" t="s">
        <v>52</v>
      </c>
    </row>
    <row r="74" spans="1:23" ht="15" customHeight="1" x14ac:dyDescent="0.25">
      <c r="A74" s="20" t="str">
        <f>VLOOKUP(F74,[1]CLIENTES!B:L,11,0)</f>
        <v>RODRIGO</v>
      </c>
      <c r="B74" s="20" t="s">
        <v>142</v>
      </c>
      <c r="C74" s="20">
        <v>46073</v>
      </c>
      <c r="D74" s="21" t="s">
        <v>21</v>
      </c>
      <c r="E74" s="21">
        <v>531</v>
      </c>
      <c r="F74" s="21">
        <v>5225860</v>
      </c>
      <c r="G74" s="21">
        <v>180402</v>
      </c>
      <c r="H74" s="21" t="s">
        <v>39</v>
      </c>
      <c r="I74" s="21" t="s">
        <v>40</v>
      </c>
      <c r="J74" s="21" t="s">
        <v>41</v>
      </c>
      <c r="K74" s="21">
        <v>194</v>
      </c>
      <c r="L74" s="22">
        <v>92</v>
      </c>
      <c r="M74" s="23" t="s">
        <v>170</v>
      </c>
      <c r="N74" s="24" t="s">
        <v>25</v>
      </c>
      <c r="O74" s="25">
        <v>46082</v>
      </c>
      <c r="P74" s="25" t="str">
        <f>VLOOKUP(F74,[1]CLIENTES!B:L,11,0)</f>
        <v>RODRIGO</v>
      </c>
      <c r="Q74" s="25" t="str">
        <f>VLOOKUP(F74,[1]CLIENTES!B:M,12,0)</f>
        <v>MARIA LOURDES</v>
      </c>
      <c r="R74" s="26" t="str">
        <f>VLOOKUP(F74,[1]CLIENTES!B:J,9,0)</f>
        <v>CLAUDIO JORGE/AMANDA SANDS</v>
      </c>
      <c r="S74" s="27">
        <v>20000</v>
      </c>
      <c r="T74" s="28" t="s">
        <v>44</v>
      </c>
      <c r="U74" s="28" t="s">
        <v>28</v>
      </c>
      <c r="V74" s="28" t="s">
        <v>29</v>
      </c>
      <c r="W74" s="28" t="s">
        <v>52</v>
      </c>
    </row>
    <row r="75" spans="1:23" ht="15" customHeight="1" x14ac:dyDescent="0.25">
      <c r="A75" s="20" t="str">
        <f>VLOOKUP(F75,[1]CLIENTES!B:L,11,0)</f>
        <v>RODRIGO</v>
      </c>
      <c r="B75" s="20" t="s">
        <v>142</v>
      </c>
      <c r="C75" s="20">
        <v>46073</v>
      </c>
      <c r="D75" s="21" t="s">
        <v>21</v>
      </c>
      <c r="E75" s="21">
        <v>511</v>
      </c>
      <c r="F75" s="21">
        <v>5229985</v>
      </c>
      <c r="G75" s="21">
        <v>180738</v>
      </c>
      <c r="H75" s="21" t="s">
        <v>131</v>
      </c>
      <c r="I75" s="21" t="s">
        <v>132</v>
      </c>
      <c r="J75" s="21">
        <v>6127</v>
      </c>
      <c r="K75" s="21">
        <v>605</v>
      </c>
      <c r="L75" s="22">
        <v>92</v>
      </c>
      <c r="M75" s="23" t="s">
        <v>171</v>
      </c>
      <c r="N75" s="24" t="s">
        <v>25</v>
      </c>
      <c r="O75" s="25">
        <v>46082</v>
      </c>
      <c r="P75" s="25" t="str">
        <f>VLOOKUP(F75,[1]CLIENTES!B:L,11,0)</f>
        <v>RODRIGO</v>
      </c>
      <c r="Q75" s="25" t="str">
        <f>VLOOKUP(F75,[1]CLIENTES!B:M,12,0)</f>
        <v>MARIA LOURDES</v>
      </c>
      <c r="R75" s="26" t="str">
        <f>VLOOKUP(F75,[1]CLIENTES!B:J,9,0)</f>
        <v>WH FOOD SERVICE CE</v>
      </c>
      <c r="S75" s="27">
        <v>12000</v>
      </c>
      <c r="T75" s="28" t="s">
        <v>44</v>
      </c>
      <c r="U75" s="28" t="s">
        <v>28</v>
      </c>
      <c r="V75" s="28" t="s">
        <v>29</v>
      </c>
      <c r="W75" s="28" t="s">
        <v>52</v>
      </c>
    </row>
    <row r="76" spans="1:23" ht="15" customHeight="1" x14ac:dyDescent="0.25">
      <c r="A76" s="20" t="str">
        <f>VLOOKUP(F76,[1]CLIENTES!B:L,11,0)</f>
        <v>RODRIGO</v>
      </c>
      <c r="B76" s="20" t="s">
        <v>142</v>
      </c>
      <c r="C76" s="20">
        <v>46073</v>
      </c>
      <c r="D76" s="21" t="s">
        <v>21</v>
      </c>
      <c r="E76" s="21">
        <v>536</v>
      </c>
      <c r="F76" s="21">
        <v>5026768</v>
      </c>
      <c r="G76" s="21">
        <v>113399</v>
      </c>
      <c r="H76" s="21" t="s">
        <v>139</v>
      </c>
      <c r="I76" s="21" t="s">
        <v>132</v>
      </c>
      <c r="J76" s="21">
        <v>6127</v>
      </c>
      <c r="K76" s="21">
        <v>605</v>
      </c>
      <c r="L76" s="22">
        <v>92</v>
      </c>
      <c r="M76" s="23" t="s">
        <v>172</v>
      </c>
      <c r="N76" s="24" t="s">
        <v>25</v>
      </c>
      <c r="O76" s="25">
        <v>46082</v>
      </c>
      <c r="P76" s="25" t="str">
        <f>VLOOKUP(F76,[1]CLIENTES!B:L,11,0)</f>
        <v>RODRIGO</v>
      </c>
      <c r="Q76" s="25" t="str">
        <f>VLOOKUP(F76,[1]CLIENTES!B:M,12,0)</f>
        <v>MARIA LOURDES</v>
      </c>
      <c r="R76" s="26" t="str">
        <f>VLOOKUP(F76,[1]CLIENTES!B:J,9,0)</f>
        <v>WH FOOD SERVICE CE</v>
      </c>
      <c r="S76" s="27">
        <v>7000</v>
      </c>
      <c r="T76" s="28" t="s">
        <v>44</v>
      </c>
      <c r="U76" s="28" t="s">
        <v>28</v>
      </c>
      <c r="V76" s="28" t="s">
        <v>29</v>
      </c>
      <c r="W76" s="28" t="s">
        <v>52</v>
      </c>
    </row>
    <row r="77" spans="1:23" ht="15" customHeight="1" x14ac:dyDescent="0.25">
      <c r="A77" s="20" t="str">
        <f>VLOOKUP(F77,[1]CLIENTES!B:L,11,0)</f>
        <v>RODRIGO</v>
      </c>
      <c r="B77" s="20" t="s">
        <v>142</v>
      </c>
      <c r="C77" s="20">
        <v>46073</v>
      </c>
      <c r="D77" s="21" t="s">
        <v>21</v>
      </c>
      <c r="E77" s="21">
        <v>527</v>
      </c>
      <c r="F77" s="21">
        <v>5020347</v>
      </c>
      <c r="G77" s="21">
        <v>112787</v>
      </c>
      <c r="H77" s="21" t="s">
        <v>129</v>
      </c>
      <c r="I77" s="21" t="s">
        <v>23</v>
      </c>
      <c r="J77" s="21">
        <v>6125</v>
      </c>
      <c r="K77" s="21">
        <v>692</v>
      </c>
      <c r="L77" s="22">
        <v>92</v>
      </c>
      <c r="M77" s="23" t="s">
        <v>173</v>
      </c>
      <c r="N77" s="24" t="s">
        <v>25</v>
      </c>
      <c r="O77" s="25">
        <v>46082</v>
      </c>
      <c r="P77" s="25" t="str">
        <f>VLOOKUP(F77,[1]CLIENTES!B:L,11,0)</f>
        <v>RODRIGO</v>
      </c>
      <c r="Q77" s="25" t="str">
        <f>VLOOKUP(F77,[1]CLIENTES!B:M,12,0)</f>
        <v>ALEXANDRO</v>
      </c>
      <c r="R77" s="26" t="str">
        <f>VLOOKUP(F77,[1]CLIENTES!B:J,9,0)</f>
        <v>GUILHERME NASCIMENTO</v>
      </c>
      <c r="S77" s="27">
        <v>300</v>
      </c>
      <c r="T77" s="28" t="s">
        <v>44</v>
      </c>
      <c r="U77" s="28" t="s">
        <v>28</v>
      </c>
      <c r="V77" s="28" t="s">
        <v>29</v>
      </c>
      <c r="W77" s="28" t="s">
        <v>52</v>
      </c>
    </row>
    <row r="78" spans="1:23" ht="15" customHeight="1" x14ac:dyDescent="0.25">
      <c r="A78" s="20" t="str">
        <f>VLOOKUP(F78,[1]CLIENTES!B:L,11,0)</f>
        <v>RODRIGO</v>
      </c>
      <c r="B78" s="20" t="s">
        <v>142</v>
      </c>
      <c r="C78" s="20">
        <v>46073</v>
      </c>
      <c r="D78" s="21" t="s">
        <v>21</v>
      </c>
      <c r="E78" s="21">
        <v>511</v>
      </c>
      <c r="F78" s="21">
        <v>5214453</v>
      </c>
      <c r="G78" s="21">
        <v>144701</v>
      </c>
      <c r="H78" s="21" t="s">
        <v>174</v>
      </c>
      <c r="I78" s="21" t="s">
        <v>40</v>
      </c>
      <c r="J78" s="21" t="s">
        <v>41</v>
      </c>
      <c r="K78" s="21">
        <v>194</v>
      </c>
      <c r="L78" s="22">
        <v>93</v>
      </c>
      <c r="M78" s="23" t="s">
        <v>175</v>
      </c>
      <c r="N78" s="24" t="s">
        <v>25</v>
      </c>
      <c r="O78" s="25">
        <v>46082</v>
      </c>
      <c r="P78" s="25" t="str">
        <f>VLOOKUP(F78,[1]CLIENTES!B:L,11,0)</f>
        <v>RODRIGO</v>
      </c>
      <c r="Q78" s="25" t="str">
        <f>VLOOKUP(F78,[1]CLIENTES!B:M,12,0)</f>
        <v>MARIA LOURDES</v>
      </c>
      <c r="R78" s="26" t="str">
        <f>VLOOKUP(F78,[1]CLIENTES!B:J,9,0)</f>
        <v>CLAUDIO JORGE</v>
      </c>
      <c r="S78" s="27">
        <v>6000</v>
      </c>
      <c r="T78" s="28" t="s">
        <v>44</v>
      </c>
      <c r="U78" s="28" t="s">
        <v>28</v>
      </c>
      <c r="V78" s="28" t="s">
        <v>29</v>
      </c>
      <c r="W78" s="28" t="s">
        <v>52</v>
      </c>
    </row>
    <row r="79" spans="1:23" ht="15" customHeight="1" x14ac:dyDescent="0.25">
      <c r="A79" s="20" t="str">
        <f>VLOOKUP(F79,[1]CLIENTES!B:L,11,0)</f>
        <v>RODRIGO</v>
      </c>
      <c r="B79" s="20" t="s">
        <v>142</v>
      </c>
      <c r="C79" s="20">
        <v>46073</v>
      </c>
      <c r="D79" s="21" t="s">
        <v>21</v>
      </c>
      <c r="E79" s="21">
        <v>513</v>
      </c>
      <c r="F79" s="21">
        <v>5131101</v>
      </c>
      <c r="G79" s="21">
        <v>167218</v>
      </c>
      <c r="H79" s="21" t="s">
        <v>164</v>
      </c>
      <c r="I79" s="21" t="s">
        <v>23</v>
      </c>
      <c r="J79" s="21">
        <v>6125</v>
      </c>
      <c r="K79" s="21">
        <v>692</v>
      </c>
      <c r="L79" s="22">
        <v>93</v>
      </c>
      <c r="M79" s="23" t="s">
        <v>176</v>
      </c>
      <c r="N79" s="24" t="s">
        <v>25</v>
      </c>
      <c r="O79" s="25">
        <v>46082</v>
      </c>
      <c r="P79" s="25" t="str">
        <f>VLOOKUP(F79,[1]CLIENTES!B:L,11,0)</f>
        <v>RODRIGO</v>
      </c>
      <c r="Q79" s="25" t="str">
        <f>VLOOKUP(F79,[1]CLIENTES!B:M,12,0)</f>
        <v>RAQUEL BARBOSA</v>
      </c>
      <c r="R79" s="26" t="str">
        <f>VLOOKUP(F79,[1]CLIENTES!B:J,9,0)</f>
        <v>VAGO SP</v>
      </c>
      <c r="S79" s="27">
        <v>1750</v>
      </c>
      <c r="T79" s="28" t="s">
        <v>44</v>
      </c>
      <c r="U79" s="28" t="s">
        <v>28</v>
      </c>
      <c r="V79" s="28" t="s">
        <v>29</v>
      </c>
      <c r="W79" s="28" t="s">
        <v>35</v>
      </c>
    </row>
    <row r="80" spans="1:23" ht="15" customHeight="1" x14ac:dyDescent="0.25">
      <c r="A80" s="20" t="str">
        <f>VLOOKUP(F80,[1]CLIENTES!B:L,11,0)</f>
        <v>RODRIGO</v>
      </c>
      <c r="B80" s="20" t="s">
        <v>142</v>
      </c>
      <c r="C80" s="20">
        <v>46073</v>
      </c>
      <c r="D80" s="21" t="s">
        <v>21</v>
      </c>
      <c r="E80" s="21">
        <v>521</v>
      </c>
      <c r="F80" s="21">
        <v>5115189</v>
      </c>
      <c r="G80" s="21">
        <v>129296</v>
      </c>
      <c r="H80" s="21" t="s">
        <v>68</v>
      </c>
      <c r="I80" s="21" t="s">
        <v>54</v>
      </c>
      <c r="J80" s="21" t="s">
        <v>55</v>
      </c>
      <c r="K80" s="21">
        <v>191</v>
      </c>
      <c r="L80" s="22">
        <v>92</v>
      </c>
      <c r="M80" s="23" t="s">
        <v>177</v>
      </c>
      <c r="N80" s="24" t="s">
        <v>25</v>
      </c>
      <c r="O80" s="25">
        <v>46082</v>
      </c>
      <c r="P80" s="25" t="str">
        <f>VLOOKUP(F80,[1]CLIENTES!B:L,11,0)</f>
        <v>RODRIGO</v>
      </c>
      <c r="Q80" s="25" t="str">
        <f>VLOOKUP(F80,[1]CLIENTES!B:M,12,0)</f>
        <v>MARCO AURELIO</v>
      </c>
      <c r="R80" s="26" t="str">
        <f>VLOOKUP(F80,[1]CLIENTES!B:J,9,0)</f>
        <v>CLAUDIO JORGE/MARIA LAURA</v>
      </c>
      <c r="S80" s="27">
        <v>11666.67</v>
      </c>
      <c r="T80" s="28" t="s">
        <v>44</v>
      </c>
      <c r="U80" s="28" t="s">
        <v>28</v>
      </c>
      <c r="V80" s="28" t="s">
        <v>29</v>
      </c>
      <c r="W80" s="28" t="s">
        <v>35</v>
      </c>
    </row>
    <row r="81" spans="1:23" ht="15" customHeight="1" x14ac:dyDescent="0.25">
      <c r="A81" s="20" t="str">
        <f>VLOOKUP(F81,[1]CLIENTES!B:L,11,0)</f>
        <v>RODRIGO</v>
      </c>
      <c r="B81" s="20" t="s">
        <v>142</v>
      </c>
      <c r="C81" s="20">
        <v>46073</v>
      </c>
      <c r="D81" s="21" t="s">
        <v>21</v>
      </c>
      <c r="E81" s="21">
        <v>521</v>
      </c>
      <c r="F81" s="21">
        <v>5115189</v>
      </c>
      <c r="G81" s="21">
        <v>129296</v>
      </c>
      <c r="H81" s="21" t="s">
        <v>68</v>
      </c>
      <c r="I81" s="21" t="s">
        <v>54</v>
      </c>
      <c r="J81" s="21" t="s">
        <v>55</v>
      </c>
      <c r="K81" s="21">
        <v>191</v>
      </c>
      <c r="L81" s="22">
        <v>92</v>
      </c>
      <c r="M81" s="23" t="s">
        <v>178</v>
      </c>
      <c r="N81" s="24" t="s">
        <v>25</v>
      </c>
      <c r="O81" s="25">
        <v>46082</v>
      </c>
      <c r="P81" s="25" t="str">
        <f>VLOOKUP(F81,[1]CLIENTES!B:L,11,0)</f>
        <v>RODRIGO</v>
      </c>
      <c r="Q81" s="25" t="str">
        <f>VLOOKUP(F81,[1]CLIENTES!B:M,12,0)</f>
        <v>MARCO AURELIO</v>
      </c>
      <c r="R81" s="26" t="str">
        <f>VLOOKUP(F81,[1]CLIENTES!B:J,9,0)</f>
        <v>CLAUDIO JORGE/MARIA LAURA</v>
      </c>
      <c r="S81" s="27">
        <v>10000</v>
      </c>
      <c r="T81" s="28" t="s">
        <v>44</v>
      </c>
      <c r="U81" s="28" t="s">
        <v>28</v>
      </c>
      <c r="V81" s="28" t="s">
        <v>29</v>
      </c>
      <c r="W81" s="28" t="s">
        <v>52</v>
      </c>
    </row>
    <row r="82" spans="1:23" ht="15" customHeight="1" x14ac:dyDescent="0.25">
      <c r="A82" s="20" t="str">
        <f>VLOOKUP(F82,[1]CLIENTES!B:L,11,0)</f>
        <v>RODRIGO</v>
      </c>
      <c r="B82" s="20" t="s">
        <v>142</v>
      </c>
      <c r="C82" s="20">
        <v>46073</v>
      </c>
      <c r="D82" s="21" t="s">
        <v>21</v>
      </c>
      <c r="E82" s="21">
        <v>495</v>
      </c>
      <c r="F82" s="21">
        <v>5310560</v>
      </c>
      <c r="G82" s="21">
        <v>121796</v>
      </c>
      <c r="H82" s="21" t="s">
        <v>179</v>
      </c>
      <c r="I82" s="21" t="s">
        <v>76</v>
      </c>
      <c r="J82" s="21">
        <v>6123</v>
      </c>
      <c r="K82" s="21">
        <v>675</v>
      </c>
      <c r="L82" s="22">
        <v>92</v>
      </c>
      <c r="M82" s="23" t="s">
        <v>180</v>
      </c>
      <c r="N82" s="24" t="s">
        <v>25</v>
      </c>
      <c r="O82" s="25">
        <v>46082</v>
      </c>
      <c r="P82" s="25" t="str">
        <f>VLOOKUP(F82,[1]CLIENTES!B:L,11,0)</f>
        <v>RODRIGO</v>
      </c>
      <c r="Q82" s="25" t="str">
        <f>VLOOKUP(F82,[1]CLIENTES!B:M,12,0)</f>
        <v>MARCO AURELIO</v>
      </c>
      <c r="R82" s="26" t="str">
        <f>VLOOKUP(F82,[1]CLIENTES!B:J,9,0)</f>
        <v>CLAUDIO JORGE</v>
      </c>
      <c r="S82" s="27">
        <v>350</v>
      </c>
      <c r="T82" s="28" t="s">
        <v>44</v>
      </c>
      <c r="U82" s="28" t="s">
        <v>28</v>
      </c>
      <c r="V82" s="28" t="s">
        <v>29</v>
      </c>
      <c r="W82" s="28" t="s">
        <v>52</v>
      </c>
    </row>
    <row r="83" spans="1:23" ht="15" customHeight="1" x14ac:dyDescent="0.25">
      <c r="A83" s="20" t="str">
        <f>VLOOKUP(F83,[1]CLIENTES!B:L,11,0)</f>
        <v>RODRIGO</v>
      </c>
      <c r="B83" s="20" t="s">
        <v>142</v>
      </c>
      <c r="C83" s="20">
        <v>46073</v>
      </c>
      <c r="D83" s="21" t="s">
        <v>21</v>
      </c>
      <c r="E83" s="21">
        <v>551</v>
      </c>
      <c r="F83" s="21">
        <v>5308411</v>
      </c>
      <c r="G83" s="21">
        <v>181236</v>
      </c>
      <c r="H83" s="21" t="s">
        <v>80</v>
      </c>
      <c r="I83" s="21" t="s">
        <v>71</v>
      </c>
      <c r="J83" s="21" t="s">
        <v>72</v>
      </c>
      <c r="K83" s="21">
        <v>186</v>
      </c>
      <c r="L83" s="22">
        <v>92</v>
      </c>
      <c r="M83" s="23" t="s">
        <v>181</v>
      </c>
      <c r="N83" s="24" t="s">
        <v>25</v>
      </c>
      <c r="O83" s="25">
        <v>46082</v>
      </c>
      <c r="P83" s="25" t="str">
        <f>VLOOKUP(F83,[1]CLIENTES!B:L,11,0)</f>
        <v>RODRIGO</v>
      </c>
      <c r="Q83" s="25" t="str">
        <f>VLOOKUP(F83,[1]CLIENTES!B:M,12,0)</f>
        <v>CELIO MARTINS</v>
      </c>
      <c r="R83" s="26" t="str">
        <f>VLOOKUP(F83,[1]CLIENTES!B:J,9,0)</f>
        <v>MARCELO SILVA</v>
      </c>
      <c r="S83" s="27">
        <v>1843.38</v>
      </c>
      <c r="T83" s="28" t="s">
        <v>44</v>
      </c>
      <c r="U83" s="28" t="s">
        <v>28</v>
      </c>
      <c r="V83" s="28" t="s">
        <v>29</v>
      </c>
      <c r="W83" s="28" t="s">
        <v>83</v>
      </c>
    </row>
    <row r="84" spans="1:23" ht="15" customHeight="1" x14ac:dyDescent="0.25">
      <c r="A84" s="20" t="str">
        <f>VLOOKUP(F84,[1]CLIENTES!B:L,11,0)</f>
        <v>RODRIGO</v>
      </c>
      <c r="B84" s="20" t="s">
        <v>142</v>
      </c>
      <c r="C84" s="20">
        <v>46073</v>
      </c>
      <c r="D84" s="21" t="s">
        <v>21</v>
      </c>
      <c r="E84" s="21">
        <v>555</v>
      </c>
      <c r="F84" s="21">
        <v>5361277</v>
      </c>
      <c r="G84" s="21"/>
      <c r="H84" s="21" t="s">
        <v>182</v>
      </c>
      <c r="I84" s="21" t="s">
        <v>71</v>
      </c>
      <c r="J84" s="21" t="s">
        <v>72</v>
      </c>
      <c r="K84" s="21">
        <v>186</v>
      </c>
      <c r="L84" s="22">
        <v>93</v>
      </c>
      <c r="M84" s="23" t="s">
        <v>183</v>
      </c>
      <c r="N84" s="24" t="s">
        <v>25</v>
      </c>
      <c r="O84" s="25">
        <v>46082</v>
      </c>
      <c r="P84" s="25" t="str">
        <f>VLOOKUP(F84,[1]CLIENTES!B:L,11,0)</f>
        <v>RODRIGO</v>
      </c>
      <c r="Q84" s="25" t="str">
        <f>VLOOKUP(F84,[1]CLIENTES!B:M,12,0)</f>
        <v>CELIO MARTINS</v>
      </c>
      <c r="R84" s="26" t="str">
        <f>VLOOKUP(F84,[1]CLIENTES!B:J,9,0)</f>
        <v>MARCELO SILVA</v>
      </c>
      <c r="S84" s="27">
        <v>400</v>
      </c>
      <c r="T84" s="28" t="s">
        <v>44</v>
      </c>
      <c r="U84" s="28" t="s">
        <v>28</v>
      </c>
      <c r="V84" s="28" t="s">
        <v>29</v>
      </c>
      <c r="W84" s="28" t="s">
        <v>52</v>
      </c>
    </row>
    <row r="85" spans="1:23" ht="15" customHeight="1" x14ac:dyDescent="0.25">
      <c r="A85" s="20" t="str">
        <f>VLOOKUP(F85,[1]CLIENTES!B:L,11,0)</f>
        <v>RODRIGO</v>
      </c>
      <c r="B85" s="20" t="s">
        <v>142</v>
      </c>
      <c r="C85" s="20">
        <v>46073</v>
      </c>
      <c r="D85" s="21" t="s">
        <v>21</v>
      </c>
      <c r="E85" s="21">
        <v>535</v>
      </c>
      <c r="F85" s="21">
        <v>5159222</v>
      </c>
      <c r="G85" s="21">
        <v>143312</v>
      </c>
      <c r="H85" s="21" t="s">
        <v>184</v>
      </c>
      <c r="I85" s="21" t="s">
        <v>71</v>
      </c>
      <c r="J85" s="21" t="s">
        <v>72</v>
      </c>
      <c r="K85" s="21">
        <v>186</v>
      </c>
      <c r="L85" s="22">
        <v>92</v>
      </c>
      <c r="M85" s="23" t="s">
        <v>185</v>
      </c>
      <c r="N85" s="24" t="s">
        <v>25</v>
      </c>
      <c r="O85" s="25">
        <v>46082</v>
      </c>
      <c r="P85" s="25" t="str">
        <f>VLOOKUP(F85,[1]CLIENTES!B:L,11,0)</f>
        <v>RODRIGO</v>
      </c>
      <c r="Q85" s="25" t="str">
        <f>VLOOKUP(F85,[1]CLIENTES!B:M,12,0)</f>
        <v>CELIO MARTINS</v>
      </c>
      <c r="R85" s="26" t="str">
        <f>VLOOKUP(F85,[1]CLIENTES!B:J,9,0)</f>
        <v>MARCELO SILVA</v>
      </c>
      <c r="S85" s="27">
        <v>1000</v>
      </c>
      <c r="T85" s="28" t="s">
        <v>44</v>
      </c>
      <c r="U85" s="28" t="s">
        <v>28</v>
      </c>
      <c r="V85" s="28" t="s">
        <v>29</v>
      </c>
      <c r="W85" s="28" t="s">
        <v>52</v>
      </c>
    </row>
    <row r="86" spans="1:23" ht="15" customHeight="1" x14ac:dyDescent="0.25">
      <c r="A86" s="20" t="str">
        <f>VLOOKUP(F86,[1]CLIENTES!B:L,11,0)</f>
        <v>RODRIGO</v>
      </c>
      <c r="B86" s="20" t="s">
        <v>142</v>
      </c>
      <c r="C86" s="20">
        <v>46073</v>
      </c>
      <c r="D86" s="21" t="s">
        <v>21</v>
      </c>
      <c r="E86" s="21">
        <v>519</v>
      </c>
      <c r="F86" s="21">
        <v>5226805</v>
      </c>
      <c r="G86" s="21">
        <v>150155</v>
      </c>
      <c r="H86" s="21" t="s">
        <v>86</v>
      </c>
      <c r="I86" s="21" t="s">
        <v>71</v>
      </c>
      <c r="J86" s="21" t="s">
        <v>72</v>
      </c>
      <c r="K86" s="21">
        <v>186</v>
      </c>
      <c r="L86" s="22">
        <v>92</v>
      </c>
      <c r="M86" s="23" t="s">
        <v>186</v>
      </c>
      <c r="N86" s="24" t="s">
        <v>25</v>
      </c>
      <c r="O86" s="25">
        <v>46082</v>
      </c>
      <c r="P86" s="25" t="str">
        <f>VLOOKUP(F86,[1]CLIENTES!B:L,11,0)</f>
        <v>RODRIGO</v>
      </c>
      <c r="Q86" s="25" t="str">
        <f>VLOOKUP(F86,[1]CLIENTES!B:M,12,0)</f>
        <v>CELIO MARTINS</v>
      </c>
      <c r="R86" s="26" t="str">
        <f>VLOOKUP(F86,[1]CLIENTES!B:J,9,0)</f>
        <v>CELIO/MARANATHA</v>
      </c>
      <c r="S86" s="27">
        <v>2600</v>
      </c>
      <c r="T86" s="28" t="s">
        <v>44</v>
      </c>
      <c r="U86" s="28" t="s">
        <v>28</v>
      </c>
      <c r="V86" s="28" t="s">
        <v>29</v>
      </c>
      <c r="W86" s="28" t="s">
        <v>52</v>
      </c>
    </row>
    <row r="87" spans="1:23" ht="15" customHeight="1" x14ac:dyDescent="0.25">
      <c r="A87" s="20" t="str">
        <f>VLOOKUP(F87,[1]CLIENTES!B:L,11,0)</f>
        <v>RODRIGO</v>
      </c>
      <c r="B87" s="20" t="s">
        <v>142</v>
      </c>
      <c r="C87" s="20">
        <v>46073</v>
      </c>
      <c r="D87" s="21" t="s">
        <v>21</v>
      </c>
      <c r="E87" s="21">
        <v>537</v>
      </c>
      <c r="F87" s="21">
        <v>5184211</v>
      </c>
      <c r="G87" s="21">
        <v>142662</v>
      </c>
      <c r="H87" s="21" t="s">
        <v>187</v>
      </c>
      <c r="I87" s="21" t="s">
        <v>188</v>
      </c>
      <c r="J87" s="21" t="s">
        <v>41</v>
      </c>
      <c r="K87" s="21">
        <v>179</v>
      </c>
      <c r="L87" s="22">
        <v>92</v>
      </c>
      <c r="M87" s="23" t="s">
        <v>189</v>
      </c>
      <c r="N87" s="24" t="s">
        <v>25</v>
      </c>
      <c r="O87" s="25">
        <v>46082</v>
      </c>
      <c r="P87" s="25" t="str">
        <f>VLOOKUP(F87,[1]CLIENTES!B:L,11,0)</f>
        <v>RODRIGO</v>
      </c>
      <c r="Q87" s="25" t="str">
        <f>VLOOKUP(F87,[1]CLIENTES!B:M,12,0)</f>
        <v>MARIA LOURDES</v>
      </c>
      <c r="R87" s="26" t="str">
        <f>VLOOKUP(F87,[1]CLIENTES!B:J,9,0)</f>
        <v>CLAUDIO JORGE</v>
      </c>
      <c r="S87" s="27">
        <v>18132.29</v>
      </c>
      <c r="T87" s="28" t="s">
        <v>44</v>
      </c>
      <c r="U87" s="28" t="s">
        <v>28</v>
      </c>
      <c r="V87" s="28" t="s">
        <v>29</v>
      </c>
      <c r="W87" s="28" t="s">
        <v>190</v>
      </c>
    </row>
    <row r="88" spans="1:23" ht="15" customHeight="1" x14ac:dyDescent="0.25">
      <c r="A88" s="20" t="str">
        <f>VLOOKUP(F88,[1]CLIENTES!B:L,11,0)</f>
        <v>RODRIGO</v>
      </c>
      <c r="B88" s="20" t="s">
        <v>142</v>
      </c>
      <c r="C88" s="20">
        <v>46073</v>
      </c>
      <c r="D88" s="21" t="s">
        <v>21</v>
      </c>
      <c r="E88" s="21">
        <v>519</v>
      </c>
      <c r="F88" s="21">
        <v>5226805</v>
      </c>
      <c r="G88" s="21">
        <v>150155</v>
      </c>
      <c r="H88" s="21" t="s">
        <v>86</v>
      </c>
      <c r="I88" s="21" t="s">
        <v>71</v>
      </c>
      <c r="J88" s="21" t="s">
        <v>72</v>
      </c>
      <c r="K88" s="21">
        <v>186</v>
      </c>
      <c r="L88" s="22">
        <v>92</v>
      </c>
      <c r="M88" s="23" t="s">
        <v>191</v>
      </c>
      <c r="N88" s="24" t="s">
        <v>25</v>
      </c>
      <c r="O88" s="25">
        <v>46082</v>
      </c>
      <c r="P88" s="25" t="str">
        <f>VLOOKUP(F88,[1]CLIENTES!B:L,11,0)</f>
        <v>RODRIGO</v>
      </c>
      <c r="Q88" s="25" t="str">
        <f>VLOOKUP(F88,[1]CLIENTES!B:M,12,0)</f>
        <v>CELIO MARTINS</v>
      </c>
      <c r="R88" s="26" t="str">
        <f>VLOOKUP(F88,[1]CLIENTES!B:J,9,0)</f>
        <v>CELIO/MARANATHA</v>
      </c>
      <c r="S88" s="27">
        <v>568</v>
      </c>
      <c r="T88" s="28" t="s">
        <v>44</v>
      </c>
      <c r="U88" s="28" t="s">
        <v>28</v>
      </c>
      <c r="V88" s="28" t="s">
        <v>29</v>
      </c>
      <c r="W88" s="28" t="s">
        <v>52</v>
      </c>
    </row>
    <row r="89" spans="1:23" ht="15" customHeight="1" x14ac:dyDescent="0.25">
      <c r="A89" s="20" t="str">
        <f>VLOOKUP(F89,[1]CLIENTES!B:L,11,0)</f>
        <v>RODRIGO</v>
      </c>
      <c r="B89" s="20" t="s">
        <v>142</v>
      </c>
      <c r="C89" s="20">
        <v>46076</v>
      </c>
      <c r="D89" s="21" t="s">
        <v>21</v>
      </c>
      <c r="E89" s="21">
        <v>540</v>
      </c>
      <c r="F89" s="21">
        <v>5011709</v>
      </c>
      <c r="G89" s="21">
        <v>117424</v>
      </c>
      <c r="H89" s="21" t="s">
        <v>70</v>
      </c>
      <c r="I89" s="21" t="s">
        <v>71</v>
      </c>
      <c r="J89" s="21" t="s">
        <v>72</v>
      </c>
      <c r="K89" s="21">
        <v>186</v>
      </c>
      <c r="L89" s="22">
        <v>92</v>
      </c>
      <c r="M89" s="23" t="s">
        <v>192</v>
      </c>
      <c r="N89" s="24" t="s">
        <v>25</v>
      </c>
      <c r="O89" s="25">
        <v>46082</v>
      </c>
      <c r="P89" s="25" t="str">
        <f>VLOOKUP(F89,[1]CLIENTES!B:L,11,0)</f>
        <v>RODRIGO</v>
      </c>
      <c r="Q89" s="25" t="str">
        <f>VLOOKUP(F89,[1]CLIENTES!B:M,12,0)</f>
        <v>CELIO MARTINS</v>
      </c>
      <c r="R89" s="26" t="str">
        <f>VLOOKUP(F89,[1]CLIENTES!B:J,9,0)</f>
        <v>CELIO MARTINS</v>
      </c>
      <c r="S89" s="27">
        <v>1600</v>
      </c>
      <c r="T89" s="28" t="s">
        <v>44</v>
      </c>
      <c r="U89" s="28" t="s">
        <v>28</v>
      </c>
      <c r="V89" s="28" t="s">
        <v>29</v>
      </c>
      <c r="W89" s="28" t="s">
        <v>52</v>
      </c>
    </row>
    <row r="90" spans="1:23" ht="15" customHeight="1" x14ac:dyDescent="0.25">
      <c r="A90" s="20" t="str">
        <f>VLOOKUP(F90,[1]CLIENTES!B:L,11,0)</f>
        <v>RODRIGO</v>
      </c>
      <c r="B90" s="20" t="s">
        <v>142</v>
      </c>
      <c r="C90" s="20">
        <v>46076</v>
      </c>
      <c r="D90" s="21" t="s">
        <v>21</v>
      </c>
      <c r="E90" s="21">
        <v>519</v>
      </c>
      <c r="F90" s="21">
        <v>5226805</v>
      </c>
      <c r="G90" s="21">
        <v>150155</v>
      </c>
      <c r="H90" s="21" t="s">
        <v>86</v>
      </c>
      <c r="I90" s="21" t="s">
        <v>71</v>
      </c>
      <c r="J90" s="21" t="s">
        <v>72</v>
      </c>
      <c r="K90" s="21">
        <v>186</v>
      </c>
      <c r="L90" s="22">
        <v>92</v>
      </c>
      <c r="M90" s="23" t="s">
        <v>193</v>
      </c>
      <c r="N90" s="24" t="s">
        <v>25</v>
      </c>
      <c r="O90" s="25">
        <v>46082</v>
      </c>
      <c r="P90" s="25" t="str">
        <f>VLOOKUP(F90,[1]CLIENTES!B:L,11,0)</f>
        <v>RODRIGO</v>
      </c>
      <c r="Q90" s="25" t="str">
        <f>VLOOKUP(F90,[1]CLIENTES!B:M,12,0)</f>
        <v>CELIO MARTINS</v>
      </c>
      <c r="R90" s="26" t="str">
        <f>VLOOKUP(F90,[1]CLIENTES!B:J,9,0)</f>
        <v>CELIO/MARANATHA</v>
      </c>
      <c r="S90" s="27">
        <v>850</v>
      </c>
      <c r="T90" s="28" t="s">
        <v>44</v>
      </c>
      <c r="U90" s="28" t="s">
        <v>28</v>
      </c>
      <c r="V90" s="28" t="s">
        <v>29</v>
      </c>
      <c r="W90" s="28" t="s">
        <v>52</v>
      </c>
    </row>
    <row r="91" spans="1:23" ht="15" customHeight="1" x14ac:dyDescent="0.25">
      <c r="A91" s="20" t="str">
        <f>VLOOKUP(F91,[1]CLIENTES!B:L,11,0)</f>
        <v>RODRIGO</v>
      </c>
      <c r="B91" s="20" t="s">
        <v>142</v>
      </c>
      <c r="C91" s="20">
        <v>46076</v>
      </c>
      <c r="D91" s="21" t="s">
        <v>21</v>
      </c>
      <c r="E91" s="21">
        <v>519</v>
      </c>
      <c r="F91" s="21">
        <v>5226805</v>
      </c>
      <c r="G91" s="21">
        <v>150155</v>
      </c>
      <c r="H91" s="21" t="s">
        <v>86</v>
      </c>
      <c r="I91" s="21" t="s">
        <v>71</v>
      </c>
      <c r="J91" s="21" t="s">
        <v>72</v>
      </c>
      <c r="K91" s="21">
        <v>186</v>
      </c>
      <c r="L91" s="22">
        <v>92</v>
      </c>
      <c r="M91" s="23" t="s">
        <v>194</v>
      </c>
      <c r="N91" s="24" t="s">
        <v>25</v>
      </c>
      <c r="O91" s="25">
        <v>46082</v>
      </c>
      <c r="P91" s="25" t="str">
        <f>VLOOKUP(F91,[1]CLIENTES!B:L,11,0)</f>
        <v>RODRIGO</v>
      </c>
      <c r="Q91" s="25" t="str">
        <f>VLOOKUP(F91,[1]CLIENTES!B:M,12,0)</f>
        <v>CELIO MARTINS</v>
      </c>
      <c r="R91" s="26" t="str">
        <f>VLOOKUP(F91,[1]CLIENTES!B:J,9,0)</f>
        <v>CELIO/MARANATHA</v>
      </c>
      <c r="S91" s="27">
        <v>5000</v>
      </c>
      <c r="T91" s="28" t="s">
        <v>44</v>
      </c>
      <c r="U91" s="28" t="s">
        <v>28</v>
      </c>
      <c r="V91" s="28" t="s">
        <v>29</v>
      </c>
      <c r="W91" s="28" t="s">
        <v>35</v>
      </c>
    </row>
    <row r="92" spans="1:23" ht="15" customHeight="1" x14ac:dyDescent="0.25">
      <c r="A92" s="20" t="str">
        <f>VLOOKUP(F92,[1]CLIENTES!B:L,11,0)</f>
        <v>RODRIGO</v>
      </c>
      <c r="B92" s="20" t="s">
        <v>142</v>
      </c>
      <c r="C92" s="20">
        <v>46076</v>
      </c>
      <c r="D92" s="21" t="s">
        <v>21</v>
      </c>
      <c r="E92" s="21">
        <v>2514</v>
      </c>
      <c r="F92" s="21">
        <v>5260577</v>
      </c>
      <c r="G92" s="21">
        <v>125428</v>
      </c>
      <c r="H92" s="21" t="s">
        <v>195</v>
      </c>
      <c r="I92" s="21" t="s">
        <v>196</v>
      </c>
      <c r="J92" s="21" t="s">
        <v>197</v>
      </c>
      <c r="K92" s="21">
        <v>565</v>
      </c>
      <c r="L92" s="22">
        <v>99</v>
      </c>
      <c r="M92" s="23" t="s">
        <v>198</v>
      </c>
      <c r="N92" s="24" t="s">
        <v>25</v>
      </c>
      <c r="O92" s="25">
        <v>46082</v>
      </c>
      <c r="P92" s="25" t="str">
        <f>VLOOKUP(F92,[1]CLIENTES!B:L,11,0)</f>
        <v>RODRIGO</v>
      </c>
      <c r="Q92" s="25" t="str">
        <f>VLOOKUP(F92,[1]CLIENTES!B:M,12,0)</f>
        <v>MARIA LOURDES</v>
      </c>
      <c r="R92" s="26" t="str">
        <f>VLOOKUP(F92,[1]CLIENTES!B:J,9,0)</f>
        <v>CLAUDIO JORGE</v>
      </c>
      <c r="S92" s="27">
        <v>6000</v>
      </c>
      <c r="T92" s="28" t="s">
        <v>44</v>
      </c>
      <c r="U92" s="28" t="s">
        <v>50</v>
      </c>
      <c r="V92" s="28" t="s">
        <v>51</v>
      </c>
      <c r="W92" s="28" t="s">
        <v>52</v>
      </c>
    </row>
    <row r="93" spans="1:23" ht="15" customHeight="1" x14ac:dyDescent="0.25">
      <c r="A93" s="20" t="str">
        <f>VLOOKUP(F93,[1]CLIENTES!B:L,11,0)</f>
        <v>RODRIGO</v>
      </c>
      <c r="B93" s="20" t="s">
        <v>142</v>
      </c>
      <c r="C93" s="20">
        <v>46076</v>
      </c>
      <c r="D93" s="21" t="s">
        <v>21</v>
      </c>
      <c r="E93" s="21">
        <v>499</v>
      </c>
      <c r="F93" s="21">
        <v>5017576</v>
      </c>
      <c r="G93" s="21">
        <v>116132</v>
      </c>
      <c r="H93" s="21" t="s">
        <v>31</v>
      </c>
      <c r="I93" s="21" t="s">
        <v>32</v>
      </c>
      <c r="J93" s="21">
        <v>6169</v>
      </c>
      <c r="K93" s="21">
        <v>690</v>
      </c>
      <c r="L93" s="22">
        <v>92</v>
      </c>
      <c r="M93" s="23" t="s">
        <v>199</v>
      </c>
      <c r="N93" s="24" t="s">
        <v>25</v>
      </c>
      <c r="O93" s="25">
        <v>46082</v>
      </c>
      <c r="P93" s="25" t="str">
        <f>VLOOKUP(F93,[1]CLIENTES!B:L,11,0)</f>
        <v>RODRIGO</v>
      </c>
      <c r="Q93" s="25" t="str">
        <f>VLOOKUP(F93,[1]CLIENTES!B:M,12,0)</f>
        <v>JESSICA</v>
      </c>
      <c r="R93" s="26" t="str">
        <f>VLOOKUP(F93,[1]CLIENTES!B:J,9,0)</f>
        <v>MARCELO DUARTE</v>
      </c>
      <c r="S93" s="27">
        <v>7000</v>
      </c>
      <c r="T93" s="28" t="s">
        <v>44</v>
      </c>
      <c r="U93" s="28" t="s">
        <v>28</v>
      </c>
      <c r="V93" s="28" t="s">
        <v>29</v>
      </c>
      <c r="W93" s="28" t="s">
        <v>52</v>
      </c>
    </row>
    <row r="94" spans="1:23" ht="15" customHeight="1" x14ac:dyDescent="0.25">
      <c r="A94" s="20" t="str">
        <f>VLOOKUP(F94,[1]CLIENTES!B:L,11,0)</f>
        <v>RODRIGO</v>
      </c>
      <c r="B94" s="20" t="s">
        <v>142</v>
      </c>
      <c r="C94" s="20">
        <v>46076</v>
      </c>
      <c r="D94" s="21" t="s">
        <v>21</v>
      </c>
      <c r="E94" s="21">
        <v>522</v>
      </c>
      <c r="F94" s="21">
        <v>5231303</v>
      </c>
      <c r="G94" s="21">
        <v>167018</v>
      </c>
      <c r="H94" s="21" t="s">
        <v>104</v>
      </c>
      <c r="I94" s="21" t="s">
        <v>37</v>
      </c>
      <c r="J94" s="21" t="s">
        <v>105</v>
      </c>
      <c r="K94" s="21">
        <v>189</v>
      </c>
      <c r="L94" s="22">
        <v>93</v>
      </c>
      <c r="M94" s="23" t="s">
        <v>200</v>
      </c>
      <c r="N94" s="24" t="s">
        <v>25</v>
      </c>
      <c r="O94" s="25">
        <v>46082</v>
      </c>
      <c r="P94" s="25" t="str">
        <f>VLOOKUP(F94,[1]CLIENTES!B:L,11,0)</f>
        <v>RODRIGO</v>
      </c>
      <c r="Q94" s="25" t="str">
        <f>VLOOKUP(F94,[1]CLIENTES!B:M,12,0)</f>
        <v>JESSICA</v>
      </c>
      <c r="R94" s="26" t="str">
        <f>VLOOKUP(F94,[1]CLIENTES!B:J,9,0)</f>
        <v>LUCIANA MARTINS</v>
      </c>
      <c r="S94" s="27">
        <v>5000</v>
      </c>
      <c r="T94" s="28" t="s">
        <v>44</v>
      </c>
      <c r="U94" s="28" t="s">
        <v>28</v>
      </c>
      <c r="V94" s="28" t="s">
        <v>29</v>
      </c>
      <c r="W94" s="28" t="s">
        <v>52</v>
      </c>
    </row>
    <row r="95" spans="1:23" ht="15" customHeight="1" x14ac:dyDescent="0.25">
      <c r="A95" s="20" t="str">
        <f>VLOOKUP(F95,[1]CLIENTES!B:L,11,0)</f>
        <v>RODRIGO</v>
      </c>
      <c r="B95" s="20" t="s">
        <v>142</v>
      </c>
      <c r="C95" s="20">
        <v>46076</v>
      </c>
      <c r="D95" s="21" t="s">
        <v>21</v>
      </c>
      <c r="E95" s="21">
        <v>522</v>
      </c>
      <c r="F95" s="21">
        <v>5226531</v>
      </c>
      <c r="G95" s="21">
        <v>304970</v>
      </c>
      <c r="H95" s="21" t="s">
        <v>110</v>
      </c>
      <c r="I95" s="21" t="s">
        <v>37</v>
      </c>
      <c r="J95" s="21">
        <v>6169</v>
      </c>
      <c r="K95" s="21">
        <v>689</v>
      </c>
      <c r="L95" s="22">
        <v>93</v>
      </c>
      <c r="M95" s="23" t="s">
        <v>201</v>
      </c>
      <c r="N95" s="24" t="s">
        <v>25</v>
      </c>
      <c r="O95" s="25">
        <v>46082</v>
      </c>
      <c r="P95" s="25" t="str">
        <f>VLOOKUP(F95,[1]CLIENTES!B:L,11,0)</f>
        <v>RODRIGO</v>
      </c>
      <c r="Q95" s="25" t="str">
        <f>VLOOKUP(F95,[1]CLIENTES!B:M,12,0)</f>
        <v>JESSICA</v>
      </c>
      <c r="R95" s="26" t="str">
        <f>VLOOKUP(F95,[1]CLIENTES!B:J,9,0)</f>
        <v>LUCIANA MARTINS</v>
      </c>
      <c r="S95" s="27">
        <v>1500</v>
      </c>
      <c r="T95" s="28" t="s">
        <v>44</v>
      </c>
      <c r="U95" s="28" t="s">
        <v>28</v>
      </c>
      <c r="V95" s="28" t="s">
        <v>29</v>
      </c>
      <c r="W95" s="28" t="s">
        <v>52</v>
      </c>
    </row>
    <row r="96" spans="1:23" ht="15" customHeight="1" x14ac:dyDescent="0.25">
      <c r="A96" s="20" t="str">
        <f>VLOOKUP(F96,[1]CLIENTES!B:L,11,0)</f>
        <v>RODRIGO</v>
      </c>
      <c r="B96" s="20" t="s">
        <v>142</v>
      </c>
      <c r="C96" s="20">
        <v>46076</v>
      </c>
      <c r="D96" s="21" t="s">
        <v>21</v>
      </c>
      <c r="E96" s="21">
        <v>516</v>
      </c>
      <c r="F96" s="21">
        <v>5115019</v>
      </c>
      <c r="G96" s="21">
        <v>123456</v>
      </c>
      <c r="H96" s="21" t="s">
        <v>36</v>
      </c>
      <c r="I96" s="21" t="s">
        <v>37</v>
      </c>
      <c r="J96" s="21">
        <v>6169</v>
      </c>
      <c r="K96" s="21">
        <v>689</v>
      </c>
      <c r="L96" s="22">
        <v>92</v>
      </c>
      <c r="M96" s="23" t="s">
        <v>202</v>
      </c>
      <c r="N96" s="24" t="s">
        <v>25</v>
      </c>
      <c r="O96" s="25">
        <v>46082</v>
      </c>
      <c r="P96" s="25" t="str">
        <f>VLOOKUP(F96,[1]CLIENTES!B:L,11,0)</f>
        <v>RODRIGO</v>
      </c>
      <c r="Q96" s="25" t="str">
        <f>VLOOKUP(F96,[1]CLIENTES!B:M,12,0)</f>
        <v>JESSICA</v>
      </c>
      <c r="R96" s="26" t="str">
        <f>VLOOKUP(F96,[1]CLIENTES!B:J,9,0)</f>
        <v>JESSICA CARLA</v>
      </c>
      <c r="S96" s="27">
        <v>10000</v>
      </c>
      <c r="T96" s="28" t="s">
        <v>44</v>
      </c>
      <c r="U96" s="28" t="s">
        <v>28</v>
      </c>
      <c r="V96" s="28" t="s">
        <v>29</v>
      </c>
      <c r="W96" s="28" t="s">
        <v>52</v>
      </c>
    </row>
    <row r="97" spans="1:23" ht="15" customHeight="1" x14ac:dyDescent="0.25">
      <c r="A97" s="20" t="str">
        <f>VLOOKUP(F97,[1]CLIENTES!B:L,11,0)</f>
        <v>RODRIGO</v>
      </c>
      <c r="B97" s="20" t="s">
        <v>142</v>
      </c>
      <c r="C97" s="20">
        <v>46076</v>
      </c>
      <c r="D97" s="21" t="s">
        <v>118</v>
      </c>
      <c r="E97" s="21">
        <v>4000155942</v>
      </c>
      <c r="F97" s="21">
        <v>5026399</v>
      </c>
      <c r="G97" s="21">
        <v>116247</v>
      </c>
      <c r="H97" s="21" t="s">
        <v>119</v>
      </c>
      <c r="I97" s="21" t="s">
        <v>37</v>
      </c>
      <c r="J97" s="21">
        <v>6169</v>
      </c>
      <c r="K97" s="21">
        <v>689</v>
      </c>
      <c r="L97" s="22">
        <v>92</v>
      </c>
      <c r="M97" s="23" t="s">
        <v>203</v>
      </c>
      <c r="N97" s="24" t="s">
        <v>25</v>
      </c>
      <c r="O97" s="25">
        <v>46079</v>
      </c>
      <c r="P97" s="25" t="str">
        <f>VLOOKUP(F97,[1]CLIENTES!B:L,11,0)</f>
        <v>RODRIGO</v>
      </c>
      <c r="Q97" s="25" t="str">
        <f>VLOOKUP(F97,[1]CLIENTES!B:M,12,0)</f>
        <v>JESSICA</v>
      </c>
      <c r="R97" s="26" t="str">
        <f>VLOOKUP(F97,[1]CLIENTES!B:J,9,0)</f>
        <v>JESSICA CARLA</v>
      </c>
      <c r="S97" s="27">
        <v>17130</v>
      </c>
      <c r="T97" s="28" t="s">
        <v>44</v>
      </c>
      <c r="U97" s="28" t="s">
        <v>28</v>
      </c>
      <c r="V97" s="28" t="s">
        <v>29</v>
      </c>
      <c r="W97" s="28" t="s">
        <v>204</v>
      </c>
    </row>
    <row r="98" spans="1:23" ht="15" customHeight="1" x14ac:dyDescent="0.25">
      <c r="A98" s="20" t="str">
        <f>VLOOKUP(F98,[1]CLIENTES!B:L,11,0)</f>
        <v>RODRIGO</v>
      </c>
      <c r="B98" s="20" t="s">
        <v>142</v>
      </c>
      <c r="C98" s="20">
        <v>46076</v>
      </c>
      <c r="D98" s="21" t="s">
        <v>118</v>
      </c>
      <c r="E98" s="21">
        <v>4000155943</v>
      </c>
      <c r="F98" s="21">
        <v>5026399</v>
      </c>
      <c r="G98" s="21">
        <v>116247</v>
      </c>
      <c r="H98" s="21" t="s">
        <v>119</v>
      </c>
      <c r="I98" s="21" t="s">
        <v>37</v>
      </c>
      <c r="J98" s="21">
        <v>6169</v>
      </c>
      <c r="K98" s="21">
        <v>689</v>
      </c>
      <c r="L98" s="22">
        <v>92</v>
      </c>
      <c r="M98" s="23" t="s">
        <v>205</v>
      </c>
      <c r="N98" s="24" t="s">
        <v>25</v>
      </c>
      <c r="O98" s="25">
        <v>46079</v>
      </c>
      <c r="P98" s="25" t="str">
        <f>VLOOKUP(F98,[1]CLIENTES!B:L,11,0)</f>
        <v>RODRIGO</v>
      </c>
      <c r="Q98" s="25" t="str">
        <f>VLOOKUP(F98,[1]CLIENTES!B:M,12,0)</f>
        <v>JESSICA</v>
      </c>
      <c r="R98" s="26" t="str">
        <f>VLOOKUP(F98,[1]CLIENTES!B:J,9,0)</f>
        <v>JESSICA CARLA</v>
      </c>
      <c r="S98" s="27">
        <v>7345</v>
      </c>
      <c r="T98" s="28" t="s">
        <v>44</v>
      </c>
      <c r="U98" s="28" t="s">
        <v>28</v>
      </c>
      <c r="V98" s="28" t="s">
        <v>29</v>
      </c>
      <c r="W98" s="28" t="s">
        <v>204</v>
      </c>
    </row>
    <row r="99" spans="1:23" ht="15" customHeight="1" x14ac:dyDescent="0.25">
      <c r="A99" s="20" t="str">
        <f>VLOOKUP(F99,[1]CLIENTES!B:L,11,0)</f>
        <v>RODRIGO</v>
      </c>
      <c r="B99" s="20" t="s">
        <v>142</v>
      </c>
      <c r="C99" s="20">
        <v>46076</v>
      </c>
      <c r="D99" s="21" t="s">
        <v>118</v>
      </c>
      <c r="E99" s="21">
        <v>4000155952</v>
      </c>
      <c r="F99" s="21">
        <v>5026399</v>
      </c>
      <c r="G99" s="21">
        <v>116247</v>
      </c>
      <c r="H99" s="21" t="s">
        <v>119</v>
      </c>
      <c r="I99" s="21" t="s">
        <v>37</v>
      </c>
      <c r="J99" s="21">
        <v>6169</v>
      </c>
      <c r="K99" s="21">
        <v>689</v>
      </c>
      <c r="L99" s="22">
        <v>92</v>
      </c>
      <c r="M99" s="23" t="s">
        <v>206</v>
      </c>
      <c r="N99" s="24" t="s">
        <v>25</v>
      </c>
      <c r="O99" s="25">
        <v>46079</v>
      </c>
      <c r="P99" s="25" t="str">
        <f>VLOOKUP(F99,[1]CLIENTES!B:L,11,0)</f>
        <v>RODRIGO</v>
      </c>
      <c r="Q99" s="25" t="str">
        <f>VLOOKUP(F99,[1]CLIENTES!B:M,12,0)</f>
        <v>JESSICA</v>
      </c>
      <c r="R99" s="26" t="str">
        <f>VLOOKUP(F99,[1]CLIENTES!B:J,9,0)</f>
        <v>JESSICA CARLA</v>
      </c>
      <c r="S99" s="27">
        <v>25383</v>
      </c>
      <c r="T99" s="28" t="s">
        <v>44</v>
      </c>
      <c r="U99" s="28" t="s">
        <v>28</v>
      </c>
      <c r="V99" s="28" t="s">
        <v>29</v>
      </c>
      <c r="W99" s="28" t="s">
        <v>204</v>
      </c>
    </row>
    <row r="100" spans="1:23" ht="15" customHeight="1" x14ac:dyDescent="0.25">
      <c r="A100" s="20" t="str">
        <f>VLOOKUP(F100,[1]CLIENTES!B:L,11,0)</f>
        <v>RODRIGO</v>
      </c>
      <c r="B100" s="20" t="s">
        <v>142</v>
      </c>
      <c r="C100" s="20">
        <v>46078</v>
      </c>
      <c r="D100" s="21" t="s">
        <v>21</v>
      </c>
      <c r="E100" s="21">
        <v>630</v>
      </c>
      <c r="F100" s="21">
        <v>5225860</v>
      </c>
      <c r="G100" s="21">
        <v>180402</v>
      </c>
      <c r="H100" s="21" t="s">
        <v>39</v>
      </c>
      <c r="I100" s="21" t="s">
        <v>40</v>
      </c>
      <c r="J100" s="21" t="s">
        <v>41</v>
      </c>
      <c r="K100" s="21">
        <v>194</v>
      </c>
      <c r="L100" s="22">
        <v>92</v>
      </c>
      <c r="M100" s="23" t="s">
        <v>207</v>
      </c>
      <c r="N100" s="24" t="s">
        <v>25</v>
      </c>
      <c r="O100" s="25">
        <v>46082</v>
      </c>
      <c r="P100" s="25" t="str">
        <f>VLOOKUP(F100,[1]CLIENTES!B:L,11,0)</f>
        <v>RODRIGO</v>
      </c>
      <c r="Q100" s="25" t="str">
        <f>VLOOKUP(F100,[1]CLIENTES!B:M,12,0)</f>
        <v>MARIA LOURDES</v>
      </c>
      <c r="R100" s="26" t="str">
        <f>VLOOKUP(F100,[1]CLIENTES!B:J,9,0)</f>
        <v>CLAUDIO JORGE/AMANDA SANDS</v>
      </c>
      <c r="S100" s="27">
        <v>18000</v>
      </c>
      <c r="T100" s="28" t="s">
        <v>44</v>
      </c>
      <c r="U100" s="28" t="s">
        <v>28</v>
      </c>
      <c r="V100" s="28" t="s">
        <v>29</v>
      </c>
      <c r="W100" s="28" t="s">
        <v>52</v>
      </c>
    </row>
    <row r="101" spans="1:23" ht="15" customHeight="1" x14ac:dyDescent="0.25">
      <c r="A101" s="20" t="str">
        <f>VLOOKUP(F101,[1]CLIENTES!B:L,11,0)</f>
        <v>RODRIGO</v>
      </c>
      <c r="B101" s="20" t="s">
        <v>142</v>
      </c>
      <c r="C101" s="20">
        <v>46078</v>
      </c>
      <c r="D101" s="21" t="s">
        <v>21</v>
      </c>
      <c r="E101" s="21">
        <v>608</v>
      </c>
      <c r="F101" s="21">
        <v>5133664</v>
      </c>
      <c r="G101" s="21">
        <v>142632</v>
      </c>
      <c r="H101" s="21" t="s">
        <v>134</v>
      </c>
      <c r="I101" s="21" t="s">
        <v>40</v>
      </c>
      <c r="J101" s="21" t="s">
        <v>41</v>
      </c>
      <c r="K101" s="21">
        <v>194</v>
      </c>
      <c r="L101" s="22">
        <v>92</v>
      </c>
      <c r="M101" s="23" t="s">
        <v>207</v>
      </c>
      <c r="N101" s="24" t="s">
        <v>25</v>
      </c>
      <c r="O101" s="25">
        <v>46082</v>
      </c>
      <c r="P101" s="25" t="str">
        <f>VLOOKUP(F101,[1]CLIENTES!B:L,11,0)</f>
        <v>RODRIGO</v>
      </c>
      <c r="Q101" s="25" t="str">
        <f>VLOOKUP(F101,[1]CLIENTES!B:M,12,0)</f>
        <v>MARIA LOURDES</v>
      </c>
      <c r="R101" s="26" t="str">
        <f>VLOOKUP(F101,[1]CLIENTES!B:J,9,0)</f>
        <v>CLAUDIO JORGE/AMANDA SANDS</v>
      </c>
      <c r="S101" s="27">
        <v>10000</v>
      </c>
      <c r="T101" s="28" t="s">
        <v>44</v>
      </c>
      <c r="U101" s="28" t="s">
        <v>28</v>
      </c>
      <c r="V101" s="28" t="s">
        <v>29</v>
      </c>
      <c r="W101" s="28" t="s">
        <v>52</v>
      </c>
    </row>
    <row r="102" spans="1:23" ht="15" customHeight="1" x14ac:dyDescent="0.25">
      <c r="A102" s="20" t="str">
        <f>VLOOKUP(F102,[1]CLIENTES!B:L,11,0)</f>
        <v>RODRIGO</v>
      </c>
      <c r="B102" s="20" t="s">
        <v>142</v>
      </c>
      <c r="C102" s="20">
        <v>46078</v>
      </c>
      <c r="D102" s="21" t="s">
        <v>21</v>
      </c>
      <c r="E102" s="21">
        <v>572</v>
      </c>
      <c r="F102" s="21">
        <v>5004685</v>
      </c>
      <c r="G102" s="21">
        <v>110434</v>
      </c>
      <c r="H102" s="21" t="s">
        <v>116</v>
      </c>
      <c r="I102" s="21" t="s">
        <v>23</v>
      </c>
      <c r="J102" s="21">
        <v>6125</v>
      </c>
      <c r="K102" s="21">
        <v>692</v>
      </c>
      <c r="L102" s="22">
        <v>93</v>
      </c>
      <c r="M102" s="23" t="s">
        <v>208</v>
      </c>
      <c r="N102" s="24" t="s">
        <v>25</v>
      </c>
      <c r="O102" s="25">
        <v>46082</v>
      </c>
      <c r="P102" s="25" t="str">
        <f>VLOOKUP(F102,[1]CLIENTES!B:L,11,0)</f>
        <v>RODRIGO</v>
      </c>
      <c r="Q102" s="25" t="str">
        <f>VLOOKUP(F102,[1]CLIENTES!B:M,12,0)</f>
        <v>ALEXANDRO</v>
      </c>
      <c r="R102" s="26" t="str">
        <f>VLOOKUP(F102,[1]CLIENTES!B:J,9,0)</f>
        <v>ALEXANDRO RODRIGUES</v>
      </c>
      <c r="S102" s="27">
        <v>32000</v>
      </c>
      <c r="T102" s="28" t="s">
        <v>44</v>
      </c>
      <c r="U102" s="28" t="s">
        <v>28</v>
      </c>
      <c r="V102" s="28" t="s">
        <v>29</v>
      </c>
      <c r="W102" s="28" t="s">
        <v>60</v>
      </c>
    </row>
    <row r="103" spans="1:23" ht="15" customHeight="1" x14ac:dyDescent="0.25">
      <c r="A103" s="20" t="str">
        <f>VLOOKUP(F103,[1]CLIENTES!B:L,11,0)</f>
        <v>RODRIGO</v>
      </c>
      <c r="B103" s="20" t="s">
        <v>142</v>
      </c>
      <c r="C103" s="20">
        <v>46078</v>
      </c>
      <c r="D103" s="21" t="s">
        <v>21</v>
      </c>
      <c r="E103" s="21">
        <v>2576</v>
      </c>
      <c r="F103" s="21">
        <v>5157891</v>
      </c>
      <c r="G103" s="21">
        <v>165987</v>
      </c>
      <c r="H103" s="21" t="s">
        <v>209</v>
      </c>
      <c r="I103" s="21" t="s">
        <v>23</v>
      </c>
      <c r="J103" s="21" t="s">
        <v>47</v>
      </c>
      <c r="K103" s="21">
        <v>722</v>
      </c>
      <c r="L103" s="22">
        <v>28</v>
      </c>
      <c r="M103" s="23" t="s">
        <v>210</v>
      </c>
      <c r="N103" s="24" t="s">
        <v>25</v>
      </c>
      <c r="O103" s="25">
        <v>46082</v>
      </c>
      <c r="P103" s="25" t="str">
        <f>VLOOKUP(F103,[1]CLIENTES!B:L,11,0)</f>
        <v>RODRIGO</v>
      </c>
      <c r="Q103" s="25" t="str">
        <f>VLOOKUP(F103,[1]CLIENTES!B:M,12,0)</f>
        <v>RAQUEL BARBOSA</v>
      </c>
      <c r="R103" s="26" t="str">
        <f>VLOOKUP(F103,[1]CLIENTES!B:J,9,0)</f>
        <v>RAQUEL BARBOSA</v>
      </c>
      <c r="S103" s="27">
        <v>30000</v>
      </c>
      <c r="T103" s="28" t="s">
        <v>44</v>
      </c>
      <c r="U103" s="28" t="s">
        <v>50</v>
      </c>
      <c r="V103" s="28" t="s">
        <v>51</v>
      </c>
      <c r="W103" s="28" t="s">
        <v>60</v>
      </c>
    </row>
    <row r="104" spans="1:23" ht="15" customHeight="1" x14ac:dyDescent="0.25">
      <c r="A104" s="20" t="str">
        <f>VLOOKUP(F104,[1]CLIENTES!B:L,11,0)</f>
        <v>RODRIGO</v>
      </c>
      <c r="B104" s="20" t="s">
        <v>142</v>
      </c>
      <c r="C104" s="20">
        <v>46078</v>
      </c>
      <c r="D104" s="21" t="s">
        <v>21</v>
      </c>
      <c r="E104" s="21">
        <v>2574</v>
      </c>
      <c r="F104" s="21">
        <v>5006978</v>
      </c>
      <c r="G104" s="21">
        <v>103036</v>
      </c>
      <c r="H104" s="21" t="s">
        <v>58</v>
      </c>
      <c r="I104" s="21" t="s">
        <v>23</v>
      </c>
      <c r="J104" s="21" t="s">
        <v>47</v>
      </c>
      <c r="K104" s="21">
        <v>722</v>
      </c>
      <c r="L104" s="22">
        <v>25</v>
      </c>
      <c r="M104" s="23" t="s">
        <v>211</v>
      </c>
      <c r="N104" s="24" t="s">
        <v>25</v>
      </c>
      <c r="O104" s="25">
        <v>46082</v>
      </c>
      <c r="P104" s="25" t="str">
        <f>VLOOKUP(F104,[1]CLIENTES!B:L,11,0)</f>
        <v>RODRIGO</v>
      </c>
      <c r="Q104" s="25" t="str">
        <f>VLOOKUP(F104,[1]CLIENTES!B:M,12,0)</f>
        <v>RAQUEL BARBOSA</v>
      </c>
      <c r="R104" s="26" t="str">
        <f>VLOOKUP(F104,[1]CLIENTES!B:J,9,0)</f>
        <v>RAQUEL BARBOSA</v>
      </c>
      <c r="S104" s="27">
        <v>15000</v>
      </c>
      <c r="T104" s="28" t="s">
        <v>44</v>
      </c>
      <c r="U104" s="28" t="s">
        <v>50</v>
      </c>
      <c r="V104" s="28" t="s">
        <v>51</v>
      </c>
      <c r="W104" s="28" t="s">
        <v>60</v>
      </c>
    </row>
    <row r="105" spans="1:23" ht="15" customHeight="1" x14ac:dyDescent="0.25">
      <c r="A105" s="20" t="str">
        <f>VLOOKUP(F105,[1]CLIENTES!B:L,11,0)</f>
        <v>RODRIGO</v>
      </c>
      <c r="B105" s="20" t="s">
        <v>142</v>
      </c>
      <c r="C105" s="20">
        <v>46078</v>
      </c>
      <c r="D105" s="21" t="s">
        <v>21</v>
      </c>
      <c r="E105" s="21">
        <v>618</v>
      </c>
      <c r="F105" s="21">
        <v>5186266</v>
      </c>
      <c r="G105" s="21">
        <v>142707</v>
      </c>
      <c r="H105" s="21" t="s">
        <v>212</v>
      </c>
      <c r="I105" s="21" t="s">
        <v>213</v>
      </c>
      <c r="J105" s="21" t="s">
        <v>214</v>
      </c>
      <c r="K105" s="21">
        <v>197</v>
      </c>
      <c r="L105" s="22">
        <v>92</v>
      </c>
      <c r="M105" s="23" t="s">
        <v>215</v>
      </c>
      <c r="N105" s="24" t="s">
        <v>25</v>
      </c>
      <c r="O105" s="25">
        <v>46082</v>
      </c>
      <c r="P105" s="25" t="str">
        <f>VLOOKUP(F105,[1]CLIENTES!B:L,11,0)</f>
        <v>RODRIGO</v>
      </c>
      <c r="Q105" s="25" t="str">
        <f>VLOOKUP(F105,[1]CLIENTES!B:M,12,0)</f>
        <v>MARCO AURELIO</v>
      </c>
      <c r="R105" s="26" t="str">
        <f>VLOOKUP(F105,[1]CLIENTES!B:J,9,0)</f>
        <v>CLAUDIO JORGE</v>
      </c>
      <c r="S105" s="27">
        <v>2193.85</v>
      </c>
      <c r="T105" s="28" t="s">
        <v>44</v>
      </c>
      <c r="U105" s="28" t="s">
        <v>28</v>
      </c>
      <c r="V105" s="28" t="s">
        <v>29</v>
      </c>
      <c r="W105" s="28" t="s">
        <v>52</v>
      </c>
    </row>
    <row r="106" spans="1:23" ht="15" customHeight="1" x14ac:dyDescent="0.25">
      <c r="A106" s="20" t="str">
        <f>VLOOKUP(F106,[1]CLIENTES!B:L,11,0)</f>
        <v>PEDRO</v>
      </c>
      <c r="B106" s="20" t="s">
        <v>142</v>
      </c>
      <c r="C106" s="20">
        <v>46076</v>
      </c>
      <c r="D106" s="21" t="s">
        <v>21</v>
      </c>
      <c r="E106" s="21">
        <v>561</v>
      </c>
      <c r="F106" s="21">
        <v>5119520</v>
      </c>
      <c r="G106" s="21">
        <v>184655</v>
      </c>
      <c r="H106" s="21" t="s">
        <v>216</v>
      </c>
      <c r="I106" s="21" t="s">
        <v>217</v>
      </c>
      <c r="J106" s="21" t="s">
        <v>218</v>
      </c>
      <c r="K106" s="21">
        <v>195</v>
      </c>
      <c r="L106" s="22">
        <v>93</v>
      </c>
      <c r="M106" s="23" t="s">
        <v>219</v>
      </c>
      <c r="N106" s="24" t="s">
        <v>25</v>
      </c>
      <c r="O106" s="25">
        <v>46082</v>
      </c>
      <c r="P106" s="25" t="str">
        <f>VLOOKUP(F106,[1]CLIENTES!B:L,11,0)</f>
        <v>PEDRO</v>
      </c>
      <c r="Q106" s="25" t="str">
        <f>VLOOKUP(F106,[1]CLIENTES!B:M,12,0)</f>
        <v>VAGO QSR</v>
      </c>
      <c r="R106" s="26" t="str">
        <f>VLOOKUP(F106,[1]CLIENTES!B:J,9,0)</f>
        <v>VAGO QSR</v>
      </c>
      <c r="S106" s="27">
        <v>8214.68</v>
      </c>
      <c r="T106" s="28" t="s">
        <v>44</v>
      </c>
      <c r="U106" s="28" t="s">
        <v>28</v>
      </c>
      <c r="V106" s="28" t="s">
        <v>29</v>
      </c>
      <c r="W106" s="28" t="s">
        <v>35</v>
      </c>
    </row>
    <row r="107" spans="1:23" ht="15" customHeight="1" x14ac:dyDescent="0.25">
      <c r="A107" s="20" t="str">
        <f>VLOOKUP(F107,[1]CLIENTES!B:L,11,0)</f>
        <v>RODRIGO</v>
      </c>
      <c r="B107" s="20" t="s">
        <v>220</v>
      </c>
      <c r="C107" s="20">
        <v>46076</v>
      </c>
      <c r="D107" s="21" t="s">
        <v>21</v>
      </c>
      <c r="E107" s="21">
        <v>970</v>
      </c>
      <c r="F107" s="21">
        <v>5226805</v>
      </c>
      <c r="G107" s="21">
        <v>150155</v>
      </c>
      <c r="H107" s="21" t="s">
        <v>86</v>
      </c>
      <c r="I107" s="21" t="s">
        <v>71</v>
      </c>
      <c r="J107" s="21" t="s">
        <v>72</v>
      </c>
      <c r="K107" s="21">
        <v>186</v>
      </c>
      <c r="L107" s="22">
        <v>92</v>
      </c>
      <c r="M107" s="23" t="s">
        <v>221</v>
      </c>
      <c r="N107" s="24" t="s">
        <v>25</v>
      </c>
      <c r="O107" s="25">
        <v>46113</v>
      </c>
      <c r="P107" s="25" t="str">
        <f>VLOOKUP(F107,[1]CLIENTES!B:L,11,0)</f>
        <v>RODRIGO</v>
      </c>
      <c r="Q107" s="25" t="str">
        <f>VLOOKUP(F107,[1]CLIENTES!B:M,12,0)</f>
        <v>CELIO MARTINS</v>
      </c>
      <c r="R107" s="26" t="str">
        <f>VLOOKUP(F107,[1]CLIENTES!B:J,9,0)</f>
        <v>CELIO/MARANATHA</v>
      </c>
      <c r="S107" s="27">
        <v>5000</v>
      </c>
      <c r="T107" s="28" t="s">
        <v>44</v>
      </c>
      <c r="U107" s="28" t="s">
        <v>28</v>
      </c>
      <c r="V107" s="28" t="s">
        <v>29</v>
      </c>
      <c r="W107" s="28" t="s">
        <v>35</v>
      </c>
    </row>
    <row r="108" spans="1:23" ht="15" customHeight="1" x14ac:dyDescent="0.25">
      <c r="A108" s="20" t="str">
        <f>VLOOKUP(F108,[1]CLIENTES!B:L,11,0)</f>
        <v>RODRIGO</v>
      </c>
      <c r="B108" s="20" t="s">
        <v>220</v>
      </c>
      <c r="C108" s="20">
        <v>46084</v>
      </c>
      <c r="D108" s="21" t="s">
        <v>21</v>
      </c>
      <c r="E108" s="21">
        <v>983</v>
      </c>
      <c r="F108" s="21">
        <v>5157891</v>
      </c>
      <c r="G108" s="21">
        <v>165987</v>
      </c>
      <c r="H108" s="21" t="s">
        <v>209</v>
      </c>
      <c r="I108" s="21" t="s">
        <v>23</v>
      </c>
      <c r="J108" s="21">
        <v>6125</v>
      </c>
      <c r="K108" s="21">
        <v>692</v>
      </c>
      <c r="L108" s="22">
        <v>92</v>
      </c>
      <c r="M108" s="23" t="s">
        <v>222</v>
      </c>
      <c r="N108" s="24" t="s">
        <v>25</v>
      </c>
      <c r="O108" s="25">
        <v>46113</v>
      </c>
      <c r="P108" s="25" t="str">
        <f>VLOOKUP(F108,[1]CLIENTES!B:L,11,0)</f>
        <v>RODRIGO</v>
      </c>
      <c r="Q108" s="25" t="str">
        <f>VLOOKUP(F108,[1]CLIENTES!B:M,12,0)</f>
        <v>RAQUEL BARBOSA</v>
      </c>
      <c r="R108" s="26" t="str">
        <f>VLOOKUP(F108,[1]CLIENTES!B:J,9,0)</f>
        <v>RAQUEL BARBOSA</v>
      </c>
      <c r="S108" s="27">
        <v>4365.6499999999996</v>
      </c>
      <c r="T108" s="28" t="s">
        <v>44</v>
      </c>
      <c r="U108" s="28" t="s">
        <v>28</v>
      </c>
      <c r="V108" s="28" t="s">
        <v>29</v>
      </c>
      <c r="W108" s="28" t="s">
        <v>149</v>
      </c>
    </row>
    <row r="109" spans="1:23" ht="15" customHeight="1" x14ac:dyDescent="0.25">
      <c r="A109" s="20" t="str">
        <f>VLOOKUP(F109,[1]CLIENTES!B:L,11,0)</f>
        <v>RODRIGO</v>
      </c>
      <c r="B109" s="20" t="s">
        <v>220</v>
      </c>
      <c r="C109" s="20">
        <v>46084</v>
      </c>
      <c r="D109" s="21" t="s">
        <v>21</v>
      </c>
      <c r="E109" s="21">
        <v>974</v>
      </c>
      <c r="F109" s="21">
        <v>5006978</v>
      </c>
      <c r="G109" s="21">
        <v>103036</v>
      </c>
      <c r="H109" s="21" t="s">
        <v>58</v>
      </c>
      <c r="I109" s="21" t="s">
        <v>23</v>
      </c>
      <c r="J109" s="21">
        <v>6125</v>
      </c>
      <c r="K109" s="21">
        <v>692</v>
      </c>
      <c r="L109" s="22">
        <v>92</v>
      </c>
      <c r="M109" s="23" t="s">
        <v>223</v>
      </c>
      <c r="N109" s="24" t="s">
        <v>25</v>
      </c>
      <c r="O109" s="25">
        <v>46113</v>
      </c>
      <c r="P109" s="25" t="str">
        <f>VLOOKUP(F109,[1]CLIENTES!B:L,11,0)</f>
        <v>RODRIGO</v>
      </c>
      <c r="Q109" s="25" t="str">
        <f>VLOOKUP(F109,[1]CLIENTES!B:M,12,0)</f>
        <v>RAQUEL BARBOSA</v>
      </c>
      <c r="R109" s="26" t="str">
        <f>VLOOKUP(F109,[1]CLIENTES!B:J,9,0)</f>
        <v>RAQUEL BARBOSA</v>
      </c>
      <c r="S109" s="27">
        <v>8632.15</v>
      </c>
      <c r="T109" s="28" t="s">
        <v>44</v>
      </c>
      <c r="U109" s="28" t="s">
        <v>28</v>
      </c>
      <c r="V109" s="28" t="s">
        <v>29</v>
      </c>
      <c r="W109" s="28" t="s">
        <v>60</v>
      </c>
    </row>
    <row r="110" spans="1:23" ht="15" customHeight="1" x14ac:dyDescent="0.25">
      <c r="A110" s="20" t="str">
        <f>VLOOKUP(F110,[1]CLIENTES!B:L,11,0)</f>
        <v>RODRIGO</v>
      </c>
      <c r="B110" s="20" t="s">
        <v>220</v>
      </c>
      <c r="C110" s="20">
        <v>46084</v>
      </c>
      <c r="D110" s="21" t="s">
        <v>21</v>
      </c>
      <c r="E110" s="21">
        <v>3855</v>
      </c>
      <c r="F110" s="21">
        <v>5006978</v>
      </c>
      <c r="G110" s="21">
        <v>103036</v>
      </c>
      <c r="H110" s="21" t="s">
        <v>58</v>
      </c>
      <c r="I110" s="21" t="s">
        <v>23</v>
      </c>
      <c r="J110" s="21" t="s">
        <v>47</v>
      </c>
      <c r="K110" s="21">
        <v>722</v>
      </c>
      <c r="L110" s="22">
        <v>25</v>
      </c>
      <c r="M110" s="23" t="s">
        <v>224</v>
      </c>
      <c r="N110" s="24" t="s">
        <v>25</v>
      </c>
      <c r="O110" s="25">
        <v>46113</v>
      </c>
      <c r="P110" s="25" t="str">
        <f>VLOOKUP(F110,[1]CLIENTES!B:L,11,0)</f>
        <v>RODRIGO</v>
      </c>
      <c r="Q110" s="25" t="str">
        <f>VLOOKUP(F110,[1]CLIENTES!B:M,12,0)</f>
        <v>RAQUEL BARBOSA</v>
      </c>
      <c r="R110" s="26" t="str">
        <f>VLOOKUP(F110,[1]CLIENTES!B:J,9,0)</f>
        <v>RAQUEL BARBOSA</v>
      </c>
      <c r="S110" s="27">
        <v>34942.769999999997</v>
      </c>
      <c r="T110" s="28" t="s">
        <v>44</v>
      </c>
      <c r="U110" s="28" t="s">
        <v>50</v>
      </c>
      <c r="V110" s="28" t="s">
        <v>51</v>
      </c>
      <c r="W110" s="28" t="s">
        <v>60</v>
      </c>
    </row>
    <row r="111" spans="1:23" ht="15" customHeight="1" x14ac:dyDescent="0.25">
      <c r="A111" s="20" t="str">
        <f>VLOOKUP(F111,[1]CLIENTES!B:L,11,0)</f>
        <v>RODRIGO</v>
      </c>
      <c r="B111" s="20" t="s">
        <v>220</v>
      </c>
      <c r="C111" s="20">
        <v>46084</v>
      </c>
      <c r="D111" s="21" t="s">
        <v>21</v>
      </c>
      <c r="E111" s="21">
        <v>984</v>
      </c>
      <c r="F111" s="21">
        <v>5217293</v>
      </c>
      <c r="G111" s="21">
        <v>145966</v>
      </c>
      <c r="H111" s="21" t="s">
        <v>86</v>
      </c>
      <c r="I111" s="21" t="s">
        <v>23</v>
      </c>
      <c r="J111" s="21">
        <v>6125</v>
      </c>
      <c r="K111" s="21">
        <v>692</v>
      </c>
      <c r="L111" s="22">
        <v>92</v>
      </c>
      <c r="M111" s="23" t="s">
        <v>226</v>
      </c>
      <c r="N111" s="24" t="s">
        <v>25</v>
      </c>
      <c r="O111" s="25">
        <v>46113</v>
      </c>
      <c r="P111" s="25" t="str">
        <f>VLOOKUP(F111,[1]CLIENTES!B:L,11,0)</f>
        <v>RODRIGO</v>
      </c>
      <c r="Q111" s="25" t="str">
        <f>VLOOKUP(F111,[1]CLIENTES!B:M,12,0)</f>
        <v>RAQUEL BARBOSA</v>
      </c>
      <c r="R111" s="26" t="str">
        <f>VLOOKUP(F111,[1]CLIENTES!B:J,9,0)</f>
        <v>VAGO SP</v>
      </c>
      <c r="S111" s="27">
        <v>2222.2199999999998</v>
      </c>
      <c r="T111" s="28" t="s">
        <v>44</v>
      </c>
      <c r="U111" s="28" t="s">
        <v>28</v>
      </c>
      <c r="V111" s="28" t="s">
        <v>29</v>
      </c>
      <c r="W111" s="28" t="s">
        <v>35</v>
      </c>
    </row>
    <row r="112" spans="1:23" ht="15" customHeight="1" x14ac:dyDescent="0.25">
      <c r="A112" s="20" t="str">
        <f>VLOOKUP(F112,[1]CLIENTES!B:L,11,0)</f>
        <v>RODRIGO</v>
      </c>
      <c r="B112" s="20" t="s">
        <v>220</v>
      </c>
      <c r="C112" s="20">
        <v>46084</v>
      </c>
      <c r="D112" s="21" t="s">
        <v>21</v>
      </c>
      <c r="E112" s="21">
        <v>977</v>
      </c>
      <c r="F112" s="21">
        <v>5159289</v>
      </c>
      <c r="G112" s="21">
        <v>143188</v>
      </c>
      <c r="H112" s="21" t="s">
        <v>227</v>
      </c>
      <c r="I112" s="21" t="s">
        <v>23</v>
      </c>
      <c r="J112" s="21">
        <v>6125</v>
      </c>
      <c r="K112" s="21">
        <v>692</v>
      </c>
      <c r="L112" s="22">
        <v>93</v>
      </c>
      <c r="M112" s="23" t="s">
        <v>228</v>
      </c>
      <c r="N112" s="24" t="s">
        <v>25</v>
      </c>
      <c r="O112" s="25">
        <v>46113</v>
      </c>
      <c r="P112" s="25" t="str">
        <f>VLOOKUP(F112,[1]CLIENTES!B:L,11,0)</f>
        <v>RODRIGO</v>
      </c>
      <c r="Q112" s="25" t="str">
        <f>VLOOKUP(F112,[1]CLIENTES!B:M,12,0)</f>
        <v>RAQUEL BARBOSA</v>
      </c>
      <c r="R112" s="26" t="str">
        <f>VLOOKUP(F112,[1]CLIENTES!B:J,9,0)</f>
        <v>VAGO SP</v>
      </c>
      <c r="S112" s="27">
        <v>330</v>
      </c>
      <c r="T112" s="28" t="s">
        <v>44</v>
      </c>
      <c r="U112" s="28" t="s">
        <v>28</v>
      </c>
      <c r="V112" s="28" t="s">
        <v>29</v>
      </c>
      <c r="W112" s="28" t="s">
        <v>52</v>
      </c>
    </row>
    <row r="113" spans="1:23" ht="15" customHeight="1" x14ac:dyDescent="0.25">
      <c r="A113" s="20" t="str">
        <f>VLOOKUP(F113,[1]CLIENTES!B:L,11,0)</f>
        <v>RODRIGO</v>
      </c>
      <c r="B113" s="20" t="s">
        <v>220</v>
      </c>
      <c r="C113" s="20">
        <v>46084</v>
      </c>
      <c r="D113" s="21" t="s">
        <v>21</v>
      </c>
      <c r="E113" s="21">
        <v>978</v>
      </c>
      <c r="F113" s="21">
        <v>5131101</v>
      </c>
      <c r="G113" s="21">
        <v>167218</v>
      </c>
      <c r="H113" s="21" t="s">
        <v>164</v>
      </c>
      <c r="I113" s="21" t="s">
        <v>23</v>
      </c>
      <c r="J113" s="21">
        <v>6125</v>
      </c>
      <c r="K113" s="21">
        <v>692</v>
      </c>
      <c r="L113" s="22">
        <v>93</v>
      </c>
      <c r="M113" s="23" t="s">
        <v>229</v>
      </c>
      <c r="N113" s="24" t="s">
        <v>25</v>
      </c>
      <c r="O113" s="25">
        <v>46113</v>
      </c>
      <c r="P113" s="25" t="str">
        <f>VLOOKUP(F113,[1]CLIENTES!B:L,11,0)</f>
        <v>RODRIGO</v>
      </c>
      <c r="Q113" s="25" t="str">
        <f>VLOOKUP(F113,[1]CLIENTES!B:M,12,0)</f>
        <v>RAQUEL BARBOSA</v>
      </c>
      <c r="R113" s="26" t="str">
        <f>VLOOKUP(F113,[1]CLIENTES!B:J,9,0)</f>
        <v>VAGO SP</v>
      </c>
      <c r="S113" s="27">
        <v>1750</v>
      </c>
      <c r="T113" s="28" t="s">
        <v>44</v>
      </c>
      <c r="U113" s="28" t="s">
        <v>28</v>
      </c>
      <c r="V113" s="28" t="s">
        <v>29</v>
      </c>
      <c r="W113" s="28" t="s">
        <v>35</v>
      </c>
    </row>
    <row r="114" spans="1:23" ht="15" customHeight="1" x14ac:dyDescent="0.25">
      <c r="A114" s="20" t="str">
        <f>VLOOKUP(F114,[1]CLIENTES!B:L,11,0)</f>
        <v>RODRIGO</v>
      </c>
      <c r="B114" s="20" t="s">
        <v>220</v>
      </c>
      <c r="C114" s="20">
        <v>46097</v>
      </c>
      <c r="D114" s="21" t="s">
        <v>21</v>
      </c>
      <c r="E114" s="21">
        <v>994</v>
      </c>
      <c r="F114" s="21">
        <v>5195605</v>
      </c>
      <c r="G114" s="21"/>
      <c r="H114" s="21" t="s">
        <v>230</v>
      </c>
      <c r="I114" s="21" t="s">
        <v>23</v>
      </c>
      <c r="J114" s="21">
        <v>6125</v>
      </c>
      <c r="K114" s="21">
        <v>692</v>
      </c>
      <c r="L114" s="22">
        <v>93</v>
      </c>
      <c r="M114" s="23" t="s">
        <v>231</v>
      </c>
      <c r="N114" s="24" t="s">
        <v>25</v>
      </c>
      <c r="O114" s="25">
        <v>46113</v>
      </c>
      <c r="P114" s="25" t="str">
        <f>VLOOKUP(F114,[1]CLIENTES!B:L,11,0)</f>
        <v>RODRIGO</v>
      </c>
      <c r="Q114" s="25" t="str">
        <f>VLOOKUP(F114,[1]CLIENTES!B:M,12,0)</f>
        <v>RAQUEL BARBOSA</v>
      </c>
      <c r="R114" s="26" t="str">
        <f>VLOOKUP(F114,[1]CLIENTES!B:J,9,0)</f>
        <v>SP ITB FS FLAC REP.E COMERCIO</v>
      </c>
      <c r="S114" s="27">
        <v>500</v>
      </c>
      <c r="T114" s="28" t="s">
        <v>44</v>
      </c>
      <c r="U114" s="28" t="s">
        <v>28</v>
      </c>
      <c r="V114" s="28" t="s">
        <v>29</v>
      </c>
      <c r="W114" s="28" t="s">
        <v>60</v>
      </c>
    </row>
    <row r="115" spans="1:23" ht="15" customHeight="1" x14ac:dyDescent="0.25">
      <c r="A115" s="20" t="str">
        <f>VLOOKUP(F115,[1]CLIENTES!B:L,11,0)</f>
        <v>RODRIGO</v>
      </c>
      <c r="B115" s="20" t="s">
        <v>220</v>
      </c>
      <c r="C115" s="20">
        <v>46097</v>
      </c>
      <c r="D115" s="21" t="s">
        <v>21</v>
      </c>
      <c r="E115" s="21">
        <v>949</v>
      </c>
      <c r="F115" s="21">
        <v>5083008</v>
      </c>
      <c r="G115" s="21">
        <v>114905</v>
      </c>
      <c r="H115" s="21" t="s">
        <v>78</v>
      </c>
      <c r="I115" s="21" t="s">
        <v>23</v>
      </c>
      <c r="J115" s="21">
        <v>6125</v>
      </c>
      <c r="K115" s="21">
        <v>692</v>
      </c>
      <c r="L115" s="22">
        <v>93</v>
      </c>
      <c r="M115" s="23" t="s">
        <v>232</v>
      </c>
      <c r="N115" s="24" t="s">
        <v>25</v>
      </c>
      <c r="O115" s="25">
        <v>46113</v>
      </c>
      <c r="P115" s="25" t="str">
        <f>VLOOKUP(F115,[1]CLIENTES!B:L,11,0)</f>
        <v>RODRIGO</v>
      </c>
      <c r="Q115" s="25" t="str">
        <f>VLOOKUP(F115,[1]CLIENTES!B:M,12,0)</f>
        <v>ALEXANDRE BONANI</v>
      </c>
      <c r="R115" s="26" t="str">
        <f>VLOOKUP(F115,[1]CLIENTES!B:J,9,0)</f>
        <v>ALEXANDRE BONANI</v>
      </c>
      <c r="S115" s="27">
        <v>2500</v>
      </c>
      <c r="T115" s="28" t="s">
        <v>44</v>
      </c>
      <c r="U115" s="28" t="s">
        <v>28</v>
      </c>
      <c r="V115" s="28" t="s">
        <v>29</v>
      </c>
      <c r="W115" s="28" t="s">
        <v>35</v>
      </c>
    </row>
    <row r="116" spans="1:23" ht="15" customHeight="1" x14ac:dyDescent="0.25">
      <c r="A116" s="20" t="str">
        <f>VLOOKUP(F116,[1]CLIENTES!B:L,11,0)</f>
        <v>RODRIGO</v>
      </c>
      <c r="B116" s="20" t="s">
        <v>220</v>
      </c>
      <c r="C116" s="20">
        <v>46097</v>
      </c>
      <c r="D116" s="21" t="s">
        <v>21</v>
      </c>
      <c r="E116" s="21">
        <v>952</v>
      </c>
      <c r="F116" s="21">
        <v>5149985</v>
      </c>
      <c r="G116" s="21">
        <v>142628</v>
      </c>
      <c r="H116" s="21" t="s">
        <v>233</v>
      </c>
      <c r="I116" s="21" t="s">
        <v>23</v>
      </c>
      <c r="J116" s="21">
        <v>6125</v>
      </c>
      <c r="K116" s="21">
        <v>692</v>
      </c>
      <c r="L116" s="22">
        <v>92</v>
      </c>
      <c r="M116" s="23" t="s">
        <v>234</v>
      </c>
      <c r="N116" s="24" t="s">
        <v>25</v>
      </c>
      <c r="O116" s="25">
        <v>46113</v>
      </c>
      <c r="P116" s="25" t="str">
        <f>VLOOKUP(F116,[1]CLIENTES!B:L,11,0)</f>
        <v>RODRIGO</v>
      </c>
      <c r="Q116" s="25" t="str">
        <f>VLOOKUP(F116,[1]CLIENTES!B:M,12,0)</f>
        <v>ALEXANDRO</v>
      </c>
      <c r="R116" s="26" t="str">
        <f>VLOOKUP(F116,[1]CLIENTES!B:J,9,0)</f>
        <v>GUILHERME NASCIMENTO</v>
      </c>
      <c r="S116" s="27">
        <v>5000</v>
      </c>
      <c r="T116" s="28" t="s">
        <v>44</v>
      </c>
      <c r="U116" s="28" t="s">
        <v>28</v>
      </c>
      <c r="V116" s="28" t="s">
        <v>29</v>
      </c>
      <c r="W116" s="28" t="s">
        <v>52</v>
      </c>
    </row>
    <row r="117" spans="1:23" ht="15" customHeight="1" x14ac:dyDescent="0.25">
      <c r="A117" s="20" t="str">
        <f>VLOOKUP(F117,[1]CLIENTES!B:L,11,0)</f>
        <v>RODRIGO</v>
      </c>
      <c r="B117" s="20" t="s">
        <v>220</v>
      </c>
      <c r="C117" s="20">
        <v>46097</v>
      </c>
      <c r="D117" s="21" t="s">
        <v>21</v>
      </c>
      <c r="E117" s="21">
        <v>981</v>
      </c>
      <c r="F117" s="21">
        <v>5107112</v>
      </c>
      <c r="G117" s="21">
        <v>123370</v>
      </c>
      <c r="H117" s="21" t="s">
        <v>62</v>
      </c>
      <c r="I117" s="21" t="s">
        <v>23</v>
      </c>
      <c r="J117" s="21">
        <v>6125</v>
      </c>
      <c r="K117" s="21">
        <v>692</v>
      </c>
      <c r="L117" s="22">
        <v>93</v>
      </c>
      <c r="M117" s="23" t="s">
        <v>235</v>
      </c>
      <c r="N117" s="24" t="s">
        <v>25</v>
      </c>
      <c r="O117" s="25">
        <v>46113</v>
      </c>
      <c r="P117" s="25" t="str">
        <f>VLOOKUP(F117,[1]CLIENTES!B:L,11,0)</f>
        <v>RODRIGO</v>
      </c>
      <c r="Q117" s="25" t="str">
        <f>VLOOKUP(F117,[1]CLIENTES!B:M,12,0)</f>
        <v>ALEXANDRO</v>
      </c>
      <c r="R117" s="26" t="str">
        <f>VLOOKUP(F117,[1]CLIENTES!B:J,9,0)</f>
        <v>GUILHERME NASCIMENTO</v>
      </c>
      <c r="S117" s="27">
        <v>9900</v>
      </c>
      <c r="T117" s="28" t="s">
        <v>44</v>
      </c>
      <c r="U117" s="28" t="s">
        <v>28</v>
      </c>
      <c r="V117" s="28" t="s">
        <v>29</v>
      </c>
      <c r="W117" s="28" t="s">
        <v>236</v>
      </c>
    </row>
    <row r="118" spans="1:23" ht="15" customHeight="1" x14ac:dyDescent="0.25">
      <c r="A118" s="20" t="str">
        <f>VLOOKUP(F118,[1]CLIENTES!B:L,11,0)</f>
        <v>RODRIGO</v>
      </c>
      <c r="B118" s="20" t="s">
        <v>220</v>
      </c>
      <c r="C118" s="20">
        <v>46097</v>
      </c>
      <c r="D118" s="21" t="s">
        <v>21</v>
      </c>
      <c r="E118" s="21">
        <v>962</v>
      </c>
      <c r="F118" s="21">
        <v>5118346</v>
      </c>
      <c r="G118" s="21">
        <v>143232</v>
      </c>
      <c r="H118" s="21" t="s">
        <v>237</v>
      </c>
      <c r="I118" s="21" t="s">
        <v>23</v>
      </c>
      <c r="J118" s="21">
        <v>6125</v>
      </c>
      <c r="K118" s="21">
        <v>692</v>
      </c>
      <c r="L118" s="22">
        <v>93</v>
      </c>
      <c r="M118" s="23" t="s">
        <v>238</v>
      </c>
      <c r="N118" s="24" t="s">
        <v>25</v>
      </c>
      <c r="O118" s="25">
        <v>46113</v>
      </c>
      <c r="P118" s="25" t="str">
        <f>VLOOKUP(F118,[1]CLIENTES!B:L,11,0)</f>
        <v>RODRIGO</v>
      </c>
      <c r="Q118" s="25" t="str">
        <f>VLOOKUP(F118,[1]CLIENTES!B:M,12,0)</f>
        <v>RAQUEL BARBOSA</v>
      </c>
      <c r="R118" s="26" t="str">
        <f>VLOOKUP(F118,[1]CLIENTES!B:J,9,0)</f>
        <v>VAGO SP</v>
      </c>
      <c r="S118" s="27">
        <v>7628.7</v>
      </c>
      <c r="T118" s="28" t="s">
        <v>44</v>
      </c>
      <c r="U118" s="28" t="s">
        <v>28</v>
      </c>
      <c r="V118" s="28" t="s">
        <v>29</v>
      </c>
      <c r="W118" s="28" t="s">
        <v>236</v>
      </c>
    </row>
    <row r="119" spans="1:23" ht="15" customHeight="1" x14ac:dyDescent="0.25">
      <c r="A119" s="20" t="str">
        <f>VLOOKUP(F119,[1]CLIENTES!B:L,11,0)</f>
        <v>RODRIGO</v>
      </c>
      <c r="B119" s="20" t="s">
        <v>220</v>
      </c>
      <c r="C119" s="20">
        <v>46100</v>
      </c>
      <c r="D119" s="21" t="s">
        <v>21</v>
      </c>
      <c r="E119" s="21">
        <v>973</v>
      </c>
      <c r="F119" s="21">
        <v>5004685</v>
      </c>
      <c r="G119" s="21">
        <v>110434</v>
      </c>
      <c r="H119" s="21" t="s">
        <v>116</v>
      </c>
      <c r="I119" s="21" t="s">
        <v>23</v>
      </c>
      <c r="J119" s="21">
        <v>6125</v>
      </c>
      <c r="K119" s="21">
        <v>692</v>
      </c>
      <c r="L119" s="22">
        <v>93</v>
      </c>
      <c r="M119" s="23" t="s">
        <v>239</v>
      </c>
      <c r="N119" s="24" t="s">
        <v>25</v>
      </c>
      <c r="O119" s="25">
        <v>46113</v>
      </c>
      <c r="P119" s="25" t="str">
        <f>VLOOKUP(F119,[1]CLIENTES!B:L,11,0)</f>
        <v>RODRIGO</v>
      </c>
      <c r="Q119" s="25" t="str">
        <f>VLOOKUP(F119,[1]CLIENTES!B:M,12,0)</f>
        <v>ALEXANDRO</v>
      </c>
      <c r="R119" s="26" t="str">
        <f>VLOOKUP(F119,[1]CLIENTES!B:J,9,0)</f>
        <v>ALEXANDRO RODRIGUES</v>
      </c>
      <c r="S119" s="27">
        <v>23226.99</v>
      </c>
      <c r="T119" s="28" t="s">
        <v>44</v>
      </c>
      <c r="U119" s="28" t="s">
        <v>28</v>
      </c>
      <c r="V119" s="28" t="s">
        <v>29</v>
      </c>
      <c r="W119" s="28" t="s">
        <v>60</v>
      </c>
    </row>
    <row r="120" spans="1:23" ht="15" customHeight="1" x14ac:dyDescent="0.25">
      <c r="A120" s="20" t="str">
        <f>VLOOKUP(F120,[1]CLIENTES!B:L,11,0)</f>
        <v>RODRIGO</v>
      </c>
      <c r="B120" s="20" t="s">
        <v>220</v>
      </c>
      <c r="C120" s="20">
        <v>46101</v>
      </c>
      <c r="D120" s="21" t="s">
        <v>21</v>
      </c>
      <c r="E120" s="21">
        <v>971</v>
      </c>
      <c r="F120" s="21">
        <v>5308411</v>
      </c>
      <c r="G120" s="21">
        <v>181236</v>
      </c>
      <c r="H120" s="21" t="s">
        <v>80</v>
      </c>
      <c r="I120" s="21" t="s">
        <v>71</v>
      </c>
      <c r="J120" s="21" t="s">
        <v>72</v>
      </c>
      <c r="K120" s="21">
        <v>186</v>
      </c>
      <c r="L120" s="22">
        <v>92</v>
      </c>
      <c r="M120" s="23" t="s">
        <v>240</v>
      </c>
      <c r="N120" s="24" t="s">
        <v>25</v>
      </c>
      <c r="O120" s="25">
        <v>46113</v>
      </c>
      <c r="P120" s="25" t="str">
        <f>VLOOKUP(F120,[1]CLIENTES!B:L,11,0)</f>
        <v>RODRIGO</v>
      </c>
      <c r="Q120" s="25" t="str">
        <f>VLOOKUP(F120,[1]CLIENTES!B:M,12,0)</f>
        <v>CELIO MARTINS</v>
      </c>
      <c r="R120" s="26" t="str">
        <f>VLOOKUP(F120,[1]CLIENTES!B:J,9,0)</f>
        <v>MARCELO SILVA</v>
      </c>
      <c r="S120" s="27">
        <v>1843.38</v>
      </c>
      <c r="T120" s="28" t="s">
        <v>44</v>
      </c>
      <c r="U120" s="28" t="s">
        <v>28</v>
      </c>
      <c r="V120" s="28" t="s">
        <v>29</v>
      </c>
      <c r="W120" s="28" t="s">
        <v>83</v>
      </c>
    </row>
    <row r="121" spans="1:23" ht="15" customHeight="1" x14ac:dyDescent="0.25">
      <c r="A121" s="20" t="str">
        <f>VLOOKUP(F121,[1]CLIENTES!B:L,11,0)</f>
        <v>RODRIGO</v>
      </c>
      <c r="B121" s="20" t="s">
        <v>220</v>
      </c>
      <c r="C121" s="20">
        <v>46101</v>
      </c>
      <c r="D121" s="21" t="s">
        <v>21</v>
      </c>
      <c r="E121" s="21">
        <v>971</v>
      </c>
      <c r="F121" s="21">
        <v>5308411</v>
      </c>
      <c r="G121" s="21">
        <v>181236</v>
      </c>
      <c r="H121" s="21" t="s">
        <v>80</v>
      </c>
      <c r="I121" s="21" t="s">
        <v>71</v>
      </c>
      <c r="J121" s="21" t="s">
        <v>72</v>
      </c>
      <c r="K121" s="21">
        <v>186</v>
      </c>
      <c r="L121" s="22">
        <v>92</v>
      </c>
      <c r="M121" s="23" t="s">
        <v>241</v>
      </c>
      <c r="N121" s="24" t="s">
        <v>25</v>
      </c>
      <c r="O121" s="25">
        <v>46113</v>
      </c>
      <c r="P121" s="25" t="str">
        <f>VLOOKUP(F121,[1]CLIENTES!B:L,11,0)</f>
        <v>RODRIGO</v>
      </c>
      <c r="Q121" s="25" t="str">
        <f>VLOOKUP(F121,[1]CLIENTES!B:M,12,0)</f>
        <v>CELIO MARTINS</v>
      </c>
      <c r="R121" s="26" t="str">
        <f>VLOOKUP(F121,[1]CLIENTES!B:J,9,0)</f>
        <v>MARCELO SILVA</v>
      </c>
      <c r="S121" s="27">
        <v>1500</v>
      </c>
      <c r="T121" s="28" t="s">
        <v>44</v>
      </c>
      <c r="U121" s="28" t="s">
        <v>28</v>
      </c>
      <c r="V121" s="28" t="s">
        <v>29</v>
      </c>
      <c r="W121" s="28" t="s">
        <v>52</v>
      </c>
    </row>
    <row r="122" spans="1:23" ht="15" customHeight="1" x14ac:dyDescent="0.25">
      <c r="A122" s="20" t="str">
        <f>VLOOKUP(F122,[1]CLIENTES!B:L,11,0)</f>
        <v>RODRIGO</v>
      </c>
      <c r="B122" s="20" t="s">
        <v>220</v>
      </c>
      <c r="C122" s="20">
        <v>46101</v>
      </c>
      <c r="D122" s="21" t="s">
        <v>21</v>
      </c>
      <c r="E122" s="21">
        <v>960</v>
      </c>
      <c r="F122" s="21">
        <v>5159222</v>
      </c>
      <c r="G122" s="21">
        <v>143312</v>
      </c>
      <c r="H122" s="21" t="s">
        <v>184</v>
      </c>
      <c r="I122" s="21" t="s">
        <v>71</v>
      </c>
      <c r="J122" s="21" t="s">
        <v>72</v>
      </c>
      <c r="K122" s="21">
        <v>186</v>
      </c>
      <c r="L122" s="22">
        <v>92</v>
      </c>
      <c r="M122" s="23" t="s">
        <v>242</v>
      </c>
      <c r="N122" s="24" t="s">
        <v>25</v>
      </c>
      <c r="O122" s="25">
        <v>46113</v>
      </c>
      <c r="P122" s="25" t="str">
        <f>VLOOKUP(F122,[1]CLIENTES!B:L,11,0)</f>
        <v>RODRIGO</v>
      </c>
      <c r="Q122" s="25" t="str">
        <f>VLOOKUP(F122,[1]CLIENTES!B:M,12,0)</f>
        <v>CELIO MARTINS</v>
      </c>
      <c r="R122" s="26" t="str">
        <f>VLOOKUP(F122,[1]CLIENTES!B:J,9,0)</f>
        <v>MARCELO SILVA</v>
      </c>
      <c r="S122" s="27">
        <v>1500</v>
      </c>
      <c r="T122" s="28" t="s">
        <v>44</v>
      </c>
      <c r="U122" s="28" t="s">
        <v>28</v>
      </c>
      <c r="V122" s="28" t="s">
        <v>29</v>
      </c>
      <c r="W122" s="28" t="s">
        <v>52</v>
      </c>
    </row>
    <row r="123" spans="1:23" ht="15" customHeight="1" x14ac:dyDescent="0.25">
      <c r="A123" s="20" t="str">
        <f>VLOOKUP(F123,[1]CLIENTES!B:L,11,0)</f>
        <v>RODRIGO</v>
      </c>
      <c r="B123" s="20" t="s">
        <v>220</v>
      </c>
      <c r="C123" s="20">
        <v>46101</v>
      </c>
      <c r="D123" s="21" t="s">
        <v>21</v>
      </c>
      <c r="E123" s="21">
        <v>967</v>
      </c>
      <c r="F123" s="21">
        <v>5127060</v>
      </c>
      <c r="G123" s="21">
        <v>187971</v>
      </c>
      <c r="H123" s="21" t="s">
        <v>90</v>
      </c>
      <c r="I123" s="21" t="s">
        <v>71</v>
      </c>
      <c r="J123" s="21" t="s">
        <v>72</v>
      </c>
      <c r="K123" s="21">
        <v>186</v>
      </c>
      <c r="L123" s="22">
        <v>92</v>
      </c>
      <c r="M123" s="23" t="s">
        <v>243</v>
      </c>
      <c r="N123" s="24" t="s">
        <v>25</v>
      </c>
      <c r="O123" s="25">
        <v>46113</v>
      </c>
      <c r="P123" s="25" t="str">
        <f>VLOOKUP(F123,[1]CLIENTES!B:L,11,0)</f>
        <v>RODRIGO</v>
      </c>
      <c r="Q123" s="25" t="str">
        <f>VLOOKUP(F123,[1]CLIENTES!B:M,12,0)</f>
        <v>CELIO MARTINS</v>
      </c>
      <c r="R123" s="26" t="str">
        <f>VLOOKUP(F123,[1]CLIENTES!B:J,9,0)</f>
        <v>MARCELO SILVA</v>
      </c>
      <c r="S123" s="27">
        <v>600</v>
      </c>
      <c r="T123" s="28" t="s">
        <v>44</v>
      </c>
      <c r="U123" s="28" t="s">
        <v>28</v>
      </c>
      <c r="V123" s="28" t="s">
        <v>29</v>
      </c>
      <c r="W123" s="28" t="s">
        <v>60</v>
      </c>
    </row>
    <row r="124" spans="1:23" ht="15" customHeight="1" x14ac:dyDescent="0.25">
      <c r="A124" s="20" t="str">
        <f>VLOOKUP(F124,[1]CLIENTES!B:L,11,0)</f>
        <v>RODRIGO</v>
      </c>
      <c r="B124" s="20" t="s">
        <v>220</v>
      </c>
      <c r="C124" s="20">
        <v>46101</v>
      </c>
      <c r="D124" s="21" t="s">
        <v>21</v>
      </c>
      <c r="E124" s="21">
        <v>970</v>
      </c>
      <c r="F124" s="21">
        <v>5226805</v>
      </c>
      <c r="G124" s="21">
        <v>150155</v>
      </c>
      <c r="H124" s="21" t="s">
        <v>86</v>
      </c>
      <c r="I124" s="21" t="s">
        <v>71</v>
      </c>
      <c r="J124" s="21" t="s">
        <v>72</v>
      </c>
      <c r="K124" s="21">
        <v>186</v>
      </c>
      <c r="L124" s="22">
        <v>92</v>
      </c>
      <c r="M124" s="23" t="s">
        <v>244</v>
      </c>
      <c r="N124" s="24" t="s">
        <v>25</v>
      </c>
      <c r="O124" s="25">
        <v>46113</v>
      </c>
      <c r="P124" s="25" t="str">
        <f>VLOOKUP(F124,[1]CLIENTES!B:L,11,0)</f>
        <v>RODRIGO</v>
      </c>
      <c r="Q124" s="25" t="str">
        <f>VLOOKUP(F124,[1]CLIENTES!B:M,12,0)</f>
        <v>CELIO MARTINS</v>
      </c>
      <c r="R124" s="26" t="str">
        <f>VLOOKUP(F124,[1]CLIENTES!B:J,9,0)</f>
        <v>CELIO/MARANATHA</v>
      </c>
      <c r="S124" s="27">
        <v>2500</v>
      </c>
      <c r="T124" s="28" t="s">
        <v>44</v>
      </c>
      <c r="U124" s="28" t="s">
        <v>28</v>
      </c>
      <c r="V124" s="28" t="s">
        <v>29</v>
      </c>
      <c r="W124" s="28" t="s">
        <v>52</v>
      </c>
    </row>
    <row r="125" spans="1:23" ht="15" customHeight="1" x14ac:dyDescent="0.25">
      <c r="A125" s="20" t="str">
        <f>VLOOKUP(F125,[1]CLIENTES!B:L,11,0)</f>
        <v>RODRIGO</v>
      </c>
      <c r="B125" s="20" t="s">
        <v>220</v>
      </c>
      <c r="C125" s="20">
        <v>46101</v>
      </c>
      <c r="D125" s="21" t="s">
        <v>21</v>
      </c>
      <c r="E125" s="21">
        <v>953</v>
      </c>
      <c r="F125" s="21">
        <v>5011709</v>
      </c>
      <c r="G125" s="21">
        <v>117424</v>
      </c>
      <c r="H125" s="21" t="s">
        <v>70</v>
      </c>
      <c r="I125" s="21" t="s">
        <v>71</v>
      </c>
      <c r="J125" s="21" t="s">
        <v>72</v>
      </c>
      <c r="K125" s="21">
        <v>186</v>
      </c>
      <c r="L125" s="22">
        <v>92</v>
      </c>
      <c r="M125" s="23" t="s">
        <v>245</v>
      </c>
      <c r="N125" s="24" t="s">
        <v>25</v>
      </c>
      <c r="O125" s="25">
        <v>46113</v>
      </c>
      <c r="P125" s="25" t="str">
        <f>VLOOKUP(F125,[1]CLIENTES!B:L,11,0)</f>
        <v>RODRIGO</v>
      </c>
      <c r="Q125" s="25" t="str">
        <f>VLOOKUP(F125,[1]CLIENTES!B:M,12,0)</f>
        <v>CELIO MARTINS</v>
      </c>
      <c r="R125" s="26" t="str">
        <f>VLOOKUP(F125,[1]CLIENTES!B:J,9,0)</f>
        <v>CELIO MARTINS</v>
      </c>
      <c r="S125" s="27">
        <v>1500</v>
      </c>
      <c r="T125" s="28" t="s">
        <v>44</v>
      </c>
      <c r="U125" s="28" t="s">
        <v>28</v>
      </c>
      <c r="V125" s="28" t="s">
        <v>29</v>
      </c>
      <c r="W125" s="28" t="s">
        <v>52</v>
      </c>
    </row>
    <row r="126" spans="1:23" ht="15" customHeight="1" x14ac:dyDescent="0.25">
      <c r="A126" s="20" t="str">
        <f>VLOOKUP(F126,[1]CLIENTES!B:L,11,0)</f>
        <v>RODRIGO</v>
      </c>
      <c r="B126" s="20" t="s">
        <v>220</v>
      </c>
      <c r="C126" s="20">
        <v>46101</v>
      </c>
      <c r="D126" s="21" t="s">
        <v>21</v>
      </c>
      <c r="E126" s="21">
        <v>970</v>
      </c>
      <c r="F126" s="21">
        <v>5226805</v>
      </c>
      <c r="G126" s="21">
        <v>150155</v>
      </c>
      <c r="H126" s="21" t="s">
        <v>86</v>
      </c>
      <c r="I126" s="21" t="s">
        <v>71</v>
      </c>
      <c r="J126" s="21" t="s">
        <v>72</v>
      </c>
      <c r="K126" s="21">
        <v>186</v>
      </c>
      <c r="L126" s="22">
        <v>92</v>
      </c>
      <c r="M126" s="23" t="s">
        <v>246</v>
      </c>
      <c r="N126" s="24" t="s">
        <v>25</v>
      </c>
      <c r="O126" s="25">
        <v>46113</v>
      </c>
      <c r="P126" s="25" t="str">
        <f>VLOOKUP(F126,[1]CLIENTES!B:L,11,0)</f>
        <v>RODRIGO</v>
      </c>
      <c r="Q126" s="25" t="str">
        <f>VLOOKUP(F126,[1]CLIENTES!B:M,12,0)</f>
        <v>CELIO MARTINS</v>
      </c>
      <c r="R126" s="26" t="str">
        <f>VLOOKUP(F126,[1]CLIENTES!B:J,9,0)</f>
        <v>CELIO/MARANATHA</v>
      </c>
      <c r="S126" s="27">
        <v>2000</v>
      </c>
      <c r="T126" s="28" t="s">
        <v>44</v>
      </c>
      <c r="U126" s="28" t="s">
        <v>28</v>
      </c>
      <c r="V126" s="28" t="s">
        <v>29</v>
      </c>
      <c r="W126" s="28" t="s">
        <v>52</v>
      </c>
    </row>
    <row r="127" spans="1:23" ht="15" customHeight="1" x14ac:dyDescent="0.25">
      <c r="A127" s="20" t="str">
        <f>VLOOKUP(F127,[1]CLIENTES!B:L,11,0)</f>
        <v>RODRIGO</v>
      </c>
      <c r="B127" s="20" t="s">
        <v>220</v>
      </c>
      <c r="C127" s="20">
        <v>46101</v>
      </c>
      <c r="D127" s="21" t="s">
        <v>21</v>
      </c>
      <c r="E127" s="21">
        <v>989</v>
      </c>
      <c r="F127" s="21">
        <v>5349287</v>
      </c>
      <c r="G127" s="21"/>
      <c r="H127" s="21" t="s">
        <v>247</v>
      </c>
      <c r="I127" s="21" t="s">
        <v>71</v>
      </c>
      <c r="J127" s="21" t="s">
        <v>72</v>
      </c>
      <c r="K127" s="21">
        <v>186</v>
      </c>
      <c r="L127" s="22">
        <v>93</v>
      </c>
      <c r="M127" s="23" t="s">
        <v>248</v>
      </c>
      <c r="N127" s="24" t="s">
        <v>25</v>
      </c>
      <c r="O127" s="25">
        <v>46113</v>
      </c>
      <c r="P127" s="25" t="str">
        <f>VLOOKUP(F127,[1]CLIENTES!B:L,11,0)</f>
        <v>RODRIGO</v>
      </c>
      <c r="Q127" s="25" t="str">
        <f>VLOOKUP(F127,[1]CLIENTES!B:M,12,0)</f>
        <v>CELIO MARTINS</v>
      </c>
      <c r="R127" s="26" t="str">
        <f>VLOOKUP(F127,[1]CLIENTES!B:J,9,0)</f>
        <v>MARCELO SILVA</v>
      </c>
      <c r="S127" s="27">
        <v>500</v>
      </c>
      <c r="T127" s="28" t="s">
        <v>44</v>
      </c>
      <c r="U127" s="28" t="s">
        <v>28</v>
      </c>
      <c r="V127" s="28" t="s">
        <v>29</v>
      </c>
      <c r="W127" s="28" t="s">
        <v>52</v>
      </c>
    </row>
    <row r="128" spans="1:23" ht="15" customHeight="1" x14ac:dyDescent="0.25">
      <c r="A128" s="20" t="str">
        <f>VLOOKUP(F128,[1]CLIENTES!B:L,11,0)</f>
        <v>RODRIGO</v>
      </c>
      <c r="B128" s="20" t="s">
        <v>220</v>
      </c>
      <c r="C128" s="20">
        <v>46101</v>
      </c>
      <c r="D128" s="21" t="s">
        <v>21</v>
      </c>
      <c r="E128" s="21">
        <v>971</v>
      </c>
      <c r="F128" s="21">
        <v>5308411</v>
      </c>
      <c r="G128" s="21">
        <v>181236</v>
      </c>
      <c r="H128" s="21" t="s">
        <v>80</v>
      </c>
      <c r="I128" s="21" t="s">
        <v>71</v>
      </c>
      <c r="J128" s="21" t="s">
        <v>72</v>
      </c>
      <c r="K128" s="21">
        <v>186</v>
      </c>
      <c r="L128" s="22">
        <v>92</v>
      </c>
      <c r="M128" s="23" t="s">
        <v>249</v>
      </c>
      <c r="N128" s="24" t="s">
        <v>25</v>
      </c>
      <c r="O128" s="25">
        <v>46113</v>
      </c>
      <c r="P128" s="25" t="str">
        <f>VLOOKUP(F128,[1]CLIENTES!B:L,11,0)</f>
        <v>RODRIGO</v>
      </c>
      <c r="Q128" s="25" t="str">
        <f>VLOOKUP(F128,[1]CLIENTES!B:M,12,0)</f>
        <v>CELIO MARTINS</v>
      </c>
      <c r="R128" s="26" t="str">
        <f>VLOOKUP(F128,[1]CLIENTES!B:J,9,0)</f>
        <v>MARCELO SILVA</v>
      </c>
      <c r="S128" s="27">
        <v>3178</v>
      </c>
      <c r="T128" s="28" t="s">
        <v>44</v>
      </c>
      <c r="U128" s="28" t="s">
        <v>28</v>
      </c>
      <c r="V128" s="28" t="s">
        <v>29</v>
      </c>
      <c r="W128" s="28" t="s">
        <v>60</v>
      </c>
    </row>
    <row r="129" spans="1:23" ht="15" customHeight="1" x14ac:dyDescent="0.25">
      <c r="A129" s="20" t="str">
        <f>VLOOKUP(F129,[1]CLIENTES!B:L,11,0)</f>
        <v>RODRIGO</v>
      </c>
      <c r="B129" s="20" t="s">
        <v>220</v>
      </c>
      <c r="C129" s="20">
        <v>46101</v>
      </c>
      <c r="D129" s="21" t="s">
        <v>21</v>
      </c>
      <c r="E129" s="21">
        <v>986</v>
      </c>
      <c r="F129" s="21">
        <v>5020347</v>
      </c>
      <c r="G129" s="21">
        <v>112787</v>
      </c>
      <c r="H129" s="21" t="s">
        <v>129</v>
      </c>
      <c r="I129" s="21" t="s">
        <v>23</v>
      </c>
      <c r="J129" s="21">
        <v>6125</v>
      </c>
      <c r="K129" s="21">
        <v>692</v>
      </c>
      <c r="L129" s="22">
        <v>92</v>
      </c>
      <c r="M129" s="23" t="s">
        <v>250</v>
      </c>
      <c r="N129" s="24" t="s">
        <v>25</v>
      </c>
      <c r="O129" s="25">
        <v>46113</v>
      </c>
      <c r="P129" s="25" t="str">
        <f>VLOOKUP(F129,[1]CLIENTES!B:L,11,0)</f>
        <v>RODRIGO</v>
      </c>
      <c r="Q129" s="25" t="str">
        <f>VLOOKUP(F129,[1]CLIENTES!B:M,12,0)</f>
        <v>ALEXANDRO</v>
      </c>
      <c r="R129" s="26" t="str">
        <f>VLOOKUP(F129,[1]CLIENTES!B:J,9,0)</f>
        <v>GUILHERME NASCIMENTO</v>
      </c>
      <c r="S129" s="27">
        <v>2000</v>
      </c>
      <c r="T129" s="28" t="s">
        <v>44</v>
      </c>
      <c r="U129" s="28" t="s">
        <v>28</v>
      </c>
      <c r="V129" s="28" t="s">
        <v>29</v>
      </c>
      <c r="W129" s="28" t="s">
        <v>52</v>
      </c>
    </row>
    <row r="130" spans="1:23" ht="15" customHeight="1" x14ac:dyDescent="0.25">
      <c r="A130" s="20" t="str">
        <f>VLOOKUP(F130,[1]CLIENTES!B:L,11,0)</f>
        <v>RODRIGO</v>
      </c>
      <c r="B130" s="20" t="s">
        <v>220</v>
      </c>
      <c r="C130" s="20">
        <v>46101</v>
      </c>
      <c r="D130" s="21" t="s">
        <v>21</v>
      </c>
      <c r="E130" s="21">
        <v>985</v>
      </c>
      <c r="F130" s="21">
        <v>5020352</v>
      </c>
      <c r="G130" s="21">
        <v>127298</v>
      </c>
      <c r="H130" s="21" t="s">
        <v>124</v>
      </c>
      <c r="I130" s="21" t="s">
        <v>23</v>
      </c>
      <c r="J130" s="21">
        <v>6125</v>
      </c>
      <c r="K130" s="21">
        <v>692</v>
      </c>
      <c r="L130" s="22">
        <v>92</v>
      </c>
      <c r="M130" s="23" t="s">
        <v>251</v>
      </c>
      <c r="N130" s="24" t="s">
        <v>25</v>
      </c>
      <c r="O130" s="25">
        <v>46113</v>
      </c>
      <c r="P130" s="25" t="str">
        <f>VLOOKUP(F130,[1]CLIENTES!B:L,11,0)</f>
        <v>RODRIGO</v>
      </c>
      <c r="Q130" s="25" t="str">
        <f>VLOOKUP(F130,[1]CLIENTES!B:M,12,0)</f>
        <v>ALEXANDRO</v>
      </c>
      <c r="R130" s="26" t="str">
        <f>VLOOKUP(F130,[1]CLIENTES!B:J,9,0)</f>
        <v>GUILHERME NASCIMENTO</v>
      </c>
      <c r="S130" s="27">
        <v>1700</v>
      </c>
      <c r="T130" s="28" t="s">
        <v>44</v>
      </c>
      <c r="U130" s="28" t="s">
        <v>28</v>
      </c>
      <c r="V130" s="28" t="s">
        <v>29</v>
      </c>
      <c r="W130" s="28" t="s">
        <v>52</v>
      </c>
    </row>
    <row r="131" spans="1:23" ht="15" customHeight="1" x14ac:dyDescent="0.25">
      <c r="A131" s="20" t="str">
        <f>VLOOKUP(F131,[1]CLIENTES!B:L,11,0)</f>
        <v>RODRIGO</v>
      </c>
      <c r="B131" s="20" t="s">
        <v>220</v>
      </c>
      <c r="C131" s="20">
        <v>46101</v>
      </c>
      <c r="D131" s="21" t="s">
        <v>21</v>
      </c>
      <c r="E131" s="21">
        <v>953</v>
      </c>
      <c r="F131" s="21">
        <v>5340656</v>
      </c>
      <c r="G131" s="21">
        <v>184833</v>
      </c>
      <c r="H131" s="21" t="s">
        <v>252</v>
      </c>
      <c r="I131" s="21" t="s">
        <v>23</v>
      </c>
      <c r="J131" s="21">
        <v>6125</v>
      </c>
      <c r="K131" s="21">
        <v>692</v>
      </c>
      <c r="L131" s="22">
        <v>93</v>
      </c>
      <c r="M131" s="23" t="s">
        <v>253</v>
      </c>
      <c r="N131" s="24" t="s">
        <v>25</v>
      </c>
      <c r="O131" s="25">
        <v>46113</v>
      </c>
      <c r="P131" s="25" t="str">
        <f>VLOOKUP(F131,[1]CLIENTES!B:L,11,0)</f>
        <v>RODRIGO</v>
      </c>
      <c r="Q131" s="25" t="str">
        <f>VLOOKUP(F131,[1]CLIENTES!B:M,12,0)</f>
        <v>ALEXANDRO</v>
      </c>
      <c r="R131" s="26" t="str">
        <f>VLOOKUP(F131,[1]CLIENTES!B:J,9,0)</f>
        <v>GUILHERME NASCIMENTO</v>
      </c>
      <c r="S131" s="27">
        <v>1020</v>
      </c>
      <c r="T131" s="28" t="s">
        <v>44</v>
      </c>
      <c r="U131" s="28" t="s">
        <v>28</v>
      </c>
      <c r="V131" s="28" t="s">
        <v>29</v>
      </c>
      <c r="W131" s="28" t="s">
        <v>52</v>
      </c>
    </row>
    <row r="132" spans="1:23" ht="15" customHeight="1" x14ac:dyDescent="0.25">
      <c r="A132" s="20" t="str">
        <f>VLOOKUP(F132,[1]CLIENTES!B:L,11,0)</f>
        <v>RODRIGO</v>
      </c>
      <c r="B132" s="20" t="s">
        <v>220</v>
      </c>
      <c r="C132" s="20">
        <v>46104.769259259258</v>
      </c>
      <c r="D132" s="21" t="s">
        <v>21</v>
      </c>
      <c r="E132" s="21">
        <v>976</v>
      </c>
      <c r="F132" s="21">
        <v>5026768</v>
      </c>
      <c r="G132" s="21">
        <v>113399</v>
      </c>
      <c r="H132" s="21" t="s">
        <v>139</v>
      </c>
      <c r="I132" s="21" t="s">
        <v>132</v>
      </c>
      <c r="J132" s="21">
        <v>6127</v>
      </c>
      <c r="K132" s="21">
        <v>605</v>
      </c>
      <c r="L132" s="22">
        <v>92</v>
      </c>
      <c r="M132" s="23" t="s">
        <v>255</v>
      </c>
      <c r="N132" s="24" t="s">
        <v>25</v>
      </c>
      <c r="O132" s="25">
        <v>46113</v>
      </c>
      <c r="P132" s="25" t="str">
        <f>VLOOKUP(F132,[1]CLIENTES!B:L,11,0)</f>
        <v>RODRIGO</v>
      </c>
      <c r="Q132" s="25" t="str">
        <f>VLOOKUP(F132,[1]CLIENTES!B:M,12,0)</f>
        <v>MARIA LOURDES</v>
      </c>
      <c r="R132" s="26" t="str">
        <f>VLOOKUP(F132,[1]CLIENTES!B:J,9,0)</f>
        <v>WH FOOD SERVICE CE</v>
      </c>
      <c r="S132" s="27">
        <v>10000</v>
      </c>
      <c r="T132" s="28" t="s">
        <v>44</v>
      </c>
      <c r="U132" s="28" t="s">
        <v>28</v>
      </c>
      <c r="V132" s="28" t="s">
        <v>29</v>
      </c>
      <c r="W132" s="28" t="s">
        <v>52</v>
      </c>
    </row>
    <row r="133" spans="1:23" ht="15" customHeight="1" x14ac:dyDescent="0.25">
      <c r="A133" s="20" t="str">
        <f>VLOOKUP(F133,[1]CLIENTES!B:L,11,0)</f>
        <v>RODRIGO</v>
      </c>
      <c r="B133" s="20" t="s">
        <v>220</v>
      </c>
      <c r="C133" s="20">
        <v>46104.769259259258</v>
      </c>
      <c r="D133" s="21" t="s">
        <v>21</v>
      </c>
      <c r="E133" s="21">
        <v>991</v>
      </c>
      <c r="F133" s="21">
        <v>5353848</v>
      </c>
      <c r="G133" s="21"/>
      <c r="H133" s="21" t="s">
        <v>258</v>
      </c>
      <c r="I133" s="21" t="s">
        <v>259</v>
      </c>
      <c r="J133" s="21" t="s">
        <v>214</v>
      </c>
      <c r="K133" s="21">
        <v>212</v>
      </c>
      <c r="L133" s="22">
        <v>92</v>
      </c>
      <c r="M133" s="23" t="s">
        <v>260</v>
      </c>
      <c r="N133" s="24" t="s">
        <v>25</v>
      </c>
      <c r="O133" s="25">
        <v>46113</v>
      </c>
      <c r="P133" s="25" t="str">
        <f>VLOOKUP(F133,[1]CLIENTES!B:L,11,0)</f>
        <v>RODRIGO</v>
      </c>
      <c r="Q133" s="25" t="str">
        <f>VLOOKUP(F133,[1]CLIENTES!B:M,12,0)</f>
        <v>MARCO AURELIO</v>
      </c>
      <c r="R133" s="26" t="str">
        <f>VLOOKUP(F133,[1]CLIENTES!B:J,9,0)</f>
        <v>TC REPRESENTAÇÕES</v>
      </c>
      <c r="S133" s="27">
        <v>3000</v>
      </c>
      <c r="T133" s="28" t="s">
        <v>44</v>
      </c>
      <c r="U133" s="28" t="s">
        <v>28</v>
      </c>
      <c r="V133" s="28" t="s">
        <v>29</v>
      </c>
      <c r="W133" s="28" t="s">
        <v>52</v>
      </c>
    </row>
    <row r="134" spans="1:23" ht="15" customHeight="1" x14ac:dyDescent="0.25">
      <c r="A134" s="20" t="str">
        <f>VLOOKUP(F134,[1]CLIENTES!B:L,11,0)</f>
        <v>RODRIGO</v>
      </c>
      <c r="B134" s="20" t="s">
        <v>220</v>
      </c>
      <c r="C134" s="20">
        <v>46104.769259259258</v>
      </c>
      <c r="D134" s="21" t="s">
        <v>21</v>
      </c>
      <c r="E134" s="21">
        <v>951</v>
      </c>
      <c r="F134" s="21">
        <v>5128707</v>
      </c>
      <c r="G134" s="21">
        <v>128420</v>
      </c>
      <c r="H134" s="21" t="s">
        <v>261</v>
      </c>
      <c r="I134" s="21" t="s">
        <v>113</v>
      </c>
      <c r="J134" s="21">
        <v>6127</v>
      </c>
      <c r="K134" s="21">
        <v>682</v>
      </c>
      <c r="L134" s="22">
        <v>92</v>
      </c>
      <c r="M134" s="23" t="s">
        <v>262</v>
      </c>
      <c r="N134" s="24" t="s">
        <v>25</v>
      </c>
      <c r="O134" s="25">
        <v>46113</v>
      </c>
      <c r="P134" s="25" t="str">
        <f>VLOOKUP(F134,[1]CLIENTES!B:L,11,0)</f>
        <v>RODRIGO</v>
      </c>
      <c r="Q134" s="25" t="str">
        <f>VLOOKUP(F134,[1]CLIENTES!B:M,12,0)</f>
        <v>MARIA LOURDES</v>
      </c>
      <c r="R134" s="26" t="str">
        <f>VLOOKUP(F134,[1]CLIENTES!B:J,9,0)</f>
        <v>CLAUDIO JORGE/LUIZ</v>
      </c>
      <c r="S134" s="27">
        <v>8000</v>
      </c>
      <c r="T134" s="28" t="s">
        <v>44</v>
      </c>
      <c r="U134" s="28" t="s">
        <v>28</v>
      </c>
      <c r="V134" s="28" t="s">
        <v>29</v>
      </c>
      <c r="W134" s="28" t="s">
        <v>52</v>
      </c>
    </row>
    <row r="135" spans="1:23" ht="15" customHeight="1" x14ac:dyDescent="0.25">
      <c r="A135" s="20" t="str">
        <f>VLOOKUP(F135,[1]CLIENTES!B:L,11,0)</f>
        <v>RODRIGO</v>
      </c>
      <c r="B135" s="20" t="s">
        <v>220</v>
      </c>
      <c r="C135" s="20">
        <v>46104.769259259258</v>
      </c>
      <c r="D135" s="21" t="s">
        <v>21</v>
      </c>
      <c r="E135" s="21">
        <v>974</v>
      </c>
      <c r="F135" s="21">
        <v>5115189</v>
      </c>
      <c r="G135" s="21">
        <v>129296</v>
      </c>
      <c r="H135" s="21" t="s">
        <v>68</v>
      </c>
      <c r="I135" s="21" t="s">
        <v>54</v>
      </c>
      <c r="J135" s="21" t="s">
        <v>55</v>
      </c>
      <c r="K135" s="21">
        <v>191</v>
      </c>
      <c r="L135" s="22">
        <v>92</v>
      </c>
      <c r="M135" s="23" t="s">
        <v>263</v>
      </c>
      <c r="N135" s="24" t="s">
        <v>25</v>
      </c>
      <c r="O135" s="25">
        <v>46113</v>
      </c>
      <c r="P135" s="25" t="str">
        <f>VLOOKUP(F135,[1]CLIENTES!B:L,11,0)</f>
        <v>RODRIGO</v>
      </c>
      <c r="Q135" s="25" t="str">
        <f>VLOOKUP(F135,[1]CLIENTES!B:M,12,0)</f>
        <v>MARCO AURELIO</v>
      </c>
      <c r="R135" s="26" t="str">
        <f>VLOOKUP(F135,[1]CLIENTES!B:J,9,0)</f>
        <v>CLAUDIO JORGE/MARIA LAURA</v>
      </c>
      <c r="S135" s="27">
        <v>11666.67</v>
      </c>
      <c r="T135" s="28" t="s">
        <v>44</v>
      </c>
      <c r="U135" s="28" t="s">
        <v>28</v>
      </c>
      <c r="V135" s="28" t="s">
        <v>29</v>
      </c>
      <c r="W135" s="28" t="s">
        <v>35</v>
      </c>
    </row>
    <row r="136" spans="1:23" ht="15" customHeight="1" x14ac:dyDescent="0.25">
      <c r="A136" s="20" t="str">
        <f>VLOOKUP(F136,[1]CLIENTES!B:L,11,0)</f>
        <v>RODRIGO</v>
      </c>
      <c r="B136" s="20" t="s">
        <v>220</v>
      </c>
      <c r="C136" s="20">
        <v>46104.769259259258</v>
      </c>
      <c r="D136" s="21" t="s">
        <v>21</v>
      </c>
      <c r="E136" s="21">
        <v>939</v>
      </c>
      <c r="F136" s="21">
        <v>5182828</v>
      </c>
      <c r="G136" s="21">
        <v>142649</v>
      </c>
      <c r="H136" s="21" t="s">
        <v>53</v>
      </c>
      <c r="I136" s="21" t="s">
        <v>54</v>
      </c>
      <c r="J136" s="21" t="s">
        <v>55</v>
      </c>
      <c r="K136" s="21">
        <v>191</v>
      </c>
      <c r="L136" s="22">
        <v>93</v>
      </c>
      <c r="M136" s="23" t="s">
        <v>264</v>
      </c>
      <c r="N136" s="24" t="s">
        <v>25</v>
      </c>
      <c r="O136" s="25">
        <v>46113</v>
      </c>
      <c r="P136" s="25" t="str">
        <f>VLOOKUP(F136,[1]CLIENTES!B:L,11,0)</f>
        <v>RODRIGO</v>
      </c>
      <c r="Q136" s="25" t="str">
        <f>VLOOKUP(F136,[1]CLIENTES!B:M,12,0)</f>
        <v>MARCO AURELIO</v>
      </c>
      <c r="R136" s="26" t="str">
        <f>VLOOKUP(F136,[1]CLIENTES!B:J,9,0)</f>
        <v>CLAUDIO JORGE</v>
      </c>
      <c r="S136" s="27">
        <v>3500</v>
      </c>
      <c r="T136" s="28" t="s">
        <v>44</v>
      </c>
      <c r="U136" s="28" t="s">
        <v>28</v>
      </c>
      <c r="V136" s="28" t="s">
        <v>29</v>
      </c>
      <c r="W136" s="28" t="s">
        <v>52</v>
      </c>
    </row>
    <row r="137" spans="1:23" ht="15" customHeight="1" x14ac:dyDescent="0.25">
      <c r="A137" s="20" t="str">
        <f>VLOOKUP(F137,[1]CLIENTES!B:L,11,0)</f>
        <v>RODRIGO</v>
      </c>
      <c r="B137" s="20" t="s">
        <v>220</v>
      </c>
      <c r="C137" s="20">
        <v>46104.769259259258</v>
      </c>
      <c r="D137" s="21" t="s">
        <v>21</v>
      </c>
      <c r="E137" s="21">
        <v>995</v>
      </c>
      <c r="F137" s="21">
        <v>5223419</v>
      </c>
      <c r="G137" s="21">
        <v>146094</v>
      </c>
      <c r="H137" s="21" t="s">
        <v>265</v>
      </c>
      <c r="I137" s="21" t="s">
        <v>266</v>
      </c>
      <c r="J137" s="21">
        <v>6123</v>
      </c>
      <c r="K137" s="21">
        <v>607</v>
      </c>
      <c r="L137" s="22">
        <v>93</v>
      </c>
      <c r="M137" s="23" t="s">
        <v>267</v>
      </c>
      <c r="N137" s="24" t="s">
        <v>25</v>
      </c>
      <c r="O137" s="25">
        <v>46113</v>
      </c>
      <c r="P137" s="25" t="str">
        <f>VLOOKUP(F137,[1]CLIENTES!B:L,11,0)</f>
        <v>RODRIGO</v>
      </c>
      <c r="Q137" s="25" t="str">
        <f>VLOOKUP(F137,[1]CLIENTES!B:M,12,0)</f>
        <v>MARCO AURELIO</v>
      </c>
      <c r="R137" s="26" t="str">
        <f>VLOOKUP(F137,[1]CLIENTES!B:J,9,0)</f>
        <v>CLAUDIO JORGE</v>
      </c>
      <c r="S137" s="27">
        <v>2000</v>
      </c>
      <c r="T137" s="28" t="s">
        <v>44</v>
      </c>
      <c r="U137" s="28" t="s">
        <v>28</v>
      </c>
      <c r="V137" s="28" t="s">
        <v>29</v>
      </c>
      <c r="W137" s="28" t="s">
        <v>52</v>
      </c>
    </row>
    <row r="138" spans="1:23" ht="15" customHeight="1" x14ac:dyDescent="0.25">
      <c r="A138" s="20" t="str">
        <f>VLOOKUP(F138,[1]CLIENTES!B:L,11,0)</f>
        <v>RODRIGO</v>
      </c>
      <c r="B138" s="20" t="s">
        <v>220</v>
      </c>
      <c r="C138" s="20">
        <v>46104.769259259258</v>
      </c>
      <c r="D138" s="21" t="s">
        <v>21</v>
      </c>
      <c r="E138" s="21">
        <v>972</v>
      </c>
      <c r="F138" s="21">
        <v>5186266</v>
      </c>
      <c r="G138" s="21">
        <v>142707</v>
      </c>
      <c r="H138" s="21" t="s">
        <v>268</v>
      </c>
      <c r="I138" s="21" t="s">
        <v>213</v>
      </c>
      <c r="J138" s="21" t="s">
        <v>214</v>
      </c>
      <c r="K138" s="21">
        <v>197</v>
      </c>
      <c r="L138" s="22">
        <v>92</v>
      </c>
      <c r="M138" s="23" t="s">
        <v>269</v>
      </c>
      <c r="N138" s="24" t="s">
        <v>25</v>
      </c>
      <c r="O138" s="25">
        <v>46113</v>
      </c>
      <c r="P138" s="25" t="str">
        <f>VLOOKUP(F138,[1]CLIENTES!B:L,11,0)</f>
        <v>RODRIGO</v>
      </c>
      <c r="Q138" s="25" t="str">
        <f>VLOOKUP(F138,[1]CLIENTES!B:M,12,0)</f>
        <v>MARCO AURELIO</v>
      </c>
      <c r="R138" s="26" t="str">
        <f>VLOOKUP(F138,[1]CLIENTES!B:J,9,0)</f>
        <v>CLAUDIO JORGE</v>
      </c>
      <c r="S138" s="27">
        <v>2193.85</v>
      </c>
      <c r="T138" s="28" t="s">
        <v>44</v>
      </c>
      <c r="U138" s="28" t="s">
        <v>28</v>
      </c>
      <c r="V138" s="28" t="s">
        <v>29</v>
      </c>
      <c r="W138" s="28" t="s">
        <v>52</v>
      </c>
    </row>
    <row r="139" spans="1:23" ht="15" customHeight="1" x14ac:dyDescent="0.25">
      <c r="A139" s="20" t="str">
        <f>VLOOKUP(F139,[1]CLIENTES!B:L,11,0)</f>
        <v>RODRIGO</v>
      </c>
      <c r="B139" s="20" t="s">
        <v>220</v>
      </c>
      <c r="C139" s="20">
        <v>46104.769259259258</v>
      </c>
      <c r="D139" s="21" t="s">
        <v>21</v>
      </c>
      <c r="E139" s="21">
        <v>972</v>
      </c>
      <c r="F139" s="21">
        <v>5186266</v>
      </c>
      <c r="G139" s="21">
        <v>142707</v>
      </c>
      <c r="H139" s="21" t="s">
        <v>268</v>
      </c>
      <c r="I139" s="21" t="s">
        <v>213</v>
      </c>
      <c r="J139" s="21" t="s">
        <v>214</v>
      </c>
      <c r="K139" s="21">
        <v>197</v>
      </c>
      <c r="L139" s="22">
        <v>92</v>
      </c>
      <c r="M139" s="23" t="s">
        <v>270</v>
      </c>
      <c r="N139" s="24" t="s">
        <v>25</v>
      </c>
      <c r="O139" s="25">
        <v>46113</v>
      </c>
      <c r="P139" s="25" t="str">
        <f>VLOOKUP(F139,[1]CLIENTES!B:L,11,0)</f>
        <v>RODRIGO</v>
      </c>
      <c r="Q139" s="25" t="str">
        <f>VLOOKUP(F139,[1]CLIENTES!B:M,12,0)</f>
        <v>MARCO AURELIO</v>
      </c>
      <c r="R139" s="26" t="str">
        <f>VLOOKUP(F139,[1]CLIENTES!B:J,9,0)</f>
        <v>CLAUDIO JORGE</v>
      </c>
      <c r="S139" s="27">
        <v>2000</v>
      </c>
      <c r="T139" s="28" t="s">
        <v>44</v>
      </c>
      <c r="U139" s="28" t="s">
        <v>28</v>
      </c>
      <c r="V139" s="28" t="s">
        <v>29</v>
      </c>
      <c r="W139" s="28" t="s">
        <v>52</v>
      </c>
    </row>
    <row r="140" spans="1:23" ht="15" customHeight="1" x14ac:dyDescent="0.25">
      <c r="A140" s="20" t="str">
        <f>VLOOKUP(F140,[1]CLIENTES!B:L,11,0)</f>
        <v>RODRIGO</v>
      </c>
      <c r="B140" s="20" t="s">
        <v>220</v>
      </c>
      <c r="C140" s="20">
        <v>46104.769259259258</v>
      </c>
      <c r="D140" s="21" t="s">
        <v>21</v>
      </c>
      <c r="E140" s="21">
        <v>960</v>
      </c>
      <c r="F140" s="21">
        <v>5017576</v>
      </c>
      <c r="G140" s="21">
        <v>116132</v>
      </c>
      <c r="H140" s="21" t="s">
        <v>31</v>
      </c>
      <c r="I140" s="21" t="s">
        <v>32</v>
      </c>
      <c r="J140" s="21">
        <v>6169</v>
      </c>
      <c r="K140" s="21">
        <v>690</v>
      </c>
      <c r="L140" s="22">
        <v>92</v>
      </c>
      <c r="M140" s="23" t="s">
        <v>271</v>
      </c>
      <c r="N140" s="24" t="s">
        <v>25</v>
      </c>
      <c r="O140" s="25">
        <v>46113</v>
      </c>
      <c r="P140" s="25" t="str">
        <f>VLOOKUP(F140,[1]CLIENTES!B:L,11,0)</f>
        <v>RODRIGO</v>
      </c>
      <c r="Q140" s="25" t="str">
        <f>VLOOKUP(F140,[1]CLIENTES!B:M,12,0)</f>
        <v>JESSICA</v>
      </c>
      <c r="R140" s="26" t="str">
        <f>VLOOKUP(F140,[1]CLIENTES!B:J,9,0)</f>
        <v>MARCELO DUARTE</v>
      </c>
      <c r="S140" s="27">
        <v>11000</v>
      </c>
      <c r="T140" s="28" t="s">
        <v>44</v>
      </c>
      <c r="U140" s="28" t="s">
        <v>28</v>
      </c>
      <c r="V140" s="28" t="s">
        <v>29</v>
      </c>
      <c r="W140" s="28" t="s">
        <v>52</v>
      </c>
    </row>
    <row r="141" spans="1:23" ht="15" customHeight="1" x14ac:dyDescent="0.25">
      <c r="A141" s="20" t="str">
        <f>VLOOKUP(F141,[1]CLIENTES!B:L,11,0)</f>
        <v>RODRIGO</v>
      </c>
      <c r="B141" s="20" t="s">
        <v>220</v>
      </c>
      <c r="C141" s="20">
        <v>46104.769259259258</v>
      </c>
      <c r="D141" s="21" t="s">
        <v>21</v>
      </c>
      <c r="E141" s="21">
        <v>954</v>
      </c>
      <c r="F141" s="21">
        <v>5040108</v>
      </c>
      <c r="G141" s="21">
        <v>123355</v>
      </c>
      <c r="H141" s="21" t="s">
        <v>93</v>
      </c>
      <c r="I141" s="21" t="s">
        <v>37</v>
      </c>
      <c r="J141" s="21">
        <v>6169</v>
      </c>
      <c r="K141" s="21">
        <v>689</v>
      </c>
      <c r="L141" s="22">
        <v>92</v>
      </c>
      <c r="M141" s="23" t="s">
        <v>272</v>
      </c>
      <c r="N141" s="24" t="s">
        <v>25</v>
      </c>
      <c r="O141" s="25">
        <v>46113</v>
      </c>
      <c r="P141" s="25" t="str">
        <f>VLOOKUP(F141,[1]CLIENTES!B:L,11,0)</f>
        <v>RODRIGO</v>
      </c>
      <c r="Q141" s="25" t="str">
        <f>VLOOKUP(F141,[1]CLIENTES!B:M,12,0)</f>
        <v>JESSICA</v>
      </c>
      <c r="R141" s="26" t="str">
        <f>VLOOKUP(F141,[1]CLIENTES!B:J,9,0)</f>
        <v>CLAUDIO JORGE</v>
      </c>
      <c r="S141" s="27">
        <v>10000</v>
      </c>
      <c r="T141" s="28" t="s">
        <v>44</v>
      </c>
      <c r="U141" s="28" t="s">
        <v>28</v>
      </c>
      <c r="V141" s="28" t="s">
        <v>29</v>
      </c>
      <c r="W141" s="28" t="s">
        <v>52</v>
      </c>
    </row>
    <row r="142" spans="1:23" ht="15" customHeight="1" x14ac:dyDescent="0.25">
      <c r="A142" s="20" t="str">
        <f>VLOOKUP(F142,[1]CLIENTES!B:L,11,0)</f>
        <v>RODRIGO</v>
      </c>
      <c r="B142" s="20" t="s">
        <v>220</v>
      </c>
      <c r="C142" s="20">
        <v>46104.769259259258</v>
      </c>
      <c r="D142" s="21" t="s">
        <v>21</v>
      </c>
      <c r="E142" s="21">
        <v>980</v>
      </c>
      <c r="F142" s="21">
        <v>5115019</v>
      </c>
      <c r="G142" s="21">
        <v>123456</v>
      </c>
      <c r="H142" s="21" t="s">
        <v>36</v>
      </c>
      <c r="I142" s="21" t="s">
        <v>37</v>
      </c>
      <c r="J142" s="21">
        <v>6169</v>
      </c>
      <c r="K142" s="21">
        <v>689</v>
      </c>
      <c r="L142" s="22">
        <v>92</v>
      </c>
      <c r="M142" s="23" t="s">
        <v>273</v>
      </c>
      <c r="N142" s="24" t="s">
        <v>25</v>
      </c>
      <c r="O142" s="25">
        <v>46113</v>
      </c>
      <c r="P142" s="25" t="str">
        <f>VLOOKUP(F142,[1]CLIENTES!B:L,11,0)</f>
        <v>RODRIGO</v>
      </c>
      <c r="Q142" s="25" t="str">
        <f>VLOOKUP(F142,[1]CLIENTES!B:M,12,0)</f>
        <v>JESSICA</v>
      </c>
      <c r="R142" s="26" t="str">
        <f>VLOOKUP(F142,[1]CLIENTES!B:J,9,0)</f>
        <v>JESSICA CARLA</v>
      </c>
      <c r="S142" s="27">
        <v>16000</v>
      </c>
      <c r="T142" s="28" t="s">
        <v>44</v>
      </c>
      <c r="U142" s="28" t="s">
        <v>28</v>
      </c>
      <c r="V142" s="28" t="s">
        <v>29</v>
      </c>
      <c r="W142" s="28" t="s">
        <v>52</v>
      </c>
    </row>
    <row r="143" spans="1:23" ht="15" customHeight="1" x14ac:dyDescent="0.25">
      <c r="A143" s="20" t="str">
        <f>VLOOKUP(F143,[1]CLIENTES!B:L,11,0)</f>
        <v>RODRIGO</v>
      </c>
      <c r="B143" s="20" t="s">
        <v>220</v>
      </c>
      <c r="C143" s="20">
        <v>46104.769259259258</v>
      </c>
      <c r="D143" s="21" t="s">
        <v>21</v>
      </c>
      <c r="E143" s="21">
        <v>977</v>
      </c>
      <c r="F143" s="21">
        <v>5231303</v>
      </c>
      <c r="G143" s="21">
        <v>167018</v>
      </c>
      <c r="H143" s="21" t="s">
        <v>104</v>
      </c>
      <c r="I143" s="21" t="s">
        <v>37</v>
      </c>
      <c r="J143" s="21" t="s">
        <v>105</v>
      </c>
      <c r="K143" s="21">
        <v>189</v>
      </c>
      <c r="L143" s="22">
        <v>93</v>
      </c>
      <c r="M143" s="23" t="s">
        <v>274</v>
      </c>
      <c r="N143" s="24" t="s">
        <v>25</v>
      </c>
      <c r="O143" s="25">
        <v>46113</v>
      </c>
      <c r="P143" s="25" t="str">
        <f>VLOOKUP(F143,[1]CLIENTES!B:L,11,0)</f>
        <v>RODRIGO</v>
      </c>
      <c r="Q143" s="25" t="str">
        <f>VLOOKUP(F143,[1]CLIENTES!B:M,12,0)</f>
        <v>JESSICA</v>
      </c>
      <c r="R143" s="26" t="str">
        <f>VLOOKUP(F143,[1]CLIENTES!B:J,9,0)</f>
        <v>LUCIANA MARTINS</v>
      </c>
      <c r="S143" s="27">
        <v>15000</v>
      </c>
      <c r="T143" s="28" t="s">
        <v>44</v>
      </c>
      <c r="U143" s="28" t="s">
        <v>28</v>
      </c>
      <c r="V143" s="28" t="s">
        <v>29</v>
      </c>
      <c r="W143" s="28" t="s">
        <v>52</v>
      </c>
    </row>
    <row r="144" spans="1:23" ht="15" customHeight="1" x14ac:dyDescent="0.25">
      <c r="A144" s="20" t="str">
        <f>VLOOKUP(F144,[1]CLIENTES!B:L,11,0)</f>
        <v>RODRIGO</v>
      </c>
      <c r="B144" s="20" t="s">
        <v>220</v>
      </c>
      <c r="C144" s="20">
        <v>46104.769259259258</v>
      </c>
      <c r="D144" s="21" t="s">
        <v>118</v>
      </c>
      <c r="E144" s="21" t="s">
        <v>276</v>
      </c>
      <c r="F144" s="21">
        <v>5026399</v>
      </c>
      <c r="G144" s="21">
        <v>116247</v>
      </c>
      <c r="H144" s="21" t="s">
        <v>119</v>
      </c>
      <c r="I144" s="21" t="s">
        <v>37</v>
      </c>
      <c r="J144" s="21">
        <v>6169</v>
      </c>
      <c r="K144" s="21">
        <v>689</v>
      </c>
      <c r="L144" s="22">
        <v>92</v>
      </c>
      <c r="M144" s="23" t="s">
        <v>277</v>
      </c>
      <c r="N144" s="24" t="s">
        <v>25</v>
      </c>
      <c r="O144" s="25">
        <v>46127</v>
      </c>
      <c r="P144" s="25" t="str">
        <f>VLOOKUP(F144,[1]CLIENTES!B:L,11,0)</f>
        <v>RODRIGO</v>
      </c>
      <c r="Q144" s="25" t="str">
        <f>VLOOKUP(F144,[1]CLIENTES!B:M,12,0)</f>
        <v>JESSICA</v>
      </c>
      <c r="R144" s="26" t="str">
        <f>VLOOKUP(F144,[1]CLIENTES!B:J,9,0)</f>
        <v>JESSICA CARLA</v>
      </c>
      <c r="S144" s="27">
        <v>40000</v>
      </c>
      <c r="T144" s="28" t="s">
        <v>44</v>
      </c>
      <c r="U144" s="28" t="s">
        <v>28</v>
      </c>
      <c r="V144" s="28" t="s">
        <v>29</v>
      </c>
      <c r="W144" s="28" t="s">
        <v>204</v>
      </c>
    </row>
    <row r="145" spans="1:23" ht="15" customHeight="1" x14ac:dyDescent="0.25">
      <c r="A145" s="20" t="str">
        <f>VLOOKUP(F145,[1]CLIENTES!B:L,11,0)</f>
        <v>RODRIGO</v>
      </c>
      <c r="B145" s="20" t="s">
        <v>220</v>
      </c>
      <c r="C145" s="20">
        <v>46105</v>
      </c>
      <c r="D145" s="21" t="s">
        <v>21</v>
      </c>
      <c r="E145" s="21">
        <v>997</v>
      </c>
      <c r="F145" s="21">
        <v>5020319</v>
      </c>
      <c r="G145" s="21">
        <v>110315</v>
      </c>
      <c r="H145" s="21" t="s">
        <v>112</v>
      </c>
      <c r="I145" s="21" t="s">
        <v>113</v>
      </c>
      <c r="J145" s="21">
        <v>6127</v>
      </c>
      <c r="K145" s="21">
        <v>682</v>
      </c>
      <c r="L145" s="22">
        <v>92</v>
      </c>
      <c r="M145" s="23" t="s">
        <v>278</v>
      </c>
      <c r="N145" s="24" t="s">
        <v>25</v>
      </c>
      <c r="O145" s="25">
        <v>46113</v>
      </c>
      <c r="P145" s="25" t="str">
        <f>VLOOKUP(F145,[1]CLIENTES!B:L,11,0)</f>
        <v>RODRIGO</v>
      </c>
      <c r="Q145" s="25" t="str">
        <f>VLOOKUP(F145,[1]CLIENTES!B:M,12,0)</f>
        <v>MARIA LOURDES</v>
      </c>
      <c r="R145" s="26" t="str">
        <f>VLOOKUP(F145,[1]CLIENTES!B:J,9,0)</f>
        <v>CLAUDIO JORGE/LUIZ</v>
      </c>
      <c r="S145" s="27">
        <v>3600</v>
      </c>
      <c r="T145" s="28" t="s">
        <v>44</v>
      </c>
      <c r="U145" s="28" t="s">
        <v>28</v>
      </c>
      <c r="V145" s="28" t="s">
        <v>29</v>
      </c>
      <c r="W145" s="28" t="s">
        <v>52</v>
      </c>
    </row>
    <row r="146" spans="1:23" ht="15" customHeight="1" x14ac:dyDescent="0.25">
      <c r="A146" s="20" t="str">
        <f>VLOOKUP(F146,[1]CLIENTES!B:L,11,0)</f>
        <v>RODRIGO</v>
      </c>
      <c r="B146" s="20" t="s">
        <v>279</v>
      </c>
      <c r="C146" s="20">
        <v>46084</v>
      </c>
      <c r="D146" s="21" t="s">
        <v>21</v>
      </c>
      <c r="E146" s="21">
        <v>1422</v>
      </c>
      <c r="F146" s="21">
        <v>5020319</v>
      </c>
      <c r="G146" s="21">
        <v>110315</v>
      </c>
      <c r="H146" s="21" t="s">
        <v>112</v>
      </c>
      <c r="I146" s="21" t="s">
        <v>113</v>
      </c>
      <c r="J146" s="21">
        <v>6127</v>
      </c>
      <c r="K146" s="29">
        <v>682</v>
      </c>
      <c r="L146" s="22">
        <v>92</v>
      </c>
      <c r="M146" s="23" t="s">
        <v>225</v>
      </c>
      <c r="N146" s="24" t="s">
        <v>25</v>
      </c>
      <c r="O146" s="30">
        <v>46143</v>
      </c>
      <c r="P146" s="25" t="str">
        <f>VLOOKUP(F146,[1]CLIENTES!B:L,11,0)</f>
        <v>RODRIGO</v>
      </c>
      <c r="Q146" s="25" t="str">
        <f>VLOOKUP(F146,[1]CLIENTES!B:M,12,0)</f>
        <v>MARIA LOURDES</v>
      </c>
      <c r="R146" s="26" t="str">
        <f>VLOOKUP(F146,[1]CLIENTES!B:J,9,0)</f>
        <v>CLAUDIO JORGE/LUIZ</v>
      </c>
      <c r="S146" s="27">
        <v>15000</v>
      </c>
      <c r="T146" s="28" t="s">
        <v>44</v>
      </c>
      <c r="U146" s="28" t="s">
        <v>28</v>
      </c>
      <c r="V146" s="28" t="s">
        <v>29</v>
      </c>
      <c r="W146" s="28" t="s">
        <v>52</v>
      </c>
    </row>
    <row r="147" spans="1:23" ht="15" customHeight="1" x14ac:dyDescent="0.25">
      <c r="A147" s="20" t="str">
        <f>VLOOKUP(F147,[1]CLIENTES!B:L,11,0)</f>
        <v>RODRIGO</v>
      </c>
      <c r="B147" s="20" t="s">
        <v>279</v>
      </c>
      <c r="C147" s="20">
        <v>46104.769259259258</v>
      </c>
      <c r="D147" s="21" t="s">
        <v>21</v>
      </c>
      <c r="E147" s="21">
        <v>1481</v>
      </c>
      <c r="F147" s="21">
        <v>5225860</v>
      </c>
      <c r="G147" s="21">
        <v>180402</v>
      </c>
      <c r="H147" s="21" t="s">
        <v>39</v>
      </c>
      <c r="I147" s="21" t="s">
        <v>40</v>
      </c>
      <c r="J147" s="21" t="s">
        <v>41</v>
      </c>
      <c r="K147" s="29">
        <v>194</v>
      </c>
      <c r="L147" s="22">
        <v>92</v>
      </c>
      <c r="M147" s="23" t="s">
        <v>254</v>
      </c>
      <c r="N147" s="24" t="s">
        <v>25</v>
      </c>
      <c r="O147" s="30">
        <v>46143</v>
      </c>
      <c r="P147" s="25" t="str">
        <f>VLOOKUP(F147,[1]CLIENTES!B:L,11,0)</f>
        <v>RODRIGO</v>
      </c>
      <c r="Q147" s="25" t="str">
        <f>VLOOKUP(F147,[1]CLIENTES!B:M,12,0)</f>
        <v>MARIA LOURDES</v>
      </c>
      <c r="R147" s="26" t="str">
        <f>VLOOKUP(F147,[1]CLIENTES!B:J,9,0)</f>
        <v>CLAUDIO JORGE/AMANDA SANDS</v>
      </c>
      <c r="S147" s="27">
        <v>25000</v>
      </c>
      <c r="T147" s="28" t="s">
        <v>44</v>
      </c>
      <c r="U147" s="28" t="s">
        <v>28</v>
      </c>
      <c r="V147" s="28" t="s">
        <v>29</v>
      </c>
      <c r="W147" s="28" t="s">
        <v>52</v>
      </c>
    </row>
    <row r="148" spans="1:23" ht="15" customHeight="1" x14ac:dyDescent="0.25">
      <c r="A148" s="20" t="str">
        <f>VLOOKUP(F148,[1]CLIENTES!B:L,11,0)</f>
        <v>RODRIGO</v>
      </c>
      <c r="B148" s="20" t="s">
        <v>279</v>
      </c>
      <c r="C148" s="20">
        <v>46104.769259259258</v>
      </c>
      <c r="D148" s="21" t="s">
        <v>21</v>
      </c>
      <c r="E148" s="21">
        <v>1489</v>
      </c>
      <c r="F148" s="21">
        <v>5133664</v>
      </c>
      <c r="G148" s="21">
        <v>142632</v>
      </c>
      <c r="H148" s="21" t="s">
        <v>134</v>
      </c>
      <c r="I148" s="21" t="s">
        <v>40</v>
      </c>
      <c r="J148" s="21" t="s">
        <v>41</v>
      </c>
      <c r="K148" s="29">
        <v>194</v>
      </c>
      <c r="L148" s="22">
        <v>92</v>
      </c>
      <c r="M148" s="23" t="s">
        <v>254</v>
      </c>
      <c r="N148" s="24" t="s">
        <v>25</v>
      </c>
      <c r="O148" s="30">
        <v>46143</v>
      </c>
      <c r="P148" s="25" t="str">
        <f>VLOOKUP(F148,[1]CLIENTES!B:L,11,0)</f>
        <v>RODRIGO</v>
      </c>
      <c r="Q148" s="25" t="str">
        <f>VLOOKUP(F148,[1]CLIENTES!B:M,12,0)</f>
        <v>MARIA LOURDES</v>
      </c>
      <c r="R148" s="26" t="str">
        <f>VLOOKUP(F148,[1]CLIENTES!B:J,9,0)</f>
        <v>CLAUDIO JORGE/AMANDA SANDS</v>
      </c>
      <c r="S148" s="27">
        <v>10000</v>
      </c>
      <c r="T148" s="28" t="s">
        <v>44</v>
      </c>
      <c r="U148" s="28" t="s">
        <v>28</v>
      </c>
      <c r="V148" s="28" t="s">
        <v>29</v>
      </c>
      <c r="W148" s="28" t="s">
        <v>52</v>
      </c>
    </row>
    <row r="149" spans="1:23" ht="15" customHeight="1" x14ac:dyDescent="0.25">
      <c r="A149" s="20" t="str">
        <f>VLOOKUP(F149,[1]CLIENTES!B:L,11,0)</f>
        <v>RODRIGO</v>
      </c>
      <c r="B149" s="20" t="s">
        <v>279</v>
      </c>
      <c r="C149" s="20">
        <v>46104.769259259258</v>
      </c>
      <c r="D149" s="21" t="s">
        <v>21</v>
      </c>
      <c r="E149" s="21">
        <v>1489</v>
      </c>
      <c r="F149" s="21">
        <v>5133664</v>
      </c>
      <c r="G149" s="21">
        <v>142632</v>
      </c>
      <c r="H149" s="21" t="s">
        <v>134</v>
      </c>
      <c r="I149" s="21" t="s">
        <v>40</v>
      </c>
      <c r="J149" s="21" t="s">
        <v>41</v>
      </c>
      <c r="K149" s="29">
        <v>194</v>
      </c>
      <c r="L149" s="22">
        <v>92</v>
      </c>
      <c r="M149" s="23" t="s">
        <v>256</v>
      </c>
      <c r="N149" s="24" t="s">
        <v>25</v>
      </c>
      <c r="O149" s="30">
        <v>46143</v>
      </c>
      <c r="P149" s="25" t="str">
        <f>VLOOKUP(F149,[1]CLIENTES!B:L,11,0)</f>
        <v>RODRIGO</v>
      </c>
      <c r="Q149" s="25" t="str">
        <f>VLOOKUP(F149,[1]CLIENTES!B:M,12,0)</f>
        <v>MARIA LOURDES</v>
      </c>
      <c r="R149" s="26" t="str">
        <f>VLOOKUP(F149,[1]CLIENTES!B:J,9,0)</f>
        <v>CLAUDIO JORGE/AMANDA SANDS</v>
      </c>
      <c r="S149" s="27">
        <v>10000</v>
      </c>
      <c r="T149" s="28" t="s">
        <v>44</v>
      </c>
      <c r="U149" s="28" t="s">
        <v>28</v>
      </c>
      <c r="V149" s="28" t="s">
        <v>29</v>
      </c>
      <c r="W149" s="28" t="s">
        <v>52</v>
      </c>
    </row>
    <row r="150" spans="1:23" ht="15" customHeight="1" x14ac:dyDescent="0.25">
      <c r="A150" s="20" t="str">
        <f>VLOOKUP(F150,[1]CLIENTES!B:L,11,0)</f>
        <v>RODRIGO</v>
      </c>
      <c r="B150" s="20" t="s">
        <v>279</v>
      </c>
      <c r="C150" s="20">
        <v>46104.769259259258</v>
      </c>
      <c r="D150" s="21" t="s">
        <v>21</v>
      </c>
      <c r="E150" s="21">
        <v>1413</v>
      </c>
      <c r="F150" s="21">
        <v>5229985</v>
      </c>
      <c r="G150" s="21">
        <v>180738</v>
      </c>
      <c r="H150" s="21" t="s">
        <v>131</v>
      </c>
      <c r="I150" s="21" t="s">
        <v>132</v>
      </c>
      <c r="J150" s="21">
        <v>6127</v>
      </c>
      <c r="K150" s="29">
        <v>605</v>
      </c>
      <c r="L150" s="22">
        <v>92</v>
      </c>
      <c r="M150" s="23" t="s">
        <v>257</v>
      </c>
      <c r="N150" s="24" t="s">
        <v>25</v>
      </c>
      <c r="O150" s="30">
        <v>46143</v>
      </c>
      <c r="P150" s="25" t="str">
        <f>VLOOKUP(F150,[1]CLIENTES!B:L,11,0)</f>
        <v>RODRIGO</v>
      </c>
      <c r="Q150" s="25" t="str">
        <f>VLOOKUP(F150,[1]CLIENTES!B:M,12,0)</f>
        <v>MARIA LOURDES</v>
      </c>
      <c r="R150" s="26" t="str">
        <f>VLOOKUP(F150,[1]CLIENTES!B:J,9,0)</f>
        <v>WH FOOD SERVICE CE</v>
      </c>
      <c r="S150" s="27">
        <v>15000</v>
      </c>
      <c r="T150" s="28" t="s">
        <v>44</v>
      </c>
      <c r="U150" s="28" t="s">
        <v>28</v>
      </c>
      <c r="V150" s="28" t="s">
        <v>29</v>
      </c>
      <c r="W150" s="28" t="s">
        <v>52</v>
      </c>
    </row>
    <row r="151" spans="1:23" ht="15" customHeight="1" x14ac:dyDescent="0.25">
      <c r="A151" s="20" t="str">
        <f>VLOOKUP(F151,[1]CLIENTES!B:L,11,0)</f>
        <v>RODRIGO</v>
      </c>
      <c r="B151" s="20" t="s">
        <v>279</v>
      </c>
      <c r="C151" s="20">
        <v>46118</v>
      </c>
      <c r="D151" s="21" t="s">
        <v>21</v>
      </c>
      <c r="E151" s="21">
        <v>1422</v>
      </c>
      <c r="F151" s="21">
        <v>5020319</v>
      </c>
      <c r="G151" s="21">
        <v>110315</v>
      </c>
      <c r="H151" s="21" t="s">
        <v>112</v>
      </c>
      <c r="I151" s="21" t="s">
        <v>113</v>
      </c>
      <c r="J151" s="21">
        <v>6127</v>
      </c>
      <c r="K151" s="29">
        <v>682</v>
      </c>
      <c r="L151" s="22">
        <v>92</v>
      </c>
      <c r="M151" s="23" t="s">
        <v>280</v>
      </c>
      <c r="N151" s="24" t="s">
        <v>25</v>
      </c>
      <c r="O151" s="30">
        <v>46143</v>
      </c>
      <c r="P151" s="25" t="str">
        <f>VLOOKUP(F151,[1]CLIENTES!B:L,11,0)</f>
        <v>RODRIGO</v>
      </c>
      <c r="Q151" s="25" t="str">
        <f>VLOOKUP(F151,[1]CLIENTES!B:M,12,0)</f>
        <v>MARIA LOURDES</v>
      </c>
      <c r="R151" s="26" t="str">
        <f>VLOOKUP(F151,[1]CLIENTES!B:J,9,0)</f>
        <v>CLAUDIO JORGE/LUIZ</v>
      </c>
      <c r="S151" s="27">
        <v>13000</v>
      </c>
      <c r="T151" s="28" t="s">
        <v>44</v>
      </c>
      <c r="U151" s="28" t="s">
        <v>28</v>
      </c>
      <c r="V151" s="28" t="s">
        <v>29</v>
      </c>
      <c r="W151" s="28" t="s">
        <v>52</v>
      </c>
    </row>
    <row r="152" spans="1:23" ht="15" customHeight="1" x14ac:dyDescent="0.25">
      <c r="A152" s="20" t="str">
        <f>VLOOKUP(F152,[1]CLIENTES!B:L,11,0)</f>
        <v>RODRIGO</v>
      </c>
      <c r="B152" s="20" t="s">
        <v>279</v>
      </c>
      <c r="C152" s="20">
        <v>46121</v>
      </c>
      <c r="D152" s="21" t="s">
        <v>21</v>
      </c>
      <c r="E152" s="21">
        <v>1481</v>
      </c>
      <c r="F152" s="21">
        <v>5225860</v>
      </c>
      <c r="G152" s="21">
        <v>180402</v>
      </c>
      <c r="H152" s="21" t="s">
        <v>39</v>
      </c>
      <c r="I152" s="21" t="s">
        <v>40</v>
      </c>
      <c r="J152" s="21" t="s">
        <v>41</v>
      </c>
      <c r="K152" s="29">
        <v>194</v>
      </c>
      <c r="L152" s="22">
        <v>92</v>
      </c>
      <c r="M152" s="23" t="s">
        <v>281</v>
      </c>
      <c r="N152" s="24" t="s">
        <v>25</v>
      </c>
      <c r="O152" s="30">
        <v>46143</v>
      </c>
      <c r="P152" s="25" t="str">
        <f>VLOOKUP(F152,[1]CLIENTES!B:L,11,0)</f>
        <v>RODRIGO</v>
      </c>
      <c r="Q152" s="25" t="str">
        <f>VLOOKUP(F152,[1]CLIENTES!B:M,12,0)</f>
        <v>MARIA LOURDES</v>
      </c>
      <c r="R152" s="26" t="str">
        <f>VLOOKUP(F152,[1]CLIENTES!B:J,9,0)</f>
        <v>CLAUDIO JORGE/AMANDA SANDS</v>
      </c>
      <c r="S152" s="27">
        <v>30000</v>
      </c>
      <c r="T152" s="28" t="s">
        <v>44</v>
      </c>
      <c r="U152" s="28" t="s">
        <v>28</v>
      </c>
      <c r="V152" s="28" t="s">
        <v>29</v>
      </c>
      <c r="W152" s="28" t="s">
        <v>45</v>
      </c>
    </row>
    <row r="153" spans="1:23" ht="15" customHeight="1" x14ac:dyDescent="0.25">
      <c r="A153" s="20" t="str">
        <f>VLOOKUP(F153,[1]CLIENTES!B:L,11,0)</f>
        <v>RODRIGO</v>
      </c>
      <c r="B153" s="20" t="s">
        <v>279</v>
      </c>
      <c r="C153" s="20">
        <v>46122</v>
      </c>
      <c r="D153" s="21" t="s">
        <v>21</v>
      </c>
      <c r="E153" s="21">
        <v>1416</v>
      </c>
      <c r="F153" s="21">
        <v>5164717</v>
      </c>
      <c r="G153" s="21">
        <v>143313</v>
      </c>
      <c r="H153" s="21" t="s">
        <v>157</v>
      </c>
      <c r="I153" s="21" t="s">
        <v>23</v>
      </c>
      <c r="J153" s="21">
        <v>6125</v>
      </c>
      <c r="K153" s="29">
        <v>692</v>
      </c>
      <c r="L153" s="22">
        <v>93</v>
      </c>
      <c r="M153" s="23" t="s">
        <v>282</v>
      </c>
      <c r="N153" s="24" t="s">
        <v>25</v>
      </c>
      <c r="O153" s="30">
        <v>46143</v>
      </c>
      <c r="P153" s="25" t="str">
        <f>VLOOKUP(F153,[1]CLIENTES!B:L,11,0)</f>
        <v>RODRIGO</v>
      </c>
      <c r="Q153" s="25" t="str">
        <f>VLOOKUP(F153,[1]CLIENTES!B:M,12,0)</f>
        <v>RAQUEL BARBOSA</v>
      </c>
      <c r="R153" s="26" t="str">
        <f>VLOOKUP(F153,[1]CLIENTES!B:J,9,0)</f>
        <v>SP ITB FS FLAC REP.E COMERCIO</v>
      </c>
      <c r="S153" s="27">
        <v>318</v>
      </c>
      <c r="T153" s="28" t="s">
        <v>283</v>
      </c>
      <c r="U153" s="28" t="s">
        <v>28</v>
      </c>
      <c r="V153" s="28" t="s">
        <v>29</v>
      </c>
      <c r="W153" s="28" t="s">
        <v>52</v>
      </c>
    </row>
    <row r="154" spans="1:23" ht="15" customHeight="1" x14ac:dyDescent="0.25">
      <c r="A154" s="20" t="str">
        <f>VLOOKUP(F154,[1]CLIENTES!B:L,11,0)</f>
        <v>RODRIGO</v>
      </c>
      <c r="B154" s="20" t="s">
        <v>279</v>
      </c>
      <c r="C154" s="20">
        <v>46122</v>
      </c>
      <c r="D154" s="21" t="s">
        <v>21</v>
      </c>
      <c r="E154" s="21">
        <v>1417</v>
      </c>
      <c r="F154" s="21">
        <v>5131101</v>
      </c>
      <c r="G154" s="21">
        <v>167218</v>
      </c>
      <c r="H154" s="21" t="s">
        <v>164</v>
      </c>
      <c r="I154" s="21" t="s">
        <v>23</v>
      </c>
      <c r="J154" s="21">
        <v>6125</v>
      </c>
      <c r="K154" s="29">
        <v>692</v>
      </c>
      <c r="L154" s="22">
        <v>93</v>
      </c>
      <c r="M154" s="23" t="s">
        <v>284</v>
      </c>
      <c r="N154" s="24" t="s">
        <v>25</v>
      </c>
      <c r="O154" s="30">
        <v>46143</v>
      </c>
      <c r="P154" s="25" t="str">
        <f>VLOOKUP(F154,[1]CLIENTES!B:L,11,0)</f>
        <v>RODRIGO</v>
      </c>
      <c r="Q154" s="25" t="str">
        <f>VLOOKUP(F154,[1]CLIENTES!B:M,12,0)</f>
        <v>RAQUEL BARBOSA</v>
      </c>
      <c r="R154" s="26" t="str">
        <f>VLOOKUP(F154,[1]CLIENTES!B:J,9,0)</f>
        <v>VAGO SP</v>
      </c>
      <c r="S154" s="27">
        <v>1751.49</v>
      </c>
      <c r="T154" s="28" t="s">
        <v>44</v>
      </c>
      <c r="U154" s="28" t="s">
        <v>28</v>
      </c>
      <c r="V154" s="28" t="s">
        <v>29</v>
      </c>
      <c r="W154" s="28" t="s">
        <v>52</v>
      </c>
    </row>
    <row r="155" spans="1:23" ht="15" customHeight="1" x14ac:dyDescent="0.25">
      <c r="A155" s="20" t="str">
        <f>VLOOKUP(F155,[1]CLIENTES!B:L,11,0)</f>
        <v>RODRIGO</v>
      </c>
      <c r="B155" s="20" t="s">
        <v>279</v>
      </c>
      <c r="C155" s="20">
        <v>46122</v>
      </c>
      <c r="D155" s="21" t="s">
        <v>21</v>
      </c>
      <c r="E155" s="21">
        <v>1414</v>
      </c>
      <c r="F155" s="21">
        <v>5159289</v>
      </c>
      <c r="G155" s="21">
        <v>143188</v>
      </c>
      <c r="H155" s="21" t="s">
        <v>227</v>
      </c>
      <c r="I155" s="21" t="s">
        <v>23</v>
      </c>
      <c r="J155" s="21">
        <v>6125</v>
      </c>
      <c r="K155" s="29">
        <v>692</v>
      </c>
      <c r="L155" s="22">
        <v>93</v>
      </c>
      <c r="M155" s="23" t="s">
        <v>285</v>
      </c>
      <c r="N155" s="24" t="s">
        <v>25</v>
      </c>
      <c r="O155" s="30">
        <v>46143</v>
      </c>
      <c r="P155" s="25" t="str">
        <f>VLOOKUP(F155,[1]CLIENTES!B:L,11,0)</f>
        <v>RODRIGO</v>
      </c>
      <c r="Q155" s="25" t="str">
        <f>VLOOKUP(F155,[1]CLIENTES!B:M,12,0)</f>
        <v>RAQUEL BARBOSA</v>
      </c>
      <c r="R155" s="26" t="str">
        <f>VLOOKUP(F155,[1]CLIENTES!B:J,9,0)</f>
        <v>VAGO SP</v>
      </c>
      <c r="S155" s="27">
        <v>500</v>
      </c>
      <c r="T155" s="28" t="s">
        <v>44</v>
      </c>
      <c r="U155" s="28" t="s">
        <v>28</v>
      </c>
      <c r="V155" s="28" t="s">
        <v>29</v>
      </c>
      <c r="W155" s="28" t="s">
        <v>52</v>
      </c>
    </row>
    <row r="156" spans="1:23" ht="15" customHeight="1" x14ac:dyDescent="0.25">
      <c r="A156" s="20" t="str">
        <f>VLOOKUP(F156,[1]CLIENTES!B:L,11,0)</f>
        <v>RODRIGO</v>
      </c>
      <c r="B156" s="20" t="s">
        <v>279</v>
      </c>
      <c r="C156" s="20">
        <v>46127</v>
      </c>
      <c r="D156" s="21" t="s">
        <v>21</v>
      </c>
      <c r="E156" s="21">
        <v>1425</v>
      </c>
      <c r="F156" s="21">
        <v>5217293</v>
      </c>
      <c r="G156" s="21">
        <v>145966</v>
      </c>
      <c r="H156" s="21" t="s">
        <v>86</v>
      </c>
      <c r="I156" s="21" t="s">
        <v>23</v>
      </c>
      <c r="J156" s="21">
        <v>6125</v>
      </c>
      <c r="K156" s="29">
        <v>692</v>
      </c>
      <c r="L156" s="22">
        <v>92</v>
      </c>
      <c r="M156" s="23" t="s">
        <v>286</v>
      </c>
      <c r="N156" s="24" t="s">
        <v>25</v>
      </c>
      <c r="O156" s="30">
        <v>46143</v>
      </c>
      <c r="P156" s="25" t="str">
        <f>VLOOKUP(F156,[1]CLIENTES!B:L,11,0)</f>
        <v>RODRIGO</v>
      </c>
      <c r="Q156" s="25" t="str">
        <f>VLOOKUP(F156,[1]CLIENTES!B:M,12,0)</f>
        <v>RAQUEL BARBOSA</v>
      </c>
      <c r="R156" s="26" t="str">
        <f>VLOOKUP(F156,[1]CLIENTES!B:J,9,0)</f>
        <v>VAGO SP</v>
      </c>
      <c r="S156" s="27">
        <v>2222.2199999999998</v>
      </c>
      <c r="T156" s="28" t="s">
        <v>44</v>
      </c>
      <c r="U156" s="28" t="s">
        <v>28</v>
      </c>
      <c r="V156" s="28" t="s">
        <v>29</v>
      </c>
      <c r="W156" s="28" t="s">
        <v>35</v>
      </c>
    </row>
    <row r="157" spans="1:23" ht="15" customHeight="1" x14ac:dyDescent="0.25">
      <c r="A157" s="20" t="str">
        <f>VLOOKUP(F157,[1]CLIENTES!B:L,11,0)</f>
        <v>RODRIGO</v>
      </c>
      <c r="B157" s="20" t="s">
        <v>279</v>
      </c>
      <c r="C157" s="20">
        <v>46128</v>
      </c>
      <c r="D157" s="21" t="s">
        <v>21</v>
      </c>
      <c r="E157" s="21">
        <v>1412</v>
      </c>
      <c r="F157" s="21">
        <v>5109682</v>
      </c>
      <c r="G157" s="21">
        <v>128100</v>
      </c>
      <c r="H157" s="21" t="s">
        <v>88</v>
      </c>
      <c r="I157" s="21" t="s">
        <v>23</v>
      </c>
      <c r="J157" s="21">
        <v>6125</v>
      </c>
      <c r="K157" s="29">
        <v>692</v>
      </c>
      <c r="L157" s="22">
        <v>93</v>
      </c>
      <c r="M157" s="23" t="s">
        <v>287</v>
      </c>
      <c r="N157" s="24" t="s">
        <v>25</v>
      </c>
      <c r="O157" s="30">
        <v>46143</v>
      </c>
      <c r="P157" s="25" t="str">
        <f>VLOOKUP(F157,[1]CLIENTES!B:L,11,0)</f>
        <v>RODRIGO</v>
      </c>
      <c r="Q157" s="25" t="str">
        <f>VLOOKUP(F157,[1]CLIENTES!B:M,12,0)</f>
        <v>RAQUEL BARBOSA</v>
      </c>
      <c r="R157" s="26" t="str">
        <f>VLOOKUP(F157,[1]CLIENTES!B:J,9,0)</f>
        <v>VAGO SP</v>
      </c>
      <c r="S157" s="27">
        <v>3000</v>
      </c>
      <c r="T157" s="28" t="s">
        <v>44</v>
      </c>
      <c r="U157" s="28" t="s">
        <v>28</v>
      </c>
      <c r="V157" s="28" t="s">
        <v>29</v>
      </c>
      <c r="W157" s="28" t="s">
        <v>288</v>
      </c>
    </row>
    <row r="158" spans="1:23" ht="15" customHeight="1" x14ac:dyDescent="0.25">
      <c r="A158" s="20" t="str">
        <f>VLOOKUP(F158,[1]CLIENTES!B:L,11,0)</f>
        <v>RODRIGO</v>
      </c>
      <c r="B158" s="20" t="s">
        <v>279</v>
      </c>
      <c r="C158" s="20">
        <v>46128</v>
      </c>
      <c r="D158" s="21" t="s">
        <v>21</v>
      </c>
      <c r="E158" s="21">
        <v>1421</v>
      </c>
      <c r="F158" s="21">
        <v>5157891</v>
      </c>
      <c r="G158" s="21">
        <v>165987</v>
      </c>
      <c r="H158" s="21" t="s">
        <v>209</v>
      </c>
      <c r="I158" s="21" t="s">
        <v>23</v>
      </c>
      <c r="J158" s="21">
        <v>6125</v>
      </c>
      <c r="K158" s="29">
        <v>692</v>
      </c>
      <c r="L158" s="22">
        <v>92</v>
      </c>
      <c r="M158" s="23" t="s">
        <v>289</v>
      </c>
      <c r="N158" s="24" t="s">
        <v>25</v>
      </c>
      <c r="O158" s="30">
        <v>46143</v>
      </c>
      <c r="P158" s="25" t="str">
        <f>VLOOKUP(F158,[1]CLIENTES!B:L,11,0)</f>
        <v>RODRIGO</v>
      </c>
      <c r="Q158" s="25" t="str">
        <f>VLOOKUP(F158,[1]CLIENTES!B:M,12,0)</f>
        <v>RAQUEL BARBOSA</v>
      </c>
      <c r="R158" s="26" t="str">
        <f>VLOOKUP(F158,[1]CLIENTES!B:J,9,0)</f>
        <v>RAQUEL BARBOSA</v>
      </c>
      <c r="S158" s="27">
        <v>4365.6499999999996</v>
      </c>
      <c r="T158" s="28" t="s">
        <v>44</v>
      </c>
      <c r="U158" s="28" t="s">
        <v>28</v>
      </c>
      <c r="V158" s="28" t="s">
        <v>29</v>
      </c>
      <c r="W158" s="28" t="s">
        <v>149</v>
      </c>
    </row>
    <row r="159" spans="1:23" ht="15" customHeight="1" x14ac:dyDescent="0.25">
      <c r="A159" s="20" t="str">
        <f>VLOOKUP(F159,[1]CLIENTES!B:L,11,0)</f>
        <v>RODRIGO</v>
      </c>
      <c r="B159" s="20" t="s">
        <v>279</v>
      </c>
      <c r="C159" s="20">
        <v>46129</v>
      </c>
      <c r="D159" s="21" t="s">
        <v>21</v>
      </c>
      <c r="E159" s="21">
        <v>1411</v>
      </c>
      <c r="F159" s="21">
        <v>5006978</v>
      </c>
      <c r="G159" s="21">
        <v>103036</v>
      </c>
      <c r="H159" s="21" t="s">
        <v>58</v>
      </c>
      <c r="I159" s="21" t="s">
        <v>23</v>
      </c>
      <c r="J159" s="21">
        <v>6125</v>
      </c>
      <c r="K159" s="29">
        <v>692</v>
      </c>
      <c r="L159" s="22">
        <v>92</v>
      </c>
      <c r="M159" s="23" t="s">
        <v>290</v>
      </c>
      <c r="N159" s="24" t="s">
        <v>25</v>
      </c>
      <c r="O159" s="30">
        <v>46143</v>
      </c>
      <c r="P159" s="25" t="str">
        <f>VLOOKUP(F159,[1]CLIENTES!B:L,11,0)</f>
        <v>RODRIGO</v>
      </c>
      <c r="Q159" s="25" t="str">
        <f>VLOOKUP(F159,[1]CLIENTES!B:M,12,0)</f>
        <v>RAQUEL BARBOSA</v>
      </c>
      <c r="R159" s="26" t="str">
        <f>VLOOKUP(F159,[1]CLIENTES!B:J,9,0)</f>
        <v>RAQUEL BARBOSA</v>
      </c>
      <c r="S159" s="27">
        <v>34500</v>
      </c>
      <c r="T159" s="28" t="s">
        <v>44</v>
      </c>
      <c r="U159" s="28" t="s">
        <v>28</v>
      </c>
      <c r="V159" s="28" t="s">
        <v>29</v>
      </c>
      <c r="W159" s="28" t="s">
        <v>60</v>
      </c>
    </row>
    <row r="160" spans="1:23" ht="15" customHeight="1" x14ac:dyDescent="0.25">
      <c r="A160" s="20" t="str">
        <f>VLOOKUP(F160,[1]CLIENTES!B:L,11,0)</f>
        <v>RODRIGO</v>
      </c>
      <c r="B160" s="20" t="s">
        <v>279</v>
      </c>
      <c r="C160" s="20">
        <v>46134</v>
      </c>
      <c r="D160" s="21" t="s">
        <v>21</v>
      </c>
      <c r="E160" s="21">
        <v>1419</v>
      </c>
      <c r="F160" s="21">
        <v>5115019</v>
      </c>
      <c r="G160" s="21">
        <v>123456</v>
      </c>
      <c r="H160" s="21" t="s">
        <v>36</v>
      </c>
      <c r="I160" s="21" t="s">
        <v>37</v>
      </c>
      <c r="J160" s="21">
        <v>6169</v>
      </c>
      <c r="K160" s="29">
        <v>689</v>
      </c>
      <c r="L160" s="22">
        <v>92</v>
      </c>
      <c r="M160" s="23" t="s">
        <v>291</v>
      </c>
      <c r="N160" s="24" t="s">
        <v>25</v>
      </c>
      <c r="O160" s="30">
        <v>46143</v>
      </c>
      <c r="P160" s="25" t="str">
        <f>VLOOKUP(F160,[1]CLIENTES!B:L,11,0)</f>
        <v>RODRIGO</v>
      </c>
      <c r="Q160" s="25" t="str">
        <f>VLOOKUP(F160,[1]CLIENTES!B:M,12,0)</f>
        <v>JESSICA</v>
      </c>
      <c r="R160" s="26" t="str">
        <f>VLOOKUP(F160,[1]CLIENTES!B:J,9,0)</f>
        <v>JESSICA CARLA</v>
      </c>
      <c r="S160" s="27">
        <v>20000</v>
      </c>
      <c r="T160" s="28" t="s">
        <v>44</v>
      </c>
      <c r="U160" s="28" t="s">
        <v>28</v>
      </c>
      <c r="V160" s="28" t="s">
        <v>29</v>
      </c>
      <c r="W160" s="28" t="s">
        <v>52</v>
      </c>
    </row>
    <row r="161" spans="1:23" ht="15" customHeight="1" x14ac:dyDescent="0.25">
      <c r="A161" s="20" t="str">
        <f>VLOOKUP(F161,[1]CLIENTES!B:L,11,0)</f>
        <v>RODRIGO</v>
      </c>
      <c r="B161" s="20" t="s">
        <v>279</v>
      </c>
      <c r="C161" s="20">
        <v>46134</v>
      </c>
      <c r="D161" s="21" t="s">
        <v>21</v>
      </c>
      <c r="E161" s="21">
        <v>1406</v>
      </c>
      <c r="F161" s="21">
        <v>5017576</v>
      </c>
      <c r="G161" s="21">
        <v>116132</v>
      </c>
      <c r="H161" s="21" t="s">
        <v>31</v>
      </c>
      <c r="I161" s="21" t="s">
        <v>32</v>
      </c>
      <c r="J161" s="21">
        <v>6169</v>
      </c>
      <c r="K161" s="29">
        <v>690</v>
      </c>
      <c r="L161" s="22">
        <v>92</v>
      </c>
      <c r="M161" s="23" t="s">
        <v>292</v>
      </c>
      <c r="N161" s="24" t="s">
        <v>25</v>
      </c>
      <c r="O161" s="30">
        <v>46143</v>
      </c>
      <c r="P161" s="25" t="str">
        <f>VLOOKUP(F161,[1]CLIENTES!B:L,11,0)</f>
        <v>RODRIGO</v>
      </c>
      <c r="Q161" s="25" t="str">
        <f>VLOOKUP(F161,[1]CLIENTES!B:M,12,0)</f>
        <v>JESSICA</v>
      </c>
      <c r="R161" s="26" t="str">
        <f>VLOOKUP(F161,[1]CLIENTES!B:J,9,0)</f>
        <v>MARCELO DUARTE</v>
      </c>
      <c r="S161" s="27">
        <v>9000</v>
      </c>
      <c r="T161" s="28" t="s">
        <v>44</v>
      </c>
      <c r="U161" s="28" t="s">
        <v>28</v>
      </c>
      <c r="V161" s="28" t="s">
        <v>29</v>
      </c>
      <c r="W161" s="28" t="s">
        <v>52</v>
      </c>
    </row>
    <row r="162" spans="1:23" ht="15" customHeight="1" x14ac:dyDescent="0.25">
      <c r="A162" s="20" t="str">
        <f>VLOOKUP(F162,[1]CLIENTES!B:L,11,0)</f>
        <v>RODRIGO</v>
      </c>
      <c r="B162" s="20" t="s">
        <v>279</v>
      </c>
      <c r="C162" s="20">
        <v>46134</v>
      </c>
      <c r="D162" s="21" t="s">
        <v>21</v>
      </c>
      <c r="E162" s="21">
        <v>1405</v>
      </c>
      <c r="F162" s="21">
        <v>5040108</v>
      </c>
      <c r="G162" s="21">
        <v>123355</v>
      </c>
      <c r="H162" s="21" t="s">
        <v>93</v>
      </c>
      <c r="I162" s="21" t="s">
        <v>37</v>
      </c>
      <c r="J162" s="21">
        <v>6169</v>
      </c>
      <c r="K162" s="29">
        <v>689</v>
      </c>
      <c r="L162" s="22">
        <v>92</v>
      </c>
      <c r="M162" s="23" t="s">
        <v>293</v>
      </c>
      <c r="N162" s="24" t="s">
        <v>25</v>
      </c>
      <c r="O162" s="30">
        <v>46143</v>
      </c>
      <c r="P162" s="25" t="str">
        <f>VLOOKUP(F162,[1]CLIENTES!B:L,11,0)</f>
        <v>RODRIGO</v>
      </c>
      <c r="Q162" s="25" t="str">
        <f>VLOOKUP(F162,[1]CLIENTES!B:M,12,0)</f>
        <v>JESSICA</v>
      </c>
      <c r="R162" s="26" t="str">
        <f>VLOOKUP(F162,[1]CLIENTES!B:J,9,0)</f>
        <v>CLAUDIO JORGE</v>
      </c>
      <c r="S162" s="27">
        <v>15000</v>
      </c>
      <c r="T162" s="28" t="s">
        <v>44</v>
      </c>
      <c r="U162" s="28" t="s">
        <v>28</v>
      </c>
      <c r="V162" s="28" t="s">
        <v>29</v>
      </c>
      <c r="W162" s="28" t="s">
        <v>52</v>
      </c>
    </row>
    <row r="163" spans="1:23" ht="15" customHeight="1" x14ac:dyDescent="0.25">
      <c r="A163" s="20" t="str">
        <f>VLOOKUP(F163,[1]CLIENTES!B:L,11,0)</f>
        <v>RODRIGO</v>
      </c>
      <c r="B163" s="20" t="s">
        <v>279</v>
      </c>
      <c r="C163" s="20">
        <v>46135</v>
      </c>
      <c r="D163" s="21" t="s">
        <v>21</v>
      </c>
      <c r="E163" s="21">
        <v>1493</v>
      </c>
      <c r="F163" s="21">
        <v>5226805</v>
      </c>
      <c r="G163" s="21">
        <v>150155</v>
      </c>
      <c r="H163" s="21" t="s">
        <v>86</v>
      </c>
      <c r="I163" s="21" t="s">
        <v>71</v>
      </c>
      <c r="J163" s="21" t="s">
        <v>72</v>
      </c>
      <c r="K163" s="29">
        <v>186</v>
      </c>
      <c r="L163" s="22">
        <v>92</v>
      </c>
      <c r="M163" s="23" t="s">
        <v>294</v>
      </c>
      <c r="N163" s="24" t="s">
        <v>25</v>
      </c>
      <c r="O163" s="30">
        <v>46143</v>
      </c>
      <c r="P163" s="25" t="str">
        <f>VLOOKUP(F163,[1]CLIENTES!B:L,11,0)</f>
        <v>RODRIGO</v>
      </c>
      <c r="Q163" s="25" t="str">
        <f>VLOOKUP(F163,[1]CLIENTES!B:M,12,0)</f>
        <v>CELIO MARTINS</v>
      </c>
      <c r="R163" s="26" t="str">
        <f>VLOOKUP(F163,[1]CLIENTES!B:J,9,0)</f>
        <v>CELIO/MARANATHA</v>
      </c>
      <c r="S163" s="27">
        <v>5000</v>
      </c>
      <c r="T163" s="28" t="s">
        <v>44</v>
      </c>
      <c r="U163" s="28" t="s">
        <v>28</v>
      </c>
      <c r="V163" s="28" t="s">
        <v>29</v>
      </c>
      <c r="W163" s="28" t="s">
        <v>35</v>
      </c>
    </row>
    <row r="164" spans="1:23" ht="15" customHeight="1" x14ac:dyDescent="0.25">
      <c r="A164" s="20" t="str">
        <f>VLOOKUP(F164,[1]CLIENTES!B:L,11,0)</f>
        <v>RODRIGO</v>
      </c>
      <c r="B164" s="20" t="s">
        <v>279</v>
      </c>
      <c r="C164" s="20">
        <v>46135</v>
      </c>
      <c r="D164" s="21" t="s">
        <v>21</v>
      </c>
      <c r="E164" s="21">
        <v>1493</v>
      </c>
      <c r="F164" s="21">
        <v>5226805</v>
      </c>
      <c r="G164" s="21">
        <v>150155</v>
      </c>
      <c r="H164" s="21" t="s">
        <v>86</v>
      </c>
      <c r="I164" s="21" t="s">
        <v>71</v>
      </c>
      <c r="J164" s="21" t="s">
        <v>72</v>
      </c>
      <c r="K164" s="29">
        <v>186</v>
      </c>
      <c r="L164" s="22">
        <v>92</v>
      </c>
      <c r="M164" s="23" t="s">
        <v>295</v>
      </c>
      <c r="N164" s="24" t="s">
        <v>25</v>
      </c>
      <c r="O164" s="30">
        <v>46143</v>
      </c>
      <c r="P164" s="25" t="str">
        <f>VLOOKUP(F164,[1]CLIENTES!B:L,11,0)</f>
        <v>RODRIGO</v>
      </c>
      <c r="Q164" s="25" t="str">
        <f>VLOOKUP(F164,[1]CLIENTES!B:M,12,0)</f>
        <v>CELIO MARTINS</v>
      </c>
      <c r="R164" s="26" t="str">
        <f>VLOOKUP(F164,[1]CLIENTES!B:J,9,0)</f>
        <v>CELIO/MARANATHA</v>
      </c>
      <c r="S164" s="27">
        <v>2000</v>
      </c>
      <c r="T164" s="28" t="s">
        <v>44</v>
      </c>
      <c r="U164" s="28" t="s">
        <v>28</v>
      </c>
      <c r="V164" s="28" t="s">
        <v>29</v>
      </c>
      <c r="W164" s="28" t="s">
        <v>97</v>
      </c>
    </row>
    <row r="165" spans="1:23" ht="15" customHeight="1" x14ac:dyDescent="0.25">
      <c r="A165" s="20" t="str">
        <f>VLOOKUP(F165,[1]CLIENTES!B:L,11,0)</f>
        <v>RODRIGO</v>
      </c>
      <c r="B165" s="20" t="s">
        <v>279</v>
      </c>
      <c r="C165" s="20">
        <v>46135</v>
      </c>
      <c r="D165" s="21" t="s">
        <v>21</v>
      </c>
      <c r="E165" s="21">
        <v>1488</v>
      </c>
      <c r="F165" s="21">
        <v>5308411</v>
      </c>
      <c r="G165" s="21">
        <v>181236</v>
      </c>
      <c r="H165" s="21" t="s">
        <v>80</v>
      </c>
      <c r="I165" s="21" t="s">
        <v>71</v>
      </c>
      <c r="J165" s="21" t="s">
        <v>72</v>
      </c>
      <c r="K165" s="29">
        <v>186</v>
      </c>
      <c r="L165" s="22">
        <v>92</v>
      </c>
      <c r="M165" s="23" t="s">
        <v>296</v>
      </c>
      <c r="N165" s="24" t="s">
        <v>25</v>
      </c>
      <c r="O165" s="30">
        <v>46143</v>
      </c>
      <c r="P165" s="25" t="str">
        <f>VLOOKUP(F165,[1]CLIENTES!B:L,11,0)</f>
        <v>RODRIGO</v>
      </c>
      <c r="Q165" s="25" t="str">
        <f>VLOOKUP(F165,[1]CLIENTES!B:M,12,0)</f>
        <v>CELIO MARTINS</v>
      </c>
      <c r="R165" s="26" t="str">
        <f>VLOOKUP(F165,[1]CLIENTES!B:J,9,0)</f>
        <v>MARCELO SILVA</v>
      </c>
      <c r="S165" s="27">
        <v>3178</v>
      </c>
      <c r="T165" s="28" t="s">
        <v>44</v>
      </c>
      <c r="U165" s="28" t="s">
        <v>28</v>
      </c>
      <c r="V165" s="28" t="s">
        <v>29</v>
      </c>
      <c r="W165" s="28" t="s">
        <v>35</v>
      </c>
    </row>
    <row r="166" spans="1:23" ht="15" customHeight="1" x14ac:dyDescent="0.25">
      <c r="A166" s="20" t="str">
        <f>VLOOKUP(F166,[1]CLIENTES!B:L,11,0)</f>
        <v>RODRIGO</v>
      </c>
      <c r="B166" s="20" t="s">
        <v>279</v>
      </c>
      <c r="C166" s="20">
        <v>46135</v>
      </c>
      <c r="D166" s="21" t="s">
        <v>21</v>
      </c>
      <c r="E166" s="21">
        <v>1488</v>
      </c>
      <c r="F166" s="21">
        <v>5308411</v>
      </c>
      <c r="G166" s="21">
        <v>181236</v>
      </c>
      <c r="H166" s="21" t="s">
        <v>80</v>
      </c>
      <c r="I166" s="21" t="s">
        <v>71</v>
      </c>
      <c r="J166" s="21" t="s">
        <v>72</v>
      </c>
      <c r="K166" s="29">
        <v>186</v>
      </c>
      <c r="L166" s="22">
        <v>92</v>
      </c>
      <c r="M166" s="23" t="s">
        <v>297</v>
      </c>
      <c r="N166" s="24" t="s">
        <v>25</v>
      </c>
      <c r="O166" s="30">
        <v>46143</v>
      </c>
      <c r="P166" s="25" t="str">
        <f>VLOOKUP(F166,[1]CLIENTES!B:L,11,0)</f>
        <v>RODRIGO</v>
      </c>
      <c r="Q166" s="25" t="str">
        <f>VLOOKUP(F166,[1]CLIENTES!B:M,12,0)</f>
        <v>CELIO MARTINS</v>
      </c>
      <c r="R166" s="26" t="str">
        <f>VLOOKUP(F166,[1]CLIENTES!B:J,9,0)</f>
        <v>MARCELO SILVA</v>
      </c>
      <c r="S166" s="27">
        <v>1843.38</v>
      </c>
      <c r="T166" s="28" t="s">
        <v>44</v>
      </c>
      <c r="U166" s="28" t="s">
        <v>28</v>
      </c>
      <c r="V166" s="28" t="s">
        <v>29</v>
      </c>
      <c r="W166" s="28" t="s">
        <v>298</v>
      </c>
    </row>
    <row r="167" spans="1:23" ht="15" customHeight="1" x14ac:dyDescent="0.25">
      <c r="A167" s="20" t="str">
        <f>VLOOKUP(F167,[1]CLIENTES!B:L,11,0)</f>
        <v>RODRIGO</v>
      </c>
      <c r="B167" s="20" t="s">
        <v>279</v>
      </c>
      <c r="C167" s="20">
        <v>46135</v>
      </c>
      <c r="D167" s="21" t="s">
        <v>21</v>
      </c>
      <c r="E167" s="21">
        <v>1477</v>
      </c>
      <c r="F167" s="21">
        <v>5013871</v>
      </c>
      <c r="G167" s="21">
        <v>185063</v>
      </c>
      <c r="H167" s="21" t="s">
        <v>92</v>
      </c>
      <c r="I167" s="21" t="s">
        <v>71</v>
      </c>
      <c r="J167" s="21" t="s">
        <v>72</v>
      </c>
      <c r="K167" s="29">
        <v>186</v>
      </c>
      <c r="L167" s="22">
        <v>92</v>
      </c>
      <c r="M167" s="23" t="s">
        <v>299</v>
      </c>
      <c r="N167" s="24" t="s">
        <v>25</v>
      </c>
      <c r="O167" s="30">
        <v>46143</v>
      </c>
      <c r="P167" s="25" t="str">
        <f>VLOOKUP(F167,[1]CLIENTES!B:L,11,0)</f>
        <v>RODRIGO</v>
      </c>
      <c r="Q167" s="25" t="str">
        <f>VLOOKUP(F167,[1]CLIENTES!B:M,12,0)</f>
        <v>CELIO MARTINS</v>
      </c>
      <c r="R167" s="26" t="str">
        <f>VLOOKUP(F167,[1]CLIENTES!B:J,9,0)</f>
        <v>MARCELO SILVA</v>
      </c>
      <c r="S167" s="27">
        <v>200</v>
      </c>
      <c r="T167" s="28" t="s">
        <v>44</v>
      </c>
      <c r="U167" s="28" t="s">
        <v>28</v>
      </c>
      <c r="V167" s="28" t="s">
        <v>29</v>
      </c>
      <c r="W167" s="28" t="s">
        <v>52</v>
      </c>
    </row>
    <row r="168" spans="1:23" ht="15" customHeight="1" x14ac:dyDescent="0.25">
      <c r="A168" s="20" t="str">
        <f>VLOOKUP(F168,[1]CLIENTES!B:L,11,0)</f>
        <v>RODRIGO</v>
      </c>
      <c r="B168" s="20" t="s">
        <v>279</v>
      </c>
      <c r="C168" s="20">
        <v>46135</v>
      </c>
      <c r="D168" s="21" t="s">
        <v>21</v>
      </c>
      <c r="E168" s="21">
        <v>1491</v>
      </c>
      <c r="F168" s="21">
        <v>5361277</v>
      </c>
      <c r="G168" s="21">
        <v>192434</v>
      </c>
      <c r="H168" s="21" t="s">
        <v>182</v>
      </c>
      <c r="I168" s="21" t="s">
        <v>71</v>
      </c>
      <c r="J168" s="21" t="s">
        <v>72</v>
      </c>
      <c r="K168" s="29">
        <v>186</v>
      </c>
      <c r="L168" s="22">
        <v>93</v>
      </c>
      <c r="M168" s="23" t="s">
        <v>300</v>
      </c>
      <c r="N168" s="24" t="s">
        <v>25</v>
      </c>
      <c r="O168" s="30">
        <v>46143</v>
      </c>
      <c r="P168" s="25" t="str">
        <f>VLOOKUP(F168,[1]CLIENTES!B:L,11,0)</f>
        <v>RODRIGO</v>
      </c>
      <c r="Q168" s="25" t="str">
        <f>VLOOKUP(F168,[1]CLIENTES!B:M,12,0)</f>
        <v>CELIO MARTINS</v>
      </c>
      <c r="R168" s="26" t="str">
        <f>VLOOKUP(F168,[1]CLIENTES!B:J,9,0)</f>
        <v>MARCELO SILVA</v>
      </c>
      <c r="S168" s="27">
        <v>263</v>
      </c>
      <c r="T168" s="28" t="s">
        <v>44</v>
      </c>
      <c r="U168" s="28" t="s">
        <v>28</v>
      </c>
      <c r="V168" s="28" t="s">
        <v>29</v>
      </c>
      <c r="W168" s="28" t="s">
        <v>97</v>
      </c>
    </row>
    <row r="169" spans="1:23" ht="15" customHeight="1" x14ac:dyDescent="0.25">
      <c r="A169" s="20" t="str">
        <f>VLOOKUP(F169,[1]CLIENTES!B:L,11,0)</f>
        <v>RODRIGO</v>
      </c>
      <c r="B169" s="20" t="s">
        <v>279</v>
      </c>
      <c r="C169" s="20">
        <v>46135</v>
      </c>
      <c r="D169" s="21" t="s">
        <v>21</v>
      </c>
      <c r="E169" s="21">
        <v>1483</v>
      </c>
      <c r="F169" s="21">
        <v>5159222</v>
      </c>
      <c r="G169" s="21">
        <v>143312</v>
      </c>
      <c r="H169" s="21" t="s">
        <v>184</v>
      </c>
      <c r="I169" s="21" t="s">
        <v>71</v>
      </c>
      <c r="J169" s="21" t="s">
        <v>72</v>
      </c>
      <c r="K169" s="29">
        <v>186</v>
      </c>
      <c r="L169" s="22">
        <v>92</v>
      </c>
      <c r="M169" s="23" t="s">
        <v>301</v>
      </c>
      <c r="N169" s="24" t="s">
        <v>25</v>
      </c>
      <c r="O169" s="30">
        <v>46143</v>
      </c>
      <c r="P169" s="25" t="str">
        <f>VLOOKUP(F169,[1]CLIENTES!B:L,11,0)</f>
        <v>RODRIGO</v>
      </c>
      <c r="Q169" s="25" t="str">
        <f>VLOOKUP(F169,[1]CLIENTES!B:M,12,0)</f>
        <v>CELIO MARTINS</v>
      </c>
      <c r="R169" s="26" t="str">
        <f>VLOOKUP(F169,[1]CLIENTES!B:J,9,0)</f>
        <v>MARCELO SILVA</v>
      </c>
      <c r="S169" s="27">
        <v>1500</v>
      </c>
      <c r="T169" s="28" t="s">
        <v>44</v>
      </c>
      <c r="U169" s="28" t="s">
        <v>28</v>
      </c>
      <c r="V169" s="28" t="s">
        <v>29</v>
      </c>
      <c r="W169" s="28" t="s">
        <v>52</v>
      </c>
    </row>
    <row r="170" spans="1:23" ht="15" customHeight="1" x14ac:dyDescent="0.25">
      <c r="A170" s="20" t="str">
        <f>VLOOKUP(F170,[1]CLIENTES!B:L,11,0)</f>
        <v>RODRIGO</v>
      </c>
      <c r="B170" s="20" t="s">
        <v>279</v>
      </c>
      <c r="C170" s="20">
        <v>46135</v>
      </c>
      <c r="D170" s="21" t="s">
        <v>21</v>
      </c>
      <c r="E170" s="21">
        <v>1493</v>
      </c>
      <c r="F170" s="21">
        <v>5226805</v>
      </c>
      <c r="G170" s="21">
        <v>150155</v>
      </c>
      <c r="H170" s="21" t="s">
        <v>86</v>
      </c>
      <c r="I170" s="21" t="s">
        <v>71</v>
      </c>
      <c r="J170" s="21" t="s">
        <v>72</v>
      </c>
      <c r="K170" s="29">
        <v>186</v>
      </c>
      <c r="L170" s="22">
        <v>92</v>
      </c>
      <c r="M170" s="23" t="s">
        <v>302</v>
      </c>
      <c r="N170" s="24" t="s">
        <v>25</v>
      </c>
      <c r="O170" s="30">
        <v>46143</v>
      </c>
      <c r="P170" s="25" t="str">
        <f>VLOOKUP(F170,[1]CLIENTES!B:L,11,0)</f>
        <v>RODRIGO</v>
      </c>
      <c r="Q170" s="25" t="str">
        <f>VLOOKUP(F170,[1]CLIENTES!B:M,12,0)</f>
        <v>CELIO MARTINS</v>
      </c>
      <c r="R170" s="26" t="str">
        <f>VLOOKUP(F170,[1]CLIENTES!B:J,9,0)</f>
        <v>CELIO/MARANATHA</v>
      </c>
      <c r="S170" s="27">
        <v>1743.2</v>
      </c>
      <c r="T170" s="28" t="s">
        <v>44</v>
      </c>
      <c r="U170" s="28" t="s">
        <v>28</v>
      </c>
      <c r="V170" s="28" t="s">
        <v>29</v>
      </c>
      <c r="W170" s="28" t="s">
        <v>97</v>
      </c>
    </row>
    <row r="171" spans="1:23" ht="15" customHeight="1" x14ac:dyDescent="0.25">
      <c r="A171" s="20" t="str">
        <f>VLOOKUP(F171,[1]CLIENTES!B:L,11,0)</f>
        <v>RODRIGO</v>
      </c>
      <c r="B171" s="20" t="s">
        <v>279</v>
      </c>
      <c r="C171" s="20">
        <v>46135</v>
      </c>
      <c r="D171" s="21" t="s">
        <v>21</v>
      </c>
      <c r="E171" s="21">
        <v>1423</v>
      </c>
      <c r="F171" s="21">
        <v>5020319</v>
      </c>
      <c r="G171" s="21">
        <v>110315</v>
      </c>
      <c r="H171" s="21" t="s">
        <v>112</v>
      </c>
      <c r="I171" s="21" t="s">
        <v>113</v>
      </c>
      <c r="J171" s="21">
        <v>6127</v>
      </c>
      <c r="K171" s="29">
        <v>682</v>
      </c>
      <c r="L171" s="22">
        <v>92</v>
      </c>
      <c r="M171" s="23" t="s">
        <v>303</v>
      </c>
      <c r="N171" s="24" t="s">
        <v>25</v>
      </c>
      <c r="O171" s="30">
        <v>46143</v>
      </c>
      <c r="P171" s="25" t="str">
        <f>VLOOKUP(F171,[1]CLIENTES!B:L,11,0)</f>
        <v>RODRIGO</v>
      </c>
      <c r="Q171" s="25" t="str">
        <f>VLOOKUP(F171,[1]CLIENTES!B:M,12,0)</f>
        <v>MARIA LOURDES</v>
      </c>
      <c r="R171" s="26" t="str">
        <f>VLOOKUP(F171,[1]CLIENTES!B:J,9,0)</f>
        <v>CLAUDIO JORGE/LUIZ</v>
      </c>
      <c r="S171" s="27">
        <v>12000</v>
      </c>
      <c r="T171" s="28" t="s">
        <v>44</v>
      </c>
      <c r="U171" s="28" t="s">
        <v>28</v>
      </c>
      <c r="V171" s="28" t="s">
        <v>29</v>
      </c>
      <c r="W171" s="28" t="s">
        <v>52</v>
      </c>
    </row>
    <row r="172" spans="1:23" ht="15" customHeight="1" x14ac:dyDescent="0.25">
      <c r="A172" s="20" t="str">
        <f>VLOOKUP(F172,[1]CLIENTES!B:L,11,0)</f>
        <v>RODRIGO</v>
      </c>
      <c r="B172" s="20" t="s">
        <v>279</v>
      </c>
      <c r="C172" s="20">
        <v>46135</v>
      </c>
      <c r="D172" s="21" t="s">
        <v>21</v>
      </c>
      <c r="E172" s="21">
        <v>1420</v>
      </c>
      <c r="F172" s="21">
        <v>5107112</v>
      </c>
      <c r="G172" s="21">
        <v>123370</v>
      </c>
      <c r="H172" s="21" t="s">
        <v>62</v>
      </c>
      <c r="I172" s="21" t="s">
        <v>23</v>
      </c>
      <c r="J172" s="21">
        <v>6125</v>
      </c>
      <c r="K172" s="29">
        <v>692</v>
      </c>
      <c r="L172" s="22">
        <v>93</v>
      </c>
      <c r="M172" s="23" t="s">
        <v>304</v>
      </c>
      <c r="N172" s="24" t="s">
        <v>25</v>
      </c>
      <c r="O172" s="30">
        <v>46143</v>
      </c>
      <c r="P172" s="25" t="str">
        <f>VLOOKUP(F172,[1]CLIENTES!B:L,11,0)</f>
        <v>RODRIGO</v>
      </c>
      <c r="Q172" s="25" t="str">
        <f>VLOOKUP(F172,[1]CLIENTES!B:M,12,0)</f>
        <v>ALEXANDRO</v>
      </c>
      <c r="R172" s="26" t="str">
        <f>VLOOKUP(F172,[1]CLIENTES!B:J,9,0)</f>
        <v>GUILHERME NASCIMENTO</v>
      </c>
      <c r="S172" s="27">
        <v>4500</v>
      </c>
      <c r="T172" s="28" t="s">
        <v>44</v>
      </c>
      <c r="U172" s="28" t="s">
        <v>28</v>
      </c>
      <c r="V172" s="28" t="s">
        <v>29</v>
      </c>
      <c r="W172" s="28" t="s">
        <v>52</v>
      </c>
    </row>
    <row r="173" spans="1:23" ht="15" customHeight="1" x14ac:dyDescent="0.25">
      <c r="A173" s="20" t="str">
        <f>VLOOKUP(F173,[1]CLIENTES!B:L,11,0)</f>
        <v>RODRIGO</v>
      </c>
      <c r="B173" s="20" t="s">
        <v>279</v>
      </c>
      <c r="C173" s="20">
        <v>46135</v>
      </c>
      <c r="D173" s="21" t="s">
        <v>21</v>
      </c>
      <c r="E173" s="21">
        <v>1424</v>
      </c>
      <c r="F173" s="21">
        <v>5070522</v>
      </c>
      <c r="G173" s="21">
        <v>143311</v>
      </c>
      <c r="H173" s="21" t="s">
        <v>66</v>
      </c>
      <c r="I173" s="21" t="s">
        <v>23</v>
      </c>
      <c r="J173" s="21">
        <v>6125</v>
      </c>
      <c r="K173" s="29">
        <v>692</v>
      </c>
      <c r="L173" s="22">
        <v>93</v>
      </c>
      <c r="M173" s="23" t="s">
        <v>305</v>
      </c>
      <c r="N173" s="24" t="s">
        <v>25</v>
      </c>
      <c r="O173" s="30">
        <v>46143</v>
      </c>
      <c r="P173" s="25" t="str">
        <f>VLOOKUP(F173,[1]CLIENTES!B:L,11,0)</f>
        <v>RODRIGO</v>
      </c>
      <c r="Q173" s="25" t="str">
        <f>VLOOKUP(F173,[1]CLIENTES!B:M,12,0)</f>
        <v>ALEXANDRO</v>
      </c>
      <c r="R173" s="26" t="str">
        <f>VLOOKUP(F173,[1]CLIENTES!B:J,9,0)</f>
        <v>GUILHERME NASCIMENTO</v>
      </c>
      <c r="S173" s="27">
        <v>916</v>
      </c>
      <c r="T173" s="28" t="s">
        <v>44</v>
      </c>
      <c r="U173" s="28" t="s">
        <v>28</v>
      </c>
      <c r="V173" s="28" t="s">
        <v>29</v>
      </c>
      <c r="W173" s="28" t="s">
        <v>52</v>
      </c>
    </row>
    <row r="174" spans="1:23" ht="15" customHeight="1" x14ac:dyDescent="0.25">
      <c r="A174" s="20" t="str">
        <f>VLOOKUP(F174,[1]CLIENTES!B:L,11,0)</f>
        <v>RODRIGO</v>
      </c>
      <c r="B174" s="20" t="s">
        <v>279</v>
      </c>
      <c r="C174" s="20">
        <v>46135</v>
      </c>
      <c r="D174" s="21" t="s">
        <v>21</v>
      </c>
      <c r="E174" s="21">
        <v>1415</v>
      </c>
      <c r="F174" s="21">
        <v>5226500</v>
      </c>
      <c r="G174" s="21">
        <v>141142</v>
      </c>
      <c r="H174" s="21" t="s">
        <v>306</v>
      </c>
      <c r="I174" s="21" t="s">
        <v>266</v>
      </c>
      <c r="J174" s="21">
        <v>6123</v>
      </c>
      <c r="K174" s="29">
        <v>607</v>
      </c>
      <c r="L174" s="22">
        <v>93</v>
      </c>
      <c r="M174" s="23" t="s">
        <v>307</v>
      </c>
      <c r="N174" s="24" t="s">
        <v>25</v>
      </c>
      <c r="O174" s="30">
        <v>46143</v>
      </c>
      <c r="P174" s="25" t="str">
        <f>VLOOKUP(F174,[1]CLIENTES!B:L,11,0)</f>
        <v>RODRIGO</v>
      </c>
      <c r="Q174" s="25" t="str">
        <f>VLOOKUP(F174,[1]CLIENTES!B:M,12,0)</f>
        <v>MARCO AURELIO</v>
      </c>
      <c r="R174" s="26" t="str">
        <f>VLOOKUP(F174,[1]CLIENTES!B:J,9,0)</f>
        <v>CLAUDIO JORGE</v>
      </c>
      <c r="S174" s="27">
        <v>1500</v>
      </c>
      <c r="T174" s="28" t="s">
        <v>44</v>
      </c>
      <c r="U174" s="28" t="s">
        <v>28</v>
      </c>
      <c r="V174" s="28" t="s">
        <v>29</v>
      </c>
      <c r="W174" s="28" t="s">
        <v>52</v>
      </c>
    </row>
    <row r="175" spans="1:23" ht="15" customHeight="1" x14ac:dyDescent="0.25">
      <c r="A175" s="20" t="str">
        <f>VLOOKUP(F175,[1]CLIENTES!B:L,11,0)</f>
        <v>RODRIGO</v>
      </c>
      <c r="B175" s="20" t="s">
        <v>279</v>
      </c>
      <c r="C175" s="20">
        <v>46135</v>
      </c>
      <c r="D175" s="21" t="s">
        <v>21</v>
      </c>
      <c r="E175" s="21">
        <v>1495</v>
      </c>
      <c r="F175" s="21">
        <v>5115189</v>
      </c>
      <c r="G175" s="21">
        <v>129296</v>
      </c>
      <c r="H175" s="21" t="s">
        <v>68</v>
      </c>
      <c r="I175" s="21" t="s">
        <v>54</v>
      </c>
      <c r="J175" s="21" t="s">
        <v>55</v>
      </c>
      <c r="K175" s="29">
        <v>191</v>
      </c>
      <c r="L175" s="22">
        <v>92</v>
      </c>
      <c r="M175" s="23" t="s">
        <v>308</v>
      </c>
      <c r="N175" s="24" t="s">
        <v>25</v>
      </c>
      <c r="O175" s="30">
        <v>46143</v>
      </c>
      <c r="P175" s="25" t="str">
        <f>VLOOKUP(F175,[1]CLIENTES!B:L,11,0)</f>
        <v>RODRIGO</v>
      </c>
      <c r="Q175" s="25" t="str">
        <f>VLOOKUP(F175,[1]CLIENTES!B:M,12,0)</f>
        <v>MARCO AURELIO</v>
      </c>
      <c r="R175" s="26" t="str">
        <f>VLOOKUP(F175,[1]CLIENTES!B:J,9,0)</f>
        <v>CLAUDIO JORGE/MARIA LAURA</v>
      </c>
      <c r="S175" s="27">
        <v>11666.67</v>
      </c>
      <c r="T175" s="28" t="s">
        <v>44</v>
      </c>
      <c r="U175" s="28" t="s">
        <v>28</v>
      </c>
      <c r="V175" s="28" t="s">
        <v>29</v>
      </c>
      <c r="W175" s="28" t="s">
        <v>35</v>
      </c>
    </row>
    <row r="176" spans="1:23" ht="15" customHeight="1" x14ac:dyDescent="0.25">
      <c r="A176" s="20" t="str">
        <f>VLOOKUP(F176,[1]CLIENTES!B:L,11,0)</f>
        <v>RODRIGO</v>
      </c>
      <c r="B176" s="20" t="s">
        <v>279</v>
      </c>
      <c r="C176" s="20">
        <v>46135</v>
      </c>
      <c r="D176" s="21" t="s">
        <v>21</v>
      </c>
      <c r="E176" s="21">
        <v>1467</v>
      </c>
      <c r="F176" s="21">
        <v>5182828</v>
      </c>
      <c r="G176" s="21">
        <v>142649</v>
      </c>
      <c r="H176" s="21" t="s">
        <v>53</v>
      </c>
      <c r="I176" s="21" t="s">
        <v>54</v>
      </c>
      <c r="J176" s="21" t="s">
        <v>55</v>
      </c>
      <c r="K176" s="29">
        <v>191</v>
      </c>
      <c r="L176" s="22">
        <v>93</v>
      </c>
      <c r="M176" s="23" t="s">
        <v>309</v>
      </c>
      <c r="N176" s="24" t="s">
        <v>25</v>
      </c>
      <c r="O176" s="30">
        <v>46143</v>
      </c>
      <c r="P176" s="25" t="str">
        <f>VLOOKUP(F176,[1]CLIENTES!B:L,11,0)</f>
        <v>RODRIGO</v>
      </c>
      <c r="Q176" s="25" t="str">
        <f>VLOOKUP(F176,[1]CLIENTES!B:M,12,0)</f>
        <v>MARCO AURELIO</v>
      </c>
      <c r="R176" s="26" t="str">
        <f>VLOOKUP(F176,[1]CLIENTES!B:J,9,0)</f>
        <v>CLAUDIO JORGE</v>
      </c>
      <c r="S176" s="27">
        <v>5800</v>
      </c>
      <c r="T176" s="28" t="s">
        <v>44</v>
      </c>
      <c r="U176" s="28" t="s">
        <v>28</v>
      </c>
      <c r="V176" s="28" t="s">
        <v>29</v>
      </c>
      <c r="W176" s="28" t="s">
        <v>52</v>
      </c>
    </row>
    <row r="177" spans="1:23" ht="15" customHeight="1" x14ac:dyDescent="0.25">
      <c r="A177" s="20" t="str">
        <f>VLOOKUP(F177,[1]CLIENTES!B:L,11,0)</f>
        <v>RODRIGO</v>
      </c>
      <c r="B177" s="20" t="s">
        <v>279</v>
      </c>
      <c r="C177" s="20">
        <v>46135</v>
      </c>
      <c r="D177" s="21" t="s">
        <v>21</v>
      </c>
      <c r="E177" s="21">
        <v>1426</v>
      </c>
      <c r="F177" s="21">
        <v>5223419</v>
      </c>
      <c r="G177" s="21">
        <v>146094</v>
      </c>
      <c r="H177" s="21" t="s">
        <v>265</v>
      </c>
      <c r="I177" s="21" t="s">
        <v>266</v>
      </c>
      <c r="J177" s="21">
        <v>6123</v>
      </c>
      <c r="K177" s="29">
        <v>607</v>
      </c>
      <c r="L177" s="22">
        <v>93</v>
      </c>
      <c r="M177" s="23" t="s">
        <v>310</v>
      </c>
      <c r="N177" s="24" t="s">
        <v>25</v>
      </c>
      <c r="O177" s="30">
        <v>46143</v>
      </c>
      <c r="P177" s="25" t="str">
        <f>VLOOKUP(F177,[1]CLIENTES!B:L,11,0)</f>
        <v>RODRIGO</v>
      </c>
      <c r="Q177" s="25" t="str">
        <f>VLOOKUP(F177,[1]CLIENTES!B:M,12,0)</f>
        <v>MARCO AURELIO</v>
      </c>
      <c r="R177" s="26" t="str">
        <f>VLOOKUP(F177,[1]CLIENTES!B:J,9,0)</f>
        <v>CLAUDIO JORGE</v>
      </c>
      <c r="S177" s="27">
        <v>2200</v>
      </c>
      <c r="T177" s="28" t="s">
        <v>44</v>
      </c>
      <c r="U177" s="28" t="s">
        <v>28</v>
      </c>
      <c r="V177" s="28" t="s">
        <v>29</v>
      </c>
      <c r="W177" s="28" t="s">
        <v>52</v>
      </c>
    </row>
    <row r="178" spans="1:23" ht="15" customHeight="1" x14ac:dyDescent="0.25">
      <c r="A178" s="20" t="str">
        <f>VLOOKUP(F178,[1]CLIENTES!B:L,11,0)</f>
        <v>RODRIGO</v>
      </c>
      <c r="B178" s="20" t="s">
        <v>279</v>
      </c>
      <c r="C178" s="20">
        <v>46135</v>
      </c>
      <c r="D178" s="21" t="s">
        <v>21</v>
      </c>
      <c r="E178" s="21">
        <v>1494</v>
      </c>
      <c r="F178" s="21">
        <v>5186266</v>
      </c>
      <c r="G178" s="21">
        <v>142707</v>
      </c>
      <c r="H178" s="21" t="s">
        <v>212</v>
      </c>
      <c r="I178" s="21" t="s">
        <v>213</v>
      </c>
      <c r="J178" s="21" t="s">
        <v>214</v>
      </c>
      <c r="K178" s="29">
        <v>197</v>
      </c>
      <c r="L178" s="22">
        <v>92</v>
      </c>
      <c r="M178" s="23" t="s">
        <v>311</v>
      </c>
      <c r="N178" s="24" t="s">
        <v>25</v>
      </c>
      <c r="O178" s="30">
        <v>46143</v>
      </c>
      <c r="P178" s="25" t="str">
        <f>VLOOKUP(F178,[1]CLIENTES!B:L,11,0)</f>
        <v>RODRIGO</v>
      </c>
      <c r="Q178" s="25" t="str">
        <f>VLOOKUP(F178,[1]CLIENTES!B:M,12,0)</f>
        <v>MARCO AURELIO</v>
      </c>
      <c r="R178" s="26" t="str">
        <f>VLOOKUP(F178,[1]CLIENTES!B:J,9,0)</f>
        <v>CLAUDIO JORGE</v>
      </c>
      <c r="S178" s="27">
        <v>2194</v>
      </c>
      <c r="T178" s="28" t="s">
        <v>44</v>
      </c>
      <c r="U178" s="28" t="s">
        <v>28</v>
      </c>
      <c r="V178" s="28" t="s">
        <v>29</v>
      </c>
      <c r="W178" s="28" t="s">
        <v>52</v>
      </c>
    </row>
    <row r="179" spans="1:23" ht="15" customHeight="1" x14ac:dyDescent="0.25">
      <c r="A179" s="20" t="str">
        <f>VLOOKUP(F179,[1]CLIENTES!B:L,11,0)</f>
        <v>RODRIGO</v>
      </c>
      <c r="B179" s="20" t="s">
        <v>279</v>
      </c>
      <c r="C179" s="20">
        <v>46135</v>
      </c>
      <c r="D179" s="21" t="s">
        <v>21</v>
      </c>
      <c r="E179" s="21">
        <v>1486</v>
      </c>
      <c r="F179" s="21">
        <v>5019245</v>
      </c>
      <c r="G179" s="21">
        <v>145028</v>
      </c>
      <c r="H179" s="21" t="s">
        <v>312</v>
      </c>
      <c r="I179" s="21" t="s">
        <v>54</v>
      </c>
      <c r="J179" s="21" t="s">
        <v>55</v>
      </c>
      <c r="K179" s="29">
        <v>191</v>
      </c>
      <c r="L179" s="22">
        <v>92</v>
      </c>
      <c r="M179" s="23" t="s">
        <v>313</v>
      </c>
      <c r="N179" s="24" t="s">
        <v>25</v>
      </c>
      <c r="O179" s="30">
        <v>46143</v>
      </c>
      <c r="P179" s="25" t="str">
        <f>VLOOKUP(F179,[1]CLIENTES!B:L,11,0)</f>
        <v>RODRIGO</v>
      </c>
      <c r="Q179" s="25" t="str">
        <f>VLOOKUP(F179,[1]CLIENTES!B:M,12,0)</f>
        <v>MARCO AURELIO</v>
      </c>
      <c r="R179" s="26" t="str">
        <f>VLOOKUP(F179,[1]CLIENTES!B:J,9,0)</f>
        <v>CLAUDIO JORGE</v>
      </c>
      <c r="S179" s="27">
        <v>1203.8800000000001</v>
      </c>
      <c r="T179" s="28" t="s">
        <v>44</v>
      </c>
      <c r="U179" s="28" t="s">
        <v>28</v>
      </c>
      <c r="V179" s="28" t="s">
        <v>29</v>
      </c>
      <c r="W179" s="28" t="s">
        <v>60</v>
      </c>
    </row>
    <row r="180" spans="1:23" ht="15" customHeight="1" x14ac:dyDescent="0.25">
      <c r="A180" s="20" t="str">
        <f>VLOOKUP(F180,[1]CLIENTES!B:L,11,0)</f>
        <v>RODRIGO</v>
      </c>
      <c r="B180" s="20" t="s">
        <v>279</v>
      </c>
      <c r="C180" s="20">
        <v>46135</v>
      </c>
      <c r="D180" s="21" t="s">
        <v>21</v>
      </c>
      <c r="E180" s="21">
        <v>1408</v>
      </c>
      <c r="F180" s="21">
        <v>5004685</v>
      </c>
      <c r="G180" s="21">
        <v>110434</v>
      </c>
      <c r="H180" s="21" t="s">
        <v>116</v>
      </c>
      <c r="I180" s="21" t="s">
        <v>23</v>
      </c>
      <c r="J180" s="21">
        <v>6125</v>
      </c>
      <c r="K180" s="29">
        <v>692</v>
      </c>
      <c r="L180" s="22">
        <v>93</v>
      </c>
      <c r="M180" s="23" t="s">
        <v>314</v>
      </c>
      <c r="N180" s="24" t="s">
        <v>25</v>
      </c>
      <c r="O180" s="30">
        <v>46143</v>
      </c>
      <c r="P180" s="25" t="str">
        <f>VLOOKUP(F180,[1]CLIENTES!B:L,11,0)</f>
        <v>RODRIGO</v>
      </c>
      <c r="Q180" s="25" t="str">
        <f>VLOOKUP(F180,[1]CLIENTES!B:M,12,0)</f>
        <v>ALEXANDRO</v>
      </c>
      <c r="R180" s="26" t="str">
        <f>VLOOKUP(F180,[1]CLIENTES!B:J,9,0)</f>
        <v>ALEXANDRO RODRIGUES</v>
      </c>
      <c r="S180" s="27">
        <v>34978.519999999997</v>
      </c>
      <c r="T180" s="28" t="s">
        <v>44</v>
      </c>
      <c r="U180" s="28" t="s">
        <v>28</v>
      </c>
      <c r="V180" s="28" t="s">
        <v>29</v>
      </c>
      <c r="W180" s="28" t="s">
        <v>60</v>
      </c>
    </row>
    <row r="181" spans="1:23" ht="15" customHeight="1" x14ac:dyDescent="0.25">
      <c r="A181" s="20" t="str">
        <f>VLOOKUP(F181,[1]CLIENTES!B:L,11,0)</f>
        <v>RODRIGO</v>
      </c>
      <c r="B181" s="20" t="s">
        <v>279</v>
      </c>
      <c r="C181" s="20">
        <v>46135</v>
      </c>
      <c r="D181" s="21" t="s">
        <v>21</v>
      </c>
      <c r="E181" s="21">
        <v>1408</v>
      </c>
      <c r="F181" s="21">
        <v>5004685</v>
      </c>
      <c r="G181" s="21">
        <v>110434</v>
      </c>
      <c r="H181" s="21" t="s">
        <v>116</v>
      </c>
      <c r="I181" s="21" t="s">
        <v>23</v>
      </c>
      <c r="J181" s="21">
        <v>6125</v>
      </c>
      <c r="K181" s="29">
        <v>692</v>
      </c>
      <c r="L181" s="22">
        <v>93</v>
      </c>
      <c r="M181" s="23" t="s">
        <v>315</v>
      </c>
      <c r="N181" s="24" t="s">
        <v>25</v>
      </c>
      <c r="O181" s="30">
        <v>46143</v>
      </c>
      <c r="P181" s="25" t="str">
        <f>VLOOKUP(F181,[1]CLIENTES!B:L,11,0)</f>
        <v>RODRIGO</v>
      </c>
      <c r="Q181" s="25" t="str">
        <f>VLOOKUP(F181,[1]CLIENTES!B:M,12,0)</f>
        <v>ALEXANDRO</v>
      </c>
      <c r="R181" s="26" t="str">
        <f>VLOOKUP(F181,[1]CLIENTES!B:J,9,0)</f>
        <v>ALEXANDRO RODRIGUES</v>
      </c>
      <c r="S181" s="27">
        <v>2500</v>
      </c>
      <c r="T181" s="28" t="s">
        <v>44</v>
      </c>
      <c r="U181" s="28" t="s">
        <v>28</v>
      </c>
      <c r="V181" s="28" t="s">
        <v>29</v>
      </c>
      <c r="W181" s="28" t="s">
        <v>52</v>
      </c>
    </row>
    <row r="182" spans="1:23" ht="15" customHeight="1" x14ac:dyDescent="0.25">
      <c r="A182" s="20" t="str">
        <f>VLOOKUP(F182,[1]CLIENTES!B:L,11,0)</f>
        <v>RODRIGO</v>
      </c>
      <c r="B182" s="20" t="s">
        <v>279</v>
      </c>
      <c r="C182" s="20">
        <v>46135</v>
      </c>
      <c r="D182" s="21" t="s">
        <v>21</v>
      </c>
      <c r="E182" s="21">
        <v>1488</v>
      </c>
      <c r="F182" s="21">
        <v>5308411</v>
      </c>
      <c r="G182" s="21">
        <v>181236</v>
      </c>
      <c r="H182" s="21" t="s">
        <v>80</v>
      </c>
      <c r="I182" s="21" t="s">
        <v>71</v>
      </c>
      <c r="J182" s="21" t="s">
        <v>72</v>
      </c>
      <c r="K182" s="29">
        <v>186</v>
      </c>
      <c r="L182" s="22">
        <v>92</v>
      </c>
      <c r="M182" s="23" t="s">
        <v>316</v>
      </c>
      <c r="N182" s="24" t="s">
        <v>25</v>
      </c>
      <c r="O182" s="30">
        <v>46143</v>
      </c>
      <c r="P182" s="25" t="str">
        <f>VLOOKUP(F182,[1]CLIENTES!B:L,11,0)</f>
        <v>RODRIGO</v>
      </c>
      <c r="Q182" s="25" t="str">
        <f>VLOOKUP(F182,[1]CLIENTES!B:M,12,0)</f>
        <v>CELIO MARTINS</v>
      </c>
      <c r="R182" s="26" t="str">
        <f>VLOOKUP(F182,[1]CLIENTES!B:J,9,0)</f>
        <v>MARCELO SILVA</v>
      </c>
      <c r="S182" s="27">
        <v>500</v>
      </c>
      <c r="T182" s="28" t="s">
        <v>44</v>
      </c>
      <c r="U182" s="28" t="s">
        <v>28</v>
      </c>
      <c r="V182" s="28" t="s">
        <v>29</v>
      </c>
      <c r="W182" s="28" t="s">
        <v>52</v>
      </c>
    </row>
    <row r="183" spans="1:23" ht="15" customHeight="1" x14ac:dyDescent="0.25">
      <c r="A183" s="20" t="str">
        <f>VLOOKUP(F183,[1]CLIENTES!B:L,11,0)</f>
        <v>RODRIGO</v>
      </c>
      <c r="B183" s="20" t="s">
        <v>279</v>
      </c>
      <c r="C183" s="20">
        <v>46135</v>
      </c>
      <c r="D183" s="21" t="s">
        <v>21</v>
      </c>
      <c r="E183" s="21">
        <v>1484</v>
      </c>
      <c r="F183" s="21">
        <v>5127060</v>
      </c>
      <c r="G183" s="21">
        <v>187971</v>
      </c>
      <c r="H183" s="21" t="s">
        <v>90</v>
      </c>
      <c r="I183" s="21" t="s">
        <v>71</v>
      </c>
      <c r="J183" s="21" t="s">
        <v>72</v>
      </c>
      <c r="K183" s="29">
        <v>186</v>
      </c>
      <c r="L183" s="22">
        <v>92</v>
      </c>
      <c r="M183" s="23" t="s">
        <v>317</v>
      </c>
      <c r="N183" s="24" t="s">
        <v>25</v>
      </c>
      <c r="O183" s="30">
        <v>46143</v>
      </c>
      <c r="P183" s="25" t="str">
        <f>VLOOKUP(F183,[1]CLIENTES!B:L,11,0)</f>
        <v>RODRIGO</v>
      </c>
      <c r="Q183" s="25" t="str">
        <f>VLOOKUP(F183,[1]CLIENTES!B:M,12,0)</f>
        <v>CELIO MARTINS</v>
      </c>
      <c r="R183" s="26" t="str">
        <f>VLOOKUP(F183,[1]CLIENTES!B:J,9,0)</f>
        <v>MARCELO SILVA</v>
      </c>
      <c r="S183" s="27">
        <v>500</v>
      </c>
      <c r="T183" s="28" t="s">
        <v>44</v>
      </c>
      <c r="U183" s="28" t="s">
        <v>28</v>
      </c>
      <c r="V183" s="28" t="s">
        <v>29</v>
      </c>
      <c r="W183" s="28" t="s">
        <v>52</v>
      </c>
    </row>
    <row r="184" spans="1:23" ht="15" customHeight="1" x14ac:dyDescent="0.25">
      <c r="A184" s="20" t="str">
        <f>VLOOKUP(F184,[1]CLIENTES!B:L,11,0)</f>
        <v>RODRIGO</v>
      </c>
      <c r="B184" s="20" t="s">
        <v>279</v>
      </c>
      <c r="C184" s="20">
        <v>46136</v>
      </c>
      <c r="D184" s="21" t="s">
        <v>21</v>
      </c>
      <c r="E184" s="21">
        <v>1488</v>
      </c>
      <c r="F184" s="21">
        <v>5308411</v>
      </c>
      <c r="G184" s="21">
        <v>181236</v>
      </c>
      <c r="H184" s="21" t="s">
        <v>80</v>
      </c>
      <c r="I184" s="21" t="s">
        <v>71</v>
      </c>
      <c r="J184" s="21" t="s">
        <v>72</v>
      </c>
      <c r="K184" s="29">
        <v>186</v>
      </c>
      <c r="L184" s="22">
        <v>92</v>
      </c>
      <c r="M184" s="23" t="s">
        <v>318</v>
      </c>
      <c r="N184" s="24" t="s">
        <v>25</v>
      </c>
      <c r="O184" s="30">
        <v>46143</v>
      </c>
      <c r="P184" s="25" t="str">
        <f>VLOOKUP(F184,[1]CLIENTES!B:L,11,0)</f>
        <v>RODRIGO</v>
      </c>
      <c r="Q184" s="25" t="str">
        <f>VLOOKUP(F184,[1]CLIENTES!B:M,12,0)</f>
        <v>CELIO MARTINS</v>
      </c>
      <c r="R184" s="26" t="str">
        <f>VLOOKUP(F184,[1]CLIENTES!B:J,9,0)</f>
        <v>MARCELO SILVA</v>
      </c>
      <c r="S184" s="27">
        <v>1000</v>
      </c>
      <c r="T184" s="28" t="s">
        <v>44</v>
      </c>
      <c r="U184" s="28" t="s">
        <v>28</v>
      </c>
      <c r="V184" s="28" t="s">
        <v>29</v>
      </c>
      <c r="W184" s="28" t="s">
        <v>97</v>
      </c>
    </row>
    <row r="185" spans="1:23" ht="15" customHeight="1" x14ac:dyDescent="0.25">
      <c r="A185" s="20" t="str">
        <f>VLOOKUP(F185,[1]CLIENTES!B:L,11,0)</f>
        <v>RODRIGO</v>
      </c>
      <c r="B185" s="20" t="s">
        <v>279</v>
      </c>
      <c r="C185" s="20">
        <v>46136</v>
      </c>
      <c r="D185" s="21" t="s">
        <v>21</v>
      </c>
      <c r="E185" s="21">
        <v>1404</v>
      </c>
      <c r="F185" s="21">
        <v>5340656</v>
      </c>
      <c r="G185" s="21">
        <v>184833</v>
      </c>
      <c r="H185" s="21" t="s">
        <v>252</v>
      </c>
      <c r="I185" s="21" t="s">
        <v>23</v>
      </c>
      <c r="J185" s="21">
        <v>6125</v>
      </c>
      <c r="K185" s="29">
        <v>692</v>
      </c>
      <c r="L185" s="22">
        <v>93</v>
      </c>
      <c r="M185" s="23" t="s">
        <v>319</v>
      </c>
      <c r="N185" s="24" t="s">
        <v>25</v>
      </c>
      <c r="O185" s="30">
        <v>46143</v>
      </c>
      <c r="P185" s="25" t="str">
        <f>VLOOKUP(F185,[1]CLIENTES!B:L,11,0)</f>
        <v>RODRIGO</v>
      </c>
      <c r="Q185" s="25" t="str">
        <f>VLOOKUP(F185,[1]CLIENTES!B:M,12,0)</f>
        <v>ALEXANDRO</v>
      </c>
      <c r="R185" s="26" t="str">
        <f>VLOOKUP(F185,[1]CLIENTES!B:J,9,0)</f>
        <v>GUILHERME NASCIMENTO</v>
      </c>
      <c r="S185" s="27">
        <v>2315.88</v>
      </c>
      <c r="T185" s="28" t="s">
        <v>44</v>
      </c>
      <c r="U185" s="28" t="s">
        <v>28</v>
      </c>
      <c r="V185" s="28" t="s">
        <v>29</v>
      </c>
      <c r="W185" s="28" t="s">
        <v>52</v>
      </c>
    </row>
    <row r="186" spans="1:23" ht="15" customHeight="1" x14ac:dyDescent="0.25">
      <c r="A186" s="20" t="str">
        <f>VLOOKUP(F186,[1]CLIENTES!B:L,11,0)</f>
        <v>RODRIGO</v>
      </c>
      <c r="B186" s="20" t="s">
        <v>279</v>
      </c>
      <c r="C186" s="20">
        <v>46136</v>
      </c>
      <c r="D186" s="21" t="s">
        <v>21</v>
      </c>
      <c r="E186" s="21">
        <v>1427</v>
      </c>
      <c r="F186" s="21">
        <v>5020347</v>
      </c>
      <c r="G186" s="21">
        <v>112787</v>
      </c>
      <c r="H186" s="21" t="s">
        <v>129</v>
      </c>
      <c r="I186" s="21" t="s">
        <v>23</v>
      </c>
      <c r="J186" s="21">
        <v>6125</v>
      </c>
      <c r="K186" s="29">
        <v>692</v>
      </c>
      <c r="L186" s="22">
        <v>93</v>
      </c>
      <c r="M186" s="23" t="s">
        <v>320</v>
      </c>
      <c r="N186" s="24" t="s">
        <v>25</v>
      </c>
      <c r="O186" s="30">
        <v>46143</v>
      </c>
      <c r="P186" s="25" t="str">
        <f>VLOOKUP(F186,[1]CLIENTES!B:L,11,0)</f>
        <v>RODRIGO</v>
      </c>
      <c r="Q186" s="25" t="str">
        <f>VLOOKUP(F186,[1]CLIENTES!B:M,12,0)</f>
        <v>ALEXANDRO</v>
      </c>
      <c r="R186" s="26" t="str">
        <f>VLOOKUP(F186,[1]CLIENTES!B:J,9,0)</f>
        <v>GUILHERME NASCIMENTO</v>
      </c>
      <c r="S186" s="27">
        <v>4000</v>
      </c>
      <c r="T186" s="28" t="s">
        <v>44</v>
      </c>
      <c r="U186" s="28" t="s">
        <v>28</v>
      </c>
      <c r="V186" s="28" t="s">
        <v>29</v>
      </c>
      <c r="W186" s="28" t="s">
        <v>52</v>
      </c>
    </row>
    <row r="187" spans="1:23" ht="15" customHeight="1" x14ac:dyDescent="0.25">
      <c r="A187" s="20" t="str">
        <f>VLOOKUP(F187,[1]CLIENTES!B:L,11,0)</f>
        <v>RODRIGO</v>
      </c>
      <c r="B187" s="20" t="s">
        <v>279</v>
      </c>
      <c r="C187" s="20">
        <v>46136</v>
      </c>
      <c r="D187" s="21" t="s">
        <v>21</v>
      </c>
      <c r="E187" s="21">
        <v>1428</v>
      </c>
      <c r="F187" s="21">
        <v>5020352</v>
      </c>
      <c r="G187" s="21">
        <v>127298</v>
      </c>
      <c r="H187" s="21" t="s">
        <v>124</v>
      </c>
      <c r="I187" s="21" t="s">
        <v>23</v>
      </c>
      <c r="J187" s="21">
        <v>6125</v>
      </c>
      <c r="K187" s="29">
        <v>692</v>
      </c>
      <c r="L187" s="22">
        <v>92</v>
      </c>
      <c r="M187" s="23" t="s">
        <v>321</v>
      </c>
      <c r="N187" s="24" t="s">
        <v>25</v>
      </c>
      <c r="O187" s="30">
        <v>46143</v>
      </c>
      <c r="P187" s="25" t="str">
        <f>VLOOKUP(F187,[1]CLIENTES!B:L,11,0)</f>
        <v>RODRIGO</v>
      </c>
      <c r="Q187" s="25" t="str">
        <f>VLOOKUP(F187,[1]CLIENTES!B:M,12,0)</f>
        <v>ALEXANDRO</v>
      </c>
      <c r="R187" s="26" t="str">
        <f>VLOOKUP(F187,[1]CLIENTES!B:J,9,0)</f>
        <v>GUILHERME NASCIMENTO</v>
      </c>
      <c r="S187" s="27">
        <v>2000</v>
      </c>
      <c r="T187" s="28" t="s">
        <v>44</v>
      </c>
      <c r="U187" s="28" t="s">
        <v>28</v>
      </c>
      <c r="V187" s="28" t="s">
        <v>29</v>
      </c>
      <c r="W187" s="28" t="s">
        <v>52</v>
      </c>
    </row>
    <row r="188" spans="1:23" ht="15" customHeight="1" x14ac:dyDescent="0.25">
      <c r="A188" s="20" t="str">
        <f>VLOOKUP(F188,[1]CLIENTES!B:L,11,0)</f>
        <v>RODRIGO</v>
      </c>
      <c r="B188" s="20" t="s">
        <v>279</v>
      </c>
      <c r="C188" s="20">
        <v>46136</v>
      </c>
      <c r="D188" s="21" t="s">
        <v>21</v>
      </c>
      <c r="E188" s="21">
        <v>1492</v>
      </c>
      <c r="F188" s="21">
        <v>5231303</v>
      </c>
      <c r="G188" s="21">
        <v>167018</v>
      </c>
      <c r="H188" s="21" t="s">
        <v>104</v>
      </c>
      <c r="I188" s="21" t="s">
        <v>37</v>
      </c>
      <c r="J188" s="21" t="s">
        <v>322</v>
      </c>
      <c r="K188" s="29">
        <v>189</v>
      </c>
      <c r="L188" s="22">
        <v>93</v>
      </c>
      <c r="M188" s="23" t="s">
        <v>323</v>
      </c>
      <c r="N188" s="24" t="s">
        <v>25</v>
      </c>
      <c r="O188" s="30">
        <v>46143</v>
      </c>
      <c r="P188" s="25" t="str">
        <f>VLOOKUP(F188,[1]CLIENTES!B:L,11,0)</f>
        <v>RODRIGO</v>
      </c>
      <c r="Q188" s="25" t="str">
        <f>VLOOKUP(F188,[1]CLIENTES!B:M,12,0)</f>
        <v>JESSICA</v>
      </c>
      <c r="R188" s="26" t="str">
        <f>VLOOKUP(F188,[1]CLIENTES!B:J,9,0)</f>
        <v>LUCIANA MARTINS</v>
      </c>
      <c r="S188" s="27">
        <v>15000</v>
      </c>
      <c r="T188" s="28" t="s">
        <v>44</v>
      </c>
      <c r="U188" s="28" t="s">
        <v>28</v>
      </c>
      <c r="V188" s="28" t="s">
        <v>29</v>
      </c>
      <c r="W188" s="28" t="s">
        <v>52</v>
      </c>
    </row>
    <row r="189" spans="1:23" ht="15" customHeight="1" x14ac:dyDescent="0.25">
      <c r="A189" s="20" t="str">
        <f>VLOOKUP(F189,[1]CLIENTES!B:L,11,0)</f>
        <v>RODRIGO</v>
      </c>
      <c r="B189" s="20" t="s">
        <v>279</v>
      </c>
      <c r="C189" s="20">
        <v>46139</v>
      </c>
      <c r="D189" s="21" t="s">
        <v>21</v>
      </c>
      <c r="E189" s="21">
        <v>5536</v>
      </c>
      <c r="F189" s="21">
        <v>5006978</v>
      </c>
      <c r="G189" s="21">
        <v>103036</v>
      </c>
      <c r="H189" s="21" t="s">
        <v>58</v>
      </c>
      <c r="I189" s="21" t="s">
        <v>23</v>
      </c>
      <c r="J189" s="21" t="s">
        <v>47</v>
      </c>
      <c r="K189" s="29">
        <v>722</v>
      </c>
      <c r="L189" s="22">
        <v>25</v>
      </c>
      <c r="M189" s="23" t="s">
        <v>324</v>
      </c>
      <c r="N189" s="24" t="s">
        <v>25</v>
      </c>
      <c r="O189" s="30">
        <v>46143</v>
      </c>
      <c r="P189" s="25" t="str">
        <f>VLOOKUP(F189,[1]CLIENTES!B:L,11,0)</f>
        <v>RODRIGO</v>
      </c>
      <c r="Q189" s="25" t="str">
        <f>VLOOKUP(F189,[1]CLIENTES!B:M,12,0)</f>
        <v>RAQUEL BARBOSA</v>
      </c>
      <c r="R189" s="26" t="str">
        <f>VLOOKUP(F189,[1]CLIENTES!B:J,9,0)</f>
        <v>RAQUEL BARBOSA</v>
      </c>
      <c r="S189" s="27">
        <v>26345</v>
      </c>
      <c r="T189" s="28" t="s">
        <v>44</v>
      </c>
      <c r="U189" s="28" t="s">
        <v>50</v>
      </c>
      <c r="V189" s="28" t="s">
        <v>51</v>
      </c>
      <c r="W189" s="28" t="s">
        <v>60</v>
      </c>
    </row>
    <row r="190" spans="1:23" ht="15" customHeight="1" x14ac:dyDescent="0.25">
      <c r="A190" s="20" t="str">
        <f>VLOOKUP(F190,[1]CLIENTES!B:L,11,0)</f>
        <v>RODRIGO</v>
      </c>
      <c r="B190" s="20" t="s">
        <v>279</v>
      </c>
      <c r="C190" s="20">
        <v>46139</v>
      </c>
      <c r="D190" s="21" t="s">
        <v>21</v>
      </c>
      <c r="E190" s="21">
        <v>5536</v>
      </c>
      <c r="F190" s="21">
        <v>5006978</v>
      </c>
      <c r="G190" s="21">
        <v>103036</v>
      </c>
      <c r="H190" s="21" t="s">
        <v>58</v>
      </c>
      <c r="I190" s="21" t="s">
        <v>23</v>
      </c>
      <c r="J190" s="21" t="s">
        <v>47</v>
      </c>
      <c r="K190" s="29">
        <v>722</v>
      </c>
      <c r="L190" s="22">
        <v>25</v>
      </c>
      <c r="M190" s="23" t="s">
        <v>325</v>
      </c>
      <c r="N190" s="24" t="s">
        <v>25</v>
      </c>
      <c r="O190" s="30">
        <v>46143</v>
      </c>
      <c r="P190" s="25" t="str">
        <f>VLOOKUP(F190,[1]CLIENTES!B:L,11,0)</f>
        <v>RODRIGO</v>
      </c>
      <c r="Q190" s="25" t="str">
        <f>VLOOKUP(F190,[1]CLIENTES!B:M,12,0)</f>
        <v>RAQUEL BARBOSA</v>
      </c>
      <c r="R190" s="26" t="str">
        <f>VLOOKUP(F190,[1]CLIENTES!B:J,9,0)</f>
        <v>RAQUEL BARBOSA</v>
      </c>
      <c r="S190" s="27">
        <v>46841.305200000003</v>
      </c>
      <c r="T190" s="28" t="s">
        <v>44</v>
      </c>
      <c r="U190" s="28" t="s">
        <v>50</v>
      </c>
      <c r="V190" s="28" t="s">
        <v>51</v>
      </c>
      <c r="W190" s="28" t="s">
        <v>60</v>
      </c>
    </row>
    <row r="191" spans="1:23" ht="15" customHeight="1" x14ac:dyDescent="0.25">
      <c r="A191" s="20" t="str">
        <f>VLOOKUP(F191,[1]CLIENTES!B:L,11,0)</f>
        <v>RODRIGO</v>
      </c>
      <c r="B191" s="20" t="s">
        <v>279</v>
      </c>
      <c r="C191" s="20">
        <v>46121</v>
      </c>
      <c r="D191" s="21" t="s">
        <v>21</v>
      </c>
      <c r="E191" s="21">
        <v>1481</v>
      </c>
      <c r="F191" s="21">
        <v>5225860</v>
      </c>
      <c r="G191" s="21">
        <v>180402</v>
      </c>
      <c r="H191" s="21" t="s">
        <v>39</v>
      </c>
      <c r="I191" s="21" t="s">
        <v>40</v>
      </c>
      <c r="J191" s="21" t="s">
        <v>41</v>
      </c>
      <c r="K191" s="29">
        <v>194</v>
      </c>
      <c r="L191" s="22">
        <v>92</v>
      </c>
      <c r="M191" s="23" t="s">
        <v>260</v>
      </c>
      <c r="N191" s="24" t="s">
        <v>25</v>
      </c>
      <c r="O191" s="30">
        <v>46143</v>
      </c>
      <c r="P191" s="25" t="str">
        <f>VLOOKUP(F191,[1]CLIENTES!B:L,11,0)</f>
        <v>RODRIGO</v>
      </c>
      <c r="Q191" s="25" t="str">
        <f>VLOOKUP(F191,[1]CLIENTES!B:M,12,0)</f>
        <v>MARIA LOURDES</v>
      </c>
      <c r="R191" s="26" t="str">
        <f>VLOOKUP(F191,[1]CLIENTES!B:J,9,0)</f>
        <v>CLAUDIO JORGE/AMANDA SANDS</v>
      </c>
      <c r="S191" s="27">
        <v>60000</v>
      </c>
      <c r="T191" s="28" t="s">
        <v>44</v>
      </c>
      <c r="U191" s="28" t="s">
        <v>28</v>
      </c>
      <c r="V191" s="28" t="s">
        <v>29</v>
      </c>
      <c r="W191" s="28" t="s">
        <v>52</v>
      </c>
    </row>
    <row r="192" spans="1:23" ht="15" customHeight="1" x14ac:dyDescent="0.25">
      <c r="A192" s="20" t="str">
        <f>VLOOKUP(F192,[1]CLIENTES!B:L,11,0)</f>
        <v>RODRIGO</v>
      </c>
      <c r="B192" s="20" t="s">
        <v>279</v>
      </c>
      <c r="C192" s="20">
        <v>46139</v>
      </c>
      <c r="D192" s="21" t="s">
        <v>21</v>
      </c>
      <c r="E192" s="21">
        <v>1411</v>
      </c>
      <c r="F192" s="21">
        <v>5006978</v>
      </c>
      <c r="G192" s="21">
        <v>103036</v>
      </c>
      <c r="H192" s="21" t="s">
        <v>58</v>
      </c>
      <c r="I192" s="21" t="s">
        <v>23</v>
      </c>
      <c r="J192" s="21">
        <v>6125</v>
      </c>
      <c r="K192" s="29">
        <v>692</v>
      </c>
      <c r="L192" s="22">
        <v>92</v>
      </c>
      <c r="M192" s="23" t="s">
        <v>326</v>
      </c>
      <c r="N192" s="24" t="s">
        <v>25</v>
      </c>
      <c r="O192" s="30">
        <v>46143</v>
      </c>
      <c r="P192" s="25" t="str">
        <f>VLOOKUP(F192,[1]CLIENTES!B:L,11,0)</f>
        <v>RODRIGO</v>
      </c>
      <c r="Q192" s="25" t="str">
        <f>VLOOKUP(F192,[1]CLIENTES!B:M,12,0)</f>
        <v>RAQUEL BARBOSA</v>
      </c>
      <c r="R192" s="26" t="str">
        <f>VLOOKUP(F192,[1]CLIENTES!B:J,9,0)</f>
        <v>RAQUEL BARBOSA</v>
      </c>
      <c r="S192" s="27">
        <v>26220.628799999999</v>
      </c>
      <c r="T192" s="28" t="s">
        <v>44</v>
      </c>
      <c r="U192" s="28" t="s">
        <v>28</v>
      </c>
      <c r="V192" s="28" t="s">
        <v>29</v>
      </c>
      <c r="W192" s="28" t="s">
        <v>60</v>
      </c>
    </row>
    <row r="193" spans="1:23" ht="15" customHeight="1" x14ac:dyDescent="0.25">
      <c r="A193" s="20" t="str">
        <f>VLOOKUP(F193,[1]CLIENTES!B:L,11,0)</f>
        <v>RODRIGO</v>
      </c>
      <c r="B193" s="20" t="s">
        <v>279</v>
      </c>
      <c r="C193" s="20">
        <v>46134</v>
      </c>
      <c r="D193" s="21" t="s">
        <v>118</v>
      </c>
      <c r="E193" s="21">
        <v>4000165056</v>
      </c>
      <c r="F193" s="21">
        <v>5026399</v>
      </c>
      <c r="G193" s="21">
        <v>116247</v>
      </c>
      <c r="H193" s="21" t="s">
        <v>119</v>
      </c>
      <c r="I193" s="21" t="s">
        <v>37</v>
      </c>
      <c r="J193" s="21">
        <v>6169</v>
      </c>
      <c r="K193" s="29">
        <v>689</v>
      </c>
      <c r="L193" s="22">
        <v>92</v>
      </c>
      <c r="M193" s="23" t="s">
        <v>327</v>
      </c>
      <c r="N193" s="24" t="s">
        <v>25</v>
      </c>
      <c r="O193" s="30">
        <v>46143</v>
      </c>
      <c r="P193" s="25" t="str">
        <f>VLOOKUP(F193,[1]CLIENTES!B:L,11,0)</f>
        <v>RODRIGO</v>
      </c>
      <c r="Q193" s="25" t="str">
        <f>VLOOKUP(F193,[1]CLIENTES!B:M,12,0)</f>
        <v>JESSICA</v>
      </c>
      <c r="R193" s="26" t="str">
        <f>VLOOKUP(F193,[1]CLIENTES!B:J,9,0)</f>
        <v>JESSICA CARLA</v>
      </c>
      <c r="S193" s="27">
        <v>51000</v>
      </c>
      <c r="T193" s="28" t="s">
        <v>44</v>
      </c>
      <c r="U193" s="28" t="s">
        <v>28</v>
      </c>
      <c r="V193" s="28" t="s">
        <v>29</v>
      </c>
      <c r="W193" s="28" t="s">
        <v>204</v>
      </c>
    </row>
    <row r="194" spans="1:23" ht="15" customHeight="1" x14ac:dyDescent="0.25">
      <c r="A194" s="20" t="str">
        <f>VLOOKUP(F194,[1]CLIENTES!B:L,11,0)</f>
        <v>RODRIGO</v>
      </c>
      <c r="B194" s="20" t="s">
        <v>328</v>
      </c>
      <c r="C194" s="20">
        <v>46147</v>
      </c>
      <c r="D194" s="21" t="s">
        <v>21</v>
      </c>
      <c r="E194" s="21">
        <v>1896</v>
      </c>
      <c r="F194" s="21">
        <v>5118346</v>
      </c>
      <c r="G194" s="21">
        <v>143232</v>
      </c>
      <c r="H194" s="21" t="s">
        <v>237</v>
      </c>
      <c r="I194" s="21" t="s">
        <v>23</v>
      </c>
      <c r="J194" s="21">
        <v>6125</v>
      </c>
      <c r="K194" s="21">
        <v>692</v>
      </c>
      <c r="L194" s="22">
        <v>93</v>
      </c>
      <c r="M194" s="23" t="s">
        <v>329</v>
      </c>
      <c r="N194" s="24" t="s">
        <v>25</v>
      </c>
      <c r="O194" s="25">
        <v>46174</v>
      </c>
      <c r="P194" s="25" t="str">
        <f>VLOOKUP(F194,[1]CLIENTES!B:L,11,0)</f>
        <v>RODRIGO</v>
      </c>
      <c r="Q194" s="25" t="str">
        <f>VLOOKUP(F194,[1]CLIENTES!B:M,12,0)</f>
        <v>RAQUEL BARBOSA</v>
      </c>
      <c r="R194" s="26" t="str">
        <f>VLOOKUP(F194,[1]CLIENTES!B:J,9,0)</f>
        <v>VAGO SP</v>
      </c>
      <c r="S194" s="27">
        <v>3663</v>
      </c>
      <c r="T194" s="28" t="s">
        <v>44</v>
      </c>
      <c r="U194" s="28" t="s">
        <v>28</v>
      </c>
      <c r="V194" s="28" t="s">
        <v>29</v>
      </c>
      <c r="W194" s="28" t="s">
        <v>60</v>
      </c>
    </row>
    <row r="195" spans="1:23" ht="15" customHeight="1" x14ac:dyDescent="0.25">
      <c r="A195" s="20" t="str">
        <f>VLOOKUP(F195,[1]CLIENTES!B:L,11,0)</f>
        <v>RODRIGO</v>
      </c>
      <c r="B195" s="20" t="s">
        <v>328</v>
      </c>
      <c r="C195" s="20">
        <v>46147</v>
      </c>
      <c r="D195" s="21" t="s">
        <v>21</v>
      </c>
      <c r="E195" s="21">
        <v>1920</v>
      </c>
      <c r="F195" s="21">
        <v>5217293</v>
      </c>
      <c r="G195" s="21">
        <v>145966</v>
      </c>
      <c r="H195" s="21" t="s">
        <v>86</v>
      </c>
      <c r="I195" s="21" t="s">
        <v>23</v>
      </c>
      <c r="J195" s="21">
        <v>6125</v>
      </c>
      <c r="K195" s="21">
        <v>692</v>
      </c>
      <c r="L195" s="22">
        <v>92</v>
      </c>
      <c r="M195" s="23" t="s">
        <v>330</v>
      </c>
      <c r="N195" s="24" t="s">
        <v>25</v>
      </c>
      <c r="O195" s="25">
        <v>46174</v>
      </c>
      <c r="P195" s="25" t="str">
        <f>VLOOKUP(F195,[1]CLIENTES!B:L,11,0)</f>
        <v>RODRIGO</v>
      </c>
      <c r="Q195" s="25" t="str">
        <f>VLOOKUP(F195,[1]CLIENTES!B:M,12,0)</f>
        <v>RAQUEL BARBOSA</v>
      </c>
      <c r="R195" s="26" t="str">
        <f>VLOOKUP(F195,[1]CLIENTES!B:J,9,0)</f>
        <v>VAGO SP</v>
      </c>
      <c r="S195" s="27">
        <v>2222.2199999999998</v>
      </c>
      <c r="T195" s="28" t="s">
        <v>44</v>
      </c>
      <c r="U195" s="28" t="s">
        <v>28</v>
      </c>
      <c r="V195" s="28" t="s">
        <v>29</v>
      </c>
      <c r="W195" s="28" t="s">
        <v>35</v>
      </c>
    </row>
    <row r="196" spans="1:23" ht="15" customHeight="1" x14ac:dyDescent="0.25">
      <c r="A196" s="20" t="str">
        <f>VLOOKUP(F196,[1]CLIENTES!B:L,11,0)</f>
        <v>RODRIGO</v>
      </c>
      <c r="B196" s="20" t="s">
        <v>328</v>
      </c>
      <c r="C196" s="20">
        <v>46149</v>
      </c>
      <c r="D196" s="21" t="s">
        <v>21</v>
      </c>
      <c r="E196" s="21">
        <v>1892</v>
      </c>
      <c r="F196" s="21">
        <v>5185642</v>
      </c>
      <c r="G196" s="21">
        <v>142109</v>
      </c>
      <c r="H196" s="21" t="s">
        <v>166</v>
      </c>
      <c r="I196" s="21" t="s">
        <v>23</v>
      </c>
      <c r="J196" s="21">
        <v>6125</v>
      </c>
      <c r="K196" s="21">
        <v>692</v>
      </c>
      <c r="L196" s="22">
        <v>93</v>
      </c>
      <c r="M196" s="23" t="s">
        <v>331</v>
      </c>
      <c r="N196" s="24" t="s">
        <v>25</v>
      </c>
      <c r="O196" s="25">
        <v>46174</v>
      </c>
      <c r="P196" s="25" t="str">
        <f>VLOOKUP(F196,[1]CLIENTES!B:L,11,0)</f>
        <v>RODRIGO</v>
      </c>
      <c r="Q196" s="25" t="str">
        <f>VLOOKUP(F196,[1]CLIENTES!B:M,12,0)</f>
        <v>RAQUEL BARBOSA</v>
      </c>
      <c r="R196" s="26" t="str">
        <f>VLOOKUP(F196,[1]CLIENTES!B:J,9,0)</f>
        <v>VAGO SP</v>
      </c>
      <c r="S196" s="27">
        <v>3000</v>
      </c>
      <c r="T196" s="28" t="s">
        <v>44</v>
      </c>
      <c r="U196" s="28" t="s">
        <v>28</v>
      </c>
      <c r="V196" s="28" t="s">
        <v>29</v>
      </c>
      <c r="W196" s="28" t="s">
        <v>60</v>
      </c>
    </row>
    <row r="197" spans="1:23" ht="15" customHeight="1" x14ac:dyDescent="0.25">
      <c r="A197" s="20" t="str">
        <f>VLOOKUP(F197,[1]CLIENTES!B:L,11,0)</f>
        <v>RODRIGO</v>
      </c>
      <c r="B197" s="20" t="s">
        <v>328</v>
      </c>
      <c r="C197" s="20">
        <v>46149</v>
      </c>
      <c r="D197" s="21" t="s">
        <v>21</v>
      </c>
      <c r="E197" s="21">
        <v>1902</v>
      </c>
      <c r="F197" s="21">
        <v>5131101</v>
      </c>
      <c r="G197" s="21">
        <v>167218</v>
      </c>
      <c r="H197" s="21" t="s">
        <v>164</v>
      </c>
      <c r="I197" s="21" t="s">
        <v>23</v>
      </c>
      <c r="J197" s="21">
        <v>6125</v>
      </c>
      <c r="K197" s="21">
        <v>692</v>
      </c>
      <c r="L197" s="22">
        <v>93</v>
      </c>
      <c r="M197" s="23" t="s">
        <v>332</v>
      </c>
      <c r="N197" s="24" t="s">
        <v>25</v>
      </c>
      <c r="O197" s="25">
        <v>46174</v>
      </c>
      <c r="P197" s="25" t="str">
        <f>VLOOKUP(F197,[1]CLIENTES!B:L,11,0)</f>
        <v>RODRIGO</v>
      </c>
      <c r="Q197" s="25" t="str">
        <f>VLOOKUP(F197,[1]CLIENTES!B:M,12,0)</f>
        <v>RAQUEL BARBOSA</v>
      </c>
      <c r="R197" s="26" t="str">
        <f>VLOOKUP(F197,[1]CLIENTES!B:J,9,0)</f>
        <v>VAGO SP</v>
      </c>
      <c r="S197" s="27">
        <v>1500</v>
      </c>
      <c r="T197" s="28" t="s">
        <v>44</v>
      </c>
      <c r="U197" s="28" t="s">
        <v>28</v>
      </c>
      <c r="V197" s="28" t="s">
        <v>29</v>
      </c>
      <c r="W197" s="28" t="s">
        <v>52</v>
      </c>
    </row>
    <row r="198" spans="1:23" ht="15" customHeight="1" x14ac:dyDescent="0.25">
      <c r="A198" s="20" t="str">
        <f>VLOOKUP(F198,[1]CLIENTES!B:L,11,0)</f>
        <v>RODRIGO</v>
      </c>
      <c r="B198" s="20" t="s">
        <v>328</v>
      </c>
      <c r="C198" s="20">
        <v>46149</v>
      </c>
      <c r="D198" s="21" t="s">
        <v>21</v>
      </c>
      <c r="E198" s="21">
        <v>6943</v>
      </c>
      <c r="F198" s="21">
        <v>5006978</v>
      </c>
      <c r="G198" s="21">
        <v>103036</v>
      </c>
      <c r="H198" s="21" t="s">
        <v>58</v>
      </c>
      <c r="I198" s="21" t="s">
        <v>23</v>
      </c>
      <c r="J198" s="21" t="s">
        <v>47</v>
      </c>
      <c r="K198" s="21">
        <v>722</v>
      </c>
      <c r="L198" s="22">
        <v>25</v>
      </c>
      <c r="M198" s="23" t="s">
        <v>333</v>
      </c>
      <c r="N198" s="24" t="s">
        <v>25</v>
      </c>
      <c r="O198" s="25">
        <v>46174</v>
      </c>
      <c r="P198" s="25" t="str">
        <f>VLOOKUP(F198,[1]CLIENTES!B:L,11,0)</f>
        <v>RODRIGO</v>
      </c>
      <c r="Q198" s="25" t="str">
        <f>VLOOKUP(F198,[1]CLIENTES!B:M,12,0)</f>
        <v>RAQUEL BARBOSA</v>
      </c>
      <c r="R198" s="26" t="str">
        <f>VLOOKUP(F198,[1]CLIENTES!B:J,9,0)</f>
        <v>RAQUEL BARBOSA</v>
      </c>
      <c r="S198" s="27">
        <v>18228.349999999999</v>
      </c>
      <c r="T198" s="28" t="s">
        <v>44</v>
      </c>
      <c r="U198" s="28" t="s">
        <v>50</v>
      </c>
      <c r="V198" s="28" t="s">
        <v>51</v>
      </c>
      <c r="W198" s="28" t="s">
        <v>60</v>
      </c>
    </row>
    <row r="199" spans="1:23" ht="15" customHeight="1" x14ac:dyDescent="0.25">
      <c r="A199" s="20" t="str">
        <f>VLOOKUP(F199,[1]CLIENTES!B:L,11,0)</f>
        <v>RODRIGO</v>
      </c>
      <c r="B199" s="20" t="s">
        <v>328</v>
      </c>
      <c r="C199" s="20">
        <v>46149</v>
      </c>
      <c r="D199" s="21" t="s">
        <v>21</v>
      </c>
      <c r="E199" s="21">
        <v>6943</v>
      </c>
      <c r="F199" s="21">
        <v>5006978</v>
      </c>
      <c r="G199" s="21">
        <v>103036</v>
      </c>
      <c r="H199" s="21" t="s">
        <v>58</v>
      </c>
      <c r="I199" s="21" t="s">
        <v>23</v>
      </c>
      <c r="J199" s="21" t="s">
        <v>47</v>
      </c>
      <c r="K199" s="21">
        <v>722</v>
      </c>
      <c r="L199" s="22">
        <v>25</v>
      </c>
      <c r="M199" s="23" t="s">
        <v>334</v>
      </c>
      <c r="N199" s="24" t="s">
        <v>25</v>
      </c>
      <c r="O199" s="25">
        <v>46174</v>
      </c>
      <c r="P199" s="25" t="str">
        <f>VLOOKUP(F199,[1]CLIENTES!B:L,11,0)</f>
        <v>RODRIGO</v>
      </c>
      <c r="Q199" s="25" t="str">
        <f>VLOOKUP(F199,[1]CLIENTES!B:M,12,0)</f>
        <v>RAQUEL BARBOSA</v>
      </c>
      <c r="R199" s="26" t="str">
        <f>VLOOKUP(F199,[1]CLIENTES!B:J,9,0)</f>
        <v>RAQUEL BARBOSA</v>
      </c>
      <c r="S199" s="27">
        <v>7390.09</v>
      </c>
      <c r="T199" s="28" t="s">
        <v>44</v>
      </c>
      <c r="U199" s="28" t="s">
        <v>50</v>
      </c>
      <c r="V199" s="28" t="s">
        <v>51</v>
      </c>
      <c r="W199" s="28" t="s">
        <v>60</v>
      </c>
    </row>
    <row r="200" spans="1:23" ht="15" customHeight="1" x14ac:dyDescent="0.25">
      <c r="A200" s="20" t="str">
        <f>VLOOKUP(F200,[1]CLIENTES!B:L,11,0)</f>
        <v>RODRIGO</v>
      </c>
      <c r="B200" s="20" t="s">
        <v>328</v>
      </c>
      <c r="C200" s="20">
        <v>46149</v>
      </c>
      <c r="D200" s="21" t="s">
        <v>21</v>
      </c>
      <c r="E200" s="21">
        <v>1898</v>
      </c>
      <c r="F200" s="21">
        <v>5006978</v>
      </c>
      <c r="G200" s="21">
        <v>103036</v>
      </c>
      <c r="H200" s="21" t="s">
        <v>58</v>
      </c>
      <c r="I200" s="21" t="s">
        <v>23</v>
      </c>
      <c r="J200" s="21">
        <v>6125</v>
      </c>
      <c r="K200" s="21">
        <v>692</v>
      </c>
      <c r="L200" s="22">
        <v>93</v>
      </c>
      <c r="M200" s="23" t="s">
        <v>335</v>
      </c>
      <c r="N200" s="24" t="s">
        <v>25</v>
      </c>
      <c r="O200" s="25">
        <v>46174</v>
      </c>
      <c r="P200" s="25" t="str">
        <f>VLOOKUP(F200,[1]CLIENTES!B:L,11,0)</f>
        <v>RODRIGO</v>
      </c>
      <c r="Q200" s="25" t="str">
        <f>VLOOKUP(F200,[1]CLIENTES!B:M,12,0)</f>
        <v>RAQUEL BARBOSA</v>
      </c>
      <c r="R200" s="26" t="str">
        <f>VLOOKUP(F200,[1]CLIENTES!B:J,9,0)</f>
        <v>RAQUEL BARBOSA</v>
      </c>
      <c r="S200" s="27">
        <v>14049.71</v>
      </c>
      <c r="T200" s="28" t="s">
        <v>44</v>
      </c>
      <c r="U200" s="28" t="s">
        <v>28</v>
      </c>
      <c r="V200" s="28" t="s">
        <v>29</v>
      </c>
      <c r="W200" s="28" t="s">
        <v>60</v>
      </c>
    </row>
    <row r="201" spans="1:23" ht="15" customHeight="1" x14ac:dyDescent="0.25">
      <c r="A201" s="20" t="str">
        <f>VLOOKUP(F201,[1]CLIENTES!B:L,11,0)</f>
        <v>RODRIGO</v>
      </c>
      <c r="B201" s="20" t="s">
        <v>328</v>
      </c>
      <c r="C201" s="20">
        <v>46149</v>
      </c>
      <c r="D201" s="21" t="s">
        <v>21</v>
      </c>
      <c r="E201" s="21">
        <v>1909</v>
      </c>
      <c r="F201" s="21">
        <v>5157891</v>
      </c>
      <c r="G201" s="21">
        <v>165987</v>
      </c>
      <c r="H201" s="21" t="s">
        <v>209</v>
      </c>
      <c r="I201" s="21" t="s">
        <v>23</v>
      </c>
      <c r="J201" s="21">
        <v>6125</v>
      </c>
      <c r="K201" s="21">
        <v>692</v>
      </c>
      <c r="L201" s="22">
        <v>92</v>
      </c>
      <c r="M201" s="23" t="s">
        <v>336</v>
      </c>
      <c r="N201" s="24" t="s">
        <v>25</v>
      </c>
      <c r="O201" s="25">
        <v>46174</v>
      </c>
      <c r="P201" s="25" t="str">
        <f>VLOOKUP(F201,[1]CLIENTES!B:L,11,0)</f>
        <v>RODRIGO</v>
      </c>
      <c r="Q201" s="25" t="str">
        <f>VLOOKUP(F201,[1]CLIENTES!B:M,12,0)</f>
        <v>RAQUEL BARBOSA</v>
      </c>
      <c r="R201" s="26" t="str">
        <f>VLOOKUP(F201,[1]CLIENTES!B:J,9,0)</f>
        <v>RAQUEL BARBOSA</v>
      </c>
      <c r="S201" s="27">
        <v>4365.6499999999996</v>
      </c>
      <c r="T201" s="28" t="s">
        <v>44</v>
      </c>
      <c r="U201" s="28" t="s">
        <v>28</v>
      </c>
      <c r="V201" s="28" t="s">
        <v>29</v>
      </c>
      <c r="W201" s="28" t="s">
        <v>60</v>
      </c>
    </row>
    <row r="202" spans="1:23" ht="15" customHeight="1" x14ac:dyDescent="0.25">
      <c r="A202" s="20" t="str">
        <f>VLOOKUP(F202,[1]CLIENTES!B:L,11,0)</f>
        <v>RODRIGO</v>
      </c>
      <c r="B202" s="20" t="s">
        <v>328</v>
      </c>
      <c r="C202" s="20">
        <v>46149</v>
      </c>
      <c r="D202" s="21" t="s">
        <v>21</v>
      </c>
      <c r="E202" s="21">
        <v>1925</v>
      </c>
      <c r="F202" s="21">
        <v>5004685</v>
      </c>
      <c r="G202" s="21">
        <v>110434</v>
      </c>
      <c r="H202" s="21" t="s">
        <v>116</v>
      </c>
      <c r="I202" s="21" t="s">
        <v>23</v>
      </c>
      <c r="J202" s="21">
        <v>6125</v>
      </c>
      <c r="K202" s="21">
        <v>692</v>
      </c>
      <c r="L202" s="22">
        <v>93</v>
      </c>
      <c r="M202" s="23" t="s">
        <v>337</v>
      </c>
      <c r="N202" s="24" t="s">
        <v>25</v>
      </c>
      <c r="O202" s="25">
        <v>46174</v>
      </c>
      <c r="P202" s="25" t="str">
        <f>VLOOKUP(F202,[1]CLIENTES!B:L,11,0)</f>
        <v>RODRIGO</v>
      </c>
      <c r="Q202" s="25" t="str">
        <f>VLOOKUP(F202,[1]CLIENTES!B:M,12,0)</f>
        <v>ALEXANDRO</v>
      </c>
      <c r="R202" s="26" t="str">
        <f>VLOOKUP(F202,[1]CLIENTES!B:J,9,0)</f>
        <v>ALEXANDRO RODRIGUES</v>
      </c>
      <c r="S202" s="27">
        <v>12891.61</v>
      </c>
      <c r="T202" s="28" t="s">
        <v>44</v>
      </c>
      <c r="U202" s="28" t="s">
        <v>28</v>
      </c>
      <c r="V202" s="28" t="s">
        <v>29</v>
      </c>
      <c r="W202" s="28" t="s">
        <v>338</v>
      </c>
    </row>
    <row r="203" spans="1:23" ht="15" customHeight="1" x14ac:dyDescent="0.25">
      <c r="A203" s="20" t="str">
        <f>VLOOKUP(F203,[1]CLIENTES!B:L,11,0)</f>
        <v>RODRIGO</v>
      </c>
      <c r="B203" s="20" t="s">
        <v>328</v>
      </c>
      <c r="C203" s="20">
        <v>46153</v>
      </c>
      <c r="D203" s="21" t="s">
        <v>21</v>
      </c>
      <c r="E203" s="21">
        <v>1894</v>
      </c>
      <c r="F203" s="21">
        <v>5109334</v>
      </c>
      <c r="G203" s="21">
        <v>134327</v>
      </c>
      <c r="H203" s="21" t="s">
        <v>339</v>
      </c>
      <c r="I203" s="21" t="s">
        <v>23</v>
      </c>
      <c r="J203" s="21">
        <v>6125</v>
      </c>
      <c r="K203" s="21">
        <v>692</v>
      </c>
      <c r="L203" s="22">
        <v>93</v>
      </c>
      <c r="M203" s="23" t="s">
        <v>340</v>
      </c>
      <c r="N203" s="24" t="s">
        <v>25</v>
      </c>
      <c r="O203" s="25">
        <v>46174</v>
      </c>
      <c r="P203" s="25" t="str">
        <f>VLOOKUP(F203,[1]CLIENTES!B:L,11,0)</f>
        <v>RODRIGO</v>
      </c>
      <c r="Q203" s="25" t="str">
        <f>VLOOKUP(F203,[1]CLIENTES!B:M,12,0)</f>
        <v>RAQUEL BARBOSA</v>
      </c>
      <c r="R203" s="26" t="str">
        <f>VLOOKUP(F203,[1]CLIENTES!B:J,9,0)</f>
        <v>SP ITB FS FLAC REP.E COMERCIO</v>
      </c>
      <c r="S203" s="27">
        <v>149.24</v>
      </c>
      <c r="T203" s="28" t="s">
        <v>44</v>
      </c>
      <c r="U203" s="28" t="s">
        <v>28</v>
      </c>
      <c r="V203" s="28" t="s">
        <v>29</v>
      </c>
      <c r="W203" s="28" t="s">
        <v>60</v>
      </c>
    </row>
    <row r="204" spans="1:23" ht="15" customHeight="1" x14ac:dyDescent="0.25">
      <c r="A204" s="20" t="str">
        <f>VLOOKUP(F204,[1]CLIENTES!B:L,11,0)</f>
        <v>RODRIGO</v>
      </c>
      <c r="B204" s="20" t="s">
        <v>328</v>
      </c>
      <c r="C204" s="20">
        <v>46157</v>
      </c>
      <c r="D204" s="21" t="s">
        <v>21</v>
      </c>
      <c r="E204" s="21">
        <v>1913</v>
      </c>
      <c r="F204" s="21">
        <v>5023770</v>
      </c>
      <c r="G204" s="21">
        <v>111937</v>
      </c>
      <c r="H204" s="21" t="s">
        <v>341</v>
      </c>
      <c r="I204" s="21" t="s">
        <v>132</v>
      </c>
      <c r="J204" s="21">
        <v>6127</v>
      </c>
      <c r="K204" s="21">
        <v>605</v>
      </c>
      <c r="L204" s="22">
        <v>92</v>
      </c>
      <c r="M204" s="23" t="s">
        <v>342</v>
      </c>
      <c r="N204" s="24" t="s">
        <v>25</v>
      </c>
      <c r="O204" s="25">
        <v>46174</v>
      </c>
      <c r="P204" s="25" t="str">
        <f>VLOOKUP(F204,[1]CLIENTES!B:L,11,0)</f>
        <v>RODRIGO</v>
      </c>
      <c r="Q204" s="25" t="str">
        <f>VLOOKUP(F204,[1]CLIENTES!B:M,12,0)</f>
        <v>MARIA LOURDES</v>
      </c>
      <c r="R204" s="26" t="str">
        <f>VLOOKUP(F204,[1]CLIENTES!B:J,9,0)</f>
        <v>WH FOOD SERVICE CE</v>
      </c>
      <c r="S204" s="27">
        <v>2000</v>
      </c>
      <c r="T204" s="28" t="s">
        <v>44</v>
      </c>
      <c r="U204" s="28" t="s">
        <v>28</v>
      </c>
      <c r="V204" s="28" t="s">
        <v>29</v>
      </c>
      <c r="W204" s="28" t="s">
        <v>126</v>
      </c>
    </row>
    <row r="205" spans="1:23" ht="15" customHeight="1" x14ac:dyDescent="0.25">
      <c r="A205" s="20" t="str">
        <f>VLOOKUP(F205,[1]CLIENTES!B:L,11,0)</f>
        <v>RODRIGO</v>
      </c>
      <c r="B205" s="20" t="s">
        <v>328</v>
      </c>
      <c r="C205" s="20">
        <v>46160</v>
      </c>
      <c r="D205" s="21" t="s">
        <v>21</v>
      </c>
      <c r="E205" s="21">
        <v>1912</v>
      </c>
      <c r="F205" s="21">
        <v>5077852</v>
      </c>
      <c r="G205" s="21">
        <v>130737</v>
      </c>
      <c r="H205" s="21" t="s">
        <v>343</v>
      </c>
      <c r="I205" s="21" t="s">
        <v>23</v>
      </c>
      <c r="J205" s="21">
        <v>6125</v>
      </c>
      <c r="K205" s="21">
        <v>692</v>
      </c>
      <c r="L205" s="22">
        <v>93</v>
      </c>
      <c r="M205" s="23" t="s">
        <v>344</v>
      </c>
      <c r="N205" s="24" t="s">
        <v>25</v>
      </c>
      <c r="O205" s="25">
        <v>46174</v>
      </c>
      <c r="P205" s="25" t="str">
        <f>VLOOKUP(F205,[1]CLIENTES!B:L,11,0)</f>
        <v>RODRIGO</v>
      </c>
      <c r="Q205" s="25" t="str">
        <f>VLOOKUP(F205,[1]CLIENTES!B:M,12,0)</f>
        <v>ALEXANDRE BONANI</v>
      </c>
      <c r="R205" s="26" t="str">
        <f>VLOOKUP(F205,[1]CLIENTES!B:J,9,0)</f>
        <v>ALEXANDRE BONANI</v>
      </c>
      <c r="S205" s="27">
        <v>370</v>
      </c>
      <c r="T205" s="28" t="s">
        <v>44</v>
      </c>
      <c r="U205" s="28" t="s">
        <v>28</v>
      </c>
      <c r="V205" s="28" t="s">
        <v>29</v>
      </c>
      <c r="W205" s="28" t="s">
        <v>126</v>
      </c>
    </row>
    <row r="206" spans="1:23" ht="15" customHeight="1" x14ac:dyDescent="0.25">
      <c r="A206" s="20" t="str">
        <f>VLOOKUP(F206,[1]CLIENTES!B:L,11,0)</f>
        <v>RODRIGO</v>
      </c>
      <c r="B206" s="20" t="s">
        <v>328</v>
      </c>
      <c r="C206" s="20">
        <v>46160</v>
      </c>
      <c r="D206" s="21" t="s">
        <v>21</v>
      </c>
      <c r="E206" s="21">
        <v>1925</v>
      </c>
      <c r="F206" s="21">
        <v>5004685</v>
      </c>
      <c r="G206" s="21">
        <v>110434</v>
      </c>
      <c r="H206" s="21" t="s">
        <v>116</v>
      </c>
      <c r="I206" s="21" t="s">
        <v>23</v>
      </c>
      <c r="J206" s="21">
        <v>6125</v>
      </c>
      <c r="K206" s="21">
        <v>692</v>
      </c>
      <c r="L206" s="22">
        <v>93</v>
      </c>
      <c r="M206" s="23" t="s">
        <v>345</v>
      </c>
      <c r="N206" s="24" t="s">
        <v>25</v>
      </c>
      <c r="O206" s="25">
        <v>46174</v>
      </c>
      <c r="P206" s="25" t="str">
        <f>VLOOKUP(F206,[1]CLIENTES!B:L,11,0)</f>
        <v>RODRIGO</v>
      </c>
      <c r="Q206" s="25" t="str">
        <f>VLOOKUP(F206,[1]CLIENTES!B:M,12,0)</f>
        <v>ALEXANDRO</v>
      </c>
      <c r="R206" s="26" t="str">
        <f>VLOOKUP(F206,[1]CLIENTES!B:J,9,0)</f>
        <v>ALEXANDRO RODRIGUES</v>
      </c>
      <c r="S206" s="27">
        <v>2500</v>
      </c>
      <c r="T206" s="28" t="s">
        <v>44</v>
      </c>
      <c r="U206" s="28" t="s">
        <v>28</v>
      </c>
      <c r="V206" s="28" t="s">
        <v>29</v>
      </c>
      <c r="W206" s="28" t="s">
        <v>126</v>
      </c>
    </row>
    <row r="207" spans="1:23" ht="15" customHeight="1" x14ac:dyDescent="0.25">
      <c r="A207" s="20" t="str">
        <f>VLOOKUP(F207,[1]CLIENTES!B:L,11,0)</f>
        <v>RODRIGO</v>
      </c>
      <c r="B207" s="20" t="s">
        <v>328</v>
      </c>
      <c r="C207" s="20">
        <v>46160</v>
      </c>
      <c r="D207" s="21" t="s">
        <v>21</v>
      </c>
      <c r="E207" s="21">
        <v>1925</v>
      </c>
      <c r="F207" s="21">
        <v>5004685</v>
      </c>
      <c r="G207" s="21">
        <v>110434</v>
      </c>
      <c r="H207" s="21" t="s">
        <v>116</v>
      </c>
      <c r="I207" s="21" t="s">
        <v>23</v>
      </c>
      <c r="J207" s="21">
        <v>6125</v>
      </c>
      <c r="K207" s="21">
        <v>692</v>
      </c>
      <c r="L207" s="22">
        <v>93</v>
      </c>
      <c r="M207" s="23" t="s">
        <v>346</v>
      </c>
      <c r="N207" s="24" t="s">
        <v>25</v>
      </c>
      <c r="O207" s="25">
        <v>46174</v>
      </c>
      <c r="P207" s="25" t="str">
        <f>VLOOKUP(F207,[1]CLIENTES!B:L,11,0)</f>
        <v>RODRIGO</v>
      </c>
      <c r="Q207" s="25" t="str">
        <f>VLOOKUP(F207,[1]CLIENTES!B:M,12,0)</f>
        <v>ALEXANDRO</v>
      </c>
      <c r="R207" s="26" t="str">
        <f>VLOOKUP(F207,[1]CLIENTES!B:J,9,0)</f>
        <v>ALEXANDRO RODRIGUES</v>
      </c>
      <c r="S207" s="27">
        <v>17524.21</v>
      </c>
      <c r="T207" s="28" t="s">
        <v>44</v>
      </c>
      <c r="U207" s="28" t="s">
        <v>28</v>
      </c>
      <c r="V207" s="28" t="s">
        <v>29</v>
      </c>
      <c r="W207" s="28" t="s">
        <v>60</v>
      </c>
    </row>
    <row r="208" spans="1:23" ht="15" customHeight="1" x14ac:dyDescent="0.25">
      <c r="A208" s="20" t="str">
        <f>VLOOKUP(F208,[1]CLIENTES!B:L,11,0)</f>
        <v>RODRIGO</v>
      </c>
      <c r="B208" s="20" t="s">
        <v>328</v>
      </c>
      <c r="C208" s="20">
        <v>46163</v>
      </c>
      <c r="D208" s="21" t="s">
        <v>21</v>
      </c>
      <c r="E208" s="21">
        <v>1908</v>
      </c>
      <c r="F208" s="21">
        <v>5107112</v>
      </c>
      <c r="G208" s="21">
        <v>123370</v>
      </c>
      <c r="H208" s="21" t="s">
        <v>62</v>
      </c>
      <c r="I208" s="21" t="s">
        <v>23</v>
      </c>
      <c r="J208" s="21">
        <v>6125</v>
      </c>
      <c r="K208" s="21">
        <v>692</v>
      </c>
      <c r="L208" s="22">
        <v>93</v>
      </c>
      <c r="M208" s="23" t="s">
        <v>347</v>
      </c>
      <c r="N208" s="24" t="s">
        <v>25</v>
      </c>
      <c r="O208" s="25">
        <v>46174</v>
      </c>
      <c r="P208" s="25" t="str">
        <f>VLOOKUP(F208,[1]CLIENTES!B:L,11,0)</f>
        <v>RODRIGO</v>
      </c>
      <c r="Q208" s="25" t="str">
        <f>VLOOKUP(F208,[1]CLIENTES!B:M,12,0)</f>
        <v>ALEXANDRO</v>
      </c>
      <c r="R208" s="26" t="str">
        <f>VLOOKUP(F208,[1]CLIENTES!B:J,9,0)</f>
        <v>GUILHERME NASCIMENTO</v>
      </c>
      <c r="S208" s="27">
        <v>7692</v>
      </c>
      <c r="T208" s="28" t="s">
        <v>44</v>
      </c>
      <c r="U208" s="28" t="s">
        <v>28</v>
      </c>
      <c r="V208" s="28" t="s">
        <v>29</v>
      </c>
      <c r="W208" s="28" t="s">
        <v>126</v>
      </c>
    </row>
    <row r="209" spans="1:23" ht="15" customHeight="1" x14ac:dyDescent="0.25">
      <c r="A209" s="20" t="str">
        <f>VLOOKUP(F209,[1]CLIENTES!B:L,11,0)</f>
        <v>RODRIGO</v>
      </c>
      <c r="B209" s="20" t="s">
        <v>328</v>
      </c>
      <c r="C209" s="20">
        <v>46164</v>
      </c>
      <c r="D209" s="21" t="s">
        <v>21</v>
      </c>
      <c r="E209" s="21">
        <v>1891</v>
      </c>
      <c r="F209" s="21">
        <v>5149985</v>
      </c>
      <c r="G209" s="21">
        <v>142628</v>
      </c>
      <c r="H209" s="21" t="s">
        <v>233</v>
      </c>
      <c r="I209" s="21" t="s">
        <v>23</v>
      </c>
      <c r="J209" s="21">
        <v>6125</v>
      </c>
      <c r="K209" s="21">
        <v>692</v>
      </c>
      <c r="L209" s="22">
        <v>92</v>
      </c>
      <c r="M209" s="23" t="s">
        <v>348</v>
      </c>
      <c r="N209" s="24" t="s">
        <v>25</v>
      </c>
      <c r="O209" s="25">
        <v>46174</v>
      </c>
      <c r="P209" s="25" t="str">
        <f>VLOOKUP(F209,[1]CLIENTES!B:L,11,0)</f>
        <v>RODRIGO</v>
      </c>
      <c r="Q209" s="25" t="str">
        <f>VLOOKUP(F209,[1]CLIENTES!B:M,12,0)</f>
        <v>ALEXANDRO</v>
      </c>
      <c r="R209" s="26" t="str">
        <f>VLOOKUP(F209,[1]CLIENTES!B:J,9,0)</f>
        <v>GUILHERME NASCIMENTO</v>
      </c>
      <c r="S209" s="27">
        <v>4000</v>
      </c>
      <c r="T209" s="28" t="s">
        <v>44</v>
      </c>
      <c r="U209" s="28" t="s">
        <v>28</v>
      </c>
      <c r="V209" s="28" t="s">
        <v>29</v>
      </c>
      <c r="W209" s="28" t="s">
        <v>126</v>
      </c>
    </row>
    <row r="210" spans="1:23" ht="15" customHeight="1" x14ac:dyDescent="0.25">
      <c r="A210" s="20" t="str">
        <f>VLOOKUP(F210,[1]CLIENTES!B:L,11,0)</f>
        <v>RODRIGO</v>
      </c>
      <c r="B210" s="20" t="s">
        <v>328</v>
      </c>
      <c r="C210" s="20">
        <v>46164</v>
      </c>
      <c r="D210" s="21" t="s">
        <v>21</v>
      </c>
      <c r="E210" s="21">
        <v>1899</v>
      </c>
      <c r="F210" s="21">
        <v>5023831</v>
      </c>
      <c r="G210" s="21">
        <v>126676</v>
      </c>
      <c r="H210" s="21" t="s">
        <v>22</v>
      </c>
      <c r="I210" s="21" t="s">
        <v>23</v>
      </c>
      <c r="J210" s="21">
        <v>6125</v>
      </c>
      <c r="K210" s="21">
        <v>692</v>
      </c>
      <c r="L210" s="22">
        <v>93</v>
      </c>
      <c r="M210" s="23" t="s">
        <v>349</v>
      </c>
      <c r="N210" s="24" t="s">
        <v>25</v>
      </c>
      <c r="O210" s="25">
        <v>46174</v>
      </c>
      <c r="P210" s="25" t="str">
        <f>VLOOKUP(F210,[1]CLIENTES!B:L,11,0)</f>
        <v>RODRIGO</v>
      </c>
      <c r="Q210" s="25" t="str">
        <f>VLOOKUP(F210,[1]CLIENTES!B:M,12,0)</f>
        <v>RAQUEL BARBOSA</v>
      </c>
      <c r="R210" s="26" t="str">
        <f>VLOOKUP(F210,[1]CLIENTES!B:J,9,0)</f>
        <v>VAGO SP</v>
      </c>
      <c r="S210" s="27">
        <v>2950</v>
      </c>
      <c r="T210" s="28" t="s">
        <v>44</v>
      </c>
      <c r="U210" s="28" t="s">
        <v>28</v>
      </c>
      <c r="V210" s="28" t="s">
        <v>29</v>
      </c>
      <c r="W210" s="28" t="s">
        <v>60</v>
      </c>
    </row>
    <row r="211" spans="1:23" ht="15" customHeight="1" x14ac:dyDescent="0.25">
      <c r="A211" s="20" t="str">
        <f>VLOOKUP(F211,[1]CLIENTES!B:L,11,0)</f>
        <v>RODRIGO</v>
      </c>
      <c r="B211" s="20" t="s">
        <v>328</v>
      </c>
      <c r="C211" s="20">
        <v>46164</v>
      </c>
      <c r="D211" s="21" t="s">
        <v>21</v>
      </c>
      <c r="E211" s="21">
        <v>2060</v>
      </c>
      <c r="F211" s="21">
        <v>5011709</v>
      </c>
      <c r="G211" s="21">
        <v>117424</v>
      </c>
      <c r="H211" s="21" t="s">
        <v>70</v>
      </c>
      <c r="I211" s="21" t="s">
        <v>71</v>
      </c>
      <c r="J211" s="21" t="s">
        <v>72</v>
      </c>
      <c r="K211" s="21">
        <v>186</v>
      </c>
      <c r="L211" s="22">
        <v>92</v>
      </c>
      <c r="M211" s="23" t="s">
        <v>350</v>
      </c>
      <c r="N211" s="24" t="s">
        <v>25</v>
      </c>
      <c r="O211" s="25">
        <v>46174</v>
      </c>
      <c r="P211" s="25" t="str">
        <f>VLOOKUP(F211,[1]CLIENTES!B:L,11,0)</f>
        <v>RODRIGO</v>
      </c>
      <c r="Q211" s="25" t="str">
        <f>VLOOKUP(F211,[1]CLIENTES!B:M,12,0)</f>
        <v>CELIO MARTINS</v>
      </c>
      <c r="R211" s="26" t="str">
        <f>VLOOKUP(F211,[1]CLIENTES!B:J,9,0)</f>
        <v>CELIO MARTINS</v>
      </c>
      <c r="S211" s="27">
        <v>2878.88</v>
      </c>
      <c r="T211" s="28" t="s">
        <v>44</v>
      </c>
      <c r="U211" s="28" t="s">
        <v>28</v>
      </c>
      <c r="V211" s="28" t="s">
        <v>29</v>
      </c>
      <c r="W211" s="28" t="s">
        <v>60</v>
      </c>
    </row>
    <row r="212" spans="1:23" ht="15" customHeight="1" x14ac:dyDescent="0.25">
      <c r="A212" s="20" t="str">
        <f>VLOOKUP(F212,[1]CLIENTES!B:L,11,0)</f>
        <v>RODRIGO</v>
      </c>
      <c r="B212" s="20" t="s">
        <v>328</v>
      </c>
      <c r="C212" s="20">
        <v>46164</v>
      </c>
      <c r="D212" s="21" t="s">
        <v>21</v>
      </c>
      <c r="E212" s="21">
        <v>2076</v>
      </c>
      <c r="F212" s="21">
        <v>5366274</v>
      </c>
      <c r="G212" s="21"/>
      <c r="H212" s="21" t="s">
        <v>351</v>
      </c>
      <c r="I212" s="21" t="s">
        <v>71</v>
      </c>
      <c r="J212" s="21" t="s">
        <v>72</v>
      </c>
      <c r="K212" s="21">
        <v>186</v>
      </c>
      <c r="L212" s="22">
        <v>92</v>
      </c>
      <c r="M212" s="23" t="s">
        <v>352</v>
      </c>
      <c r="N212" s="24" t="s">
        <v>25</v>
      </c>
      <c r="O212" s="25">
        <v>46174</v>
      </c>
      <c r="P212" s="25" t="str">
        <f>VLOOKUP(F212,[1]CLIENTES!B:L,11,0)</f>
        <v>RODRIGO</v>
      </c>
      <c r="Q212" s="25" t="str">
        <f>VLOOKUP(F212,[1]CLIENTES!B:M,12,0)</f>
        <v>CELIO MARTINS</v>
      </c>
      <c r="R212" s="26" t="str">
        <f>VLOOKUP(F212,[1]CLIENTES!B:J,9,0)</f>
        <v>MARCELO SILVA</v>
      </c>
      <c r="S212" s="27">
        <v>1500</v>
      </c>
      <c r="T212" s="28" t="s">
        <v>44</v>
      </c>
      <c r="U212" s="28" t="s">
        <v>28</v>
      </c>
      <c r="V212" s="28" t="s">
        <v>29</v>
      </c>
      <c r="W212" s="28" t="s">
        <v>60</v>
      </c>
    </row>
    <row r="213" spans="1:23" ht="15" customHeight="1" x14ac:dyDescent="0.25">
      <c r="A213" s="20" t="str">
        <f>VLOOKUP(F213,[1]CLIENTES!B:L,11,0)</f>
        <v>RODRIGO</v>
      </c>
      <c r="B213" s="20" t="s">
        <v>328</v>
      </c>
      <c r="C213" s="20">
        <v>46164</v>
      </c>
      <c r="D213" s="21" t="s">
        <v>21</v>
      </c>
      <c r="E213" s="21">
        <v>2062</v>
      </c>
      <c r="F213" s="21">
        <v>5159222</v>
      </c>
      <c r="G213" s="21">
        <v>143312</v>
      </c>
      <c r="H213" s="21" t="s">
        <v>184</v>
      </c>
      <c r="I213" s="21" t="s">
        <v>71</v>
      </c>
      <c r="J213" s="21" t="s">
        <v>72</v>
      </c>
      <c r="K213" s="21">
        <v>186</v>
      </c>
      <c r="L213" s="22">
        <v>92</v>
      </c>
      <c r="M213" s="23" t="s">
        <v>353</v>
      </c>
      <c r="N213" s="24" t="s">
        <v>25</v>
      </c>
      <c r="O213" s="25">
        <v>46174</v>
      </c>
      <c r="P213" s="25" t="str">
        <f>VLOOKUP(F213,[1]CLIENTES!B:L,11,0)</f>
        <v>RODRIGO</v>
      </c>
      <c r="Q213" s="25" t="str">
        <f>VLOOKUP(F213,[1]CLIENTES!B:M,12,0)</f>
        <v>CELIO MARTINS</v>
      </c>
      <c r="R213" s="26" t="str">
        <f>VLOOKUP(F213,[1]CLIENTES!B:J,9,0)</f>
        <v>MARCELO SILVA</v>
      </c>
      <c r="S213" s="27">
        <v>1200</v>
      </c>
      <c r="T213" s="28" t="s">
        <v>44</v>
      </c>
      <c r="U213" s="28" t="s">
        <v>28</v>
      </c>
      <c r="V213" s="28" t="s">
        <v>29</v>
      </c>
      <c r="W213" s="28" t="s">
        <v>126</v>
      </c>
    </row>
    <row r="214" spans="1:23" ht="15" customHeight="1" x14ac:dyDescent="0.25">
      <c r="A214" s="20" t="str">
        <f>VLOOKUP(F214,[1]CLIENTES!B:L,11,0)</f>
        <v>RODRIGO</v>
      </c>
      <c r="B214" s="20" t="s">
        <v>328</v>
      </c>
      <c r="C214" s="20">
        <v>46164</v>
      </c>
      <c r="D214" s="21" t="s">
        <v>21</v>
      </c>
      <c r="E214" s="21">
        <v>2065</v>
      </c>
      <c r="F214" s="21">
        <v>5127060</v>
      </c>
      <c r="G214" s="21">
        <v>187971</v>
      </c>
      <c r="H214" s="21" t="s">
        <v>90</v>
      </c>
      <c r="I214" s="21" t="s">
        <v>71</v>
      </c>
      <c r="J214" s="21" t="s">
        <v>72</v>
      </c>
      <c r="K214" s="21">
        <v>186</v>
      </c>
      <c r="L214" s="22">
        <v>92</v>
      </c>
      <c r="M214" s="23" t="s">
        <v>354</v>
      </c>
      <c r="N214" s="24" t="s">
        <v>25</v>
      </c>
      <c r="O214" s="25">
        <v>46174</v>
      </c>
      <c r="P214" s="25" t="str">
        <f>VLOOKUP(F214,[1]CLIENTES!B:L,11,0)</f>
        <v>RODRIGO</v>
      </c>
      <c r="Q214" s="25" t="str">
        <f>VLOOKUP(F214,[1]CLIENTES!B:M,12,0)</f>
        <v>CELIO MARTINS</v>
      </c>
      <c r="R214" s="26" t="str">
        <f>VLOOKUP(F214,[1]CLIENTES!B:J,9,0)</f>
        <v>MARCELO SILVA</v>
      </c>
      <c r="S214" s="27">
        <v>500</v>
      </c>
      <c r="T214" s="28" t="s">
        <v>44</v>
      </c>
      <c r="U214" s="28" t="s">
        <v>28</v>
      </c>
      <c r="V214" s="28" t="s">
        <v>29</v>
      </c>
      <c r="W214" s="28" t="s">
        <v>60</v>
      </c>
    </row>
    <row r="215" spans="1:23" ht="15" customHeight="1" x14ac:dyDescent="0.25">
      <c r="A215" s="20" t="str">
        <f>VLOOKUP(F215,[1]CLIENTES!B:L,11,0)</f>
        <v>RODRIGO</v>
      </c>
      <c r="B215" s="20" t="s">
        <v>328</v>
      </c>
      <c r="C215" s="20">
        <v>46164</v>
      </c>
      <c r="D215" s="21" t="s">
        <v>21</v>
      </c>
      <c r="E215" s="21">
        <v>2078</v>
      </c>
      <c r="F215" s="21">
        <v>5226805</v>
      </c>
      <c r="G215" s="21">
        <v>150155</v>
      </c>
      <c r="H215" s="21" t="s">
        <v>86</v>
      </c>
      <c r="I215" s="21" t="s">
        <v>71</v>
      </c>
      <c r="J215" s="21" t="s">
        <v>72</v>
      </c>
      <c r="K215" s="21">
        <v>186</v>
      </c>
      <c r="L215" s="22">
        <v>92</v>
      </c>
      <c r="M215" s="23" t="s">
        <v>355</v>
      </c>
      <c r="N215" s="24" t="s">
        <v>25</v>
      </c>
      <c r="O215" s="25">
        <v>46174</v>
      </c>
      <c r="P215" s="25" t="str">
        <f>VLOOKUP(F215,[1]CLIENTES!B:L,11,0)</f>
        <v>RODRIGO</v>
      </c>
      <c r="Q215" s="25" t="str">
        <f>VLOOKUP(F215,[1]CLIENTES!B:M,12,0)</f>
        <v>CELIO MARTINS</v>
      </c>
      <c r="R215" s="26" t="str">
        <f>VLOOKUP(F215,[1]CLIENTES!B:J,9,0)</f>
        <v>CELIO/MARANATHA</v>
      </c>
      <c r="S215" s="27">
        <v>3500</v>
      </c>
      <c r="T215" s="28" t="s">
        <v>44</v>
      </c>
      <c r="U215" s="28" t="s">
        <v>28</v>
      </c>
      <c r="V215" s="28" t="s">
        <v>29</v>
      </c>
      <c r="W215" s="28" t="s">
        <v>60</v>
      </c>
    </row>
    <row r="216" spans="1:23" ht="15" customHeight="1" x14ac:dyDescent="0.25">
      <c r="A216" s="20" t="str">
        <f>VLOOKUP(F216,[1]CLIENTES!B:L,11,0)</f>
        <v>RODRIGO</v>
      </c>
      <c r="B216" s="20" t="s">
        <v>328</v>
      </c>
      <c r="C216" s="20">
        <v>46164</v>
      </c>
      <c r="D216" s="21" t="s">
        <v>21</v>
      </c>
      <c r="E216" s="21">
        <v>2075</v>
      </c>
      <c r="F216" s="21">
        <v>5349287</v>
      </c>
      <c r="G216" s="21">
        <v>188861</v>
      </c>
      <c r="H216" s="21" t="s">
        <v>247</v>
      </c>
      <c r="I216" s="21" t="s">
        <v>71</v>
      </c>
      <c r="J216" s="21" t="s">
        <v>72</v>
      </c>
      <c r="K216" s="21">
        <v>186</v>
      </c>
      <c r="L216" s="22">
        <v>93</v>
      </c>
      <c r="M216" s="23" t="s">
        <v>356</v>
      </c>
      <c r="N216" s="24" t="s">
        <v>25</v>
      </c>
      <c r="O216" s="25">
        <v>46174</v>
      </c>
      <c r="P216" s="25" t="str">
        <f>VLOOKUP(F216,[1]CLIENTES!B:L,11,0)</f>
        <v>RODRIGO</v>
      </c>
      <c r="Q216" s="25" t="str">
        <f>VLOOKUP(F216,[1]CLIENTES!B:M,12,0)</f>
        <v>CELIO MARTINS</v>
      </c>
      <c r="R216" s="26" t="str">
        <f>VLOOKUP(F216,[1]CLIENTES!B:J,9,0)</f>
        <v>MARCELO SILVA</v>
      </c>
      <c r="S216" s="27">
        <v>300</v>
      </c>
      <c r="T216" s="28" t="s">
        <v>44</v>
      </c>
      <c r="U216" s="28" t="s">
        <v>28</v>
      </c>
      <c r="V216" s="28" t="s">
        <v>29</v>
      </c>
      <c r="W216" s="28" t="s">
        <v>60</v>
      </c>
    </row>
    <row r="217" spans="1:23" ht="15" customHeight="1" x14ac:dyDescent="0.25">
      <c r="A217" s="20" t="str">
        <f>VLOOKUP(F217,[1]CLIENTES!B:L,11,0)</f>
        <v>RODRIGO</v>
      </c>
      <c r="B217" s="20" t="s">
        <v>328</v>
      </c>
      <c r="C217" s="20">
        <v>46164</v>
      </c>
      <c r="D217" s="21" t="s">
        <v>21</v>
      </c>
      <c r="E217" s="21">
        <v>2078</v>
      </c>
      <c r="F217" s="21">
        <v>5226805</v>
      </c>
      <c r="G217" s="21">
        <v>150155</v>
      </c>
      <c r="H217" s="21" t="s">
        <v>86</v>
      </c>
      <c r="I217" s="21" t="s">
        <v>71</v>
      </c>
      <c r="J217" s="21" t="s">
        <v>72</v>
      </c>
      <c r="K217" s="21">
        <v>186</v>
      </c>
      <c r="L217" s="22">
        <v>92</v>
      </c>
      <c r="M217" s="23" t="s">
        <v>357</v>
      </c>
      <c r="N217" s="24" t="s">
        <v>25</v>
      </c>
      <c r="O217" s="25">
        <v>46174</v>
      </c>
      <c r="P217" s="25" t="str">
        <f>VLOOKUP(F217,[1]CLIENTES!B:L,11,0)</f>
        <v>RODRIGO</v>
      </c>
      <c r="Q217" s="25" t="str">
        <f>VLOOKUP(F217,[1]CLIENTES!B:M,12,0)</f>
        <v>CELIO MARTINS</v>
      </c>
      <c r="R217" s="26" t="str">
        <f>VLOOKUP(F217,[1]CLIENTES!B:J,9,0)</f>
        <v>CELIO/MARANATHA</v>
      </c>
      <c r="S217" s="27">
        <v>5000</v>
      </c>
      <c r="T217" s="28" t="s">
        <v>44</v>
      </c>
      <c r="U217" s="28" t="s">
        <v>28</v>
      </c>
      <c r="V217" s="28" t="s">
        <v>29</v>
      </c>
      <c r="W217" s="28" t="s">
        <v>35</v>
      </c>
    </row>
    <row r="218" spans="1:23" ht="15" customHeight="1" x14ac:dyDescent="0.25">
      <c r="A218" s="20" t="str">
        <f>VLOOKUP(F218,[1]CLIENTES!B:L,11,0)</f>
        <v>RODRIGO</v>
      </c>
      <c r="B218" s="20" t="s">
        <v>328</v>
      </c>
      <c r="C218" s="20">
        <v>46164</v>
      </c>
      <c r="D218" s="21" t="s">
        <v>21</v>
      </c>
      <c r="E218" s="21">
        <v>2076</v>
      </c>
      <c r="F218" s="21">
        <v>5366274</v>
      </c>
      <c r="G218" s="21"/>
      <c r="H218" s="21" t="s">
        <v>351</v>
      </c>
      <c r="I218" s="21" t="s">
        <v>71</v>
      </c>
      <c r="J218" s="21" t="s">
        <v>72</v>
      </c>
      <c r="K218" s="21">
        <v>186</v>
      </c>
      <c r="L218" s="22">
        <v>92</v>
      </c>
      <c r="M218" s="23" t="s">
        <v>358</v>
      </c>
      <c r="N218" s="24" t="s">
        <v>25</v>
      </c>
      <c r="O218" s="25">
        <v>46174</v>
      </c>
      <c r="P218" s="25" t="str">
        <f>VLOOKUP(F218,[1]CLIENTES!B:L,11,0)</f>
        <v>RODRIGO</v>
      </c>
      <c r="Q218" s="25" t="str">
        <f>VLOOKUP(F218,[1]CLIENTES!B:M,12,0)</f>
        <v>CELIO MARTINS</v>
      </c>
      <c r="R218" s="26" t="str">
        <f>VLOOKUP(F218,[1]CLIENTES!B:J,9,0)</f>
        <v>MARCELO SILVA</v>
      </c>
      <c r="S218" s="27">
        <v>3178</v>
      </c>
      <c r="T218" s="28" t="s">
        <v>44</v>
      </c>
      <c r="U218" s="28" t="s">
        <v>28</v>
      </c>
      <c r="V218" s="28" t="s">
        <v>29</v>
      </c>
      <c r="W218" s="28" t="s">
        <v>60</v>
      </c>
    </row>
    <row r="219" spans="1:23" ht="15" customHeight="1" x14ac:dyDescent="0.25">
      <c r="A219" s="20" t="str">
        <f>VLOOKUP(F219,[1]CLIENTES!B:L,11,0)</f>
        <v>RODRIGO</v>
      </c>
      <c r="B219" s="20" t="s">
        <v>328</v>
      </c>
      <c r="C219" s="20">
        <v>46167</v>
      </c>
      <c r="D219" s="21" t="s">
        <v>21</v>
      </c>
      <c r="E219" s="21">
        <v>1920</v>
      </c>
      <c r="F219" s="21">
        <v>5217293</v>
      </c>
      <c r="G219" s="21">
        <v>145966</v>
      </c>
      <c r="H219" s="21" t="s">
        <v>86</v>
      </c>
      <c r="I219" s="21" t="s">
        <v>23</v>
      </c>
      <c r="J219" s="21">
        <v>6125</v>
      </c>
      <c r="K219" s="21">
        <v>692</v>
      </c>
      <c r="L219" s="22">
        <v>92</v>
      </c>
      <c r="M219" s="23" t="s">
        <v>359</v>
      </c>
      <c r="N219" s="24" t="s">
        <v>25</v>
      </c>
      <c r="O219" s="25">
        <v>46174</v>
      </c>
      <c r="P219" s="25" t="str">
        <f>VLOOKUP(F219,[1]CLIENTES!B:L,11,0)</f>
        <v>RODRIGO</v>
      </c>
      <c r="Q219" s="25" t="str">
        <f>VLOOKUP(F219,[1]CLIENTES!B:M,12,0)</f>
        <v>RAQUEL BARBOSA</v>
      </c>
      <c r="R219" s="26" t="str">
        <f>VLOOKUP(F219,[1]CLIENTES!B:J,9,0)</f>
        <v>VAGO SP</v>
      </c>
      <c r="S219" s="27">
        <v>500</v>
      </c>
      <c r="T219" s="28" t="s">
        <v>44</v>
      </c>
      <c r="U219" s="28" t="s">
        <v>28</v>
      </c>
      <c r="V219" s="28" t="s">
        <v>29</v>
      </c>
      <c r="W219" s="28" t="s">
        <v>126</v>
      </c>
    </row>
    <row r="220" spans="1:23" ht="15" customHeight="1" x14ac:dyDescent="0.25">
      <c r="A220" s="20" t="str">
        <f>VLOOKUP(F220,[1]CLIENTES!B:L,11,0)</f>
        <v>RODRIGO</v>
      </c>
      <c r="B220" s="20" t="s">
        <v>328</v>
      </c>
      <c r="C220" s="20">
        <v>46167</v>
      </c>
      <c r="D220" s="21" t="s">
        <v>21</v>
      </c>
      <c r="E220" s="21">
        <v>1902</v>
      </c>
      <c r="F220" s="21">
        <v>5131101</v>
      </c>
      <c r="G220" s="21">
        <v>167218</v>
      </c>
      <c r="H220" s="21" t="s">
        <v>164</v>
      </c>
      <c r="I220" s="21" t="s">
        <v>23</v>
      </c>
      <c r="J220" s="21">
        <v>6125</v>
      </c>
      <c r="K220" s="21">
        <v>692</v>
      </c>
      <c r="L220" s="22">
        <v>93</v>
      </c>
      <c r="M220" s="23" t="s">
        <v>360</v>
      </c>
      <c r="N220" s="24" t="s">
        <v>25</v>
      </c>
      <c r="O220" s="25">
        <v>46174</v>
      </c>
      <c r="P220" s="25" t="str">
        <f>VLOOKUP(F220,[1]CLIENTES!B:L,11,0)</f>
        <v>RODRIGO</v>
      </c>
      <c r="Q220" s="25" t="str">
        <f>VLOOKUP(F220,[1]CLIENTES!B:M,12,0)</f>
        <v>RAQUEL BARBOSA</v>
      </c>
      <c r="R220" s="26" t="str">
        <f>VLOOKUP(F220,[1]CLIENTES!B:J,9,0)</f>
        <v>VAGO SP</v>
      </c>
      <c r="S220" s="27">
        <v>1000</v>
      </c>
      <c r="T220" s="28" t="s">
        <v>44</v>
      </c>
      <c r="U220" s="28" t="s">
        <v>28</v>
      </c>
      <c r="V220" s="28" t="s">
        <v>29</v>
      </c>
      <c r="W220" s="28" t="s">
        <v>126</v>
      </c>
    </row>
    <row r="221" spans="1:23" ht="15" customHeight="1" x14ac:dyDescent="0.25">
      <c r="A221" s="20" t="str">
        <f>VLOOKUP(F221,[1]CLIENTES!B:L,11,0)</f>
        <v>RODRIGO</v>
      </c>
      <c r="B221" s="20" t="s">
        <v>328</v>
      </c>
      <c r="C221" s="20">
        <v>46167</v>
      </c>
      <c r="D221" s="21" t="s">
        <v>21</v>
      </c>
      <c r="E221" s="21">
        <v>1904</v>
      </c>
      <c r="F221" s="21">
        <v>5261089</v>
      </c>
      <c r="G221" s="21"/>
      <c r="H221" s="21" t="s">
        <v>361</v>
      </c>
      <c r="I221" s="21" t="s">
        <v>23</v>
      </c>
      <c r="J221" s="21">
        <v>6125</v>
      </c>
      <c r="K221" s="21">
        <v>692</v>
      </c>
      <c r="L221" s="22">
        <v>93</v>
      </c>
      <c r="M221" s="23" t="s">
        <v>362</v>
      </c>
      <c r="N221" s="24" t="s">
        <v>25</v>
      </c>
      <c r="O221" s="25">
        <v>46174</v>
      </c>
      <c r="P221" s="25" t="str">
        <f>VLOOKUP(F221,[1]CLIENTES!B:L,11,0)</f>
        <v>RODRIGO</v>
      </c>
      <c r="Q221" s="25" t="str">
        <f>VLOOKUP(F221,[1]CLIENTES!B:M,12,0)</f>
        <v>ALEXANDRO</v>
      </c>
      <c r="R221" s="26" t="str">
        <f>VLOOKUP(F221,[1]CLIENTES!B:J,9,0)</f>
        <v>GUILHERME NASCIMENTO</v>
      </c>
      <c r="S221" s="27">
        <v>523.79999999999995</v>
      </c>
      <c r="T221" s="28" t="s">
        <v>44</v>
      </c>
      <c r="U221" s="28" t="s">
        <v>28</v>
      </c>
      <c r="V221" s="28" t="s">
        <v>29</v>
      </c>
      <c r="W221" s="28" t="s">
        <v>126</v>
      </c>
    </row>
    <row r="222" spans="1:23" ht="15" customHeight="1" x14ac:dyDescent="0.25">
      <c r="A222" s="20" t="str">
        <f>VLOOKUP(F222,[1]CLIENTES!B:L,11,0)</f>
        <v>RODRIGO</v>
      </c>
      <c r="B222" s="20" t="s">
        <v>328</v>
      </c>
      <c r="C222" s="20">
        <v>46167</v>
      </c>
      <c r="D222" s="21" t="s">
        <v>21</v>
      </c>
      <c r="E222" s="21">
        <v>1923</v>
      </c>
      <c r="F222" s="21">
        <v>5020347</v>
      </c>
      <c r="G222" s="21">
        <v>112787</v>
      </c>
      <c r="H222" s="21" t="s">
        <v>129</v>
      </c>
      <c r="I222" s="21" t="s">
        <v>23</v>
      </c>
      <c r="J222" s="21">
        <v>6125</v>
      </c>
      <c r="K222" s="21">
        <v>692</v>
      </c>
      <c r="L222" s="22">
        <v>93</v>
      </c>
      <c r="M222" s="23" t="s">
        <v>363</v>
      </c>
      <c r="N222" s="24" t="s">
        <v>25</v>
      </c>
      <c r="O222" s="25">
        <v>46174</v>
      </c>
      <c r="P222" s="25" t="str">
        <f>VLOOKUP(F222,[1]CLIENTES!B:L,11,0)</f>
        <v>RODRIGO</v>
      </c>
      <c r="Q222" s="25" t="str">
        <f>VLOOKUP(F222,[1]CLIENTES!B:M,12,0)</f>
        <v>ALEXANDRO</v>
      </c>
      <c r="R222" s="26" t="str">
        <f>VLOOKUP(F222,[1]CLIENTES!B:J,9,0)</f>
        <v>GUILHERME NASCIMENTO</v>
      </c>
      <c r="S222" s="27">
        <v>400</v>
      </c>
      <c r="T222" s="28" t="s">
        <v>44</v>
      </c>
      <c r="U222" s="28" t="s">
        <v>28</v>
      </c>
      <c r="V222" s="28" t="s">
        <v>29</v>
      </c>
      <c r="W222" s="28" t="s">
        <v>126</v>
      </c>
    </row>
    <row r="223" spans="1:23" ht="15" customHeight="1" x14ac:dyDescent="0.25">
      <c r="A223" s="20" t="str">
        <f>VLOOKUP(F223,[1]CLIENTES!B:L,11,0)</f>
        <v>RODRIGO</v>
      </c>
      <c r="B223" s="20" t="s">
        <v>328</v>
      </c>
      <c r="C223" s="20">
        <v>46167</v>
      </c>
      <c r="D223" s="21" t="s">
        <v>21</v>
      </c>
      <c r="E223" s="21">
        <v>2077</v>
      </c>
      <c r="F223" s="21">
        <v>5115189</v>
      </c>
      <c r="G223" s="21">
        <v>129296</v>
      </c>
      <c r="H223" s="21" t="s">
        <v>68</v>
      </c>
      <c r="I223" s="21" t="s">
        <v>54</v>
      </c>
      <c r="J223" s="21" t="s">
        <v>55</v>
      </c>
      <c r="K223" s="21">
        <v>191</v>
      </c>
      <c r="L223" s="22">
        <v>93</v>
      </c>
      <c r="M223" s="23" t="s">
        <v>364</v>
      </c>
      <c r="N223" s="24" t="s">
        <v>25</v>
      </c>
      <c r="O223" s="25">
        <v>46174</v>
      </c>
      <c r="P223" s="25" t="str">
        <f>VLOOKUP(F223,[1]CLIENTES!B:L,11,0)</f>
        <v>RODRIGO</v>
      </c>
      <c r="Q223" s="25" t="str">
        <f>VLOOKUP(F223,[1]CLIENTES!B:M,12,0)</f>
        <v>MARCO AURELIO</v>
      </c>
      <c r="R223" s="26" t="str">
        <f>VLOOKUP(F223,[1]CLIENTES!B:J,9,0)</f>
        <v>CLAUDIO JORGE/MARIA LAURA</v>
      </c>
      <c r="S223" s="27">
        <v>11666.67</v>
      </c>
      <c r="T223" s="28" t="s">
        <v>44</v>
      </c>
      <c r="U223" s="28" t="s">
        <v>28</v>
      </c>
      <c r="V223" s="28" t="s">
        <v>29</v>
      </c>
      <c r="W223" s="28" t="s">
        <v>126</v>
      </c>
    </row>
    <row r="224" spans="1:23" ht="15" customHeight="1" x14ac:dyDescent="0.25">
      <c r="A224" s="20" t="str">
        <f>VLOOKUP(F224,[1]CLIENTES!B:L,11,0)</f>
        <v>RODRIGO</v>
      </c>
      <c r="B224" s="20" t="s">
        <v>328</v>
      </c>
      <c r="C224" s="20">
        <v>46167</v>
      </c>
      <c r="D224" s="21" t="s">
        <v>21</v>
      </c>
      <c r="E224" s="21">
        <v>2052</v>
      </c>
      <c r="F224" s="21">
        <v>5182828</v>
      </c>
      <c r="G224" s="21">
        <v>142649</v>
      </c>
      <c r="H224" s="21" t="s">
        <v>53</v>
      </c>
      <c r="I224" s="21" t="s">
        <v>54</v>
      </c>
      <c r="J224" s="21" t="s">
        <v>55</v>
      </c>
      <c r="K224" s="21">
        <v>191</v>
      </c>
      <c r="L224" s="22">
        <v>93</v>
      </c>
      <c r="M224" s="23" t="s">
        <v>365</v>
      </c>
      <c r="N224" s="24" t="s">
        <v>25</v>
      </c>
      <c r="O224" s="25">
        <v>46174</v>
      </c>
      <c r="P224" s="25" t="str">
        <f>VLOOKUP(F224,[1]CLIENTES!B:L,11,0)</f>
        <v>RODRIGO</v>
      </c>
      <c r="Q224" s="25" t="str">
        <f>VLOOKUP(F224,[1]CLIENTES!B:M,12,0)</f>
        <v>MARCO AURELIO</v>
      </c>
      <c r="R224" s="26" t="str">
        <f>VLOOKUP(F224,[1]CLIENTES!B:J,9,0)</f>
        <v>CLAUDIO JORGE</v>
      </c>
      <c r="S224" s="27">
        <v>3000</v>
      </c>
      <c r="T224" s="28" t="s">
        <v>44</v>
      </c>
      <c r="U224" s="28" t="s">
        <v>28</v>
      </c>
      <c r="V224" s="28" t="s">
        <v>29</v>
      </c>
      <c r="W224" s="28" t="s">
        <v>126</v>
      </c>
    </row>
    <row r="225" spans="1:23" ht="15" customHeight="1" x14ac:dyDescent="0.25">
      <c r="A225" s="20" t="str">
        <f>VLOOKUP(F225,[1]CLIENTES!B:L,11,0)</f>
        <v>RODRIGO</v>
      </c>
      <c r="B225" s="20" t="s">
        <v>328</v>
      </c>
      <c r="C225" s="20">
        <v>46167</v>
      </c>
      <c r="D225" s="21" t="s">
        <v>21</v>
      </c>
      <c r="E225" s="21">
        <v>1910</v>
      </c>
      <c r="F225" s="21">
        <v>5223419</v>
      </c>
      <c r="G225" s="21">
        <v>146094</v>
      </c>
      <c r="H225" s="21" t="s">
        <v>265</v>
      </c>
      <c r="I225" s="21" t="s">
        <v>266</v>
      </c>
      <c r="J225" s="21">
        <v>6123</v>
      </c>
      <c r="K225" s="21">
        <v>675</v>
      </c>
      <c r="L225" s="22">
        <v>93</v>
      </c>
      <c r="M225" s="23" t="s">
        <v>366</v>
      </c>
      <c r="N225" s="24" t="s">
        <v>25</v>
      </c>
      <c r="O225" s="25">
        <v>46174</v>
      </c>
      <c r="P225" s="25" t="str">
        <f>VLOOKUP(F225,[1]CLIENTES!B:L,11,0)</f>
        <v>RODRIGO</v>
      </c>
      <c r="Q225" s="25" t="str">
        <f>VLOOKUP(F225,[1]CLIENTES!B:M,12,0)</f>
        <v>MARCO AURELIO</v>
      </c>
      <c r="R225" s="26" t="str">
        <f>VLOOKUP(F225,[1]CLIENTES!B:J,9,0)</f>
        <v>CLAUDIO JORGE</v>
      </c>
      <c r="S225" s="27">
        <v>1800</v>
      </c>
      <c r="T225" s="28" t="s">
        <v>44</v>
      </c>
      <c r="U225" s="28" t="s">
        <v>28</v>
      </c>
      <c r="V225" s="28" t="s">
        <v>29</v>
      </c>
      <c r="W225" s="28" t="s">
        <v>126</v>
      </c>
    </row>
    <row r="226" spans="1:23" ht="15" customHeight="1" x14ac:dyDescent="0.25">
      <c r="A226" s="20" t="str">
        <f>VLOOKUP(F226,[1]CLIENTES!B:L,11,0)</f>
        <v>RODRIGO</v>
      </c>
      <c r="B226" s="20" t="s">
        <v>328</v>
      </c>
      <c r="C226" s="20">
        <v>46167</v>
      </c>
      <c r="D226" s="21" t="s">
        <v>21</v>
      </c>
      <c r="E226" s="21">
        <v>2073</v>
      </c>
      <c r="F226" s="21">
        <v>5186266</v>
      </c>
      <c r="G226" s="21">
        <v>142707</v>
      </c>
      <c r="H226" s="21" t="s">
        <v>212</v>
      </c>
      <c r="I226" s="21" t="s">
        <v>213</v>
      </c>
      <c r="J226" s="21" t="s">
        <v>214</v>
      </c>
      <c r="K226" s="21">
        <v>197</v>
      </c>
      <c r="L226" s="22">
        <v>92</v>
      </c>
      <c r="M226" s="23" t="s">
        <v>367</v>
      </c>
      <c r="N226" s="24" t="s">
        <v>25</v>
      </c>
      <c r="O226" s="25">
        <v>46174</v>
      </c>
      <c r="P226" s="25" t="str">
        <f>VLOOKUP(F226,[1]CLIENTES!B:L,11,0)</f>
        <v>RODRIGO</v>
      </c>
      <c r="Q226" s="25" t="str">
        <f>VLOOKUP(F226,[1]CLIENTES!B:M,12,0)</f>
        <v>MARCO AURELIO</v>
      </c>
      <c r="R226" s="26" t="str">
        <f>VLOOKUP(F226,[1]CLIENTES!B:J,9,0)</f>
        <v>CLAUDIO JORGE</v>
      </c>
      <c r="S226" s="27">
        <v>2193.85</v>
      </c>
      <c r="T226" s="28" t="s">
        <v>44</v>
      </c>
      <c r="U226" s="28" t="s">
        <v>28</v>
      </c>
      <c r="V226" s="28" t="s">
        <v>29</v>
      </c>
      <c r="W226" s="28" t="s">
        <v>126</v>
      </c>
    </row>
    <row r="227" spans="1:23" ht="15" customHeight="1" x14ac:dyDescent="0.25">
      <c r="A227" s="20" t="str">
        <f>VLOOKUP(F227,[1]CLIENTES!B:L,11,0)</f>
        <v>RODRIGO</v>
      </c>
      <c r="B227" s="20" t="s">
        <v>328</v>
      </c>
      <c r="C227" s="20">
        <v>46167</v>
      </c>
      <c r="D227" s="21" t="s">
        <v>21</v>
      </c>
      <c r="E227" s="21">
        <v>1917</v>
      </c>
      <c r="F227" s="21">
        <v>5161469</v>
      </c>
      <c r="G227" s="21">
        <v>141489</v>
      </c>
      <c r="H227" s="21" t="s">
        <v>368</v>
      </c>
      <c r="I227" s="21" t="s">
        <v>37</v>
      </c>
      <c r="J227" s="21">
        <v>6169</v>
      </c>
      <c r="K227" s="21">
        <v>690</v>
      </c>
      <c r="L227" s="22">
        <v>92</v>
      </c>
      <c r="M227" s="23" t="s">
        <v>369</v>
      </c>
      <c r="N227" s="24" t="s">
        <v>25</v>
      </c>
      <c r="O227" s="25">
        <v>46174</v>
      </c>
      <c r="P227" s="25" t="str">
        <f>VLOOKUP(F227,[1]CLIENTES!B:L,11,0)</f>
        <v>RODRIGO</v>
      </c>
      <c r="Q227" s="25" t="str">
        <f>VLOOKUP(F227,[1]CLIENTES!B:M,12,0)</f>
        <v>JESSICA</v>
      </c>
      <c r="R227" s="26" t="str">
        <f>VLOOKUP(F227,[1]CLIENTES!B:J,9,0)</f>
        <v>LUCIANA MARTINS</v>
      </c>
      <c r="S227" s="27">
        <v>1500</v>
      </c>
      <c r="T227" s="28" t="s">
        <v>44</v>
      </c>
      <c r="U227" s="28" t="s">
        <v>28</v>
      </c>
      <c r="V227" s="28" t="s">
        <v>29</v>
      </c>
      <c r="W227" s="28" t="s">
        <v>126</v>
      </c>
    </row>
    <row r="228" spans="1:23" ht="15" customHeight="1" x14ac:dyDescent="0.25">
      <c r="A228" s="20" t="str">
        <f>VLOOKUP(F228,[1]CLIENTES!B:L,11,0)</f>
        <v>RODRIGO</v>
      </c>
      <c r="B228" s="20" t="s">
        <v>328</v>
      </c>
      <c r="C228" s="20">
        <v>46167</v>
      </c>
      <c r="D228" s="21" t="s">
        <v>21</v>
      </c>
      <c r="E228" s="21">
        <v>1906</v>
      </c>
      <c r="F228" s="21">
        <v>5115019</v>
      </c>
      <c r="G228" s="21">
        <v>123456</v>
      </c>
      <c r="H228" s="21" t="s">
        <v>36</v>
      </c>
      <c r="I228" s="21" t="s">
        <v>37</v>
      </c>
      <c r="J228" s="21">
        <v>6169</v>
      </c>
      <c r="K228" s="21">
        <v>690</v>
      </c>
      <c r="L228" s="22">
        <v>92</v>
      </c>
      <c r="M228" s="23" t="s">
        <v>370</v>
      </c>
      <c r="N228" s="24" t="s">
        <v>25</v>
      </c>
      <c r="O228" s="25">
        <v>46174</v>
      </c>
      <c r="P228" s="25" t="str">
        <f>VLOOKUP(F228,[1]CLIENTES!B:L,11,0)</f>
        <v>RODRIGO</v>
      </c>
      <c r="Q228" s="25" t="str">
        <f>VLOOKUP(F228,[1]CLIENTES!B:M,12,0)</f>
        <v>JESSICA</v>
      </c>
      <c r="R228" s="26" t="str">
        <f>VLOOKUP(F228,[1]CLIENTES!B:J,9,0)</f>
        <v>JESSICA CARLA</v>
      </c>
      <c r="S228" s="27">
        <v>20000</v>
      </c>
      <c r="T228" s="28" t="s">
        <v>44</v>
      </c>
      <c r="U228" s="28" t="s">
        <v>28</v>
      </c>
      <c r="V228" s="28" t="s">
        <v>29</v>
      </c>
      <c r="W228" s="28" t="s">
        <v>126</v>
      </c>
    </row>
    <row r="229" spans="1:23" ht="15" customHeight="1" x14ac:dyDescent="0.25">
      <c r="A229" s="20" t="str">
        <f>VLOOKUP(F229,[1]CLIENTES!B:L,11,0)</f>
        <v>RODRIGO</v>
      </c>
      <c r="B229" s="20" t="s">
        <v>328</v>
      </c>
      <c r="C229" s="20">
        <v>46167</v>
      </c>
      <c r="D229" s="21" t="s">
        <v>21</v>
      </c>
      <c r="E229" s="21">
        <v>1895</v>
      </c>
      <c r="F229" s="21">
        <v>5017576</v>
      </c>
      <c r="G229" s="21">
        <v>116132</v>
      </c>
      <c r="H229" s="21" t="s">
        <v>31</v>
      </c>
      <c r="I229" s="21" t="s">
        <v>32</v>
      </c>
      <c r="J229" s="21">
        <v>6169</v>
      </c>
      <c r="K229" s="21">
        <v>690</v>
      </c>
      <c r="L229" s="22">
        <v>92</v>
      </c>
      <c r="M229" s="23" t="s">
        <v>371</v>
      </c>
      <c r="N229" s="24" t="s">
        <v>25</v>
      </c>
      <c r="O229" s="25">
        <v>46174</v>
      </c>
      <c r="P229" s="25" t="str">
        <f>VLOOKUP(F229,[1]CLIENTES!B:L,11,0)</f>
        <v>RODRIGO</v>
      </c>
      <c r="Q229" s="25" t="str">
        <f>VLOOKUP(F229,[1]CLIENTES!B:M,12,0)</f>
        <v>JESSICA</v>
      </c>
      <c r="R229" s="26" t="str">
        <f>VLOOKUP(F229,[1]CLIENTES!B:J,9,0)</f>
        <v>MARCELO DUARTE</v>
      </c>
      <c r="S229" s="27">
        <v>10000</v>
      </c>
      <c r="T229" s="28" t="s">
        <v>44</v>
      </c>
      <c r="U229" s="28" t="s">
        <v>28</v>
      </c>
      <c r="V229" s="28" t="s">
        <v>29</v>
      </c>
      <c r="W229" s="28" t="s">
        <v>126</v>
      </c>
    </row>
    <row r="230" spans="1:23" ht="15" customHeight="1" x14ac:dyDescent="0.25">
      <c r="A230" s="20" t="str">
        <f>VLOOKUP(F230,[1]CLIENTES!B:L,11,0)</f>
        <v>RODRIGO</v>
      </c>
      <c r="B230" s="20" t="s">
        <v>328</v>
      </c>
      <c r="C230" s="20">
        <v>46167</v>
      </c>
      <c r="D230" s="21" t="s">
        <v>21</v>
      </c>
      <c r="E230" s="21">
        <v>1893</v>
      </c>
      <c r="F230" s="21">
        <v>5040108</v>
      </c>
      <c r="G230" s="21">
        <v>123355</v>
      </c>
      <c r="H230" s="21" t="s">
        <v>93</v>
      </c>
      <c r="I230" s="21" t="s">
        <v>37</v>
      </c>
      <c r="J230" s="21">
        <v>6169</v>
      </c>
      <c r="K230" s="21">
        <v>690</v>
      </c>
      <c r="L230" s="22">
        <v>92</v>
      </c>
      <c r="M230" s="23" t="s">
        <v>372</v>
      </c>
      <c r="N230" s="24" t="s">
        <v>25</v>
      </c>
      <c r="O230" s="25">
        <v>46174</v>
      </c>
      <c r="P230" s="25" t="str">
        <f>VLOOKUP(F230,[1]CLIENTES!B:L,11,0)</f>
        <v>RODRIGO</v>
      </c>
      <c r="Q230" s="25" t="str">
        <f>VLOOKUP(F230,[1]CLIENTES!B:M,12,0)</f>
        <v>JESSICA</v>
      </c>
      <c r="R230" s="26" t="str">
        <f>VLOOKUP(F230,[1]CLIENTES!B:J,9,0)</f>
        <v>CLAUDIO JORGE</v>
      </c>
      <c r="S230" s="27">
        <v>10000</v>
      </c>
      <c r="T230" s="28" t="s">
        <v>44</v>
      </c>
      <c r="U230" s="28" t="s">
        <v>28</v>
      </c>
      <c r="V230" s="28" t="s">
        <v>29</v>
      </c>
      <c r="W230" s="28" t="s">
        <v>126</v>
      </c>
    </row>
    <row r="231" spans="1:23" ht="15" customHeight="1" x14ac:dyDescent="0.25">
      <c r="A231" s="20" t="str">
        <f>VLOOKUP(F231,[1]CLIENTES!B:L,11,0)</f>
        <v>RODRIGO</v>
      </c>
      <c r="B231" s="20" t="s">
        <v>328</v>
      </c>
      <c r="C231" s="20">
        <v>46167</v>
      </c>
      <c r="D231" s="21" t="s">
        <v>21</v>
      </c>
      <c r="E231" s="21">
        <v>1922</v>
      </c>
      <c r="F231" s="21">
        <v>5231303</v>
      </c>
      <c r="G231" s="21">
        <v>167018</v>
      </c>
      <c r="H231" s="21" t="s">
        <v>104</v>
      </c>
      <c r="I231" s="21" t="s">
        <v>37</v>
      </c>
      <c r="J231" s="21">
        <v>6169</v>
      </c>
      <c r="K231" s="21">
        <v>690</v>
      </c>
      <c r="L231" s="22">
        <v>92</v>
      </c>
      <c r="M231" s="23" t="s">
        <v>373</v>
      </c>
      <c r="N231" s="24" t="s">
        <v>25</v>
      </c>
      <c r="O231" s="25">
        <v>46174</v>
      </c>
      <c r="P231" s="25" t="str">
        <f>VLOOKUP(F231,[1]CLIENTES!B:L,11,0)</f>
        <v>RODRIGO</v>
      </c>
      <c r="Q231" s="25" t="str">
        <f>VLOOKUP(F231,[1]CLIENTES!B:M,12,0)</f>
        <v>JESSICA</v>
      </c>
      <c r="R231" s="26" t="str">
        <f>VLOOKUP(F231,[1]CLIENTES!B:J,9,0)</f>
        <v>LUCIANA MARTINS</v>
      </c>
      <c r="S231" s="27">
        <v>10000</v>
      </c>
      <c r="T231" s="28" t="s">
        <v>44</v>
      </c>
      <c r="U231" s="28" t="s">
        <v>28</v>
      </c>
      <c r="V231" s="28" t="s">
        <v>29</v>
      </c>
      <c r="W231" s="28" t="s">
        <v>126</v>
      </c>
    </row>
    <row r="232" spans="1:23" ht="15" customHeight="1" x14ac:dyDescent="0.25">
      <c r="A232" s="20" t="str">
        <f>VLOOKUP(F232,[1]CLIENTES!B:L,11,0)</f>
        <v>RODRIGO</v>
      </c>
      <c r="B232" s="20" t="s">
        <v>328</v>
      </c>
      <c r="C232" s="20">
        <v>46167</v>
      </c>
      <c r="D232" s="21" t="s">
        <v>21</v>
      </c>
      <c r="E232" s="21">
        <v>1924</v>
      </c>
      <c r="F232" s="21">
        <v>5141420</v>
      </c>
      <c r="G232" s="21">
        <v>129963</v>
      </c>
      <c r="H232" s="21" t="s">
        <v>374</v>
      </c>
      <c r="I232" s="21" t="s">
        <v>266</v>
      </c>
      <c r="J232" s="21">
        <v>6123</v>
      </c>
      <c r="K232" s="21">
        <v>607</v>
      </c>
      <c r="L232" s="22">
        <v>93</v>
      </c>
      <c r="M232" s="23" t="s">
        <v>375</v>
      </c>
      <c r="N232" s="24" t="s">
        <v>25</v>
      </c>
      <c r="O232" s="25">
        <v>46174</v>
      </c>
      <c r="P232" s="25" t="str">
        <f>VLOOKUP(F232,[1]CLIENTES!B:L,11,0)</f>
        <v>RODRIGO</v>
      </c>
      <c r="Q232" s="25" t="str">
        <f>VLOOKUP(F232,[1]CLIENTES!B:M,12,0)</f>
        <v>MARCO AURELIO</v>
      </c>
      <c r="R232" s="26" t="str">
        <f>VLOOKUP(F232,[1]CLIENTES!B:J,9,0)</f>
        <v>CLAUDIO JORGE</v>
      </c>
      <c r="S232" s="27">
        <v>5000</v>
      </c>
      <c r="T232" s="28" t="s">
        <v>44</v>
      </c>
      <c r="U232" s="28" t="s">
        <v>28</v>
      </c>
      <c r="V232" s="28" t="s">
        <v>29</v>
      </c>
      <c r="W232" s="28" t="s">
        <v>126</v>
      </c>
    </row>
    <row r="233" spans="1:23" ht="15" customHeight="1" x14ac:dyDescent="0.25">
      <c r="A233" s="20" t="str">
        <f>VLOOKUP(F233,[1]CLIENTES!B:L,11,0)</f>
        <v>RODRIGO</v>
      </c>
      <c r="B233" s="20" t="s">
        <v>328</v>
      </c>
      <c r="C233" s="20">
        <v>46167</v>
      </c>
      <c r="D233" s="21" t="s">
        <v>21</v>
      </c>
      <c r="E233" s="21">
        <v>2074</v>
      </c>
      <c r="F233" s="21">
        <v>5225860</v>
      </c>
      <c r="G233" s="21">
        <v>180402</v>
      </c>
      <c r="H233" s="21" t="s">
        <v>39</v>
      </c>
      <c r="I233" s="21" t="s">
        <v>40</v>
      </c>
      <c r="J233" s="21" t="s">
        <v>41</v>
      </c>
      <c r="K233" s="21">
        <v>194</v>
      </c>
      <c r="L233" s="22">
        <v>92</v>
      </c>
      <c r="M233" s="23" t="s">
        <v>376</v>
      </c>
      <c r="N233" s="24" t="s">
        <v>25</v>
      </c>
      <c r="O233" s="25">
        <v>46174</v>
      </c>
      <c r="P233" s="25" t="str">
        <f>VLOOKUP(F233,[1]CLIENTES!B:L,11,0)</f>
        <v>RODRIGO</v>
      </c>
      <c r="Q233" s="25" t="str">
        <f>VLOOKUP(F233,[1]CLIENTES!B:M,12,0)</f>
        <v>MARIA LOURDES</v>
      </c>
      <c r="R233" s="26" t="str">
        <f>VLOOKUP(F233,[1]CLIENTES!B:J,9,0)</f>
        <v>CLAUDIO JORGE/AMANDA SANDS</v>
      </c>
      <c r="S233" s="27">
        <v>20000</v>
      </c>
      <c r="T233" s="28" t="s">
        <v>44</v>
      </c>
      <c r="U233" s="28" t="s">
        <v>28</v>
      </c>
      <c r="V233" s="28" t="s">
        <v>29</v>
      </c>
      <c r="W233" s="28" t="s">
        <v>126</v>
      </c>
    </row>
    <row r="234" spans="1:23" ht="15" customHeight="1" x14ac:dyDescent="0.25">
      <c r="A234" s="20" t="str">
        <f>VLOOKUP(F234,[1]CLIENTES!B:L,11,0)</f>
        <v>RODRIGO</v>
      </c>
      <c r="B234" s="20" t="s">
        <v>328</v>
      </c>
      <c r="C234" s="20">
        <v>46167</v>
      </c>
      <c r="D234" s="21" t="s">
        <v>21</v>
      </c>
      <c r="E234" s="21">
        <v>2072</v>
      </c>
      <c r="F234" s="21">
        <v>5133664</v>
      </c>
      <c r="G234" s="21">
        <v>142632</v>
      </c>
      <c r="H234" s="21" t="s">
        <v>134</v>
      </c>
      <c r="I234" s="21" t="s">
        <v>40</v>
      </c>
      <c r="J234" s="21" t="s">
        <v>41</v>
      </c>
      <c r="K234" s="21">
        <v>194</v>
      </c>
      <c r="L234" s="22">
        <v>92</v>
      </c>
      <c r="M234" s="23" t="s">
        <v>377</v>
      </c>
      <c r="N234" s="24" t="s">
        <v>25</v>
      </c>
      <c r="O234" s="25">
        <v>46174</v>
      </c>
      <c r="P234" s="25" t="str">
        <f>VLOOKUP(F234,[1]CLIENTES!B:L,11,0)</f>
        <v>RODRIGO</v>
      </c>
      <c r="Q234" s="25" t="str">
        <f>VLOOKUP(F234,[1]CLIENTES!B:M,12,0)</f>
        <v>MARIA LOURDES</v>
      </c>
      <c r="R234" s="26" t="str">
        <f>VLOOKUP(F234,[1]CLIENTES!B:J,9,0)</f>
        <v>CLAUDIO JORGE/AMANDA SANDS</v>
      </c>
      <c r="S234" s="27">
        <v>30000</v>
      </c>
      <c r="T234" s="28" t="s">
        <v>44</v>
      </c>
      <c r="U234" s="28" t="s">
        <v>28</v>
      </c>
      <c r="V234" s="28" t="s">
        <v>29</v>
      </c>
      <c r="W234" s="28" t="s">
        <v>126</v>
      </c>
    </row>
    <row r="235" spans="1:23" ht="15" customHeight="1" x14ac:dyDescent="0.25">
      <c r="A235" s="20" t="str">
        <f>VLOOKUP(F235,[1]CLIENTES!B:L,11,0)</f>
        <v>RODRIGO</v>
      </c>
      <c r="B235" s="20" t="s">
        <v>328</v>
      </c>
      <c r="C235" s="20">
        <v>46167</v>
      </c>
      <c r="D235" s="21" t="s">
        <v>21</v>
      </c>
      <c r="E235" s="21">
        <v>1901</v>
      </c>
      <c r="F235" s="21">
        <v>5229985</v>
      </c>
      <c r="G235" s="21">
        <v>180738</v>
      </c>
      <c r="H235" s="21" t="s">
        <v>131</v>
      </c>
      <c r="I235" s="21" t="s">
        <v>132</v>
      </c>
      <c r="J235" s="21">
        <v>6127</v>
      </c>
      <c r="K235" s="21">
        <v>682</v>
      </c>
      <c r="L235" s="22">
        <v>92</v>
      </c>
      <c r="M235" s="23" t="s">
        <v>378</v>
      </c>
      <c r="N235" s="24" t="s">
        <v>25</v>
      </c>
      <c r="O235" s="25">
        <v>46174</v>
      </c>
      <c r="P235" s="25" t="str">
        <f>VLOOKUP(F235,[1]CLIENTES!B:L,11,0)</f>
        <v>RODRIGO</v>
      </c>
      <c r="Q235" s="25" t="str">
        <f>VLOOKUP(F235,[1]CLIENTES!B:M,12,0)</f>
        <v>MARIA LOURDES</v>
      </c>
      <c r="R235" s="26" t="str">
        <f>VLOOKUP(F235,[1]CLIENTES!B:J,9,0)</f>
        <v>WH FOOD SERVICE CE</v>
      </c>
      <c r="S235" s="27">
        <v>15000</v>
      </c>
      <c r="T235" s="28" t="s">
        <v>44</v>
      </c>
      <c r="U235" s="28" t="s">
        <v>28</v>
      </c>
      <c r="V235" s="28" t="s">
        <v>29</v>
      </c>
      <c r="W235" s="28" t="s">
        <v>126</v>
      </c>
    </row>
    <row r="236" spans="1:23" ht="15" customHeight="1" x14ac:dyDescent="0.25">
      <c r="A236" s="20" t="str">
        <f>VLOOKUP(F236,[1]CLIENTES!B:L,11,0)</f>
        <v>RODRIGO</v>
      </c>
      <c r="B236" s="20" t="s">
        <v>328</v>
      </c>
      <c r="C236" s="20">
        <v>46167</v>
      </c>
      <c r="D236" s="21" t="s">
        <v>21</v>
      </c>
      <c r="E236" s="21">
        <v>1914</v>
      </c>
      <c r="F236" s="21">
        <v>5020319</v>
      </c>
      <c r="G236" s="21">
        <v>110315</v>
      </c>
      <c r="H236" s="21" t="s">
        <v>112</v>
      </c>
      <c r="I236" s="21" t="s">
        <v>113</v>
      </c>
      <c r="J236" s="21">
        <v>6127</v>
      </c>
      <c r="K236" s="21">
        <v>682</v>
      </c>
      <c r="L236" s="22">
        <v>92</v>
      </c>
      <c r="M236" s="23" t="s">
        <v>379</v>
      </c>
      <c r="N236" s="24" t="s">
        <v>25</v>
      </c>
      <c r="O236" s="25">
        <v>46174</v>
      </c>
      <c r="P236" s="25" t="str">
        <f>VLOOKUP(F236,[1]CLIENTES!B:L,11,0)</f>
        <v>RODRIGO</v>
      </c>
      <c r="Q236" s="25" t="str">
        <f>VLOOKUP(F236,[1]CLIENTES!B:M,12,0)</f>
        <v>MARIA LOURDES</v>
      </c>
      <c r="R236" s="26" t="str">
        <f>VLOOKUP(F236,[1]CLIENTES!B:J,9,0)</f>
        <v>CLAUDIO JORGE/LUIZ</v>
      </c>
      <c r="S236" s="27">
        <v>12000</v>
      </c>
      <c r="T236" s="28" t="s">
        <v>44</v>
      </c>
      <c r="U236" s="28" t="s">
        <v>28</v>
      </c>
      <c r="V236" s="28" t="s">
        <v>29</v>
      </c>
      <c r="W236" s="28" t="s">
        <v>126</v>
      </c>
    </row>
    <row r="237" spans="1:23" ht="15" customHeight="1" x14ac:dyDescent="0.25">
      <c r="A237" s="20" t="str">
        <f>VLOOKUP(F237,[1]CLIENTES!B:L,11,0)</f>
        <v>RODRIGO</v>
      </c>
      <c r="B237" s="20" t="s">
        <v>328</v>
      </c>
      <c r="C237" s="20">
        <v>46167</v>
      </c>
      <c r="D237" s="21" t="s">
        <v>21</v>
      </c>
      <c r="E237" s="21">
        <v>1900</v>
      </c>
      <c r="F237" s="21">
        <v>5026768</v>
      </c>
      <c r="G237" s="21">
        <v>113399</v>
      </c>
      <c r="H237" s="21" t="s">
        <v>139</v>
      </c>
      <c r="I237" s="21" t="s">
        <v>132</v>
      </c>
      <c r="J237" s="21">
        <v>6127</v>
      </c>
      <c r="K237" s="21">
        <v>605</v>
      </c>
      <c r="L237" s="22">
        <v>92</v>
      </c>
      <c r="M237" s="23" t="s">
        <v>380</v>
      </c>
      <c r="N237" s="24" t="s">
        <v>25</v>
      </c>
      <c r="O237" s="25">
        <v>46174</v>
      </c>
      <c r="P237" s="25" t="str">
        <f>VLOOKUP(F237,[1]CLIENTES!B:L,11,0)</f>
        <v>RODRIGO</v>
      </c>
      <c r="Q237" s="25" t="str">
        <f>VLOOKUP(F237,[1]CLIENTES!B:M,12,0)</f>
        <v>MARIA LOURDES</v>
      </c>
      <c r="R237" s="26" t="str">
        <f>VLOOKUP(F237,[1]CLIENTES!B:J,9,0)</f>
        <v>WH FOOD SERVICE CE</v>
      </c>
      <c r="S237" s="27">
        <v>5000</v>
      </c>
      <c r="T237" s="28" t="s">
        <v>44</v>
      </c>
      <c r="U237" s="28" t="s">
        <v>28</v>
      </c>
      <c r="V237" s="28" t="s">
        <v>29</v>
      </c>
      <c r="W237" s="28" t="s">
        <v>126</v>
      </c>
    </row>
    <row r="238" spans="1:23" ht="15" customHeight="1" x14ac:dyDescent="0.25">
      <c r="A238" s="20" t="str">
        <f>VLOOKUP(F238,[1]CLIENTES!B:L,11,0)</f>
        <v>RODRIGO</v>
      </c>
      <c r="B238" s="20" t="s">
        <v>328</v>
      </c>
      <c r="C238" s="20">
        <v>46167</v>
      </c>
      <c r="D238" s="21" t="s">
        <v>21</v>
      </c>
      <c r="E238" s="21">
        <v>1885</v>
      </c>
      <c r="F238" s="21">
        <v>5128707</v>
      </c>
      <c r="G238" s="21">
        <v>128420</v>
      </c>
      <c r="H238" s="21" t="s">
        <v>261</v>
      </c>
      <c r="I238" s="21" t="s">
        <v>113</v>
      </c>
      <c r="J238" s="21">
        <v>6127</v>
      </c>
      <c r="K238" s="21">
        <v>682</v>
      </c>
      <c r="L238" s="22">
        <v>92</v>
      </c>
      <c r="M238" s="23" t="s">
        <v>381</v>
      </c>
      <c r="N238" s="24" t="s">
        <v>25</v>
      </c>
      <c r="O238" s="25">
        <v>46174</v>
      </c>
      <c r="P238" s="25" t="str">
        <f>VLOOKUP(F238,[1]CLIENTES!B:L,11,0)</f>
        <v>RODRIGO</v>
      </c>
      <c r="Q238" s="25" t="str">
        <f>VLOOKUP(F238,[1]CLIENTES!B:M,12,0)</f>
        <v>MARIA LOURDES</v>
      </c>
      <c r="R238" s="26" t="str">
        <f>VLOOKUP(F238,[1]CLIENTES!B:J,9,0)</f>
        <v>CLAUDIO JORGE/LUIZ</v>
      </c>
      <c r="S238" s="27">
        <v>8000</v>
      </c>
      <c r="T238" s="28" t="s">
        <v>44</v>
      </c>
      <c r="U238" s="28" t="s">
        <v>28</v>
      </c>
      <c r="V238" s="28" t="s">
        <v>29</v>
      </c>
      <c r="W238" s="28" t="s">
        <v>126</v>
      </c>
    </row>
    <row r="239" spans="1:23" ht="15" customHeight="1" x14ac:dyDescent="0.25">
      <c r="A239" s="20" t="str">
        <f>VLOOKUP(F239,[1]CLIENTES!B:L,11,0)</f>
        <v>RODRIGO</v>
      </c>
      <c r="B239" s="20" t="s">
        <v>328</v>
      </c>
      <c r="C239" s="20">
        <v>46168</v>
      </c>
      <c r="D239" s="21" t="s">
        <v>118</v>
      </c>
      <c r="E239" s="21" t="s">
        <v>436</v>
      </c>
      <c r="F239" s="21">
        <v>5026399</v>
      </c>
      <c r="G239" s="21">
        <v>116247</v>
      </c>
      <c r="H239" s="21" t="s">
        <v>119</v>
      </c>
      <c r="I239" s="21" t="s">
        <v>37</v>
      </c>
      <c r="J239" s="21">
        <v>6169</v>
      </c>
      <c r="K239" s="21">
        <v>689</v>
      </c>
      <c r="L239" s="22">
        <v>92</v>
      </c>
      <c r="M239" s="23" t="s">
        <v>382</v>
      </c>
      <c r="N239" s="24" t="s">
        <v>25</v>
      </c>
      <c r="O239" s="25">
        <v>46176</v>
      </c>
      <c r="P239" s="25" t="str">
        <f>VLOOKUP(F239,[1]CLIENTES!B:L,11,0)</f>
        <v>RODRIGO</v>
      </c>
      <c r="Q239" s="25" t="str">
        <f>VLOOKUP(F239,[1]CLIENTES!B:M,12,0)</f>
        <v>JESSICA</v>
      </c>
      <c r="R239" s="26" t="str">
        <f>VLOOKUP(F239,[1]CLIENTES!B:J,9,0)</f>
        <v>JESSICA CARLA</v>
      </c>
      <c r="S239" s="27">
        <v>50000</v>
      </c>
      <c r="T239" s="28" t="s">
        <v>44</v>
      </c>
      <c r="U239" s="28" t="s">
        <v>28</v>
      </c>
      <c r="V239" s="28" t="s">
        <v>29</v>
      </c>
      <c r="W239" s="28" t="s">
        <v>204</v>
      </c>
    </row>
    <row r="240" spans="1:23" ht="15" customHeight="1" x14ac:dyDescent="0.25">
      <c r="A240" s="20" t="str">
        <f>VLOOKUP(F240,[1]CLIENTES!B:L,11,0)</f>
        <v>RODRIGO</v>
      </c>
      <c r="B240" s="20" t="s">
        <v>328</v>
      </c>
      <c r="C240" s="20">
        <v>46169</v>
      </c>
      <c r="D240" s="21" t="s">
        <v>21</v>
      </c>
      <c r="E240" s="21">
        <v>1921</v>
      </c>
      <c r="F240" s="21">
        <v>5020352</v>
      </c>
      <c r="G240" s="21">
        <v>127298</v>
      </c>
      <c r="H240" s="21" t="s">
        <v>124</v>
      </c>
      <c r="I240" s="21" t="s">
        <v>23</v>
      </c>
      <c r="J240" s="21">
        <v>6125</v>
      </c>
      <c r="K240" s="21">
        <v>692</v>
      </c>
      <c r="L240" s="22">
        <v>92</v>
      </c>
      <c r="M240" s="23" t="s">
        <v>383</v>
      </c>
      <c r="N240" s="24" t="s">
        <v>25</v>
      </c>
      <c r="O240" s="25">
        <v>46174</v>
      </c>
      <c r="P240" s="25" t="str">
        <f>VLOOKUP(F240,[1]CLIENTES!B:L,11,0)</f>
        <v>RODRIGO</v>
      </c>
      <c r="Q240" s="25" t="str">
        <f>VLOOKUP(F240,[1]CLIENTES!B:M,12,0)</f>
        <v>ALEXANDRO</v>
      </c>
      <c r="R240" s="26" t="str">
        <f>VLOOKUP(F240,[1]CLIENTES!B:J,9,0)</f>
        <v>GUILHERME NASCIMENTO</v>
      </c>
      <c r="S240" s="27">
        <v>2000</v>
      </c>
      <c r="T240" s="28" t="s">
        <v>44</v>
      </c>
      <c r="U240" s="28" t="s">
        <v>28</v>
      </c>
      <c r="V240" s="28" t="s">
        <v>29</v>
      </c>
      <c r="W240" s="28" t="s">
        <v>126</v>
      </c>
    </row>
    <row r="241" spans="1:23" ht="15" customHeight="1" x14ac:dyDescent="0.25">
      <c r="A241" s="20" t="str">
        <f>VLOOKUP(F241,[1]CLIENTES!B:L,11,0)</f>
        <v>RODRIGO</v>
      </c>
      <c r="B241" s="20" t="s">
        <v>328</v>
      </c>
      <c r="C241" s="20">
        <v>46169</v>
      </c>
      <c r="D241" s="21" t="s">
        <v>21</v>
      </c>
      <c r="E241" s="21">
        <v>1930</v>
      </c>
      <c r="F241" s="21">
        <v>5352113</v>
      </c>
      <c r="G241" s="21"/>
      <c r="H241" s="21" t="s">
        <v>384</v>
      </c>
      <c r="I241" s="21" t="s">
        <v>23</v>
      </c>
      <c r="J241" s="21">
        <v>6125</v>
      </c>
      <c r="K241" s="21">
        <v>692</v>
      </c>
      <c r="L241" s="22">
        <v>91</v>
      </c>
      <c r="M241" s="23" t="s">
        <v>385</v>
      </c>
      <c r="N241" s="24" t="s">
        <v>25</v>
      </c>
      <c r="O241" s="25">
        <v>46174</v>
      </c>
      <c r="P241" s="25" t="str">
        <f>VLOOKUP(F241,[1]CLIENTES!B:L,11,0)</f>
        <v>RODRIGO</v>
      </c>
      <c r="Q241" s="25" t="str">
        <f>VLOOKUP(F241,[1]CLIENTES!B:M,12,0)</f>
        <v>RAQUEL BARBOSA</v>
      </c>
      <c r="R241" s="26" t="str">
        <f>VLOOKUP(F241,[1]CLIENTES!B:J,9,0)</f>
        <v>VAGO SP</v>
      </c>
      <c r="S241" s="27">
        <v>200</v>
      </c>
      <c r="T241" s="28" t="s">
        <v>44</v>
      </c>
      <c r="U241" s="28" t="s">
        <v>28</v>
      </c>
      <c r="V241" s="28" t="s">
        <v>29</v>
      </c>
      <c r="W241" s="28" t="s">
        <v>52</v>
      </c>
    </row>
    <row r="242" spans="1:23" ht="15" customHeight="1" x14ac:dyDescent="0.25">
      <c r="A242" s="20" t="str">
        <f>VLOOKUP(F242,[1]CLIENTES!B:L,11,0)</f>
        <v>RODRIGO</v>
      </c>
      <c r="B242" s="20" t="s">
        <v>328</v>
      </c>
      <c r="C242" s="20">
        <v>46169</v>
      </c>
      <c r="D242" s="21" t="s">
        <v>21</v>
      </c>
      <c r="E242" s="21">
        <v>1929</v>
      </c>
      <c r="F242" s="21">
        <v>5019126</v>
      </c>
      <c r="G242" s="21">
        <v>103036</v>
      </c>
      <c r="H242" s="21" t="s">
        <v>386</v>
      </c>
      <c r="I242" s="21" t="s">
        <v>23</v>
      </c>
      <c r="J242" s="21">
        <v>6125</v>
      </c>
      <c r="K242" s="21">
        <v>692</v>
      </c>
      <c r="L242" s="22">
        <v>93</v>
      </c>
      <c r="M242" s="23" t="s">
        <v>387</v>
      </c>
      <c r="N242" s="24" t="s">
        <v>25</v>
      </c>
      <c r="O242" s="25">
        <v>46174</v>
      </c>
      <c r="P242" s="25" t="str">
        <f>VLOOKUP(F242,[1]CLIENTES!B:L,11,0)</f>
        <v>RODRIGO</v>
      </c>
      <c r="Q242" s="25" t="str">
        <f>VLOOKUP(F242,[1]CLIENTES!B:M,12,0)</f>
        <v>RAQUEL BARBOSA</v>
      </c>
      <c r="R242" s="26" t="str">
        <f>VLOOKUP(F242,[1]CLIENTES!B:J,9,0)</f>
        <v>VAGO SP</v>
      </c>
      <c r="S242" s="27">
        <v>632.67999999999995</v>
      </c>
      <c r="T242" s="28" t="s">
        <v>44</v>
      </c>
      <c r="U242" s="28" t="s">
        <v>28</v>
      </c>
      <c r="V242" s="28" t="s">
        <v>29</v>
      </c>
      <c r="W242" s="28" t="s">
        <v>52</v>
      </c>
    </row>
    <row r="243" spans="1:23" ht="15" customHeight="1" x14ac:dyDescent="0.25">
      <c r="A243" s="20" t="str">
        <f>VLOOKUP(F243,[1]CLIENTES!B:L,11,0)</f>
        <v>RODRIGO</v>
      </c>
      <c r="B243" s="20" t="s">
        <v>328</v>
      </c>
      <c r="C243" s="20">
        <v>46170</v>
      </c>
      <c r="D243" s="21" t="s">
        <v>21</v>
      </c>
      <c r="E243" s="21">
        <v>1944</v>
      </c>
      <c r="F243" s="21">
        <v>5109682</v>
      </c>
      <c r="G243" s="21">
        <v>128100</v>
      </c>
      <c r="H243" s="21" t="s">
        <v>88</v>
      </c>
      <c r="I243" s="21" t="s">
        <v>23</v>
      </c>
      <c r="J243" s="21">
        <v>6125</v>
      </c>
      <c r="K243" s="21">
        <v>692</v>
      </c>
      <c r="L243" s="22">
        <v>93</v>
      </c>
      <c r="M243" s="23" t="s">
        <v>388</v>
      </c>
      <c r="N243" s="24" t="s">
        <v>25</v>
      </c>
      <c r="O243" s="25">
        <v>46174</v>
      </c>
      <c r="P243" s="25" t="str">
        <f>VLOOKUP(F243,[1]CLIENTES!B:L,11,0)</f>
        <v>RODRIGO</v>
      </c>
      <c r="Q243" s="25" t="str">
        <f>VLOOKUP(F243,[1]CLIENTES!B:M,12,0)</f>
        <v>RAQUEL BARBOSA</v>
      </c>
      <c r="R243" s="26" t="str">
        <f>VLOOKUP(F243,[1]CLIENTES!B:J,9,0)</f>
        <v>VAGO SP</v>
      </c>
      <c r="S243" s="27">
        <v>4000</v>
      </c>
      <c r="T243" s="28" t="s">
        <v>44</v>
      </c>
      <c r="U243" s="28" t="s">
        <v>28</v>
      </c>
      <c r="V243" s="28" t="s">
        <v>29</v>
      </c>
      <c r="W243" s="28" t="s">
        <v>52</v>
      </c>
    </row>
    <row r="244" spans="1:23" ht="15" customHeight="1" x14ac:dyDescent="0.25">
      <c r="A244" s="20" t="str">
        <f>VLOOKUP(F244,[1]CLIENTES!B:L,11,0)</f>
        <v>RODRIGO</v>
      </c>
      <c r="B244" s="20" t="s">
        <v>328</v>
      </c>
      <c r="C244" s="20">
        <v>46170</v>
      </c>
      <c r="D244" s="21" t="s">
        <v>21</v>
      </c>
      <c r="E244" s="21">
        <v>1943</v>
      </c>
      <c r="F244" s="21">
        <v>5004685</v>
      </c>
      <c r="G244" s="21">
        <v>110434</v>
      </c>
      <c r="H244" s="21" t="s">
        <v>116</v>
      </c>
      <c r="I244" s="21" t="s">
        <v>23</v>
      </c>
      <c r="J244" s="21">
        <v>6125</v>
      </c>
      <c r="K244" s="21">
        <v>692</v>
      </c>
      <c r="L244" s="22">
        <v>92</v>
      </c>
      <c r="M244" s="23" t="s">
        <v>389</v>
      </c>
      <c r="N244" s="24" t="s">
        <v>25</v>
      </c>
      <c r="O244" s="25">
        <v>46174</v>
      </c>
      <c r="P244" s="25" t="str">
        <f>VLOOKUP(F244,[1]CLIENTES!B:L,11,0)</f>
        <v>RODRIGO</v>
      </c>
      <c r="Q244" s="25" t="str">
        <f>VLOOKUP(F244,[1]CLIENTES!B:M,12,0)</f>
        <v>ALEXANDRO</v>
      </c>
      <c r="R244" s="26" t="str">
        <f>VLOOKUP(F244,[1]CLIENTES!B:J,9,0)</f>
        <v>ALEXANDRO RODRIGUES</v>
      </c>
      <c r="S244" s="27">
        <v>4000</v>
      </c>
      <c r="T244" s="28" t="s">
        <v>44</v>
      </c>
      <c r="U244" s="28" t="s">
        <v>28</v>
      </c>
      <c r="V244" s="28" t="s">
        <v>29</v>
      </c>
      <c r="W244" s="28" t="s">
        <v>52</v>
      </c>
    </row>
    <row r="245" spans="1:23" ht="15" customHeight="1" x14ac:dyDescent="0.25">
      <c r="A245" s="20" t="str">
        <f>VLOOKUP(F245,[1]CLIENTES!B:L,11,0)</f>
        <v>PEDRO</v>
      </c>
      <c r="B245" s="20" t="s">
        <v>328</v>
      </c>
      <c r="C245" s="20">
        <v>46153</v>
      </c>
      <c r="D245" s="21" t="s">
        <v>21</v>
      </c>
      <c r="E245" s="21">
        <v>1858</v>
      </c>
      <c r="F245" s="21">
        <v>5223622</v>
      </c>
      <c r="G245" s="21"/>
      <c r="H245" s="21" t="s">
        <v>390</v>
      </c>
      <c r="I245" s="21" t="s">
        <v>76</v>
      </c>
      <c r="J245" s="21" t="s">
        <v>391</v>
      </c>
      <c r="K245" s="21" t="s">
        <v>392</v>
      </c>
      <c r="L245" s="22">
        <v>91</v>
      </c>
      <c r="M245" s="23" t="s">
        <v>393</v>
      </c>
      <c r="N245" s="24" t="s">
        <v>25</v>
      </c>
      <c r="O245" s="25">
        <v>46174</v>
      </c>
      <c r="P245" s="25" t="str">
        <f>VLOOKUP(F245,[1]CLIENTES!B:L,11,0)</f>
        <v>PEDRO</v>
      </c>
      <c r="Q245" s="25" t="str">
        <f>VLOOKUP(F245,[1]CLIENTES!B:M,12,0)</f>
        <v>VAGO QSR</v>
      </c>
      <c r="R245" s="26" t="str">
        <f>VLOOKUP(F245,[1]CLIENTES!B:J,9,0)</f>
        <v>VAGO QSR</v>
      </c>
      <c r="S245" s="27">
        <v>322</v>
      </c>
      <c r="T245" s="28" t="s">
        <v>44</v>
      </c>
      <c r="U245" s="28" t="s">
        <v>28</v>
      </c>
      <c r="V245" s="28" t="s">
        <v>29</v>
      </c>
      <c r="W245" s="28" t="s">
        <v>394</v>
      </c>
    </row>
    <row r="246" spans="1:23" ht="15" customHeight="1" x14ac:dyDescent="0.25">
      <c r="A246" s="20" t="str">
        <f>VLOOKUP(F246,[1]CLIENTES!B:L,11,0)</f>
        <v>PEDRO</v>
      </c>
      <c r="B246" s="20" t="s">
        <v>328</v>
      </c>
      <c r="C246" s="20">
        <v>46167</v>
      </c>
      <c r="D246" s="21" t="s">
        <v>21</v>
      </c>
      <c r="E246" s="21">
        <v>6944</v>
      </c>
      <c r="F246" s="21">
        <v>5337773</v>
      </c>
      <c r="G246" s="21"/>
      <c r="H246" s="21" t="s">
        <v>395</v>
      </c>
      <c r="I246" s="21" t="s">
        <v>23</v>
      </c>
      <c r="J246" s="21" t="s">
        <v>47</v>
      </c>
      <c r="K246" s="21">
        <v>722</v>
      </c>
      <c r="L246" s="22">
        <v>13</v>
      </c>
      <c r="M246" s="23" t="s">
        <v>396</v>
      </c>
      <c r="N246" s="24" t="s">
        <v>25</v>
      </c>
      <c r="O246" s="25">
        <v>46174</v>
      </c>
      <c r="P246" s="25" t="str">
        <f>VLOOKUP(F246,[1]CLIENTES!B:L,11,0)</f>
        <v>PEDRO</v>
      </c>
      <c r="Q246" s="25" t="str">
        <f>VLOOKUP(F246,[1]CLIENTES!B:M,12,0)</f>
        <v>VAGO QSR</v>
      </c>
      <c r="R246" s="26" t="str">
        <f>VLOOKUP(F246,[1]CLIENTES!B:J,9,0)</f>
        <v>VAGO QSR</v>
      </c>
      <c r="S246" s="27">
        <v>46290.1</v>
      </c>
      <c r="T246" s="28" t="s">
        <v>44</v>
      </c>
      <c r="U246" s="28" t="s">
        <v>50</v>
      </c>
      <c r="V246" s="28" t="s">
        <v>29</v>
      </c>
      <c r="W246" s="28" t="s">
        <v>394</v>
      </c>
    </row>
    <row r="247" spans="1:23" ht="15" customHeight="1" x14ac:dyDescent="0.25">
      <c r="A247" s="20" t="str">
        <f>VLOOKUP(F247,[1]CLIENTES!B:L,11,0)</f>
        <v>RODRIGO</v>
      </c>
      <c r="B247" s="20" t="s">
        <v>403</v>
      </c>
      <c r="C247" s="20">
        <v>46176</v>
      </c>
      <c r="D247" s="21" t="s">
        <v>21</v>
      </c>
      <c r="E247" s="21">
        <v>2356</v>
      </c>
      <c r="F247" s="21">
        <v>5004685</v>
      </c>
      <c r="G247" s="21">
        <v>110434</v>
      </c>
      <c r="H247" s="21" t="s">
        <v>116</v>
      </c>
      <c r="I247" s="21" t="s">
        <v>23</v>
      </c>
      <c r="J247" s="21">
        <v>6125</v>
      </c>
      <c r="K247" s="21">
        <v>692</v>
      </c>
      <c r="L247" s="22">
        <v>93</v>
      </c>
      <c r="M247" s="23" t="s">
        <v>404</v>
      </c>
      <c r="N247" s="24" t="s">
        <v>25</v>
      </c>
      <c r="O247" s="25">
        <v>46204</v>
      </c>
      <c r="P247" s="21" t="s">
        <v>398</v>
      </c>
      <c r="Q247" s="21" t="s">
        <v>49</v>
      </c>
      <c r="R247" s="26" t="s">
        <v>402</v>
      </c>
      <c r="S247" s="27">
        <v>11427.26</v>
      </c>
      <c r="T247" s="28" t="s">
        <v>27</v>
      </c>
      <c r="U247" s="28" t="s">
        <v>28</v>
      </c>
      <c r="V247" s="28" t="s">
        <v>29</v>
      </c>
      <c r="W247" s="28" t="s">
        <v>338</v>
      </c>
    </row>
    <row r="248" spans="1:23" ht="15" customHeight="1" x14ac:dyDescent="0.25">
      <c r="A248" s="20" t="str">
        <f>VLOOKUP(F248,[1]CLIENTES!B:L,11,0)</f>
        <v>RODRIGO</v>
      </c>
      <c r="B248" s="20" t="s">
        <v>403</v>
      </c>
      <c r="C248" s="20">
        <v>46148</v>
      </c>
      <c r="D248" s="21" t="s">
        <v>21</v>
      </c>
      <c r="E248" s="21">
        <v>2603</v>
      </c>
      <c r="F248" s="21">
        <v>5115189</v>
      </c>
      <c r="G248" s="21">
        <v>129296</v>
      </c>
      <c r="H248" s="21" t="s">
        <v>68</v>
      </c>
      <c r="I248" s="21" t="s">
        <v>54</v>
      </c>
      <c r="J248" s="21" t="s">
        <v>55</v>
      </c>
      <c r="K248" s="21">
        <v>191</v>
      </c>
      <c r="L248" s="22">
        <v>92</v>
      </c>
      <c r="M248" s="23" t="s">
        <v>405</v>
      </c>
      <c r="N248" s="24" t="s">
        <v>25</v>
      </c>
      <c r="O248" s="25">
        <v>46204</v>
      </c>
      <c r="P248" s="21" t="s">
        <v>398</v>
      </c>
      <c r="Q248" s="21" t="s">
        <v>57</v>
      </c>
      <c r="R248" s="26" t="s">
        <v>401</v>
      </c>
      <c r="S248" s="27">
        <v>1200</v>
      </c>
      <c r="T248" s="28" t="s">
        <v>27</v>
      </c>
      <c r="U248" s="28" t="s">
        <v>28</v>
      </c>
      <c r="V248" s="28" t="s">
        <v>29</v>
      </c>
      <c r="W248" s="28" t="s">
        <v>52</v>
      </c>
    </row>
    <row r="249" spans="1:23" ht="15" customHeight="1" x14ac:dyDescent="0.25">
      <c r="A249" s="20" t="str">
        <f>VLOOKUP(F249,[1]CLIENTES!B:L,11,0)</f>
        <v>RODRIGO</v>
      </c>
      <c r="B249" s="20" t="s">
        <v>403</v>
      </c>
      <c r="C249" s="20">
        <v>46148</v>
      </c>
      <c r="D249" s="21" t="s">
        <v>21</v>
      </c>
      <c r="E249" s="21">
        <v>2603</v>
      </c>
      <c r="F249" s="21">
        <v>5115189</v>
      </c>
      <c r="G249" s="21">
        <v>129296</v>
      </c>
      <c r="H249" s="21" t="s">
        <v>68</v>
      </c>
      <c r="I249" s="21" t="s">
        <v>54</v>
      </c>
      <c r="J249" s="21" t="s">
        <v>55</v>
      </c>
      <c r="K249" s="21">
        <v>191</v>
      </c>
      <c r="L249" s="22">
        <v>92</v>
      </c>
      <c r="M249" s="23" t="s">
        <v>406</v>
      </c>
      <c r="N249" s="24" t="s">
        <v>25</v>
      </c>
      <c r="O249" s="25">
        <v>46204</v>
      </c>
      <c r="P249" s="21" t="s">
        <v>398</v>
      </c>
      <c r="Q249" s="21" t="s">
        <v>57</v>
      </c>
      <c r="R249" s="26" t="s">
        <v>401</v>
      </c>
      <c r="S249" s="27">
        <v>6654.3</v>
      </c>
      <c r="T249" s="28" t="s">
        <v>27</v>
      </c>
      <c r="U249" s="28" t="s">
        <v>28</v>
      </c>
      <c r="V249" s="28" t="s">
        <v>29</v>
      </c>
      <c r="W249" s="28" t="s">
        <v>52</v>
      </c>
    </row>
    <row r="250" spans="1:23" ht="15" customHeight="1" x14ac:dyDescent="0.25">
      <c r="A250" s="20" t="str">
        <f>VLOOKUP(F250,[1]CLIENTES!B:L,11,0)</f>
        <v>RODRIGO</v>
      </c>
      <c r="B250" s="20" t="s">
        <v>403</v>
      </c>
      <c r="C250" s="20">
        <v>46148</v>
      </c>
      <c r="D250" s="21" t="s">
        <v>21</v>
      </c>
      <c r="E250" s="21">
        <v>2358</v>
      </c>
      <c r="F250" s="21">
        <v>5006978</v>
      </c>
      <c r="G250" s="21">
        <v>103036</v>
      </c>
      <c r="H250" s="21" t="s">
        <v>58</v>
      </c>
      <c r="I250" s="21" t="s">
        <v>23</v>
      </c>
      <c r="J250" s="21">
        <v>6125</v>
      </c>
      <c r="K250" s="21">
        <v>692</v>
      </c>
      <c r="L250" s="22">
        <v>92</v>
      </c>
      <c r="M250" s="23" t="s">
        <v>407</v>
      </c>
      <c r="N250" s="24" t="s">
        <v>25</v>
      </c>
      <c r="O250" s="25">
        <v>46204</v>
      </c>
      <c r="P250" s="21" t="s">
        <v>398</v>
      </c>
      <c r="Q250" s="21" t="s">
        <v>26</v>
      </c>
      <c r="R250" s="26" t="s">
        <v>26</v>
      </c>
      <c r="S250" s="27">
        <v>15753.94</v>
      </c>
      <c r="T250" s="28" t="s">
        <v>27</v>
      </c>
      <c r="U250" s="28" t="s">
        <v>28</v>
      </c>
      <c r="V250" s="28" t="s">
        <v>29</v>
      </c>
      <c r="W250" s="28" t="s">
        <v>52</v>
      </c>
    </row>
    <row r="251" spans="1:23" ht="15" customHeight="1" x14ac:dyDescent="0.25">
      <c r="A251" s="20" t="str">
        <f>VLOOKUP(F251,[1]CLIENTES!B:L,11,0)</f>
        <v>RODRIGO</v>
      </c>
      <c r="B251" s="20" t="s">
        <v>403</v>
      </c>
      <c r="C251" s="20">
        <v>46148</v>
      </c>
      <c r="D251" s="21" t="s">
        <v>21</v>
      </c>
      <c r="E251" s="21">
        <v>8706</v>
      </c>
      <c r="F251" s="21">
        <v>5006978</v>
      </c>
      <c r="G251" s="21">
        <v>103036</v>
      </c>
      <c r="H251" s="21" t="s">
        <v>58</v>
      </c>
      <c r="I251" s="21" t="s">
        <v>23</v>
      </c>
      <c r="J251" s="21" t="s">
        <v>47</v>
      </c>
      <c r="K251" s="21">
        <v>722</v>
      </c>
      <c r="L251" s="22">
        <v>25</v>
      </c>
      <c r="M251" s="23" t="s">
        <v>408</v>
      </c>
      <c r="N251" s="24" t="s">
        <v>25</v>
      </c>
      <c r="O251" s="25">
        <v>46204</v>
      </c>
      <c r="P251" s="21" t="s">
        <v>398</v>
      </c>
      <c r="Q251" s="21" t="s">
        <v>26</v>
      </c>
      <c r="R251" s="26" t="s">
        <v>26</v>
      </c>
      <c r="S251" s="27">
        <v>33342.51</v>
      </c>
      <c r="T251" s="28" t="s">
        <v>27</v>
      </c>
      <c r="U251" s="28" t="s">
        <v>50</v>
      </c>
      <c r="V251" s="28" t="s">
        <v>51</v>
      </c>
      <c r="W251" s="28" t="s">
        <v>52</v>
      </c>
    </row>
    <row r="252" spans="1:23" ht="15" customHeight="1" x14ac:dyDescent="0.25">
      <c r="A252" s="20" t="str">
        <f>VLOOKUP(F252,[1]CLIENTES!B:L,11,0)</f>
        <v>RODRIGO</v>
      </c>
      <c r="B252" s="20" t="s">
        <v>403</v>
      </c>
      <c r="C252" s="20">
        <v>46148</v>
      </c>
      <c r="D252" s="21" t="s">
        <v>21</v>
      </c>
      <c r="E252" s="21">
        <v>8706</v>
      </c>
      <c r="F252" s="21">
        <v>5006978</v>
      </c>
      <c r="G252" s="21">
        <v>103036</v>
      </c>
      <c r="H252" s="21" t="s">
        <v>58</v>
      </c>
      <c r="I252" s="21" t="s">
        <v>23</v>
      </c>
      <c r="J252" s="21" t="s">
        <v>47</v>
      </c>
      <c r="K252" s="21">
        <v>722</v>
      </c>
      <c r="L252" s="22">
        <v>25</v>
      </c>
      <c r="M252" s="23" t="s">
        <v>409</v>
      </c>
      <c r="N252" s="24" t="s">
        <v>25</v>
      </c>
      <c r="O252" s="25">
        <v>46204</v>
      </c>
      <c r="P252" s="21" t="s">
        <v>398</v>
      </c>
      <c r="Q252" s="21" t="s">
        <v>26</v>
      </c>
      <c r="R252" s="26" t="s">
        <v>26</v>
      </c>
      <c r="S252" s="27">
        <v>12714</v>
      </c>
      <c r="T252" s="28" t="s">
        <v>27</v>
      </c>
      <c r="U252" s="28" t="s">
        <v>50</v>
      </c>
      <c r="V252" s="28" t="s">
        <v>51</v>
      </c>
      <c r="W252" s="28" t="s">
        <v>52</v>
      </c>
    </row>
    <row r="253" spans="1:23" ht="15" customHeight="1" x14ac:dyDescent="0.25">
      <c r="A253" s="20" t="str">
        <f>VLOOKUP(F253,[1]CLIENTES!B:L,11,0)</f>
        <v>RODRIGO</v>
      </c>
      <c r="B253" s="20" t="s">
        <v>403</v>
      </c>
      <c r="C253" s="20">
        <v>46148</v>
      </c>
      <c r="D253" s="21" t="s">
        <v>21</v>
      </c>
      <c r="E253" s="21">
        <v>2376</v>
      </c>
      <c r="F253" s="21">
        <v>5190347</v>
      </c>
      <c r="G253" s="21">
        <v>143655</v>
      </c>
      <c r="H253" s="21" t="s">
        <v>410</v>
      </c>
      <c r="I253" s="21" t="s">
        <v>113</v>
      </c>
      <c r="J253" s="21">
        <v>6127</v>
      </c>
      <c r="K253" s="21">
        <v>682</v>
      </c>
      <c r="L253" s="22">
        <v>91</v>
      </c>
      <c r="M253" s="23" t="s">
        <v>411</v>
      </c>
      <c r="N253" s="24" t="s">
        <v>25</v>
      </c>
      <c r="O253" s="25">
        <v>46204</v>
      </c>
      <c r="P253" s="21" t="s">
        <v>398</v>
      </c>
      <c r="Q253" s="21" t="s">
        <v>43</v>
      </c>
      <c r="R253" s="26" t="s">
        <v>692</v>
      </c>
      <c r="S253" s="27">
        <v>2000</v>
      </c>
      <c r="T253" s="28" t="s">
        <v>27</v>
      </c>
      <c r="U253" s="28" t="s">
        <v>28</v>
      </c>
      <c r="V253" s="28" t="s">
        <v>29</v>
      </c>
      <c r="W253" s="28" t="s">
        <v>52</v>
      </c>
    </row>
    <row r="254" spans="1:23" ht="15" customHeight="1" x14ac:dyDescent="0.25">
      <c r="A254" s="20" t="str">
        <f>VLOOKUP(F254,[1]CLIENTES!B:L,11,0)</f>
        <v>RODRIGO</v>
      </c>
      <c r="B254" s="20" t="s">
        <v>403</v>
      </c>
      <c r="C254" s="20">
        <v>46183</v>
      </c>
      <c r="D254" s="21" t="s">
        <v>21</v>
      </c>
      <c r="E254" s="21">
        <v>2356</v>
      </c>
      <c r="F254" s="21">
        <v>5004685</v>
      </c>
      <c r="G254" s="21">
        <v>110434</v>
      </c>
      <c r="H254" s="21" t="s">
        <v>116</v>
      </c>
      <c r="I254" s="21" t="s">
        <v>23</v>
      </c>
      <c r="J254" s="21">
        <v>6125</v>
      </c>
      <c r="K254" s="21">
        <v>692</v>
      </c>
      <c r="L254" s="22">
        <v>93</v>
      </c>
      <c r="M254" s="23" t="s">
        <v>412</v>
      </c>
      <c r="N254" s="24" t="s">
        <v>25</v>
      </c>
      <c r="O254" s="25">
        <v>46204</v>
      </c>
      <c r="P254" s="21" t="s">
        <v>398</v>
      </c>
      <c r="Q254" s="21" t="s">
        <v>49</v>
      </c>
      <c r="R254" s="26" t="s">
        <v>402</v>
      </c>
      <c r="S254" s="27">
        <v>20012.02</v>
      </c>
      <c r="T254" s="28" t="s">
        <v>27</v>
      </c>
      <c r="U254" s="28" t="s">
        <v>28</v>
      </c>
      <c r="V254" s="28" t="s">
        <v>29</v>
      </c>
      <c r="W254" s="28" t="s">
        <v>338</v>
      </c>
    </row>
    <row r="255" spans="1:23" ht="15" customHeight="1" x14ac:dyDescent="0.25">
      <c r="A255" s="20" t="str">
        <f>VLOOKUP(F255,[1]CLIENTES!B:L,11,0)</f>
        <v>RODRIGO</v>
      </c>
      <c r="B255" s="20" t="s">
        <v>403</v>
      </c>
      <c r="C255" s="20">
        <v>46188</v>
      </c>
      <c r="D255" s="21" t="s">
        <v>21</v>
      </c>
      <c r="E255" s="21">
        <v>2378</v>
      </c>
      <c r="F255" s="21">
        <v>5020319</v>
      </c>
      <c r="G255" s="21">
        <v>110315</v>
      </c>
      <c r="H255" s="21" t="s">
        <v>112</v>
      </c>
      <c r="I255" s="21" t="s">
        <v>113</v>
      </c>
      <c r="J255" s="21">
        <v>6127</v>
      </c>
      <c r="K255" s="21">
        <v>682</v>
      </c>
      <c r="L255" s="22">
        <v>92</v>
      </c>
      <c r="M255" s="23" t="s">
        <v>413</v>
      </c>
      <c r="N255" s="24" t="s">
        <v>25</v>
      </c>
      <c r="O255" s="25">
        <v>46204</v>
      </c>
      <c r="P255" s="21" t="s">
        <v>398</v>
      </c>
      <c r="Q255" s="21" t="s">
        <v>43</v>
      </c>
      <c r="R255" s="26" t="s">
        <v>692</v>
      </c>
      <c r="S255" s="27">
        <v>6666</v>
      </c>
      <c r="T255" s="28" t="s">
        <v>27</v>
      </c>
      <c r="U255" s="28" t="s">
        <v>28</v>
      </c>
      <c r="V255" s="28" t="s">
        <v>29</v>
      </c>
      <c r="W255" s="28" t="s">
        <v>45</v>
      </c>
    </row>
    <row r="256" spans="1:23" ht="15" customHeight="1" x14ac:dyDescent="0.25">
      <c r="A256" s="20" t="str">
        <f>VLOOKUP(F256,[1]CLIENTES!B:L,11,0)</f>
        <v>RODRIGO</v>
      </c>
      <c r="B256" s="20" t="s">
        <v>403</v>
      </c>
      <c r="C256" s="20">
        <v>46189</v>
      </c>
      <c r="D256" s="21" t="s">
        <v>21</v>
      </c>
      <c r="E256" s="21">
        <v>2356</v>
      </c>
      <c r="F256" s="21">
        <v>5004685</v>
      </c>
      <c r="G256" s="21">
        <v>110434</v>
      </c>
      <c r="H256" s="21" t="s">
        <v>116</v>
      </c>
      <c r="I256" s="21" t="s">
        <v>23</v>
      </c>
      <c r="J256" s="21">
        <v>6125</v>
      </c>
      <c r="K256" s="21">
        <v>692</v>
      </c>
      <c r="L256" s="22">
        <v>93</v>
      </c>
      <c r="M256" s="23" t="s">
        <v>414</v>
      </c>
      <c r="N256" s="24" t="s">
        <v>25</v>
      </c>
      <c r="O256" s="25">
        <v>46204</v>
      </c>
      <c r="P256" s="21" t="s">
        <v>398</v>
      </c>
      <c r="Q256" s="21" t="s">
        <v>49</v>
      </c>
      <c r="R256" s="26" t="s">
        <v>402</v>
      </c>
      <c r="S256" s="27">
        <v>14946.22</v>
      </c>
      <c r="T256" s="28" t="s">
        <v>27</v>
      </c>
      <c r="U256" s="28" t="s">
        <v>28</v>
      </c>
      <c r="V256" s="28" t="s">
        <v>29</v>
      </c>
      <c r="W256" s="28" t="s">
        <v>338</v>
      </c>
    </row>
    <row r="257" spans="1:23" ht="15" customHeight="1" x14ac:dyDescent="0.25">
      <c r="A257" s="20" t="str">
        <f>VLOOKUP(F257,[1]CLIENTES!B:L,11,0)</f>
        <v>RODRIGO</v>
      </c>
      <c r="B257" s="20" t="s">
        <v>403</v>
      </c>
      <c r="C257" s="20">
        <v>46189</v>
      </c>
      <c r="D257" s="21" t="s">
        <v>21</v>
      </c>
      <c r="E257" s="21">
        <v>2369</v>
      </c>
      <c r="F257" s="21">
        <v>5217293</v>
      </c>
      <c r="G257" s="21">
        <v>145966</v>
      </c>
      <c r="H257" s="21" t="s">
        <v>86</v>
      </c>
      <c r="I257" s="21" t="s">
        <v>23</v>
      </c>
      <c r="J257" s="21">
        <v>6125</v>
      </c>
      <c r="K257" s="21">
        <v>692</v>
      </c>
      <c r="L257" s="22">
        <v>92</v>
      </c>
      <c r="M257" s="23" t="s">
        <v>415</v>
      </c>
      <c r="N257" s="24" t="s">
        <v>25</v>
      </c>
      <c r="O257" s="25">
        <v>46204</v>
      </c>
      <c r="P257" s="21" t="s">
        <v>398</v>
      </c>
      <c r="Q257" s="21" t="s">
        <v>26</v>
      </c>
      <c r="R257" s="26" t="s">
        <v>399</v>
      </c>
      <c r="S257" s="27">
        <v>2222.2199999999998</v>
      </c>
      <c r="T257" s="28" t="s">
        <v>27</v>
      </c>
      <c r="U257" s="28" t="s">
        <v>28</v>
      </c>
      <c r="V257" s="28" t="s">
        <v>29</v>
      </c>
      <c r="W257" s="28" t="s">
        <v>35</v>
      </c>
    </row>
    <row r="258" spans="1:23" ht="15" customHeight="1" x14ac:dyDescent="0.25">
      <c r="A258" s="20" t="str">
        <f>VLOOKUP(F258,[1]CLIENTES!B:L,11,0)</f>
        <v>RODRIGO</v>
      </c>
      <c r="B258" s="20" t="s">
        <v>403</v>
      </c>
      <c r="C258" s="20">
        <v>46191</v>
      </c>
      <c r="D258" s="21" t="s">
        <v>21</v>
      </c>
      <c r="E258" s="21">
        <v>2353</v>
      </c>
      <c r="F258" s="21">
        <v>5149985</v>
      </c>
      <c r="G258" s="21">
        <v>142628</v>
      </c>
      <c r="H258" s="21" t="s">
        <v>233</v>
      </c>
      <c r="I258" s="21" t="s">
        <v>23</v>
      </c>
      <c r="J258" s="21">
        <v>6125</v>
      </c>
      <c r="K258" s="21">
        <v>692</v>
      </c>
      <c r="L258" s="22">
        <v>92</v>
      </c>
      <c r="M258" s="23" t="s">
        <v>416</v>
      </c>
      <c r="N258" s="24" t="s">
        <v>25</v>
      </c>
      <c r="O258" s="25">
        <v>46204</v>
      </c>
      <c r="P258" s="21" t="s">
        <v>398</v>
      </c>
      <c r="Q258" s="21" t="s">
        <v>49</v>
      </c>
      <c r="R258" s="26" t="s">
        <v>400</v>
      </c>
      <c r="S258" s="27">
        <v>4775</v>
      </c>
      <c r="T258" s="28" t="s">
        <v>27</v>
      </c>
      <c r="U258" s="28" t="s">
        <v>28</v>
      </c>
      <c r="V258" s="28" t="s">
        <v>29</v>
      </c>
      <c r="W258" s="28" t="s">
        <v>52</v>
      </c>
    </row>
    <row r="259" spans="1:23" ht="15" customHeight="1" x14ac:dyDescent="0.25">
      <c r="A259" s="20" t="str">
        <f>VLOOKUP(F259,[1]CLIENTES!B:L,11,0)</f>
        <v>RODRIGO</v>
      </c>
      <c r="B259" s="20" t="s">
        <v>403</v>
      </c>
      <c r="C259" s="20">
        <v>46191</v>
      </c>
      <c r="D259" s="21" t="s">
        <v>21</v>
      </c>
      <c r="E259" s="21">
        <v>2363</v>
      </c>
      <c r="F259" s="21">
        <v>5261089</v>
      </c>
      <c r="G259" s="21">
        <v>190043</v>
      </c>
      <c r="H259" s="21" t="s">
        <v>361</v>
      </c>
      <c r="I259" s="21" t="s">
        <v>23</v>
      </c>
      <c r="J259" s="21">
        <v>6125</v>
      </c>
      <c r="K259" s="21">
        <v>692</v>
      </c>
      <c r="L259" s="22">
        <v>92</v>
      </c>
      <c r="M259" s="23" t="s">
        <v>417</v>
      </c>
      <c r="N259" s="24" t="s">
        <v>25</v>
      </c>
      <c r="O259" s="25">
        <v>46204</v>
      </c>
      <c r="P259" s="21" t="s">
        <v>398</v>
      </c>
      <c r="Q259" s="21" t="s">
        <v>49</v>
      </c>
      <c r="R259" s="26" t="s">
        <v>400</v>
      </c>
      <c r="S259" s="27">
        <v>345</v>
      </c>
      <c r="T259" s="28" t="s">
        <v>27</v>
      </c>
      <c r="U259" s="28" t="s">
        <v>28</v>
      </c>
      <c r="V259" s="28" t="s">
        <v>29</v>
      </c>
      <c r="W259" s="28" t="s">
        <v>52</v>
      </c>
    </row>
    <row r="260" spans="1:23" ht="15" customHeight="1" x14ac:dyDescent="0.25">
      <c r="A260" s="20" t="str">
        <f>VLOOKUP(F260,[1]CLIENTES!B:L,11,0)</f>
        <v>RODRIGO</v>
      </c>
      <c r="B260" s="20" t="s">
        <v>403</v>
      </c>
      <c r="C260" s="20">
        <v>46192</v>
      </c>
      <c r="D260" s="21" t="s">
        <v>21</v>
      </c>
      <c r="E260" s="21">
        <v>2377</v>
      </c>
      <c r="F260" s="21">
        <v>5109656</v>
      </c>
      <c r="G260" s="21">
        <v>133996</v>
      </c>
      <c r="H260" s="21" t="s">
        <v>418</v>
      </c>
      <c r="I260" s="21" t="s">
        <v>23</v>
      </c>
      <c r="J260" s="21">
        <v>6125</v>
      </c>
      <c r="K260" s="21">
        <v>692</v>
      </c>
      <c r="L260" s="22">
        <v>92</v>
      </c>
      <c r="M260" s="23" t="s">
        <v>419</v>
      </c>
      <c r="N260" s="24" t="s">
        <v>25</v>
      </c>
      <c r="O260" s="25">
        <v>46204</v>
      </c>
      <c r="P260" s="21" t="s">
        <v>398</v>
      </c>
      <c r="Q260" s="21" t="s">
        <v>420</v>
      </c>
      <c r="R260" s="26" t="s">
        <v>420</v>
      </c>
      <c r="S260" s="27">
        <v>10000</v>
      </c>
      <c r="T260" s="28" t="s">
        <v>27</v>
      </c>
      <c r="U260" s="28" t="s">
        <v>28</v>
      </c>
      <c r="V260" s="28" t="s">
        <v>29</v>
      </c>
      <c r="W260" s="28" t="s">
        <v>52</v>
      </c>
    </row>
    <row r="261" spans="1:23" ht="15" customHeight="1" x14ac:dyDescent="0.25">
      <c r="A261" s="20" t="str">
        <f>VLOOKUP(F261,[1]CLIENTES!B:L,11,0)</f>
        <v>RODRIGO</v>
      </c>
      <c r="B261" s="20" t="s">
        <v>403</v>
      </c>
      <c r="C261" s="20">
        <v>46192</v>
      </c>
      <c r="D261" s="21" t="s">
        <v>21</v>
      </c>
      <c r="E261" s="21">
        <v>2365</v>
      </c>
      <c r="F261" s="21">
        <v>5107112</v>
      </c>
      <c r="G261" s="21">
        <v>123370</v>
      </c>
      <c r="H261" s="21" t="s">
        <v>62</v>
      </c>
      <c r="I261" s="21" t="s">
        <v>23</v>
      </c>
      <c r="J261" s="21">
        <v>6125</v>
      </c>
      <c r="K261" s="21">
        <v>692</v>
      </c>
      <c r="L261" s="22">
        <v>93</v>
      </c>
      <c r="M261" s="23" t="s">
        <v>421</v>
      </c>
      <c r="N261" s="24" t="s">
        <v>25</v>
      </c>
      <c r="O261" s="25">
        <v>46204</v>
      </c>
      <c r="P261" s="21" t="s">
        <v>398</v>
      </c>
      <c r="Q261" s="21" t="s">
        <v>49</v>
      </c>
      <c r="R261" s="26" t="s">
        <v>400</v>
      </c>
      <c r="S261" s="27">
        <v>6600</v>
      </c>
      <c r="T261" s="28" t="s">
        <v>27</v>
      </c>
      <c r="U261" s="28" t="s">
        <v>28</v>
      </c>
      <c r="V261" s="28" t="s">
        <v>29</v>
      </c>
      <c r="W261" s="28" t="s">
        <v>52</v>
      </c>
    </row>
    <row r="262" spans="1:23" ht="15" customHeight="1" x14ac:dyDescent="0.25">
      <c r="A262" s="20" t="str">
        <f>VLOOKUP(F262,[1]CLIENTES!B:L,11,0)</f>
        <v>RODRIGO</v>
      </c>
      <c r="B262" s="20" t="s">
        <v>403</v>
      </c>
      <c r="C262" s="20">
        <v>46195</v>
      </c>
      <c r="D262" s="21" t="s">
        <v>21</v>
      </c>
      <c r="E262" s="21">
        <v>2378</v>
      </c>
      <c r="F262" s="21">
        <v>5020319</v>
      </c>
      <c r="G262" s="21">
        <v>110315</v>
      </c>
      <c r="H262" s="21" t="s">
        <v>112</v>
      </c>
      <c r="I262" s="21" t="s">
        <v>113</v>
      </c>
      <c r="J262" s="21">
        <v>6127</v>
      </c>
      <c r="K262" s="21">
        <v>682</v>
      </c>
      <c r="L262" s="22">
        <v>92</v>
      </c>
      <c r="M262" s="23" t="s">
        <v>422</v>
      </c>
      <c r="N262" s="24" t="s">
        <v>25</v>
      </c>
      <c r="O262" s="25">
        <v>46204</v>
      </c>
      <c r="P262" s="21" t="s">
        <v>398</v>
      </c>
      <c r="Q262" s="21" t="s">
        <v>43</v>
      </c>
      <c r="R262" s="26" t="s">
        <v>692</v>
      </c>
      <c r="S262" s="27">
        <v>12000</v>
      </c>
      <c r="T262" s="28" t="s">
        <v>27</v>
      </c>
      <c r="U262" s="28" t="s">
        <v>28</v>
      </c>
      <c r="V262" s="28" t="s">
        <v>29</v>
      </c>
      <c r="W262" s="28" t="s">
        <v>52</v>
      </c>
    </row>
    <row r="263" spans="1:23" ht="15" customHeight="1" x14ac:dyDescent="0.25">
      <c r="A263" s="20" t="str">
        <f>VLOOKUP(F263,[1]CLIENTES!B:L,11,0)</f>
        <v>RODRIGO</v>
      </c>
      <c r="B263" s="20" t="s">
        <v>403</v>
      </c>
      <c r="C263" s="20">
        <v>46196</v>
      </c>
      <c r="D263" s="21" t="s">
        <v>21</v>
      </c>
      <c r="E263" s="21">
        <v>2593</v>
      </c>
      <c r="F263" s="21">
        <v>5226805</v>
      </c>
      <c r="G263" s="21">
        <v>150155</v>
      </c>
      <c r="H263" s="21" t="s">
        <v>86</v>
      </c>
      <c r="I263" s="21" t="s">
        <v>71</v>
      </c>
      <c r="J263" s="21" t="s">
        <v>72</v>
      </c>
      <c r="K263" s="21">
        <v>186</v>
      </c>
      <c r="L263" s="22">
        <v>92</v>
      </c>
      <c r="M263" s="23" t="s">
        <v>437</v>
      </c>
      <c r="N263" s="24" t="s">
        <v>25</v>
      </c>
      <c r="O263" s="25">
        <v>46204</v>
      </c>
      <c r="P263" s="21" t="s">
        <v>398</v>
      </c>
      <c r="Q263" s="21" t="s">
        <v>428</v>
      </c>
      <c r="R263" s="26" t="s">
        <v>431</v>
      </c>
      <c r="S263" s="27">
        <v>5000</v>
      </c>
      <c r="T263" s="28" t="s">
        <v>27</v>
      </c>
      <c r="U263" s="28" t="s">
        <v>28</v>
      </c>
      <c r="V263" s="28" t="s">
        <v>29</v>
      </c>
      <c r="W263" s="28" t="s">
        <v>35</v>
      </c>
    </row>
    <row r="264" spans="1:23" ht="15" customHeight="1" x14ac:dyDescent="0.25">
      <c r="A264" s="20" t="str">
        <f>VLOOKUP(F264,[1]CLIENTES!B:L,11,0)</f>
        <v>RODRIGO</v>
      </c>
      <c r="B264" s="20" t="s">
        <v>403</v>
      </c>
      <c r="C264" s="20">
        <v>46196</v>
      </c>
      <c r="D264" s="21" t="s">
        <v>21</v>
      </c>
      <c r="E264" s="21">
        <v>2594</v>
      </c>
      <c r="F264" s="21">
        <v>5366274</v>
      </c>
      <c r="G264" s="21">
        <v>193277</v>
      </c>
      <c r="H264" s="21" t="s">
        <v>351</v>
      </c>
      <c r="I264" s="21" t="s">
        <v>71</v>
      </c>
      <c r="J264" s="21" t="s">
        <v>72</v>
      </c>
      <c r="K264" s="21">
        <v>186</v>
      </c>
      <c r="L264" s="22">
        <v>92</v>
      </c>
      <c r="M264" s="23" t="s">
        <v>438</v>
      </c>
      <c r="N264" s="24" t="s">
        <v>25</v>
      </c>
      <c r="O264" s="25">
        <v>46204</v>
      </c>
      <c r="P264" s="21" t="s">
        <v>398</v>
      </c>
      <c r="Q264" s="21" t="s">
        <v>428</v>
      </c>
      <c r="R264" s="26" t="s">
        <v>430</v>
      </c>
      <c r="S264" s="27">
        <v>3178</v>
      </c>
      <c r="T264" s="28" t="s">
        <v>27</v>
      </c>
      <c r="U264" s="28" t="s">
        <v>28</v>
      </c>
      <c r="V264" s="28" t="s">
        <v>29</v>
      </c>
      <c r="W264" s="28" t="s">
        <v>45</v>
      </c>
    </row>
    <row r="265" spans="1:23" ht="15" customHeight="1" x14ac:dyDescent="0.25">
      <c r="A265" s="20" t="str">
        <f>VLOOKUP(F265,[1]CLIENTES!B:L,11,0)</f>
        <v>RODRIGO</v>
      </c>
      <c r="B265" s="20" t="s">
        <v>403</v>
      </c>
      <c r="C265" s="20">
        <v>46196</v>
      </c>
      <c r="D265" s="21" t="s">
        <v>21</v>
      </c>
      <c r="E265" s="21">
        <v>2593</v>
      </c>
      <c r="F265" s="21">
        <v>5226805</v>
      </c>
      <c r="G265" s="21">
        <v>150155</v>
      </c>
      <c r="H265" s="21" t="s">
        <v>86</v>
      </c>
      <c r="I265" s="21" t="s">
        <v>71</v>
      </c>
      <c r="J265" s="21" t="s">
        <v>72</v>
      </c>
      <c r="K265" s="21">
        <v>186</v>
      </c>
      <c r="L265" s="22">
        <v>92</v>
      </c>
      <c r="M265" s="23" t="s">
        <v>439</v>
      </c>
      <c r="N265" s="24" t="s">
        <v>25</v>
      </c>
      <c r="O265" s="25">
        <v>46204</v>
      </c>
      <c r="P265" s="21" t="s">
        <v>398</v>
      </c>
      <c r="Q265" s="21" t="s">
        <v>428</v>
      </c>
      <c r="R265" s="26" t="s">
        <v>431</v>
      </c>
      <c r="S265" s="27">
        <v>5150</v>
      </c>
      <c r="T265" s="28" t="s">
        <v>27</v>
      </c>
      <c r="U265" s="28" t="s">
        <v>28</v>
      </c>
      <c r="V265" s="28" t="s">
        <v>29</v>
      </c>
      <c r="W265" s="28" t="s">
        <v>35</v>
      </c>
    </row>
    <row r="266" spans="1:23" ht="15" customHeight="1" x14ac:dyDescent="0.25">
      <c r="A266" s="20" t="str">
        <f>VLOOKUP(F266,[1]CLIENTES!B:L,11,0)</f>
        <v>RODRIGO</v>
      </c>
      <c r="B266" s="20" t="s">
        <v>403</v>
      </c>
      <c r="C266" s="20">
        <v>46196</v>
      </c>
      <c r="D266" s="21" t="s">
        <v>21</v>
      </c>
      <c r="E266" s="21">
        <v>2593</v>
      </c>
      <c r="F266" s="21">
        <v>5226805</v>
      </c>
      <c r="G266" s="21">
        <v>150155</v>
      </c>
      <c r="H266" s="21" t="s">
        <v>86</v>
      </c>
      <c r="I266" s="21" t="s">
        <v>71</v>
      </c>
      <c r="J266" s="21" t="s">
        <v>72</v>
      </c>
      <c r="K266" s="21">
        <v>186</v>
      </c>
      <c r="L266" s="22">
        <v>92</v>
      </c>
      <c r="M266" s="23" t="s">
        <v>440</v>
      </c>
      <c r="N266" s="24" t="s">
        <v>25</v>
      </c>
      <c r="O266" s="25">
        <v>46204</v>
      </c>
      <c r="P266" s="21" t="s">
        <v>398</v>
      </c>
      <c r="Q266" s="21" t="s">
        <v>428</v>
      </c>
      <c r="R266" s="26" t="s">
        <v>431</v>
      </c>
      <c r="S266" s="27">
        <v>2000</v>
      </c>
      <c r="T266" s="28" t="s">
        <v>27</v>
      </c>
      <c r="U266" s="28" t="s">
        <v>28</v>
      </c>
      <c r="V266" s="28" t="s">
        <v>29</v>
      </c>
      <c r="W266" s="28" t="s">
        <v>52</v>
      </c>
    </row>
    <row r="267" spans="1:23" ht="15" customHeight="1" x14ac:dyDescent="0.25">
      <c r="A267" s="20" t="str">
        <f>VLOOKUP(F267,[1]CLIENTES!B:L,11,0)</f>
        <v>RODRIGO</v>
      </c>
      <c r="B267" s="20" t="s">
        <v>403</v>
      </c>
      <c r="C267" s="20">
        <v>46196</v>
      </c>
      <c r="D267" s="21" t="s">
        <v>21</v>
      </c>
      <c r="E267" s="21">
        <v>2594</v>
      </c>
      <c r="F267" s="21">
        <v>5366274</v>
      </c>
      <c r="G267" s="21">
        <v>193277</v>
      </c>
      <c r="H267" s="21" t="s">
        <v>351</v>
      </c>
      <c r="I267" s="21" t="s">
        <v>71</v>
      </c>
      <c r="J267" s="21" t="s">
        <v>72</v>
      </c>
      <c r="K267" s="21">
        <v>186</v>
      </c>
      <c r="L267" s="22">
        <v>92</v>
      </c>
      <c r="M267" s="23" t="s">
        <v>441</v>
      </c>
      <c r="N267" s="24" t="s">
        <v>25</v>
      </c>
      <c r="O267" s="25">
        <v>46204</v>
      </c>
      <c r="P267" s="21" t="s">
        <v>398</v>
      </c>
      <c r="Q267" s="21" t="s">
        <v>428</v>
      </c>
      <c r="R267" s="26" t="s">
        <v>430</v>
      </c>
      <c r="S267" s="27">
        <v>2124.75</v>
      </c>
      <c r="T267" s="28" t="s">
        <v>27</v>
      </c>
      <c r="U267" s="28" t="s">
        <v>28</v>
      </c>
      <c r="V267" s="28" t="s">
        <v>29</v>
      </c>
      <c r="W267" s="28" t="s">
        <v>97</v>
      </c>
    </row>
    <row r="268" spans="1:23" ht="15" customHeight="1" x14ac:dyDescent="0.25">
      <c r="A268" s="20" t="str">
        <f>VLOOKUP(F268,[1]CLIENTES!B:L,11,0)</f>
        <v>RODRIGO</v>
      </c>
      <c r="B268" s="20" t="s">
        <v>403</v>
      </c>
      <c r="C268" s="20">
        <v>46196</v>
      </c>
      <c r="D268" s="21" t="s">
        <v>21</v>
      </c>
      <c r="E268" s="21">
        <v>2603</v>
      </c>
      <c r="F268" s="21">
        <v>5115189</v>
      </c>
      <c r="G268" s="21">
        <v>129296</v>
      </c>
      <c r="H268" s="21" t="s">
        <v>68</v>
      </c>
      <c r="I268" s="21" t="s">
        <v>54</v>
      </c>
      <c r="J268" s="21" t="s">
        <v>55</v>
      </c>
      <c r="K268" s="21">
        <v>191</v>
      </c>
      <c r="L268" s="22">
        <v>92</v>
      </c>
      <c r="M268" s="23" t="s">
        <v>442</v>
      </c>
      <c r="N268" s="24" t="s">
        <v>25</v>
      </c>
      <c r="O268" s="25">
        <v>46204</v>
      </c>
      <c r="P268" s="21" t="s">
        <v>398</v>
      </c>
      <c r="Q268" s="21" t="s">
        <v>57</v>
      </c>
      <c r="R268" s="26" t="s">
        <v>401</v>
      </c>
      <c r="S268" s="27">
        <v>11666.66</v>
      </c>
      <c r="T268" s="28" t="s">
        <v>27</v>
      </c>
      <c r="U268" s="28" t="s">
        <v>28</v>
      </c>
      <c r="V268" s="28" t="s">
        <v>29</v>
      </c>
      <c r="W268" s="28" t="s">
        <v>35</v>
      </c>
    </row>
    <row r="269" spans="1:23" ht="15" customHeight="1" x14ac:dyDescent="0.25">
      <c r="A269" s="20" t="str">
        <f>VLOOKUP(F269,[1]CLIENTES!B:L,11,0)</f>
        <v>RODRIGO</v>
      </c>
      <c r="B269" s="20" t="s">
        <v>403</v>
      </c>
      <c r="C269" s="20">
        <v>46196</v>
      </c>
      <c r="D269" s="21" t="s">
        <v>21</v>
      </c>
      <c r="E269" s="21">
        <v>2603</v>
      </c>
      <c r="F269" s="21">
        <v>5115189</v>
      </c>
      <c r="G269" s="21">
        <v>129296</v>
      </c>
      <c r="H269" s="21" t="s">
        <v>68</v>
      </c>
      <c r="I269" s="21" t="s">
        <v>54</v>
      </c>
      <c r="J269" s="21" t="s">
        <v>55</v>
      </c>
      <c r="K269" s="21">
        <v>191</v>
      </c>
      <c r="L269" s="22">
        <v>92</v>
      </c>
      <c r="M269" s="23" t="s">
        <v>443</v>
      </c>
      <c r="N269" s="24" t="s">
        <v>25</v>
      </c>
      <c r="O269" s="25">
        <v>46204</v>
      </c>
      <c r="P269" s="21" t="s">
        <v>398</v>
      </c>
      <c r="Q269" s="21" t="s">
        <v>57</v>
      </c>
      <c r="R269" s="26" t="s">
        <v>401</v>
      </c>
      <c r="S269" s="27">
        <v>4350.7</v>
      </c>
      <c r="T269" s="28" t="s">
        <v>27</v>
      </c>
      <c r="U269" s="28" t="s">
        <v>28</v>
      </c>
      <c r="V269" s="28" t="s">
        <v>29</v>
      </c>
      <c r="W269" s="28" t="s">
        <v>52</v>
      </c>
    </row>
    <row r="270" spans="1:23" ht="15" customHeight="1" x14ac:dyDescent="0.25">
      <c r="A270" s="20" t="str">
        <f>VLOOKUP(F270,[1]CLIENTES!B:L,11,0)</f>
        <v>RODRIGO</v>
      </c>
      <c r="B270" s="20" t="s">
        <v>403</v>
      </c>
      <c r="C270" s="20">
        <v>46196</v>
      </c>
      <c r="D270" s="21" t="s">
        <v>21</v>
      </c>
      <c r="E270" s="21">
        <v>2366</v>
      </c>
      <c r="F270" s="21">
        <v>5223419</v>
      </c>
      <c r="G270" s="21">
        <v>146094</v>
      </c>
      <c r="H270" s="21" t="s">
        <v>265</v>
      </c>
      <c r="I270" s="21" t="s">
        <v>266</v>
      </c>
      <c r="J270" s="21">
        <v>6123</v>
      </c>
      <c r="K270" s="21">
        <v>607</v>
      </c>
      <c r="L270" s="22">
        <v>93</v>
      </c>
      <c r="M270" s="23" t="s">
        <v>444</v>
      </c>
      <c r="N270" s="24" t="s">
        <v>25</v>
      </c>
      <c r="O270" s="25">
        <v>46204</v>
      </c>
      <c r="P270" s="21" t="s">
        <v>398</v>
      </c>
      <c r="Q270" s="21" t="s">
        <v>57</v>
      </c>
      <c r="R270" s="26" t="s">
        <v>427</v>
      </c>
      <c r="S270" s="27">
        <v>3000</v>
      </c>
      <c r="T270" s="28" t="s">
        <v>27</v>
      </c>
      <c r="U270" s="28" t="s">
        <v>28</v>
      </c>
      <c r="V270" s="28" t="s">
        <v>29</v>
      </c>
      <c r="W270" s="28" t="s">
        <v>52</v>
      </c>
    </row>
    <row r="271" spans="1:23" ht="15" customHeight="1" x14ac:dyDescent="0.25">
      <c r="A271" s="20" t="str">
        <f>VLOOKUP(F271,[1]CLIENTES!B:L,11,0)</f>
        <v>RODRIGO</v>
      </c>
      <c r="B271" s="20" t="s">
        <v>403</v>
      </c>
      <c r="C271" s="20">
        <v>46196</v>
      </c>
      <c r="D271" s="21" t="s">
        <v>21</v>
      </c>
      <c r="E271" s="21">
        <v>2598</v>
      </c>
      <c r="F271" s="21">
        <v>5186266</v>
      </c>
      <c r="G271" s="21">
        <v>142707</v>
      </c>
      <c r="H271" s="21" t="s">
        <v>212</v>
      </c>
      <c r="I271" s="21" t="s">
        <v>213</v>
      </c>
      <c r="J271" s="21" t="s">
        <v>214</v>
      </c>
      <c r="K271" s="21">
        <v>197</v>
      </c>
      <c r="L271" s="22">
        <v>92</v>
      </c>
      <c r="M271" s="23" t="s">
        <v>445</v>
      </c>
      <c r="N271" s="24" t="s">
        <v>25</v>
      </c>
      <c r="O271" s="25">
        <v>46204</v>
      </c>
      <c r="P271" s="21" t="s">
        <v>398</v>
      </c>
      <c r="Q271" s="21" t="s">
        <v>57</v>
      </c>
      <c r="R271" s="26" t="s">
        <v>427</v>
      </c>
      <c r="S271" s="27">
        <v>2500</v>
      </c>
      <c r="T271" s="28" t="s">
        <v>27</v>
      </c>
      <c r="U271" s="28" t="s">
        <v>28</v>
      </c>
      <c r="V271" s="28" t="s">
        <v>29</v>
      </c>
      <c r="W271" s="28" t="s">
        <v>52</v>
      </c>
    </row>
    <row r="272" spans="1:23" ht="15" customHeight="1" x14ac:dyDescent="0.25">
      <c r="A272" s="20" t="str">
        <f>VLOOKUP(F272,[1]CLIENTES!B:L,11,0)</f>
        <v>RODRIGO</v>
      </c>
      <c r="B272" s="20" t="s">
        <v>403</v>
      </c>
      <c r="C272" s="20">
        <v>46196</v>
      </c>
      <c r="D272" s="21" t="s">
        <v>21</v>
      </c>
      <c r="E272" s="21">
        <v>2379</v>
      </c>
      <c r="F272" s="21">
        <v>5141420</v>
      </c>
      <c r="G272" s="21">
        <v>129963</v>
      </c>
      <c r="H272" s="21" t="s">
        <v>374</v>
      </c>
      <c r="I272" s="21" t="s">
        <v>266</v>
      </c>
      <c r="J272" s="21">
        <v>6123</v>
      </c>
      <c r="K272" s="21">
        <v>607</v>
      </c>
      <c r="L272" s="22">
        <v>93</v>
      </c>
      <c r="M272" s="23" t="s">
        <v>446</v>
      </c>
      <c r="N272" s="24" t="s">
        <v>25</v>
      </c>
      <c r="O272" s="25">
        <v>46204</v>
      </c>
      <c r="P272" s="21" t="s">
        <v>398</v>
      </c>
      <c r="Q272" s="21" t="s">
        <v>57</v>
      </c>
      <c r="R272" s="26" t="s">
        <v>427</v>
      </c>
      <c r="S272" s="27">
        <v>5500</v>
      </c>
      <c r="T272" s="28" t="s">
        <v>27</v>
      </c>
      <c r="U272" s="28" t="s">
        <v>28</v>
      </c>
      <c r="V272" s="28" t="s">
        <v>29</v>
      </c>
      <c r="W272" s="28" t="s">
        <v>52</v>
      </c>
    </row>
    <row r="273" spans="1:23" ht="15" customHeight="1" x14ac:dyDescent="0.25">
      <c r="A273" s="20" t="str">
        <f>VLOOKUP(F273,[1]CLIENTES!B:L,11,0)</f>
        <v>RODRIGO</v>
      </c>
      <c r="B273" s="20" t="s">
        <v>403</v>
      </c>
      <c r="C273" s="20">
        <v>46196</v>
      </c>
      <c r="D273" s="21" t="s">
        <v>21</v>
      </c>
      <c r="E273" s="21">
        <v>2595</v>
      </c>
      <c r="F273" s="21">
        <v>5019245</v>
      </c>
      <c r="G273" s="21">
        <v>145028</v>
      </c>
      <c r="H273" s="21" t="s">
        <v>312</v>
      </c>
      <c r="I273" s="21" t="s">
        <v>54</v>
      </c>
      <c r="J273" s="21" t="s">
        <v>55</v>
      </c>
      <c r="K273" s="21">
        <v>191</v>
      </c>
      <c r="L273" s="22">
        <v>92</v>
      </c>
      <c r="M273" s="23" t="s">
        <v>447</v>
      </c>
      <c r="N273" s="24" t="s">
        <v>25</v>
      </c>
      <c r="O273" s="25">
        <v>46204</v>
      </c>
      <c r="P273" s="21" t="s">
        <v>398</v>
      </c>
      <c r="Q273" s="21" t="s">
        <v>57</v>
      </c>
      <c r="R273" s="26" t="s">
        <v>427</v>
      </c>
      <c r="S273" s="27">
        <v>200</v>
      </c>
      <c r="T273" s="28" t="s">
        <v>27</v>
      </c>
      <c r="U273" s="28" t="s">
        <v>28</v>
      </c>
      <c r="V273" s="28" t="s">
        <v>29</v>
      </c>
      <c r="W273" s="28" t="s">
        <v>52</v>
      </c>
    </row>
    <row r="274" spans="1:23" ht="15" customHeight="1" x14ac:dyDescent="0.25">
      <c r="A274" s="20" t="str">
        <f>VLOOKUP(F274,[1]CLIENTES!B:L,11,0)</f>
        <v>RODRIGO</v>
      </c>
      <c r="B274" s="20" t="s">
        <v>403</v>
      </c>
      <c r="C274" s="20">
        <v>46198</v>
      </c>
      <c r="D274" s="21" t="s">
        <v>21</v>
      </c>
      <c r="E274" s="21">
        <v>2354</v>
      </c>
      <c r="F274" s="21">
        <v>5040108</v>
      </c>
      <c r="G274" s="21">
        <v>123355</v>
      </c>
      <c r="H274" s="21" t="s">
        <v>93</v>
      </c>
      <c r="I274" s="21" t="s">
        <v>37</v>
      </c>
      <c r="J274" s="21">
        <v>6169</v>
      </c>
      <c r="K274" s="21">
        <v>689</v>
      </c>
      <c r="L274" s="22">
        <v>92</v>
      </c>
      <c r="M274" s="23" t="s">
        <v>448</v>
      </c>
      <c r="N274" s="24" t="s">
        <v>25</v>
      </c>
      <c r="O274" s="25">
        <v>46204</v>
      </c>
      <c r="P274" s="21" t="s">
        <v>398</v>
      </c>
      <c r="Q274" s="21" t="s">
        <v>423</v>
      </c>
      <c r="R274" s="26" t="s">
        <v>427</v>
      </c>
      <c r="S274" s="27">
        <v>10000</v>
      </c>
      <c r="T274" s="28" t="s">
        <v>27</v>
      </c>
      <c r="U274" s="28" t="s">
        <v>28</v>
      </c>
      <c r="V274" s="28" t="s">
        <v>29</v>
      </c>
      <c r="W274" s="28" t="s">
        <v>52</v>
      </c>
    </row>
    <row r="275" spans="1:23" ht="15" customHeight="1" x14ac:dyDescent="0.25">
      <c r="A275" s="20" t="str">
        <f>VLOOKUP(F275,[1]CLIENTES!B:L,11,0)</f>
        <v>RODRIGO</v>
      </c>
      <c r="B275" s="20" t="s">
        <v>403</v>
      </c>
      <c r="C275" s="20">
        <v>46198</v>
      </c>
      <c r="D275" s="21" t="s">
        <v>21</v>
      </c>
      <c r="E275" s="21">
        <v>2364</v>
      </c>
      <c r="F275" s="21">
        <v>5115019</v>
      </c>
      <c r="G275" s="21">
        <v>123456</v>
      </c>
      <c r="H275" s="21" t="s">
        <v>36</v>
      </c>
      <c r="I275" s="21" t="s">
        <v>37</v>
      </c>
      <c r="J275" s="21">
        <v>6169</v>
      </c>
      <c r="K275" s="21">
        <v>689</v>
      </c>
      <c r="L275" s="22">
        <v>92</v>
      </c>
      <c r="M275" s="23" t="s">
        <v>449</v>
      </c>
      <c r="N275" s="24" t="s">
        <v>25</v>
      </c>
      <c r="O275" s="25">
        <v>46204</v>
      </c>
      <c r="P275" s="21" t="s">
        <v>398</v>
      </c>
      <c r="Q275" s="21" t="s">
        <v>423</v>
      </c>
      <c r="R275" s="26" t="s">
        <v>425</v>
      </c>
      <c r="S275" s="27">
        <v>45000</v>
      </c>
      <c r="T275" s="28" t="s">
        <v>27</v>
      </c>
      <c r="U275" s="28" t="s">
        <v>28</v>
      </c>
      <c r="V275" s="28" t="s">
        <v>29</v>
      </c>
      <c r="W275" s="28" t="s">
        <v>52</v>
      </c>
    </row>
    <row r="276" spans="1:23" ht="15" customHeight="1" x14ac:dyDescent="0.25">
      <c r="A276" s="20" t="str">
        <f>VLOOKUP(F276,[1]CLIENTES!B:L,11,0)</f>
        <v>RODRIGO</v>
      </c>
      <c r="B276" s="20" t="s">
        <v>403</v>
      </c>
      <c r="C276" s="20">
        <v>46198</v>
      </c>
      <c r="D276" s="21" t="s">
        <v>21</v>
      </c>
      <c r="E276" s="21">
        <v>2607</v>
      </c>
      <c r="F276" s="21">
        <v>5231303</v>
      </c>
      <c r="G276" s="21">
        <v>167018</v>
      </c>
      <c r="H276" s="21" t="s">
        <v>104</v>
      </c>
      <c r="I276" s="21" t="s">
        <v>37</v>
      </c>
      <c r="J276" s="21" t="s">
        <v>105</v>
      </c>
      <c r="K276" s="21">
        <v>189</v>
      </c>
      <c r="L276" s="22">
        <v>93</v>
      </c>
      <c r="M276" s="23" t="s">
        <v>450</v>
      </c>
      <c r="N276" s="24" t="s">
        <v>25</v>
      </c>
      <c r="O276" s="25">
        <v>46204</v>
      </c>
      <c r="P276" s="21" t="s">
        <v>398</v>
      </c>
      <c r="Q276" s="21" t="s">
        <v>423</v>
      </c>
      <c r="R276" s="26" t="s">
        <v>432</v>
      </c>
      <c r="S276" s="27">
        <v>10000</v>
      </c>
      <c r="T276" s="28" t="s">
        <v>27</v>
      </c>
      <c r="U276" s="28" t="s">
        <v>28</v>
      </c>
      <c r="V276" s="28" t="s">
        <v>29</v>
      </c>
      <c r="W276" s="28" t="s">
        <v>52</v>
      </c>
    </row>
    <row r="277" spans="1:23" ht="15" customHeight="1" x14ac:dyDescent="0.25">
      <c r="A277" s="20" t="str">
        <f>VLOOKUP(F277,[1]CLIENTES!B:L,11,0)</f>
        <v>RODRIGO</v>
      </c>
      <c r="B277" s="20" t="s">
        <v>403</v>
      </c>
      <c r="C277" s="20">
        <v>46198</v>
      </c>
      <c r="D277" s="21" t="s">
        <v>21</v>
      </c>
      <c r="E277" s="21">
        <v>2355</v>
      </c>
      <c r="F277" s="21">
        <v>5017576</v>
      </c>
      <c r="G277" s="21">
        <v>116132</v>
      </c>
      <c r="H277" s="21" t="s">
        <v>31</v>
      </c>
      <c r="I277" s="21" t="s">
        <v>32</v>
      </c>
      <c r="J277" s="21">
        <v>6169</v>
      </c>
      <c r="K277" s="21">
        <v>690</v>
      </c>
      <c r="L277" s="22">
        <v>92</v>
      </c>
      <c r="M277" s="23" t="s">
        <v>451</v>
      </c>
      <c r="N277" s="24" t="s">
        <v>25</v>
      </c>
      <c r="O277" s="25">
        <v>46204</v>
      </c>
      <c r="P277" s="21" t="s">
        <v>398</v>
      </c>
      <c r="Q277" s="21" t="s">
        <v>423</v>
      </c>
      <c r="R277" s="26" t="s">
        <v>424</v>
      </c>
      <c r="S277" s="27">
        <v>10000</v>
      </c>
      <c r="T277" s="28" t="s">
        <v>27</v>
      </c>
      <c r="U277" s="28" t="s">
        <v>28</v>
      </c>
      <c r="V277" s="28" t="s">
        <v>29</v>
      </c>
      <c r="W277" s="28" t="s">
        <v>35</v>
      </c>
    </row>
    <row r="278" spans="1:23" ht="15" customHeight="1" x14ac:dyDescent="0.25">
      <c r="A278" s="20" t="str">
        <f>VLOOKUP(F278,[1]CLIENTES!B:L,11,0)</f>
        <v>RODRIGO</v>
      </c>
      <c r="B278" s="20" t="s">
        <v>403</v>
      </c>
      <c r="C278" s="20">
        <v>46198</v>
      </c>
      <c r="D278" s="21" t="s">
        <v>21</v>
      </c>
      <c r="E278" s="21">
        <v>2355</v>
      </c>
      <c r="F278" s="21">
        <v>5017576</v>
      </c>
      <c r="G278" s="21">
        <v>116132</v>
      </c>
      <c r="H278" s="21" t="s">
        <v>31</v>
      </c>
      <c r="I278" s="21" t="s">
        <v>32</v>
      </c>
      <c r="J278" s="21">
        <v>6169</v>
      </c>
      <c r="K278" s="21">
        <v>690</v>
      </c>
      <c r="L278" s="22">
        <v>92</v>
      </c>
      <c r="M278" s="23" t="s">
        <v>452</v>
      </c>
      <c r="N278" s="24" t="s">
        <v>25</v>
      </c>
      <c r="O278" s="25">
        <v>46204</v>
      </c>
      <c r="P278" s="21" t="s">
        <v>398</v>
      </c>
      <c r="Q278" s="21" t="s">
        <v>423</v>
      </c>
      <c r="R278" s="26" t="s">
        <v>424</v>
      </c>
      <c r="S278" s="27">
        <v>9000</v>
      </c>
      <c r="T278" s="28" t="s">
        <v>27</v>
      </c>
      <c r="U278" s="28" t="s">
        <v>28</v>
      </c>
      <c r="V278" s="28" t="s">
        <v>29</v>
      </c>
      <c r="W278" s="28" t="s">
        <v>52</v>
      </c>
    </row>
    <row r="279" spans="1:23" ht="15" customHeight="1" x14ac:dyDescent="0.25">
      <c r="A279" s="20" t="str">
        <f>VLOOKUP(F279,[1]CLIENTES!B:L,11,0)</f>
        <v>RODRIGO</v>
      </c>
      <c r="B279" s="20" t="s">
        <v>403</v>
      </c>
      <c r="C279" s="20">
        <v>46198</v>
      </c>
      <c r="D279" s="21" t="s">
        <v>21</v>
      </c>
      <c r="E279" s="21">
        <v>2359</v>
      </c>
      <c r="F279" s="21">
        <v>5161469</v>
      </c>
      <c r="G279" s="21">
        <v>141489</v>
      </c>
      <c r="H279" s="21" t="s">
        <v>368</v>
      </c>
      <c r="I279" s="21" t="s">
        <v>37</v>
      </c>
      <c r="J279" s="21">
        <v>6169</v>
      </c>
      <c r="K279" s="21">
        <v>690</v>
      </c>
      <c r="L279" s="22">
        <v>92</v>
      </c>
      <c r="M279" s="23" t="s">
        <v>453</v>
      </c>
      <c r="N279" s="24" t="s">
        <v>25</v>
      </c>
      <c r="O279" s="25">
        <v>46204</v>
      </c>
      <c r="P279" s="21" t="s">
        <v>398</v>
      </c>
      <c r="Q279" s="21" t="s">
        <v>423</v>
      </c>
      <c r="R279" s="26" t="s">
        <v>432</v>
      </c>
      <c r="S279" s="27">
        <v>1500</v>
      </c>
      <c r="T279" s="28" t="s">
        <v>27</v>
      </c>
      <c r="U279" s="28" t="s">
        <v>28</v>
      </c>
      <c r="V279" s="28" t="s">
        <v>29</v>
      </c>
      <c r="W279" s="28" t="s">
        <v>52</v>
      </c>
    </row>
    <row r="280" spans="1:23" ht="15" customHeight="1" x14ac:dyDescent="0.25">
      <c r="A280" s="20" t="str">
        <f>VLOOKUP(F280,[1]CLIENTES!B:L,11,0)</f>
        <v>RODRIGO</v>
      </c>
      <c r="B280" s="20" t="s">
        <v>403</v>
      </c>
      <c r="C280" s="20">
        <v>46198</v>
      </c>
      <c r="D280" s="21" t="s">
        <v>21</v>
      </c>
      <c r="E280" s="21">
        <v>2372</v>
      </c>
      <c r="F280" s="21">
        <v>5020347</v>
      </c>
      <c r="G280" s="21">
        <v>112787</v>
      </c>
      <c r="H280" s="21" t="s">
        <v>129</v>
      </c>
      <c r="I280" s="21" t="s">
        <v>23</v>
      </c>
      <c r="J280" s="21">
        <v>6125</v>
      </c>
      <c r="K280" s="21">
        <v>692</v>
      </c>
      <c r="L280" s="22">
        <v>92</v>
      </c>
      <c r="M280" s="23" t="s">
        <v>454</v>
      </c>
      <c r="N280" s="24" t="s">
        <v>25</v>
      </c>
      <c r="O280" s="25">
        <v>46204</v>
      </c>
      <c r="P280" s="21" t="s">
        <v>398</v>
      </c>
      <c r="Q280" s="21" t="s">
        <v>49</v>
      </c>
      <c r="R280" s="26" t="s">
        <v>400</v>
      </c>
      <c r="S280" s="27">
        <v>15036</v>
      </c>
      <c r="T280" s="28" t="s">
        <v>27</v>
      </c>
      <c r="U280" s="28" t="s">
        <v>28</v>
      </c>
      <c r="V280" s="28" t="s">
        <v>29</v>
      </c>
      <c r="W280" s="28" t="s">
        <v>52</v>
      </c>
    </row>
    <row r="281" spans="1:23" ht="15" customHeight="1" x14ac:dyDescent="0.25">
      <c r="A281" s="20" t="str">
        <f>VLOOKUP(F281,[1]CLIENTES!B:L,11,0)</f>
        <v>RODRIGO</v>
      </c>
      <c r="B281" s="20" t="s">
        <v>403</v>
      </c>
      <c r="C281" s="20">
        <v>46198</v>
      </c>
      <c r="D281" s="21" t="s">
        <v>21</v>
      </c>
      <c r="E281" s="21">
        <v>2372</v>
      </c>
      <c r="F281" s="21">
        <v>5020347</v>
      </c>
      <c r="G281" s="21">
        <v>112787</v>
      </c>
      <c r="H281" s="21" t="s">
        <v>129</v>
      </c>
      <c r="I281" s="21" t="s">
        <v>23</v>
      </c>
      <c r="J281" s="21">
        <v>6125</v>
      </c>
      <c r="K281" s="21">
        <v>692</v>
      </c>
      <c r="L281" s="22">
        <v>92</v>
      </c>
      <c r="M281" s="23" t="s">
        <v>455</v>
      </c>
      <c r="N281" s="24" t="s">
        <v>25</v>
      </c>
      <c r="O281" s="25">
        <v>46204</v>
      </c>
      <c r="P281" s="21" t="s">
        <v>398</v>
      </c>
      <c r="Q281" s="21" t="s">
        <v>49</v>
      </c>
      <c r="R281" s="26" t="s">
        <v>400</v>
      </c>
      <c r="S281" s="27">
        <v>5834</v>
      </c>
      <c r="T281" s="28" t="s">
        <v>27</v>
      </c>
      <c r="U281" s="28" t="s">
        <v>28</v>
      </c>
      <c r="V281" s="28" t="s">
        <v>29</v>
      </c>
      <c r="W281" s="28" t="s">
        <v>45</v>
      </c>
    </row>
    <row r="282" spans="1:23" ht="15" customHeight="1" x14ac:dyDescent="0.25">
      <c r="A282" s="20" t="str">
        <f>VLOOKUP(F282,[1]CLIENTES!B:L,11,0)</f>
        <v>RODRIGO</v>
      </c>
      <c r="B282" s="20" t="s">
        <v>403</v>
      </c>
      <c r="C282" s="20">
        <v>46198</v>
      </c>
      <c r="D282" s="21" t="s">
        <v>21</v>
      </c>
      <c r="E282" s="21">
        <v>2371</v>
      </c>
      <c r="F282" s="21">
        <v>5020352</v>
      </c>
      <c r="G282" s="21">
        <v>127298</v>
      </c>
      <c r="H282" s="21" t="s">
        <v>124</v>
      </c>
      <c r="I282" s="21" t="s">
        <v>23</v>
      </c>
      <c r="J282" s="21">
        <v>6125</v>
      </c>
      <c r="K282" s="21">
        <v>692</v>
      </c>
      <c r="L282" s="22">
        <v>92</v>
      </c>
      <c r="M282" s="23" t="s">
        <v>456</v>
      </c>
      <c r="N282" s="24" t="s">
        <v>25</v>
      </c>
      <c r="O282" s="25">
        <v>46204</v>
      </c>
      <c r="P282" s="21" t="s">
        <v>398</v>
      </c>
      <c r="Q282" s="21" t="s">
        <v>49</v>
      </c>
      <c r="R282" s="26" t="s">
        <v>400</v>
      </c>
      <c r="S282" s="27">
        <v>6000</v>
      </c>
      <c r="T282" s="28" t="s">
        <v>27</v>
      </c>
      <c r="U282" s="28" t="s">
        <v>28</v>
      </c>
      <c r="V282" s="28" t="s">
        <v>29</v>
      </c>
      <c r="W282" s="28" t="s">
        <v>52</v>
      </c>
    </row>
    <row r="283" spans="1:23" ht="15" customHeight="1" x14ac:dyDescent="0.25">
      <c r="A283" s="20" t="str">
        <f>VLOOKUP(F283,[1]CLIENTES!B:L,11,0)</f>
        <v>RODRIGO</v>
      </c>
      <c r="B283" s="20" t="s">
        <v>403</v>
      </c>
      <c r="C283" s="20">
        <v>46198</v>
      </c>
      <c r="D283" s="21" t="s">
        <v>21</v>
      </c>
      <c r="E283" s="21">
        <v>2581</v>
      </c>
      <c r="F283" s="21">
        <v>5159222</v>
      </c>
      <c r="G283" s="21">
        <v>143312</v>
      </c>
      <c r="H283" s="21" t="s">
        <v>184</v>
      </c>
      <c r="I283" s="21" t="s">
        <v>71</v>
      </c>
      <c r="J283" s="21" t="s">
        <v>72</v>
      </c>
      <c r="K283" s="21">
        <v>186</v>
      </c>
      <c r="L283" s="22">
        <v>92</v>
      </c>
      <c r="M283" s="23" t="s">
        <v>457</v>
      </c>
      <c r="N283" s="24" t="s">
        <v>25</v>
      </c>
      <c r="O283" s="25">
        <v>46204</v>
      </c>
      <c r="P283" s="21" t="s">
        <v>398</v>
      </c>
      <c r="Q283" s="21" t="s">
        <v>428</v>
      </c>
      <c r="R283" s="26" t="s">
        <v>430</v>
      </c>
      <c r="S283" s="27">
        <v>1500</v>
      </c>
      <c r="T283" s="28" t="s">
        <v>27</v>
      </c>
      <c r="U283" s="28" t="s">
        <v>28</v>
      </c>
      <c r="V283" s="28" t="s">
        <v>29</v>
      </c>
      <c r="W283" s="28" t="s">
        <v>52</v>
      </c>
    </row>
    <row r="284" spans="1:23" ht="15" customHeight="1" x14ac:dyDescent="0.25">
      <c r="A284" s="20" t="str">
        <f>VLOOKUP(F284,[1]CLIENTES!B:L,11,0)</f>
        <v>RODRIGO</v>
      </c>
      <c r="B284" s="20" t="s">
        <v>403</v>
      </c>
      <c r="C284" s="20">
        <v>46198</v>
      </c>
      <c r="D284" s="21" t="s">
        <v>21</v>
      </c>
      <c r="E284" s="21">
        <v>2583</v>
      </c>
      <c r="F284" s="21">
        <v>5127060</v>
      </c>
      <c r="G284" s="21">
        <v>187971</v>
      </c>
      <c r="H284" s="21" t="s">
        <v>90</v>
      </c>
      <c r="I284" s="21" t="s">
        <v>71</v>
      </c>
      <c r="J284" s="21" t="s">
        <v>72</v>
      </c>
      <c r="K284" s="21">
        <v>186</v>
      </c>
      <c r="L284" s="22">
        <v>92</v>
      </c>
      <c r="M284" s="23" t="s">
        <v>458</v>
      </c>
      <c r="N284" s="24" t="s">
        <v>25</v>
      </c>
      <c r="O284" s="25">
        <v>46204</v>
      </c>
      <c r="P284" s="21" t="s">
        <v>398</v>
      </c>
      <c r="Q284" s="21" t="s">
        <v>428</v>
      </c>
      <c r="R284" s="26" t="s">
        <v>430</v>
      </c>
      <c r="S284" s="27">
        <v>1000</v>
      </c>
      <c r="T284" s="28" t="s">
        <v>27</v>
      </c>
      <c r="U284" s="28" t="s">
        <v>28</v>
      </c>
      <c r="V284" s="28" t="s">
        <v>29</v>
      </c>
      <c r="W284" s="28" t="s">
        <v>52</v>
      </c>
    </row>
    <row r="285" spans="1:23" ht="15" customHeight="1" x14ac:dyDescent="0.25">
      <c r="A285" s="20" t="str">
        <f>VLOOKUP(F285,[1]CLIENTES!B:L,11,0)</f>
        <v>RODRIGO</v>
      </c>
      <c r="B285" s="20" t="s">
        <v>403</v>
      </c>
      <c r="C285" s="20">
        <v>46198</v>
      </c>
      <c r="D285" s="21" t="s">
        <v>21</v>
      </c>
      <c r="E285" s="21">
        <v>2640</v>
      </c>
      <c r="F285" s="21">
        <v>5349287</v>
      </c>
      <c r="G285" s="21">
        <v>188861</v>
      </c>
      <c r="H285" s="21" t="s">
        <v>247</v>
      </c>
      <c r="I285" s="21" t="s">
        <v>71</v>
      </c>
      <c r="J285" s="21" t="s">
        <v>72</v>
      </c>
      <c r="K285" s="21">
        <v>186</v>
      </c>
      <c r="L285" s="22">
        <v>93</v>
      </c>
      <c r="M285" s="23" t="s">
        <v>459</v>
      </c>
      <c r="N285" s="24" t="s">
        <v>25</v>
      </c>
      <c r="O285" s="25">
        <v>46204</v>
      </c>
      <c r="P285" s="21" t="s">
        <v>398</v>
      </c>
      <c r="Q285" s="21" t="s">
        <v>428</v>
      </c>
      <c r="R285" s="26" t="s">
        <v>430</v>
      </c>
      <c r="S285" s="27">
        <v>300</v>
      </c>
      <c r="T285" s="28" t="s">
        <v>27</v>
      </c>
      <c r="U285" s="28" t="s">
        <v>28</v>
      </c>
      <c r="V285" s="28" t="s">
        <v>29</v>
      </c>
      <c r="W285" s="28" t="s">
        <v>52</v>
      </c>
    </row>
    <row r="286" spans="1:23" ht="15" customHeight="1" x14ac:dyDescent="0.25">
      <c r="A286" s="20" t="str">
        <f>VLOOKUP(F286,[1]CLIENTES!B:L,11,0)</f>
        <v>RODRIGO</v>
      </c>
      <c r="B286" s="20" t="s">
        <v>403</v>
      </c>
      <c r="C286" s="20">
        <v>46198</v>
      </c>
      <c r="D286" s="21" t="s">
        <v>21</v>
      </c>
      <c r="E286" s="21">
        <v>2594</v>
      </c>
      <c r="F286" s="21">
        <v>5366274</v>
      </c>
      <c r="G286" s="21">
        <v>193277</v>
      </c>
      <c r="H286" s="21" t="s">
        <v>351</v>
      </c>
      <c r="I286" s="21" t="s">
        <v>71</v>
      </c>
      <c r="J286" s="21" t="s">
        <v>72</v>
      </c>
      <c r="K286" s="21">
        <v>186</v>
      </c>
      <c r="L286" s="22">
        <v>92</v>
      </c>
      <c r="M286" s="23" t="s">
        <v>460</v>
      </c>
      <c r="N286" s="24" t="s">
        <v>25</v>
      </c>
      <c r="O286" s="25">
        <v>46204</v>
      </c>
      <c r="P286" s="21" t="s">
        <v>398</v>
      </c>
      <c r="Q286" s="21" t="s">
        <v>428</v>
      </c>
      <c r="R286" s="26" t="s">
        <v>430</v>
      </c>
      <c r="S286" s="27">
        <v>1800</v>
      </c>
      <c r="T286" s="28" t="s">
        <v>27</v>
      </c>
      <c r="U286" s="28" t="s">
        <v>28</v>
      </c>
      <c r="V286" s="28" t="s">
        <v>29</v>
      </c>
      <c r="W286" s="28" t="s">
        <v>52</v>
      </c>
    </row>
    <row r="287" spans="1:23" ht="15" customHeight="1" x14ac:dyDescent="0.25">
      <c r="A287" s="20" t="str">
        <f>VLOOKUP(F287,[1]CLIENTES!B:L,11,0)</f>
        <v>RODRIGO</v>
      </c>
      <c r="B287" s="20" t="s">
        <v>403</v>
      </c>
      <c r="C287" s="20">
        <v>46198</v>
      </c>
      <c r="D287" s="21" t="s">
        <v>21</v>
      </c>
      <c r="E287" s="21">
        <v>2597</v>
      </c>
      <c r="F287" s="21">
        <v>5160852</v>
      </c>
      <c r="G287" s="21">
        <v>144793</v>
      </c>
      <c r="H287" s="21" t="s">
        <v>461</v>
      </c>
      <c r="I287" s="21" t="s">
        <v>71</v>
      </c>
      <c r="J287" s="21" t="s">
        <v>72</v>
      </c>
      <c r="K287" s="21">
        <v>186</v>
      </c>
      <c r="L287" s="22">
        <v>92</v>
      </c>
      <c r="M287" s="23" t="s">
        <v>462</v>
      </c>
      <c r="N287" s="24" t="s">
        <v>25</v>
      </c>
      <c r="O287" s="25">
        <v>46204</v>
      </c>
      <c r="P287" s="21" t="s">
        <v>398</v>
      </c>
      <c r="Q287" s="21" t="s">
        <v>428</v>
      </c>
      <c r="R287" s="26" t="s">
        <v>430</v>
      </c>
      <c r="S287" s="27">
        <v>1000</v>
      </c>
      <c r="T287" s="28" t="s">
        <v>27</v>
      </c>
      <c r="U287" s="28" t="s">
        <v>28</v>
      </c>
      <c r="V287" s="28" t="s">
        <v>29</v>
      </c>
      <c r="W287" s="28" t="s">
        <v>52</v>
      </c>
    </row>
    <row r="288" spans="1:23" ht="15" customHeight="1" x14ac:dyDescent="0.25">
      <c r="A288" s="20" t="str">
        <f>VLOOKUP(F288,[1]CLIENTES!B:L,11,0)</f>
        <v>RODRIGO</v>
      </c>
      <c r="B288" s="20" t="s">
        <v>403</v>
      </c>
      <c r="C288" s="20">
        <v>46198</v>
      </c>
      <c r="D288" s="21" t="s">
        <v>21</v>
      </c>
      <c r="E288" s="21">
        <v>2593</v>
      </c>
      <c r="F288" s="21">
        <v>5226805</v>
      </c>
      <c r="G288" s="21">
        <v>150155</v>
      </c>
      <c r="H288" s="21" t="s">
        <v>86</v>
      </c>
      <c r="I288" s="21" t="s">
        <v>71</v>
      </c>
      <c r="J288" s="21" t="s">
        <v>72</v>
      </c>
      <c r="K288" s="21">
        <v>186</v>
      </c>
      <c r="L288" s="22">
        <v>92</v>
      </c>
      <c r="M288" s="23" t="s">
        <v>463</v>
      </c>
      <c r="N288" s="24" t="s">
        <v>25</v>
      </c>
      <c r="O288" s="25">
        <v>46204</v>
      </c>
      <c r="P288" s="21" t="s">
        <v>398</v>
      </c>
      <c r="Q288" s="21" t="s">
        <v>428</v>
      </c>
      <c r="R288" s="26" t="s">
        <v>431</v>
      </c>
      <c r="S288" s="27">
        <v>3000</v>
      </c>
      <c r="T288" s="28" t="s">
        <v>27</v>
      </c>
      <c r="U288" s="28" t="s">
        <v>28</v>
      </c>
      <c r="V288" s="28" t="s">
        <v>29</v>
      </c>
      <c r="W288" s="28" t="s">
        <v>52</v>
      </c>
    </row>
    <row r="289" spans="1:23" ht="15" customHeight="1" x14ac:dyDescent="0.25">
      <c r="A289" s="20" t="str">
        <f>VLOOKUP(F289,[1]CLIENTES!B:L,11,0)</f>
        <v>RODRIGO</v>
      </c>
      <c r="B289" s="20" t="s">
        <v>403</v>
      </c>
      <c r="C289" s="20">
        <v>46198</v>
      </c>
      <c r="D289" s="21" t="s">
        <v>21</v>
      </c>
      <c r="E289" s="21">
        <v>2356</v>
      </c>
      <c r="F289" s="21">
        <v>5004685</v>
      </c>
      <c r="G289" s="21">
        <v>110434</v>
      </c>
      <c r="H289" s="21" t="s">
        <v>116</v>
      </c>
      <c r="I289" s="21" t="s">
        <v>23</v>
      </c>
      <c r="J289" s="21">
        <v>6125</v>
      </c>
      <c r="K289" s="21">
        <v>692</v>
      </c>
      <c r="L289" s="22">
        <v>93</v>
      </c>
      <c r="M289" s="23" t="s">
        <v>464</v>
      </c>
      <c r="N289" s="24" t="s">
        <v>25</v>
      </c>
      <c r="O289" s="25">
        <v>46204</v>
      </c>
      <c r="P289" s="21" t="s">
        <v>398</v>
      </c>
      <c r="Q289" s="21" t="s">
        <v>49</v>
      </c>
      <c r="R289" s="26" t="s">
        <v>402</v>
      </c>
      <c r="S289" s="27">
        <v>26860.12</v>
      </c>
      <c r="T289" s="28" t="s">
        <v>27</v>
      </c>
      <c r="U289" s="28" t="s">
        <v>28</v>
      </c>
      <c r="V289" s="28" t="s">
        <v>29</v>
      </c>
      <c r="W289" s="28" t="s">
        <v>338</v>
      </c>
    </row>
    <row r="290" spans="1:23" ht="15" customHeight="1" x14ac:dyDescent="0.25">
      <c r="A290" s="20" t="str">
        <f>VLOOKUP(F290,[1]CLIENTES!B:L,11,0)</f>
        <v>RODRIGO</v>
      </c>
      <c r="B290" s="20" t="s">
        <v>403</v>
      </c>
      <c r="C290" s="20">
        <v>46198</v>
      </c>
      <c r="D290" s="21" t="s">
        <v>118</v>
      </c>
      <c r="E290" s="31">
        <v>4000171135</v>
      </c>
      <c r="F290" s="21">
        <v>5026399</v>
      </c>
      <c r="G290" s="21">
        <v>116247</v>
      </c>
      <c r="H290" s="21" t="s">
        <v>119</v>
      </c>
      <c r="I290" s="21" t="s">
        <v>37</v>
      </c>
      <c r="J290" s="21">
        <v>6169</v>
      </c>
      <c r="K290" s="21">
        <v>689</v>
      </c>
      <c r="L290" s="22">
        <v>92</v>
      </c>
      <c r="M290" s="23" t="s">
        <v>466</v>
      </c>
      <c r="N290" s="24" t="s">
        <v>25</v>
      </c>
      <c r="O290" s="25">
        <v>46204</v>
      </c>
      <c r="P290" s="21" t="s">
        <v>398</v>
      </c>
      <c r="Q290" s="21" t="s">
        <v>423</v>
      </c>
      <c r="R290" s="26" t="s">
        <v>425</v>
      </c>
      <c r="S290" s="27">
        <v>50000</v>
      </c>
      <c r="T290" s="28" t="s">
        <v>27</v>
      </c>
      <c r="U290" s="28" t="s">
        <v>28</v>
      </c>
      <c r="V290" s="28" t="s">
        <v>29</v>
      </c>
      <c r="W290" s="28" t="s">
        <v>204</v>
      </c>
    </row>
    <row r="291" spans="1:23" ht="15" customHeight="1" x14ac:dyDescent="0.25">
      <c r="A291" s="20" t="str">
        <f>VLOOKUP(F291,[1]CLIENTES!B:L,11,0)</f>
        <v>RODRIGO</v>
      </c>
      <c r="B291" s="20" t="s">
        <v>403</v>
      </c>
      <c r="C291" s="20">
        <v>46198</v>
      </c>
      <c r="D291" s="21" t="s">
        <v>21</v>
      </c>
      <c r="E291" s="21">
        <v>2596</v>
      </c>
      <c r="F291" s="21">
        <v>5133664</v>
      </c>
      <c r="G291" s="21">
        <v>142632</v>
      </c>
      <c r="H291" s="21" t="s">
        <v>134</v>
      </c>
      <c r="I291" s="21" t="s">
        <v>40</v>
      </c>
      <c r="J291" s="21" t="s">
        <v>41</v>
      </c>
      <c r="K291" s="21">
        <v>194</v>
      </c>
      <c r="L291" s="22">
        <v>92</v>
      </c>
      <c r="M291" s="23" t="s">
        <v>467</v>
      </c>
      <c r="N291" s="24" t="s">
        <v>25</v>
      </c>
      <c r="O291" s="25">
        <v>46204</v>
      </c>
      <c r="P291" s="21" t="s">
        <v>398</v>
      </c>
      <c r="Q291" s="21" t="s">
        <v>43</v>
      </c>
      <c r="R291" s="26" t="s">
        <v>426</v>
      </c>
      <c r="S291" s="27">
        <v>30000</v>
      </c>
      <c r="T291" s="28" t="s">
        <v>27</v>
      </c>
      <c r="U291" s="28" t="s">
        <v>28</v>
      </c>
      <c r="V291" s="28" t="s">
        <v>29</v>
      </c>
      <c r="W291" s="28" t="s">
        <v>52</v>
      </c>
    </row>
    <row r="292" spans="1:23" ht="15" customHeight="1" x14ac:dyDescent="0.25">
      <c r="A292" s="20" t="str">
        <f>VLOOKUP(F292,[1]CLIENTES!B:L,11,0)</f>
        <v>RODRIGO</v>
      </c>
      <c r="B292" s="20" t="s">
        <v>403</v>
      </c>
      <c r="C292" s="20">
        <v>46198</v>
      </c>
      <c r="D292" s="21" t="s">
        <v>21</v>
      </c>
      <c r="E292" s="21">
        <v>2642</v>
      </c>
      <c r="F292" s="21">
        <v>5225860</v>
      </c>
      <c r="G292" s="21">
        <v>180402</v>
      </c>
      <c r="H292" s="21" t="s">
        <v>39</v>
      </c>
      <c r="I292" s="21" t="s">
        <v>40</v>
      </c>
      <c r="J292" s="21" t="s">
        <v>41</v>
      </c>
      <c r="K292" s="21">
        <v>194</v>
      </c>
      <c r="L292" s="22">
        <v>92</v>
      </c>
      <c r="M292" s="23" t="s">
        <v>467</v>
      </c>
      <c r="N292" s="24" t="s">
        <v>25</v>
      </c>
      <c r="O292" s="25">
        <v>46204</v>
      </c>
      <c r="P292" s="21" t="s">
        <v>398</v>
      </c>
      <c r="Q292" s="21" t="s">
        <v>43</v>
      </c>
      <c r="R292" s="26" t="s">
        <v>426</v>
      </c>
      <c r="S292" s="27">
        <v>25000</v>
      </c>
      <c r="T292" s="28" t="s">
        <v>27</v>
      </c>
      <c r="U292" s="28" t="s">
        <v>28</v>
      </c>
      <c r="V292" s="28" t="s">
        <v>29</v>
      </c>
      <c r="W292" s="28" t="s">
        <v>52</v>
      </c>
    </row>
    <row r="293" spans="1:23" ht="15" customHeight="1" x14ac:dyDescent="0.25">
      <c r="A293" s="20" t="str">
        <f>VLOOKUP(F293,[1]CLIENTES!B:L,11,0)</f>
        <v>RODRIGO</v>
      </c>
      <c r="B293" s="20" t="s">
        <v>403</v>
      </c>
      <c r="C293" s="20">
        <v>46198</v>
      </c>
      <c r="D293" s="21" t="s">
        <v>21</v>
      </c>
      <c r="E293" s="21">
        <v>2403</v>
      </c>
      <c r="F293" s="21">
        <v>5023770</v>
      </c>
      <c r="G293" s="21">
        <v>111937</v>
      </c>
      <c r="H293" s="21" t="s">
        <v>341</v>
      </c>
      <c r="I293" s="21" t="s">
        <v>132</v>
      </c>
      <c r="J293" s="21">
        <v>6127</v>
      </c>
      <c r="K293" s="21">
        <v>605</v>
      </c>
      <c r="L293" s="22">
        <v>92</v>
      </c>
      <c r="M293" s="23" t="s">
        <v>468</v>
      </c>
      <c r="N293" s="24" t="s">
        <v>25</v>
      </c>
      <c r="O293" s="25">
        <v>46204</v>
      </c>
      <c r="P293" s="21" t="s">
        <v>398</v>
      </c>
      <c r="Q293" s="21" t="s">
        <v>43</v>
      </c>
      <c r="R293" s="26" t="s">
        <v>433</v>
      </c>
      <c r="S293" s="27">
        <v>2000</v>
      </c>
      <c r="T293" s="28" t="s">
        <v>27</v>
      </c>
      <c r="U293" s="28" t="s">
        <v>28</v>
      </c>
      <c r="V293" s="28" t="s">
        <v>29</v>
      </c>
      <c r="W293" s="28" t="s">
        <v>52</v>
      </c>
    </row>
    <row r="294" spans="1:23" ht="15" customHeight="1" x14ac:dyDescent="0.25">
      <c r="A294" s="20" t="str">
        <f>VLOOKUP(F294,[1]CLIENTES!B:L,11,0)</f>
        <v>RODRIGO</v>
      </c>
      <c r="B294" s="20" t="s">
        <v>403</v>
      </c>
      <c r="C294" s="20">
        <v>46198</v>
      </c>
      <c r="D294" s="21" t="s">
        <v>21</v>
      </c>
      <c r="E294" s="21">
        <v>2361</v>
      </c>
      <c r="F294" s="21">
        <v>5229985</v>
      </c>
      <c r="G294" s="21">
        <v>180738</v>
      </c>
      <c r="H294" s="21" t="s">
        <v>131</v>
      </c>
      <c r="I294" s="21" t="s">
        <v>132</v>
      </c>
      <c r="J294" s="21">
        <v>6127</v>
      </c>
      <c r="K294" s="21">
        <v>605</v>
      </c>
      <c r="L294" s="22">
        <v>92</v>
      </c>
      <c r="M294" s="23" t="s">
        <v>468</v>
      </c>
      <c r="N294" s="24" t="s">
        <v>25</v>
      </c>
      <c r="O294" s="25">
        <v>46204</v>
      </c>
      <c r="P294" s="21" t="s">
        <v>398</v>
      </c>
      <c r="Q294" s="21" t="s">
        <v>43</v>
      </c>
      <c r="R294" s="26" t="s">
        <v>433</v>
      </c>
      <c r="S294" s="27">
        <v>15000</v>
      </c>
      <c r="T294" s="28" t="s">
        <v>27</v>
      </c>
      <c r="U294" s="28" t="s">
        <v>28</v>
      </c>
      <c r="V294" s="28" t="s">
        <v>29</v>
      </c>
      <c r="W294" s="28" t="s">
        <v>52</v>
      </c>
    </row>
    <row r="295" spans="1:23" ht="15" customHeight="1" x14ac:dyDescent="0.25">
      <c r="A295" s="20" t="str">
        <f>VLOOKUP(F295,[1]CLIENTES!B:L,11,0)</f>
        <v>RODRIGO</v>
      </c>
      <c r="B295" s="20" t="s">
        <v>403</v>
      </c>
      <c r="C295" s="20">
        <v>46198</v>
      </c>
      <c r="D295" s="21" t="s">
        <v>21</v>
      </c>
      <c r="E295" s="21">
        <v>2360</v>
      </c>
      <c r="F295" s="21">
        <v>5026768</v>
      </c>
      <c r="G295" s="21">
        <v>113399</v>
      </c>
      <c r="H295" s="21" t="s">
        <v>139</v>
      </c>
      <c r="I295" s="21" t="s">
        <v>132</v>
      </c>
      <c r="J295" s="21">
        <v>6127</v>
      </c>
      <c r="K295" s="21">
        <v>605</v>
      </c>
      <c r="L295" s="22">
        <v>92</v>
      </c>
      <c r="M295" s="23" t="s">
        <v>468</v>
      </c>
      <c r="N295" s="24" t="s">
        <v>25</v>
      </c>
      <c r="O295" s="25">
        <v>46204</v>
      </c>
      <c r="P295" s="21" t="s">
        <v>398</v>
      </c>
      <c r="Q295" s="21" t="s">
        <v>43</v>
      </c>
      <c r="R295" s="26" t="s">
        <v>433</v>
      </c>
      <c r="S295" s="27">
        <v>10000</v>
      </c>
      <c r="T295" s="28" t="s">
        <v>27</v>
      </c>
      <c r="U295" s="28" t="s">
        <v>28</v>
      </c>
      <c r="V295" s="28" t="s">
        <v>29</v>
      </c>
      <c r="W295" s="28" t="s">
        <v>52</v>
      </c>
    </row>
    <row r="296" spans="1:23" ht="15" customHeight="1" x14ac:dyDescent="0.25">
      <c r="A296" s="20" t="str">
        <f>VLOOKUP(F296,[1]CLIENTES!B:L,11,0)</f>
        <v>RODRIGO</v>
      </c>
      <c r="B296" s="20" t="s">
        <v>403</v>
      </c>
      <c r="C296" s="20">
        <v>46198</v>
      </c>
      <c r="D296" s="21" t="s">
        <v>21</v>
      </c>
      <c r="E296" s="21">
        <v>2373</v>
      </c>
      <c r="F296" s="21">
        <v>5109682</v>
      </c>
      <c r="G296" s="21">
        <v>128100</v>
      </c>
      <c r="H296" s="21" t="s">
        <v>88</v>
      </c>
      <c r="I296" s="21" t="s">
        <v>23</v>
      </c>
      <c r="J296" s="21">
        <v>6125</v>
      </c>
      <c r="K296" s="21">
        <v>692</v>
      </c>
      <c r="L296" s="22">
        <v>93</v>
      </c>
      <c r="M296" s="23" t="s">
        <v>469</v>
      </c>
      <c r="N296" s="24" t="s">
        <v>25</v>
      </c>
      <c r="O296" s="25">
        <v>46204</v>
      </c>
      <c r="P296" s="21" t="s">
        <v>398</v>
      </c>
      <c r="Q296" s="21" t="s">
        <v>26</v>
      </c>
      <c r="R296" s="26" t="s">
        <v>399</v>
      </c>
      <c r="S296" s="27">
        <v>4000</v>
      </c>
      <c r="T296" s="28" t="s">
        <v>27</v>
      </c>
      <c r="U296" s="28" t="s">
        <v>28</v>
      </c>
      <c r="V296" s="28" t="s">
        <v>29</v>
      </c>
      <c r="W296" s="28" t="s">
        <v>52</v>
      </c>
    </row>
    <row r="297" spans="1:23" ht="15" customHeight="1" x14ac:dyDescent="0.25">
      <c r="A297" s="20" t="str">
        <f>VLOOKUP(F297,[1]CLIENTES!B:L,11,0)</f>
        <v>RODRIGO</v>
      </c>
      <c r="B297" s="20" t="s">
        <v>470</v>
      </c>
      <c r="C297" s="20">
        <v>46203</v>
      </c>
      <c r="D297" s="21" t="s">
        <v>21</v>
      </c>
      <c r="E297" s="21">
        <v>3170</v>
      </c>
      <c r="F297" s="21">
        <v>5133664</v>
      </c>
      <c r="G297" s="21">
        <v>142632</v>
      </c>
      <c r="H297" s="21" t="s">
        <v>134</v>
      </c>
      <c r="I297" s="21" t="s">
        <v>40</v>
      </c>
      <c r="J297" s="21" t="s">
        <v>41</v>
      </c>
      <c r="K297" s="21">
        <v>194</v>
      </c>
      <c r="L297" s="22">
        <v>92</v>
      </c>
      <c r="M297" s="24" t="s">
        <v>467</v>
      </c>
      <c r="N297" s="24" t="s">
        <v>25</v>
      </c>
      <c r="O297" s="25">
        <v>46235</v>
      </c>
      <c r="P297" s="21" t="s">
        <v>398</v>
      </c>
      <c r="Q297" s="26" t="s">
        <v>471</v>
      </c>
      <c r="R297" s="27" t="s">
        <v>426</v>
      </c>
      <c r="S297" s="27">
        <v>30000</v>
      </c>
      <c r="T297" s="28" t="s">
        <v>27</v>
      </c>
      <c r="U297" s="28" t="s">
        <v>28</v>
      </c>
      <c r="V297" s="28" t="s">
        <v>29</v>
      </c>
      <c r="W297" s="28" t="s">
        <v>126</v>
      </c>
    </row>
    <row r="298" spans="1:23" ht="15" customHeight="1" x14ac:dyDescent="0.25">
      <c r="A298" s="20" t="str">
        <f>VLOOKUP(F298,[1]CLIENTES!B:L,11,0)</f>
        <v>RODRIGO</v>
      </c>
      <c r="B298" s="20" t="s">
        <v>470</v>
      </c>
      <c r="C298" s="20">
        <v>46209</v>
      </c>
      <c r="D298" s="21" t="s">
        <v>21</v>
      </c>
      <c r="E298" s="21">
        <v>10782</v>
      </c>
      <c r="F298" s="21">
        <v>5006978</v>
      </c>
      <c r="G298" s="21">
        <v>103036</v>
      </c>
      <c r="H298" s="21" t="s">
        <v>58</v>
      </c>
      <c r="I298" s="21" t="s">
        <v>23</v>
      </c>
      <c r="J298" s="21" t="s">
        <v>47</v>
      </c>
      <c r="K298" s="21">
        <v>722</v>
      </c>
      <c r="L298" s="22">
        <v>25</v>
      </c>
      <c r="M298" s="24" t="s">
        <v>472</v>
      </c>
      <c r="N298" s="24" t="s">
        <v>25</v>
      </c>
      <c r="O298" s="25">
        <v>46235</v>
      </c>
      <c r="P298" s="21" t="s">
        <v>398</v>
      </c>
      <c r="Q298" s="26" t="s">
        <v>26</v>
      </c>
      <c r="R298" s="27" t="s">
        <v>26</v>
      </c>
      <c r="S298" s="27">
        <v>20516</v>
      </c>
      <c r="T298" s="28" t="s">
        <v>27</v>
      </c>
      <c r="U298" s="28" t="s">
        <v>50</v>
      </c>
      <c r="V298" s="28" t="s">
        <v>51</v>
      </c>
      <c r="W298" s="28" t="s">
        <v>60</v>
      </c>
    </row>
    <row r="299" spans="1:23" ht="15" customHeight="1" x14ac:dyDescent="0.25">
      <c r="A299" s="20" t="str">
        <f>VLOOKUP(F299,[1]CLIENTES!B:L,11,0)</f>
        <v>RODRIGO</v>
      </c>
      <c r="B299" s="20" t="s">
        <v>470</v>
      </c>
      <c r="C299" s="20">
        <v>46209</v>
      </c>
      <c r="D299" s="21" t="s">
        <v>21</v>
      </c>
      <c r="E299" s="21">
        <v>2850</v>
      </c>
      <c r="F299" s="21">
        <v>5006978</v>
      </c>
      <c r="G299" s="21">
        <v>103036</v>
      </c>
      <c r="H299" s="21" t="s">
        <v>58</v>
      </c>
      <c r="I299" s="21" t="s">
        <v>23</v>
      </c>
      <c r="J299" s="21">
        <v>6125</v>
      </c>
      <c r="K299" s="21">
        <v>692</v>
      </c>
      <c r="L299" s="22">
        <v>92</v>
      </c>
      <c r="M299" s="24" t="s">
        <v>473</v>
      </c>
      <c r="N299" s="24" t="s">
        <v>25</v>
      </c>
      <c r="O299" s="25">
        <v>46235</v>
      </c>
      <c r="P299" s="21" t="s">
        <v>398</v>
      </c>
      <c r="Q299" s="26" t="s">
        <v>26</v>
      </c>
      <c r="R299" s="27" t="s">
        <v>26</v>
      </c>
      <c r="S299" s="27">
        <v>19515.060000000001</v>
      </c>
      <c r="T299" s="28" t="s">
        <v>27</v>
      </c>
      <c r="U299" s="28" t="s">
        <v>28</v>
      </c>
      <c r="V299" s="28" t="s">
        <v>29</v>
      </c>
      <c r="W299" s="28" t="s">
        <v>60</v>
      </c>
    </row>
    <row r="300" spans="1:23" ht="15" customHeight="1" x14ac:dyDescent="0.25">
      <c r="A300" s="20" t="str">
        <f>VLOOKUP(F300,[1]CLIENTES!B:L,11,0)</f>
        <v>RODRIGO</v>
      </c>
      <c r="B300" s="20" t="s">
        <v>470</v>
      </c>
      <c r="C300" s="20">
        <v>46209</v>
      </c>
      <c r="D300" s="21" t="s">
        <v>21</v>
      </c>
      <c r="E300" s="21">
        <v>10782</v>
      </c>
      <c r="F300" s="21">
        <v>5006978</v>
      </c>
      <c r="G300" s="21">
        <v>103036</v>
      </c>
      <c r="H300" s="21" t="s">
        <v>58</v>
      </c>
      <c r="I300" s="21" t="s">
        <v>23</v>
      </c>
      <c r="J300" s="21" t="s">
        <v>47</v>
      </c>
      <c r="K300" s="21">
        <v>722</v>
      </c>
      <c r="L300" s="22">
        <v>25</v>
      </c>
      <c r="M300" s="24" t="s">
        <v>474</v>
      </c>
      <c r="N300" s="24" t="s">
        <v>25</v>
      </c>
      <c r="O300" s="25">
        <v>46235</v>
      </c>
      <c r="P300" s="21" t="s">
        <v>398</v>
      </c>
      <c r="Q300" s="26" t="s">
        <v>26</v>
      </c>
      <c r="R300" s="27" t="s">
        <v>26</v>
      </c>
      <c r="S300" s="27">
        <v>31923.87</v>
      </c>
      <c r="T300" s="28" t="s">
        <v>27</v>
      </c>
      <c r="U300" s="28" t="s">
        <v>50</v>
      </c>
      <c r="V300" s="28" t="s">
        <v>51</v>
      </c>
      <c r="W300" s="28" t="s">
        <v>60</v>
      </c>
    </row>
    <row r="301" spans="1:23" ht="15" customHeight="1" x14ac:dyDescent="0.25">
      <c r="A301" s="20" t="str">
        <f>VLOOKUP(F301,[1]CLIENTES!B:L,11,0)</f>
        <v>RODRIGO</v>
      </c>
      <c r="B301" s="20" t="s">
        <v>470</v>
      </c>
      <c r="C301" s="20">
        <v>46183</v>
      </c>
      <c r="D301" s="21" t="s">
        <v>21</v>
      </c>
      <c r="E301" s="21">
        <v>2851</v>
      </c>
      <c r="F301" s="21">
        <v>5004685</v>
      </c>
      <c r="G301" s="21">
        <v>110434</v>
      </c>
      <c r="H301" s="21" t="s">
        <v>116</v>
      </c>
      <c r="I301" s="21" t="s">
        <v>23</v>
      </c>
      <c r="J301" s="21">
        <v>6125</v>
      </c>
      <c r="K301" s="21">
        <v>692</v>
      </c>
      <c r="L301" s="22">
        <v>92</v>
      </c>
      <c r="M301" s="24" t="s">
        <v>486</v>
      </c>
      <c r="N301" s="24" t="s">
        <v>25</v>
      </c>
      <c r="O301" s="25">
        <v>46235</v>
      </c>
      <c r="P301" s="21" t="s">
        <v>398</v>
      </c>
      <c r="Q301" s="26" t="s">
        <v>49</v>
      </c>
      <c r="R301" s="27" t="s">
        <v>402</v>
      </c>
      <c r="S301" s="27">
        <v>467.1</v>
      </c>
      <c r="T301" s="28" t="s">
        <v>27</v>
      </c>
      <c r="U301" s="28" t="s">
        <v>28</v>
      </c>
      <c r="V301" s="28" t="s">
        <v>29</v>
      </c>
      <c r="W301" s="28" t="s">
        <v>487</v>
      </c>
    </row>
    <row r="302" spans="1:23" ht="15" customHeight="1" x14ac:dyDescent="0.25">
      <c r="A302" s="20" t="str">
        <f>VLOOKUP(F302,[1]CLIENTES!B:L,11,0)</f>
        <v>RODRIGO</v>
      </c>
      <c r="B302" s="20" t="s">
        <v>470</v>
      </c>
      <c r="C302" s="20">
        <v>46183</v>
      </c>
      <c r="D302" s="21" t="s">
        <v>21</v>
      </c>
      <c r="E302" s="21">
        <v>2851</v>
      </c>
      <c r="F302" s="21">
        <v>5004685</v>
      </c>
      <c r="G302" s="21">
        <v>110434</v>
      </c>
      <c r="H302" s="21" t="s">
        <v>116</v>
      </c>
      <c r="I302" s="21" t="s">
        <v>23</v>
      </c>
      <c r="J302" s="21">
        <v>6125</v>
      </c>
      <c r="K302" s="21">
        <v>692</v>
      </c>
      <c r="L302" s="22">
        <v>92</v>
      </c>
      <c r="M302" s="24" t="s">
        <v>475</v>
      </c>
      <c r="N302" s="24" t="s">
        <v>25</v>
      </c>
      <c r="O302" s="25">
        <v>46235</v>
      </c>
      <c r="P302" s="21" t="s">
        <v>398</v>
      </c>
      <c r="Q302" s="26" t="s">
        <v>49</v>
      </c>
      <c r="R302" s="27" t="s">
        <v>402</v>
      </c>
      <c r="S302" s="27">
        <v>2000</v>
      </c>
      <c r="T302" s="28" t="s">
        <v>27</v>
      </c>
      <c r="U302" s="28" t="s">
        <v>28</v>
      </c>
      <c r="V302" s="28" t="s">
        <v>29</v>
      </c>
      <c r="W302" s="28" t="s">
        <v>126</v>
      </c>
    </row>
    <row r="303" spans="1:23" ht="15" customHeight="1" x14ac:dyDescent="0.25">
      <c r="A303" s="20" t="str">
        <f>VLOOKUP(F303,[1]CLIENTES!B:L,11,0)</f>
        <v>RODRIGO</v>
      </c>
      <c r="B303" s="20" t="s">
        <v>470</v>
      </c>
      <c r="C303" s="20">
        <v>46183</v>
      </c>
      <c r="D303" s="21" t="s">
        <v>21</v>
      </c>
      <c r="E303" s="21">
        <v>2852</v>
      </c>
      <c r="F303" s="21">
        <v>5185642</v>
      </c>
      <c r="G303" s="21">
        <v>142109</v>
      </c>
      <c r="H303" s="21" t="s">
        <v>166</v>
      </c>
      <c r="I303" s="21" t="s">
        <v>23</v>
      </c>
      <c r="J303" s="21">
        <v>6125</v>
      </c>
      <c r="K303" s="21">
        <v>692</v>
      </c>
      <c r="L303" s="22">
        <v>92</v>
      </c>
      <c r="M303" s="24" t="s">
        <v>488</v>
      </c>
      <c r="N303" s="24" t="s">
        <v>25</v>
      </c>
      <c r="O303" s="25">
        <v>46235</v>
      </c>
      <c r="P303" s="21" t="s">
        <v>398</v>
      </c>
      <c r="Q303" s="26" t="s">
        <v>26</v>
      </c>
      <c r="R303" s="27" t="s">
        <v>399</v>
      </c>
      <c r="S303" s="27">
        <v>5053.68</v>
      </c>
      <c r="T303" s="28" t="s">
        <v>27</v>
      </c>
      <c r="U303" s="28" t="s">
        <v>28</v>
      </c>
      <c r="V303" s="28" t="s">
        <v>29</v>
      </c>
      <c r="W303" s="28" t="s">
        <v>190</v>
      </c>
    </row>
    <row r="304" spans="1:23" ht="15" customHeight="1" x14ac:dyDescent="0.25">
      <c r="A304" s="20" t="str">
        <f>VLOOKUP(F304,[1]CLIENTES!B:L,11,0)</f>
        <v>RODRIGO</v>
      </c>
      <c r="B304" s="20" t="s">
        <v>470</v>
      </c>
      <c r="C304" s="20">
        <v>46183</v>
      </c>
      <c r="D304" s="21" t="s">
        <v>21</v>
      </c>
      <c r="E304" s="21">
        <v>2858</v>
      </c>
      <c r="F304" s="21">
        <v>5217293</v>
      </c>
      <c r="G304" s="21">
        <v>145966</v>
      </c>
      <c r="H304" s="21" t="s">
        <v>86</v>
      </c>
      <c r="I304" s="21" t="s">
        <v>23</v>
      </c>
      <c r="J304" s="21">
        <v>6125</v>
      </c>
      <c r="K304" s="21">
        <v>692</v>
      </c>
      <c r="L304" s="22">
        <v>92</v>
      </c>
      <c r="M304" s="24" t="s">
        <v>476</v>
      </c>
      <c r="N304" s="24" t="s">
        <v>25</v>
      </c>
      <c r="O304" s="25">
        <v>46235</v>
      </c>
      <c r="P304" s="21" t="s">
        <v>398</v>
      </c>
      <c r="Q304" s="26" t="s">
        <v>26</v>
      </c>
      <c r="R304" s="27" t="s">
        <v>399</v>
      </c>
      <c r="S304" s="27">
        <v>2222.2199999999998</v>
      </c>
      <c r="T304" s="28" t="s">
        <v>27</v>
      </c>
      <c r="U304" s="28" t="s">
        <v>28</v>
      </c>
      <c r="V304" s="28" t="s">
        <v>29</v>
      </c>
      <c r="W304" s="28" t="s">
        <v>35</v>
      </c>
    </row>
    <row r="305" spans="1:23" ht="15" customHeight="1" x14ac:dyDescent="0.25">
      <c r="A305" s="20" t="str">
        <f>VLOOKUP(F305,[1]CLIENTES!B:L,11,0)</f>
        <v>RODRIGO</v>
      </c>
      <c r="B305" s="20" t="s">
        <v>470</v>
      </c>
      <c r="C305" s="20">
        <v>46186</v>
      </c>
      <c r="D305" s="21" t="s">
        <v>21</v>
      </c>
      <c r="E305" s="21">
        <v>2851</v>
      </c>
      <c r="F305" s="21">
        <v>5004685</v>
      </c>
      <c r="G305" s="21">
        <v>110434</v>
      </c>
      <c r="H305" s="21" t="s">
        <v>116</v>
      </c>
      <c r="I305" s="21" t="s">
        <v>23</v>
      </c>
      <c r="J305" s="21">
        <v>6125</v>
      </c>
      <c r="K305" s="21">
        <v>692</v>
      </c>
      <c r="L305" s="22">
        <v>92</v>
      </c>
      <c r="M305" s="24" t="s">
        <v>477</v>
      </c>
      <c r="N305" s="24" t="s">
        <v>25</v>
      </c>
      <c r="O305" s="25">
        <v>46235</v>
      </c>
      <c r="P305" s="21" t="s">
        <v>398</v>
      </c>
      <c r="Q305" s="26" t="s">
        <v>49</v>
      </c>
      <c r="R305" s="27" t="s">
        <v>402</v>
      </c>
      <c r="S305" s="27">
        <v>6183.51</v>
      </c>
      <c r="T305" s="28" t="s">
        <v>27</v>
      </c>
      <c r="U305" s="28" t="s">
        <v>28</v>
      </c>
      <c r="V305" s="28" t="s">
        <v>29</v>
      </c>
      <c r="W305" s="28" t="s">
        <v>60</v>
      </c>
    </row>
    <row r="306" spans="1:23" ht="15" customHeight="1" x14ac:dyDescent="0.25">
      <c r="A306" s="20" t="str">
        <f>VLOOKUP(F306,[1]CLIENTES!B:L,11,0)</f>
        <v>RODRIGO</v>
      </c>
      <c r="B306" s="20" t="s">
        <v>470</v>
      </c>
      <c r="C306" s="20">
        <v>46186</v>
      </c>
      <c r="D306" s="21" t="s">
        <v>21</v>
      </c>
      <c r="E306" s="21">
        <v>2871</v>
      </c>
      <c r="F306" s="21">
        <v>5020319</v>
      </c>
      <c r="G306" s="21">
        <v>110315</v>
      </c>
      <c r="H306" s="21" t="s">
        <v>112</v>
      </c>
      <c r="I306" s="21" t="s">
        <v>113</v>
      </c>
      <c r="J306" s="21">
        <v>6127</v>
      </c>
      <c r="K306" s="21">
        <v>682</v>
      </c>
      <c r="L306" s="22">
        <v>92</v>
      </c>
      <c r="M306" s="24" t="s">
        <v>478</v>
      </c>
      <c r="N306" s="24" t="s">
        <v>25</v>
      </c>
      <c r="O306" s="25">
        <v>46235</v>
      </c>
      <c r="P306" s="21" t="s">
        <v>398</v>
      </c>
      <c r="Q306" s="26" t="s">
        <v>471</v>
      </c>
      <c r="R306" s="27" t="s">
        <v>692</v>
      </c>
      <c r="S306" s="27">
        <v>6666</v>
      </c>
      <c r="T306" s="28" t="s">
        <v>27</v>
      </c>
      <c r="U306" s="28" t="s">
        <v>28</v>
      </c>
      <c r="V306" s="28" t="s">
        <v>29</v>
      </c>
      <c r="W306" s="28" t="s">
        <v>45</v>
      </c>
    </row>
    <row r="307" spans="1:23" ht="15" customHeight="1" x14ac:dyDescent="0.25">
      <c r="A307" s="20" t="str">
        <f>VLOOKUP(F307,[1]CLIENTES!B:L,11,0)</f>
        <v>RODRIGO</v>
      </c>
      <c r="B307" s="20" t="s">
        <v>470</v>
      </c>
      <c r="C307" s="20">
        <v>46230</v>
      </c>
      <c r="D307" s="21" t="s">
        <v>21</v>
      </c>
      <c r="E307" s="21">
        <v>3200</v>
      </c>
      <c r="F307" s="21">
        <v>5133664</v>
      </c>
      <c r="G307" s="21">
        <v>142632</v>
      </c>
      <c r="H307" s="21" t="s">
        <v>134</v>
      </c>
      <c r="I307" s="21" t="s">
        <v>40</v>
      </c>
      <c r="J307" s="21" t="s">
        <v>41</v>
      </c>
      <c r="K307" s="21">
        <v>194</v>
      </c>
      <c r="L307" s="22">
        <v>92</v>
      </c>
      <c r="M307" s="24" t="s">
        <v>534</v>
      </c>
      <c r="N307" s="24" t="s">
        <v>25</v>
      </c>
      <c r="O307" s="25">
        <v>46235</v>
      </c>
      <c r="P307" s="21" t="s">
        <v>398</v>
      </c>
      <c r="Q307" s="26" t="s">
        <v>471</v>
      </c>
      <c r="R307" s="27" t="s">
        <v>426</v>
      </c>
      <c r="S307" s="27">
        <v>10000</v>
      </c>
      <c r="T307" s="28" t="s">
        <v>27</v>
      </c>
      <c r="U307" s="28" t="s">
        <v>28</v>
      </c>
      <c r="V307" s="28" t="s">
        <v>29</v>
      </c>
      <c r="W307" s="28" t="s">
        <v>126</v>
      </c>
    </row>
    <row r="308" spans="1:23" ht="15" customHeight="1" x14ac:dyDescent="0.25">
      <c r="A308" s="20" t="str">
        <f>VLOOKUP(F308,[1]CLIENTES!B:L,11,0)</f>
        <v>PEDRO</v>
      </c>
      <c r="B308" s="20" t="s">
        <v>470</v>
      </c>
      <c r="C308" s="20">
        <v>46219</v>
      </c>
      <c r="D308" s="21" t="s">
        <v>21</v>
      </c>
      <c r="E308" s="21">
        <v>10784</v>
      </c>
      <c r="F308" s="21">
        <v>5335135</v>
      </c>
      <c r="G308" s="21">
        <v>189543</v>
      </c>
      <c r="H308" s="21" t="s">
        <v>479</v>
      </c>
      <c r="I308" s="21" t="s">
        <v>23</v>
      </c>
      <c r="J308" s="31" t="s">
        <v>47</v>
      </c>
      <c r="K308" s="21">
        <v>722</v>
      </c>
      <c r="L308" s="22">
        <v>25</v>
      </c>
      <c r="M308" s="24" t="s">
        <v>480</v>
      </c>
      <c r="N308" s="24" t="s">
        <v>25</v>
      </c>
      <c r="O308" s="25">
        <v>46235</v>
      </c>
      <c r="P308" s="21" t="s">
        <v>434</v>
      </c>
      <c r="Q308" s="26" t="s">
        <v>435</v>
      </c>
      <c r="R308" s="27" t="s">
        <v>435</v>
      </c>
      <c r="S308" s="27">
        <v>15000</v>
      </c>
      <c r="T308" s="28" t="s">
        <v>27</v>
      </c>
      <c r="U308" s="28" t="s">
        <v>50</v>
      </c>
      <c r="V308" s="28" t="s">
        <v>51</v>
      </c>
      <c r="W308" s="28" t="s">
        <v>35</v>
      </c>
    </row>
    <row r="309" spans="1:23" ht="15" customHeight="1" x14ac:dyDescent="0.25">
      <c r="A309" s="20" t="str">
        <f>VLOOKUP(F309,[1]CLIENTES!B:L,11,0)</f>
        <v>RODRIGO</v>
      </c>
      <c r="B309" s="20" t="s">
        <v>470</v>
      </c>
      <c r="C309" s="20">
        <v>46220</v>
      </c>
      <c r="D309" s="21" t="s">
        <v>21</v>
      </c>
      <c r="E309" s="21">
        <v>2855</v>
      </c>
      <c r="F309" s="21">
        <v>5131101</v>
      </c>
      <c r="G309" s="21">
        <v>167218</v>
      </c>
      <c r="H309" s="21" t="s">
        <v>164</v>
      </c>
      <c r="I309" s="21" t="s">
        <v>23</v>
      </c>
      <c r="J309" s="21">
        <v>6125</v>
      </c>
      <c r="K309" s="21">
        <v>692</v>
      </c>
      <c r="L309" s="22">
        <v>92</v>
      </c>
      <c r="M309" s="24" t="s">
        <v>481</v>
      </c>
      <c r="N309" s="24" t="s">
        <v>25</v>
      </c>
      <c r="O309" s="25">
        <v>46235</v>
      </c>
      <c r="P309" s="21" t="s">
        <v>398</v>
      </c>
      <c r="Q309" s="26" t="s">
        <v>26</v>
      </c>
      <c r="R309" s="27" t="s">
        <v>399</v>
      </c>
      <c r="S309" s="27">
        <v>200</v>
      </c>
      <c r="T309" s="28" t="s">
        <v>27</v>
      </c>
      <c r="U309" s="28" t="s">
        <v>28</v>
      </c>
      <c r="V309" s="28" t="s">
        <v>29</v>
      </c>
      <c r="W309" s="28" t="s">
        <v>126</v>
      </c>
    </row>
    <row r="310" spans="1:23" ht="15" customHeight="1" x14ac:dyDescent="0.25">
      <c r="A310" s="20" t="str">
        <f>VLOOKUP(F310,[1]CLIENTES!B:L,11,0)</f>
        <v>RODRIGO</v>
      </c>
      <c r="B310" s="20" t="s">
        <v>470</v>
      </c>
      <c r="C310" s="20">
        <v>46223</v>
      </c>
      <c r="D310" s="21" t="s">
        <v>21</v>
      </c>
      <c r="E310" s="21">
        <v>3187</v>
      </c>
      <c r="F310" s="21">
        <v>5015597</v>
      </c>
      <c r="G310" s="21">
        <v>146602</v>
      </c>
      <c r="H310" s="21" t="s">
        <v>482</v>
      </c>
      <c r="I310" s="21" t="s">
        <v>483</v>
      </c>
      <c r="J310" s="21" t="s">
        <v>218</v>
      </c>
      <c r="K310" s="21">
        <v>193</v>
      </c>
      <c r="L310" s="32">
        <v>92</v>
      </c>
      <c r="M310" s="24" t="s">
        <v>484</v>
      </c>
      <c r="N310" s="24" t="s">
        <v>25</v>
      </c>
      <c r="O310" s="25">
        <v>46235</v>
      </c>
      <c r="P310" s="21" t="s">
        <v>398</v>
      </c>
      <c r="Q310" s="26" t="s">
        <v>485</v>
      </c>
      <c r="R310" s="27" t="s">
        <v>485</v>
      </c>
      <c r="S310" s="27">
        <v>800</v>
      </c>
      <c r="T310" s="28" t="s">
        <v>27</v>
      </c>
      <c r="U310" s="28" t="s">
        <v>28</v>
      </c>
      <c r="V310" s="28" t="s">
        <v>29</v>
      </c>
      <c r="W310" s="28" t="s">
        <v>126</v>
      </c>
    </row>
    <row r="311" spans="1:23" ht="15" customHeight="1" x14ac:dyDescent="0.25">
      <c r="A311" s="20" t="str">
        <f>VLOOKUP(F311,[1]CLIENTES!B:L,11,0)</f>
        <v>RODRIGO</v>
      </c>
      <c r="B311" s="20" t="s">
        <v>470</v>
      </c>
      <c r="C311" s="20">
        <v>46225</v>
      </c>
      <c r="D311" s="21" t="s">
        <v>21</v>
      </c>
      <c r="E311" s="21">
        <v>2853</v>
      </c>
      <c r="F311" s="21">
        <v>5118346</v>
      </c>
      <c r="G311" s="21">
        <v>143232</v>
      </c>
      <c r="H311" s="21" t="s">
        <v>489</v>
      </c>
      <c r="I311" s="21" t="s">
        <v>23</v>
      </c>
      <c r="J311" s="21">
        <v>6125</v>
      </c>
      <c r="K311" s="21">
        <v>692</v>
      </c>
      <c r="L311" s="22">
        <v>92</v>
      </c>
      <c r="M311" s="24" t="s">
        <v>490</v>
      </c>
      <c r="N311" s="24" t="s">
        <v>25</v>
      </c>
      <c r="O311" s="25">
        <v>46235</v>
      </c>
      <c r="P311" s="21" t="s">
        <v>398</v>
      </c>
      <c r="Q311" s="26" t="s">
        <v>26</v>
      </c>
      <c r="R311" s="27" t="s">
        <v>399</v>
      </c>
      <c r="S311" s="27">
        <v>4330</v>
      </c>
      <c r="T311" s="28" t="s">
        <v>27</v>
      </c>
      <c r="U311" s="28" t="s">
        <v>28</v>
      </c>
      <c r="V311" s="28" t="s">
        <v>29</v>
      </c>
      <c r="W311" s="28" t="s">
        <v>126</v>
      </c>
    </row>
    <row r="312" spans="1:23" ht="15" customHeight="1" x14ac:dyDescent="0.25">
      <c r="A312" s="20" t="str">
        <f>VLOOKUP(F312,[1]CLIENTES!B:L,11,0)</f>
        <v>RODRIGO</v>
      </c>
      <c r="B312" s="20" t="s">
        <v>470</v>
      </c>
      <c r="C312" s="20">
        <v>46227</v>
      </c>
      <c r="D312" s="21" t="s">
        <v>21</v>
      </c>
      <c r="E312" s="21">
        <v>2871</v>
      </c>
      <c r="F312" s="21">
        <v>5020319</v>
      </c>
      <c r="G312" s="21">
        <v>110315</v>
      </c>
      <c r="H312" s="21" t="s">
        <v>112</v>
      </c>
      <c r="I312" s="21" t="s">
        <v>113</v>
      </c>
      <c r="J312" s="21">
        <v>6127</v>
      </c>
      <c r="K312" s="21">
        <v>682</v>
      </c>
      <c r="L312" s="22">
        <v>92</v>
      </c>
      <c r="M312" s="24" t="s">
        <v>491</v>
      </c>
      <c r="N312" s="24" t="s">
        <v>25</v>
      </c>
      <c r="O312" s="25">
        <v>46235</v>
      </c>
      <c r="P312" s="21" t="s">
        <v>398</v>
      </c>
      <c r="Q312" s="26" t="s">
        <v>471</v>
      </c>
      <c r="R312" s="27" t="s">
        <v>692</v>
      </c>
      <c r="S312" s="27">
        <v>20668</v>
      </c>
      <c r="T312" s="28" t="s">
        <v>27</v>
      </c>
      <c r="U312" s="28" t="s">
        <v>28</v>
      </c>
      <c r="V312" s="28" t="s">
        <v>29</v>
      </c>
      <c r="W312" s="28" t="s">
        <v>126</v>
      </c>
    </row>
    <row r="313" spans="1:23" ht="15" customHeight="1" x14ac:dyDescent="0.25">
      <c r="A313" s="20" t="str">
        <f>VLOOKUP(F313,[1]CLIENTES!B:L,11,0)</f>
        <v>RODRIGO</v>
      </c>
      <c r="B313" s="20" t="s">
        <v>470</v>
      </c>
      <c r="C313" s="20">
        <v>46227</v>
      </c>
      <c r="D313" s="21" t="s">
        <v>21</v>
      </c>
      <c r="E313" s="21">
        <v>3173</v>
      </c>
      <c r="F313" s="21">
        <v>5231303</v>
      </c>
      <c r="G313" s="21">
        <v>167018</v>
      </c>
      <c r="H313" s="21" t="s">
        <v>104</v>
      </c>
      <c r="I313" s="21" t="s">
        <v>37</v>
      </c>
      <c r="J313" s="21" t="s">
        <v>105</v>
      </c>
      <c r="K313" s="21">
        <v>189</v>
      </c>
      <c r="L313" s="22">
        <v>93</v>
      </c>
      <c r="M313" s="24" t="s">
        <v>492</v>
      </c>
      <c r="N313" s="24" t="s">
        <v>25</v>
      </c>
      <c r="O313" s="25">
        <v>46235</v>
      </c>
      <c r="P313" s="21" t="s">
        <v>398</v>
      </c>
      <c r="Q313" s="26" t="s">
        <v>423</v>
      </c>
      <c r="R313" s="27" t="s">
        <v>432</v>
      </c>
      <c r="S313" s="27">
        <v>6000</v>
      </c>
      <c r="T313" s="28" t="s">
        <v>27</v>
      </c>
      <c r="U313" s="28" t="s">
        <v>28</v>
      </c>
      <c r="V313" s="28" t="s">
        <v>29</v>
      </c>
      <c r="W313" s="28" t="s">
        <v>126</v>
      </c>
    </row>
    <row r="314" spans="1:23" ht="15" customHeight="1" x14ac:dyDescent="0.25">
      <c r="A314" s="20" t="str">
        <f>VLOOKUP(F314,[1]CLIENTES!B:L,11,0)</f>
        <v>RODRIGO</v>
      </c>
      <c r="B314" s="20" t="s">
        <v>470</v>
      </c>
      <c r="C314" s="20">
        <v>46227</v>
      </c>
      <c r="D314" s="21" t="s">
        <v>21</v>
      </c>
      <c r="E314" s="21">
        <v>2872</v>
      </c>
      <c r="F314" s="21">
        <v>5017576</v>
      </c>
      <c r="G314" s="21">
        <v>116132</v>
      </c>
      <c r="H314" s="21" t="s">
        <v>493</v>
      </c>
      <c r="I314" s="21" t="s">
        <v>32</v>
      </c>
      <c r="J314" s="21">
        <v>6169</v>
      </c>
      <c r="K314" s="21">
        <v>690</v>
      </c>
      <c r="L314" s="22">
        <v>92</v>
      </c>
      <c r="M314" s="24" t="s">
        <v>494</v>
      </c>
      <c r="N314" s="24" t="s">
        <v>25</v>
      </c>
      <c r="O314" s="25">
        <v>46235</v>
      </c>
      <c r="P314" s="21" t="s">
        <v>398</v>
      </c>
      <c r="Q314" s="26" t="s">
        <v>423</v>
      </c>
      <c r="R314" s="27" t="s">
        <v>424</v>
      </c>
      <c r="S314" s="27">
        <v>10000</v>
      </c>
      <c r="T314" s="28" t="s">
        <v>27</v>
      </c>
      <c r="U314" s="28" t="s">
        <v>28</v>
      </c>
      <c r="V314" s="28" t="s">
        <v>29</v>
      </c>
      <c r="W314" s="28" t="s">
        <v>35</v>
      </c>
    </row>
    <row r="315" spans="1:23" ht="15" customHeight="1" x14ac:dyDescent="0.25">
      <c r="A315" s="20" t="str">
        <f>VLOOKUP(F315,[1]CLIENTES!B:L,11,0)</f>
        <v>RODRIGO</v>
      </c>
      <c r="B315" s="20" t="s">
        <v>470</v>
      </c>
      <c r="C315" s="20">
        <v>46227</v>
      </c>
      <c r="D315" s="21" t="s">
        <v>21</v>
      </c>
      <c r="E315" s="21">
        <v>2872</v>
      </c>
      <c r="F315" s="21">
        <v>5017576</v>
      </c>
      <c r="G315" s="21">
        <v>116132</v>
      </c>
      <c r="H315" s="21" t="s">
        <v>493</v>
      </c>
      <c r="I315" s="21" t="s">
        <v>32</v>
      </c>
      <c r="J315" s="21">
        <v>6169</v>
      </c>
      <c r="K315" s="21">
        <v>690</v>
      </c>
      <c r="L315" s="22">
        <v>92</v>
      </c>
      <c r="M315" s="24" t="s">
        <v>495</v>
      </c>
      <c r="N315" s="24" t="s">
        <v>25</v>
      </c>
      <c r="O315" s="25">
        <v>46235</v>
      </c>
      <c r="P315" s="21" t="s">
        <v>398</v>
      </c>
      <c r="Q315" s="26" t="s">
        <v>423</v>
      </c>
      <c r="R315" s="27" t="s">
        <v>424</v>
      </c>
      <c r="S315" s="27">
        <v>10000</v>
      </c>
      <c r="T315" s="28" t="s">
        <v>27</v>
      </c>
      <c r="U315" s="28" t="s">
        <v>28</v>
      </c>
      <c r="V315" s="28" t="s">
        <v>29</v>
      </c>
      <c r="W315" s="28" t="s">
        <v>126</v>
      </c>
    </row>
    <row r="316" spans="1:23" ht="15" customHeight="1" x14ac:dyDescent="0.25">
      <c r="A316" s="20" t="str">
        <f>VLOOKUP(F316,[1]CLIENTES!B:L,11,0)</f>
        <v>RODRIGO</v>
      </c>
      <c r="B316" s="20" t="s">
        <v>470</v>
      </c>
      <c r="C316" s="20">
        <v>46227</v>
      </c>
      <c r="D316" s="21" t="s">
        <v>21</v>
      </c>
      <c r="E316" s="21">
        <v>2869</v>
      </c>
      <c r="F316" s="21">
        <v>5115019</v>
      </c>
      <c r="G316" s="21">
        <v>123456</v>
      </c>
      <c r="H316" s="21" t="s">
        <v>36</v>
      </c>
      <c r="I316" s="21" t="s">
        <v>37</v>
      </c>
      <c r="J316" s="21">
        <v>6169</v>
      </c>
      <c r="K316" s="21">
        <v>689</v>
      </c>
      <c r="L316" s="22">
        <v>92</v>
      </c>
      <c r="M316" s="24" t="s">
        <v>496</v>
      </c>
      <c r="N316" s="24" t="s">
        <v>25</v>
      </c>
      <c r="O316" s="25">
        <v>46235</v>
      </c>
      <c r="P316" s="21" t="s">
        <v>398</v>
      </c>
      <c r="Q316" s="26" t="s">
        <v>423</v>
      </c>
      <c r="R316" s="27" t="s">
        <v>425</v>
      </c>
      <c r="S316" s="27">
        <v>30000</v>
      </c>
      <c r="T316" s="28" t="s">
        <v>27</v>
      </c>
      <c r="U316" s="28" t="s">
        <v>28</v>
      </c>
      <c r="V316" s="28" t="s">
        <v>29</v>
      </c>
      <c r="W316" s="28" t="s">
        <v>126</v>
      </c>
    </row>
    <row r="317" spans="1:23" ht="15" customHeight="1" x14ac:dyDescent="0.25">
      <c r="A317" s="20" t="str">
        <f>VLOOKUP(F317,[1]CLIENTES!B:L,11,0)</f>
        <v>RODRIGO</v>
      </c>
      <c r="B317" s="20" t="s">
        <v>470</v>
      </c>
      <c r="C317" s="20">
        <v>46227</v>
      </c>
      <c r="D317" s="21" t="s">
        <v>21</v>
      </c>
      <c r="E317" s="21">
        <v>2867</v>
      </c>
      <c r="F317" s="21">
        <v>5161469</v>
      </c>
      <c r="G317" s="21">
        <v>141489</v>
      </c>
      <c r="H317" s="21" t="s">
        <v>497</v>
      </c>
      <c r="I317" s="21" t="s">
        <v>37</v>
      </c>
      <c r="J317" s="21">
        <v>6169</v>
      </c>
      <c r="K317" s="21">
        <v>689</v>
      </c>
      <c r="L317" s="22">
        <v>92</v>
      </c>
      <c r="M317" s="24" t="s">
        <v>498</v>
      </c>
      <c r="N317" s="24" t="s">
        <v>25</v>
      </c>
      <c r="O317" s="25">
        <v>46237</v>
      </c>
      <c r="P317" s="21" t="s">
        <v>398</v>
      </c>
      <c r="Q317" s="26" t="s">
        <v>423</v>
      </c>
      <c r="R317" s="27" t="s">
        <v>432</v>
      </c>
      <c r="S317" s="27">
        <v>2000</v>
      </c>
      <c r="T317" s="28" t="s">
        <v>27</v>
      </c>
      <c r="U317" s="28" t="s">
        <v>28</v>
      </c>
      <c r="V317" s="28" t="s">
        <v>29</v>
      </c>
      <c r="W317" s="28" t="s">
        <v>126</v>
      </c>
    </row>
    <row r="318" spans="1:23" ht="15" customHeight="1" x14ac:dyDescent="0.25">
      <c r="A318" s="20" t="str">
        <f>VLOOKUP(F318,[1]CLIENTES!B:L,11,0)</f>
        <v>RODRIGO</v>
      </c>
      <c r="B318" s="20" t="s">
        <v>470</v>
      </c>
      <c r="C318" s="20">
        <v>46227</v>
      </c>
      <c r="D318" s="21" t="s">
        <v>21</v>
      </c>
      <c r="E318" s="21">
        <v>2880</v>
      </c>
      <c r="F318" s="21">
        <v>5178518</v>
      </c>
      <c r="G318" s="21">
        <v>142230</v>
      </c>
      <c r="H318" s="21" t="s">
        <v>499</v>
      </c>
      <c r="I318" s="21" t="s">
        <v>37</v>
      </c>
      <c r="J318" s="21">
        <v>6169</v>
      </c>
      <c r="K318" s="21">
        <v>689</v>
      </c>
      <c r="L318" s="32">
        <v>92</v>
      </c>
      <c r="M318" s="24" t="s">
        <v>500</v>
      </c>
      <c r="N318" s="24" t="s">
        <v>25</v>
      </c>
      <c r="O318" s="25">
        <v>46235</v>
      </c>
      <c r="P318" s="21" t="s">
        <v>398</v>
      </c>
      <c r="Q318" s="26" t="s">
        <v>423</v>
      </c>
      <c r="R318" s="27" t="s">
        <v>432</v>
      </c>
      <c r="S318" s="27">
        <v>1500</v>
      </c>
      <c r="T318" s="28" t="s">
        <v>27</v>
      </c>
      <c r="U318" s="28" t="s">
        <v>28</v>
      </c>
      <c r="V318" s="28" t="s">
        <v>29</v>
      </c>
      <c r="W318" s="28" t="s">
        <v>126</v>
      </c>
    </row>
    <row r="319" spans="1:23" ht="15" customHeight="1" x14ac:dyDescent="0.25">
      <c r="A319" s="20" t="str">
        <f>VLOOKUP(F319,[1]CLIENTES!B:L,11,0)</f>
        <v>RODRIGO</v>
      </c>
      <c r="B319" s="20" t="s">
        <v>470</v>
      </c>
      <c r="C319" s="20">
        <v>46227</v>
      </c>
      <c r="D319" s="21" t="s">
        <v>21</v>
      </c>
      <c r="E319" s="21">
        <v>2881</v>
      </c>
      <c r="F319" s="21">
        <v>5172699</v>
      </c>
      <c r="G319" s="21">
        <v>143254</v>
      </c>
      <c r="H319" s="21" t="s">
        <v>501</v>
      </c>
      <c r="I319" s="21" t="s">
        <v>23</v>
      </c>
      <c r="J319" s="21">
        <v>6125</v>
      </c>
      <c r="K319" s="21">
        <v>692</v>
      </c>
      <c r="L319" s="22">
        <v>92</v>
      </c>
      <c r="M319" s="24" t="s">
        <v>502</v>
      </c>
      <c r="N319" s="24" t="s">
        <v>25</v>
      </c>
      <c r="O319" s="25">
        <v>46235</v>
      </c>
      <c r="P319" s="21" t="s">
        <v>398</v>
      </c>
      <c r="Q319" s="26" t="s">
        <v>26</v>
      </c>
      <c r="R319" s="27" t="s">
        <v>399</v>
      </c>
      <c r="S319" s="27">
        <v>500</v>
      </c>
      <c r="T319" s="28" t="s">
        <v>27</v>
      </c>
      <c r="U319" s="28" t="s">
        <v>28</v>
      </c>
      <c r="V319" s="28" t="s">
        <v>29</v>
      </c>
      <c r="W319" s="28" t="s">
        <v>126</v>
      </c>
    </row>
    <row r="320" spans="1:23" ht="15" customHeight="1" x14ac:dyDescent="0.25">
      <c r="A320" s="20" t="str">
        <f>VLOOKUP(F320,[1]CLIENTES!B:L,11,0)</f>
        <v>RODRIGO</v>
      </c>
      <c r="B320" s="20" t="s">
        <v>470</v>
      </c>
      <c r="C320" s="20">
        <v>46227</v>
      </c>
      <c r="D320" s="21" t="s">
        <v>21</v>
      </c>
      <c r="E320" s="21">
        <v>2854</v>
      </c>
      <c r="F320" s="21">
        <v>5109682</v>
      </c>
      <c r="G320" s="21">
        <v>128100</v>
      </c>
      <c r="H320" s="21" t="s">
        <v>503</v>
      </c>
      <c r="I320" s="21" t="s">
        <v>23</v>
      </c>
      <c r="J320" s="21">
        <v>6125</v>
      </c>
      <c r="K320" s="21">
        <v>692</v>
      </c>
      <c r="L320" s="22">
        <v>92</v>
      </c>
      <c r="M320" s="24" t="s">
        <v>504</v>
      </c>
      <c r="N320" s="24" t="s">
        <v>25</v>
      </c>
      <c r="O320" s="25">
        <v>46235</v>
      </c>
      <c r="P320" s="21" t="s">
        <v>398</v>
      </c>
      <c r="Q320" s="26" t="s">
        <v>26</v>
      </c>
      <c r="R320" s="27" t="s">
        <v>399</v>
      </c>
      <c r="S320" s="27">
        <v>8000</v>
      </c>
      <c r="T320" s="28" t="s">
        <v>27</v>
      </c>
      <c r="U320" s="28" t="s">
        <v>28</v>
      </c>
      <c r="V320" s="28" t="s">
        <v>29</v>
      </c>
      <c r="W320" s="28" t="s">
        <v>126</v>
      </c>
    </row>
    <row r="321" spans="1:23" ht="15" customHeight="1" x14ac:dyDescent="0.25">
      <c r="A321" s="20" t="str">
        <f>VLOOKUP(F321,[1]CLIENTES!B:L,11,0)</f>
        <v>RODRIGO</v>
      </c>
      <c r="B321" s="20" t="s">
        <v>470</v>
      </c>
      <c r="C321" s="20">
        <v>46227</v>
      </c>
      <c r="D321" s="21" t="s">
        <v>21</v>
      </c>
      <c r="E321" s="21">
        <v>3168</v>
      </c>
      <c r="F321" s="21">
        <v>5226805</v>
      </c>
      <c r="G321" s="21">
        <v>150155</v>
      </c>
      <c r="H321" s="21" t="s">
        <v>505</v>
      </c>
      <c r="I321" s="21" t="s">
        <v>71</v>
      </c>
      <c r="J321" s="21" t="s">
        <v>72</v>
      </c>
      <c r="K321" s="21">
        <v>186</v>
      </c>
      <c r="L321" s="22">
        <v>92</v>
      </c>
      <c r="M321" s="24" t="s">
        <v>506</v>
      </c>
      <c r="N321" s="24" t="s">
        <v>25</v>
      </c>
      <c r="O321" s="25">
        <v>46235</v>
      </c>
      <c r="P321" s="21" t="s">
        <v>398</v>
      </c>
      <c r="Q321" s="26" t="s">
        <v>428</v>
      </c>
      <c r="R321" s="27" t="s">
        <v>431</v>
      </c>
      <c r="S321" s="27">
        <v>3000</v>
      </c>
      <c r="T321" s="28" t="s">
        <v>27</v>
      </c>
      <c r="U321" s="28" t="s">
        <v>28</v>
      </c>
      <c r="V321" s="28" t="s">
        <v>29</v>
      </c>
      <c r="W321" s="28" t="s">
        <v>126</v>
      </c>
    </row>
    <row r="322" spans="1:23" ht="15" customHeight="1" x14ac:dyDescent="0.25">
      <c r="A322" s="20" t="str">
        <f>VLOOKUP(F322,[1]CLIENTES!B:L,11,0)</f>
        <v>RODRIGO</v>
      </c>
      <c r="B322" s="20" t="s">
        <v>470</v>
      </c>
      <c r="C322" s="20">
        <v>46227</v>
      </c>
      <c r="D322" s="21" t="s">
        <v>21</v>
      </c>
      <c r="E322" s="21">
        <v>3168</v>
      </c>
      <c r="F322" s="21">
        <v>5226805</v>
      </c>
      <c r="G322" s="21">
        <v>150155</v>
      </c>
      <c r="H322" s="21" t="s">
        <v>505</v>
      </c>
      <c r="I322" s="21" t="s">
        <v>71</v>
      </c>
      <c r="J322" s="21" t="s">
        <v>72</v>
      </c>
      <c r="K322" s="21">
        <v>186</v>
      </c>
      <c r="L322" s="22">
        <v>92</v>
      </c>
      <c r="M322" s="24" t="s">
        <v>507</v>
      </c>
      <c r="N322" s="24" t="s">
        <v>25</v>
      </c>
      <c r="O322" s="25">
        <v>46235</v>
      </c>
      <c r="P322" s="21" t="s">
        <v>398</v>
      </c>
      <c r="Q322" s="26" t="s">
        <v>428</v>
      </c>
      <c r="R322" s="27" t="s">
        <v>431</v>
      </c>
      <c r="S322" s="27">
        <v>5000</v>
      </c>
      <c r="T322" s="28" t="s">
        <v>27</v>
      </c>
      <c r="U322" s="28" t="s">
        <v>28</v>
      </c>
      <c r="V322" s="28" t="s">
        <v>29</v>
      </c>
      <c r="W322" s="28" t="s">
        <v>35</v>
      </c>
    </row>
    <row r="323" spans="1:23" ht="15" customHeight="1" x14ac:dyDescent="0.25">
      <c r="A323" s="20" t="str">
        <f>VLOOKUP(F323,[1]CLIENTES!B:L,11,0)</f>
        <v>RODRIGO</v>
      </c>
      <c r="B323" s="20" t="s">
        <v>470</v>
      </c>
      <c r="C323" s="20">
        <v>46227</v>
      </c>
      <c r="D323" s="21" t="s">
        <v>21</v>
      </c>
      <c r="E323" s="21">
        <v>3169</v>
      </c>
      <c r="F323" s="21">
        <v>5366274</v>
      </c>
      <c r="G323" s="21">
        <v>193277</v>
      </c>
      <c r="H323" s="21" t="s">
        <v>351</v>
      </c>
      <c r="I323" s="21" t="s">
        <v>71</v>
      </c>
      <c r="J323" s="21" t="s">
        <v>72</v>
      </c>
      <c r="K323" s="21">
        <v>186</v>
      </c>
      <c r="L323" s="22">
        <v>92</v>
      </c>
      <c r="M323" s="24" t="s">
        <v>508</v>
      </c>
      <c r="N323" s="24" t="s">
        <v>25</v>
      </c>
      <c r="O323" s="25">
        <v>46235</v>
      </c>
      <c r="P323" s="21" t="s">
        <v>398</v>
      </c>
      <c r="Q323" s="26" t="s">
        <v>428</v>
      </c>
      <c r="R323" s="27" t="s">
        <v>430</v>
      </c>
      <c r="S323" s="27">
        <v>3178</v>
      </c>
      <c r="T323" s="28" t="s">
        <v>27</v>
      </c>
      <c r="U323" s="28" t="s">
        <v>28</v>
      </c>
      <c r="V323" s="28" t="s">
        <v>29</v>
      </c>
      <c r="W323" s="28" t="s">
        <v>45</v>
      </c>
    </row>
    <row r="324" spans="1:23" ht="15" customHeight="1" x14ac:dyDescent="0.25">
      <c r="A324" s="20" t="str">
        <f>VLOOKUP(F324,[1]CLIENTES!B:L,11,0)</f>
        <v>RODRIGO</v>
      </c>
      <c r="B324" s="20" t="s">
        <v>470</v>
      </c>
      <c r="C324" s="20">
        <v>46227</v>
      </c>
      <c r="D324" s="21" t="s">
        <v>21</v>
      </c>
      <c r="E324" s="21">
        <v>3168</v>
      </c>
      <c r="F324" s="21">
        <v>5226805</v>
      </c>
      <c r="G324" s="21">
        <v>150155</v>
      </c>
      <c r="H324" s="21" t="s">
        <v>505</v>
      </c>
      <c r="I324" s="21" t="s">
        <v>71</v>
      </c>
      <c r="J324" s="21" t="s">
        <v>72</v>
      </c>
      <c r="K324" s="21">
        <v>186</v>
      </c>
      <c r="L324" s="22">
        <v>92</v>
      </c>
      <c r="M324" s="24" t="s">
        <v>509</v>
      </c>
      <c r="N324" s="24" t="s">
        <v>25</v>
      </c>
      <c r="O324" s="25">
        <v>46235</v>
      </c>
      <c r="P324" s="21" t="s">
        <v>398</v>
      </c>
      <c r="Q324" s="26" t="s">
        <v>428</v>
      </c>
      <c r="R324" s="27" t="s">
        <v>431</v>
      </c>
      <c r="S324" s="27">
        <v>2000</v>
      </c>
      <c r="T324" s="28" t="s">
        <v>27</v>
      </c>
      <c r="U324" s="28" t="s">
        <v>28</v>
      </c>
      <c r="V324" s="28" t="s">
        <v>29</v>
      </c>
      <c r="W324" s="28" t="s">
        <v>126</v>
      </c>
    </row>
    <row r="325" spans="1:23" ht="15" customHeight="1" x14ac:dyDescent="0.25">
      <c r="A325" s="20" t="str">
        <f>VLOOKUP(F325,[1]CLIENTES!B:L,11,0)</f>
        <v>RODRIGO</v>
      </c>
      <c r="B325" s="20" t="s">
        <v>470</v>
      </c>
      <c r="C325" s="20">
        <v>46227</v>
      </c>
      <c r="D325" s="21" t="s">
        <v>21</v>
      </c>
      <c r="E325" s="21">
        <v>3163</v>
      </c>
      <c r="F325" s="21">
        <v>5159222</v>
      </c>
      <c r="G325" s="21">
        <v>143312</v>
      </c>
      <c r="H325" s="21" t="s">
        <v>184</v>
      </c>
      <c r="I325" s="21" t="s">
        <v>71</v>
      </c>
      <c r="J325" s="21" t="s">
        <v>72</v>
      </c>
      <c r="K325" s="21">
        <v>186</v>
      </c>
      <c r="L325" s="22">
        <v>92</v>
      </c>
      <c r="M325" s="24" t="s">
        <v>510</v>
      </c>
      <c r="N325" s="24" t="s">
        <v>25</v>
      </c>
      <c r="O325" s="25">
        <v>46235</v>
      </c>
      <c r="P325" s="21" t="s">
        <v>398</v>
      </c>
      <c r="Q325" s="26" t="s">
        <v>428</v>
      </c>
      <c r="R325" s="27" t="s">
        <v>430</v>
      </c>
      <c r="S325" s="27">
        <v>1000</v>
      </c>
      <c r="T325" s="28" t="s">
        <v>27</v>
      </c>
      <c r="U325" s="28" t="s">
        <v>28</v>
      </c>
      <c r="V325" s="28" t="s">
        <v>29</v>
      </c>
      <c r="W325" s="28" t="s">
        <v>126</v>
      </c>
    </row>
    <row r="326" spans="1:23" ht="15" customHeight="1" x14ac:dyDescent="0.25">
      <c r="A326" s="20" t="str">
        <f>VLOOKUP(F326,[1]CLIENTES!B:L,11,0)</f>
        <v>RODRIGO</v>
      </c>
      <c r="B326" s="20" t="s">
        <v>470</v>
      </c>
      <c r="C326" s="20">
        <v>46227</v>
      </c>
      <c r="D326" s="21" t="s">
        <v>21</v>
      </c>
      <c r="E326" s="21">
        <v>3169</v>
      </c>
      <c r="F326" s="21">
        <v>5366274</v>
      </c>
      <c r="G326" s="21">
        <v>193277</v>
      </c>
      <c r="H326" s="21" t="s">
        <v>351</v>
      </c>
      <c r="I326" s="21" t="s">
        <v>71</v>
      </c>
      <c r="J326" s="21" t="s">
        <v>72</v>
      </c>
      <c r="K326" s="21">
        <v>186</v>
      </c>
      <c r="L326" s="22">
        <v>92</v>
      </c>
      <c r="M326" s="24" t="s">
        <v>511</v>
      </c>
      <c r="N326" s="24" t="s">
        <v>25</v>
      </c>
      <c r="O326" s="25">
        <v>46235</v>
      </c>
      <c r="P326" s="21" t="s">
        <v>398</v>
      </c>
      <c r="Q326" s="26" t="s">
        <v>428</v>
      </c>
      <c r="R326" s="27" t="s">
        <v>430</v>
      </c>
      <c r="S326" s="27">
        <v>3400</v>
      </c>
      <c r="T326" s="28" t="s">
        <v>27</v>
      </c>
      <c r="U326" s="28" t="s">
        <v>28</v>
      </c>
      <c r="V326" s="28" t="s">
        <v>29</v>
      </c>
      <c r="W326" s="28" t="s">
        <v>126</v>
      </c>
    </row>
    <row r="327" spans="1:23" ht="15" customHeight="1" x14ac:dyDescent="0.25">
      <c r="A327" s="20" t="str">
        <f>VLOOKUP(F327,[1]CLIENTES!B:L,11,0)</f>
        <v>RODRIGO</v>
      </c>
      <c r="B327" s="20" t="s">
        <v>470</v>
      </c>
      <c r="C327" s="20">
        <v>46227</v>
      </c>
      <c r="D327" s="21" t="s">
        <v>21</v>
      </c>
      <c r="E327" s="21">
        <v>2860</v>
      </c>
      <c r="F327" s="21">
        <v>5020347</v>
      </c>
      <c r="G327" s="21">
        <v>112787</v>
      </c>
      <c r="H327" s="21" t="s">
        <v>129</v>
      </c>
      <c r="I327" s="21" t="s">
        <v>23</v>
      </c>
      <c r="J327" s="21">
        <v>6125</v>
      </c>
      <c r="K327" s="21">
        <v>692</v>
      </c>
      <c r="L327" s="22">
        <v>92</v>
      </c>
      <c r="M327" s="24" t="s">
        <v>512</v>
      </c>
      <c r="N327" s="24" t="s">
        <v>25</v>
      </c>
      <c r="O327" s="25">
        <v>46235</v>
      </c>
      <c r="P327" s="21" t="s">
        <v>398</v>
      </c>
      <c r="Q327" s="26" t="s">
        <v>49</v>
      </c>
      <c r="R327" s="27" t="s">
        <v>400</v>
      </c>
      <c r="S327" s="27">
        <v>5834</v>
      </c>
      <c r="T327" s="28" t="s">
        <v>27</v>
      </c>
      <c r="U327" s="28" t="s">
        <v>28</v>
      </c>
      <c r="V327" s="28" t="s">
        <v>29</v>
      </c>
      <c r="W327" s="28" t="s">
        <v>45</v>
      </c>
    </row>
    <row r="328" spans="1:23" ht="15" customHeight="1" x14ac:dyDescent="0.25">
      <c r="A328" s="20" t="str">
        <f>VLOOKUP(F328,[1]CLIENTES!B:L,11,0)</f>
        <v>RODRIGO</v>
      </c>
      <c r="B328" s="20" t="s">
        <v>470</v>
      </c>
      <c r="C328" s="20">
        <v>46227</v>
      </c>
      <c r="D328" s="21" t="s">
        <v>21</v>
      </c>
      <c r="E328" s="21">
        <v>2856</v>
      </c>
      <c r="F328" s="21">
        <v>5107112</v>
      </c>
      <c r="G328" s="21">
        <v>123370</v>
      </c>
      <c r="H328" s="21" t="s">
        <v>62</v>
      </c>
      <c r="I328" s="21" t="s">
        <v>23</v>
      </c>
      <c r="J328" s="21">
        <v>6125</v>
      </c>
      <c r="K328" s="21">
        <v>692</v>
      </c>
      <c r="L328" s="22">
        <v>92</v>
      </c>
      <c r="M328" s="24" t="s">
        <v>513</v>
      </c>
      <c r="N328" s="24" t="s">
        <v>25</v>
      </c>
      <c r="O328" s="25">
        <v>46235</v>
      </c>
      <c r="P328" s="21" t="s">
        <v>398</v>
      </c>
      <c r="Q328" s="26" t="s">
        <v>49</v>
      </c>
      <c r="R328" s="27" t="s">
        <v>400</v>
      </c>
      <c r="S328" s="27">
        <v>11400</v>
      </c>
      <c r="T328" s="28" t="s">
        <v>27</v>
      </c>
      <c r="U328" s="28" t="s">
        <v>28</v>
      </c>
      <c r="V328" s="28" t="s">
        <v>29</v>
      </c>
      <c r="W328" s="28" t="s">
        <v>126</v>
      </c>
    </row>
    <row r="329" spans="1:23" ht="15" customHeight="1" x14ac:dyDescent="0.25">
      <c r="A329" s="20" t="str">
        <f>VLOOKUP(F329,[1]CLIENTES!B:L,11,0)</f>
        <v>RODRIGO</v>
      </c>
      <c r="B329" s="20" t="s">
        <v>470</v>
      </c>
      <c r="C329" s="20">
        <v>46227</v>
      </c>
      <c r="D329" s="21" t="s">
        <v>21</v>
      </c>
      <c r="E329" s="21">
        <v>2860</v>
      </c>
      <c r="F329" s="21">
        <v>5020347</v>
      </c>
      <c r="G329" s="21">
        <v>112787</v>
      </c>
      <c r="H329" s="21" t="s">
        <v>129</v>
      </c>
      <c r="I329" s="21" t="s">
        <v>23</v>
      </c>
      <c r="J329" s="21">
        <v>6125</v>
      </c>
      <c r="K329" s="21">
        <v>692</v>
      </c>
      <c r="L329" s="22">
        <v>92</v>
      </c>
      <c r="M329" s="24" t="s">
        <v>514</v>
      </c>
      <c r="N329" s="24" t="s">
        <v>25</v>
      </c>
      <c r="O329" s="25">
        <v>46235</v>
      </c>
      <c r="P329" s="21" t="s">
        <v>398</v>
      </c>
      <c r="Q329" s="26" t="s">
        <v>49</v>
      </c>
      <c r="R329" s="27" t="s">
        <v>400</v>
      </c>
      <c r="S329" s="27">
        <v>16518</v>
      </c>
      <c r="T329" s="28" t="s">
        <v>27</v>
      </c>
      <c r="U329" s="28" t="s">
        <v>28</v>
      </c>
      <c r="V329" s="28" t="s">
        <v>29</v>
      </c>
      <c r="W329" s="28" t="s">
        <v>126</v>
      </c>
    </row>
    <row r="330" spans="1:23" ht="15" customHeight="1" x14ac:dyDescent="0.25">
      <c r="A330" s="20" t="str">
        <f>VLOOKUP(F330,[1]CLIENTES!B:L,11,0)</f>
        <v>RODRIGO</v>
      </c>
      <c r="B330" s="20" t="s">
        <v>470</v>
      </c>
      <c r="C330" s="20">
        <v>46227</v>
      </c>
      <c r="D330" s="21" t="s">
        <v>118</v>
      </c>
      <c r="E330" s="21" t="s">
        <v>595</v>
      </c>
      <c r="F330" s="21">
        <v>5026399</v>
      </c>
      <c r="G330" s="21">
        <v>116247</v>
      </c>
      <c r="H330" s="21" t="s">
        <v>119</v>
      </c>
      <c r="I330" s="21" t="s">
        <v>37</v>
      </c>
      <c r="J330" s="21">
        <v>6169</v>
      </c>
      <c r="K330" s="29">
        <v>689</v>
      </c>
      <c r="L330" s="22">
        <v>92</v>
      </c>
      <c r="M330" s="24" t="s">
        <v>515</v>
      </c>
      <c r="N330" s="24" t="s">
        <v>25</v>
      </c>
      <c r="O330" s="25">
        <v>46266</v>
      </c>
      <c r="P330" s="21" t="s">
        <v>398</v>
      </c>
      <c r="Q330" s="26" t="s">
        <v>423</v>
      </c>
      <c r="R330" s="27" t="s">
        <v>425</v>
      </c>
      <c r="S330" s="27">
        <v>65000</v>
      </c>
      <c r="T330" s="28" t="s">
        <v>27</v>
      </c>
      <c r="U330" s="28" t="s">
        <v>28</v>
      </c>
      <c r="V330" s="28" t="s">
        <v>29</v>
      </c>
      <c r="W330" s="28" t="s">
        <v>204</v>
      </c>
    </row>
    <row r="331" spans="1:23" ht="15" customHeight="1" x14ac:dyDescent="0.25">
      <c r="A331" s="20" t="str">
        <f>VLOOKUP(F331,[1]CLIENTES!B:L,11,0)</f>
        <v>RODRIGO</v>
      </c>
      <c r="B331" s="20" t="s">
        <v>470</v>
      </c>
      <c r="C331" s="20">
        <v>46230</v>
      </c>
      <c r="D331" s="21" t="s">
        <v>21</v>
      </c>
      <c r="E331" s="21">
        <v>3172</v>
      </c>
      <c r="F331" s="21">
        <v>5115189</v>
      </c>
      <c r="G331" s="21">
        <v>129296</v>
      </c>
      <c r="H331" s="21" t="s">
        <v>516</v>
      </c>
      <c r="I331" s="21" t="s">
        <v>54</v>
      </c>
      <c r="J331" s="21" t="s">
        <v>55</v>
      </c>
      <c r="K331" s="21">
        <v>191</v>
      </c>
      <c r="L331" s="22">
        <v>93</v>
      </c>
      <c r="M331" s="24" t="s">
        <v>517</v>
      </c>
      <c r="N331" s="24" t="s">
        <v>25</v>
      </c>
      <c r="O331" s="25">
        <v>46235</v>
      </c>
      <c r="P331" s="21" t="s">
        <v>398</v>
      </c>
      <c r="Q331" s="26" t="s">
        <v>57</v>
      </c>
      <c r="R331" s="27" t="s">
        <v>401</v>
      </c>
      <c r="S331" s="27">
        <v>11666.66</v>
      </c>
      <c r="T331" s="28" t="s">
        <v>27</v>
      </c>
      <c r="U331" s="28" t="s">
        <v>28</v>
      </c>
      <c r="V331" s="28" t="s">
        <v>29</v>
      </c>
      <c r="W331" s="28" t="s">
        <v>35</v>
      </c>
    </row>
    <row r="332" spans="1:23" ht="15" customHeight="1" x14ac:dyDescent="0.25">
      <c r="A332" s="20" t="str">
        <f>VLOOKUP(F332,[1]CLIENTES!B:L,11,0)</f>
        <v>RODRIGO</v>
      </c>
      <c r="B332" s="20" t="s">
        <v>470</v>
      </c>
      <c r="C332" s="20">
        <v>46230</v>
      </c>
      <c r="D332" s="21" t="s">
        <v>21</v>
      </c>
      <c r="E332" s="21">
        <v>3172</v>
      </c>
      <c r="F332" s="21">
        <v>5115189</v>
      </c>
      <c r="G332" s="21">
        <v>129296</v>
      </c>
      <c r="H332" s="21" t="s">
        <v>516</v>
      </c>
      <c r="I332" s="21" t="s">
        <v>54</v>
      </c>
      <c r="J332" s="21" t="s">
        <v>55</v>
      </c>
      <c r="K332" s="21">
        <v>191</v>
      </c>
      <c r="L332" s="22">
        <v>93</v>
      </c>
      <c r="M332" s="24" t="s">
        <v>518</v>
      </c>
      <c r="N332" s="24" t="s">
        <v>25</v>
      </c>
      <c r="O332" s="25">
        <v>46235</v>
      </c>
      <c r="P332" s="21" t="s">
        <v>398</v>
      </c>
      <c r="Q332" s="26" t="s">
        <v>57</v>
      </c>
      <c r="R332" s="27" t="s">
        <v>401</v>
      </c>
      <c r="S332" s="27">
        <v>7000</v>
      </c>
      <c r="T332" s="28" t="s">
        <v>27</v>
      </c>
      <c r="U332" s="28" t="s">
        <v>28</v>
      </c>
      <c r="V332" s="28" t="s">
        <v>29</v>
      </c>
      <c r="W332" s="28" t="s">
        <v>35</v>
      </c>
    </row>
    <row r="333" spans="1:23" ht="15" customHeight="1" x14ac:dyDescent="0.25">
      <c r="A333" s="20" t="str">
        <f>VLOOKUP(F333,[1]CLIENTES!B:L,11,0)</f>
        <v>RODRIGO</v>
      </c>
      <c r="B333" s="20" t="s">
        <v>470</v>
      </c>
      <c r="C333" s="20">
        <v>46230</v>
      </c>
      <c r="D333" s="21" t="s">
        <v>21</v>
      </c>
      <c r="E333" s="21">
        <v>3172</v>
      </c>
      <c r="F333" s="21">
        <v>5115189</v>
      </c>
      <c r="G333" s="21">
        <v>129296</v>
      </c>
      <c r="H333" s="21" t="s">
        <v>516</v>
      </c>
      <c r="I333" s="21" t="s">
        <v>54</v>
      </c>
      <c r="J333" s="21" t="s">
        <v>55</v>
      </c>
      <c r="K333" s="21">
        <v>191</v>
      </c>
      <c r="L333" s="22">
        <v>93</v>
      </c>
      <c r="M333" s="24" t="s">
        <v>519</v>
      </c>
      <c r="N333" s="24" t="s">
        <v>25</v>
      </c>
      <c r="O333" s="25">
        <v>46235</v>
      </c>
      <c r="P333" s="21" t="s">
        <v>398</v>
      </c>
      <c r="Q333" s="26" t="s">
        <v>57</v>
      </c>
      <c r="R333" s="27" t="s">
        <v>401</v>
      </c>
      <c r="S333" s="27">
        <v>15000</v>
      </c>
      <c r="T333" s="28" t="s">
        <v>27</v>
      </c>
      <c r="U333" s="28" t="s">
        <v>28</v>
      </c>
      <c r="V333" s="28" t="s">
        <v>29</v>
      </c>
      <c r="W333" s="28" t="s">
        <v>126</v>
      </c>
    </row>
    <row r="334" spans="1:23" ht="15" customHeight="1" x14ac:dyDescent="0.25">
      <c r="A334" s="20" t="str">
        <f>VLOOKUP(F334,[1]CLIENTES!B:L,11,0)</f>
        <v>RODRIGO</v>
      </c>
      <c r="B334" s="20" t="s">
        <v>470</v>
      </c>
      <c r="C334" s="20">
        <v>46230</v>
      </c>
      <c r="D334" s="21" t="s">
        <v>21</v>
      </c>
      <c r="E334" s="21">
        <v>2859</v>
      </c>
      <c r="F334" s="21">
        <v>5020352</v>
      </c>
      <c r="G334" s="21">
        <v>127298</v>
      </c>
      <c r="H334" s="21" t="s">
        <v>124</v>
      </c>
      <c r="I334" s="21" t="s">
        <v>23</v>
      </c>
      <c r="J334" s="21">
        <v>6125</v>
      </c>
      <c r="K334" s="21">
        <v>692</v>
      </c>
      <c r="L334" s="22">
        <v>92</v>
      </c>
      <c r="M334" s="24" t="s">
        <v>520</v>
      </c>
      <c r="N334" s="24" t="s">
        <v>25</v>
      </c>
      <c r="O334" s="25">
        <v>46235</v>
      </c>
      <c r="P334" s="21" t="s">
        <v>398</v>
      </c>
      <c r="Q334" s="26" t="s">
        <v>49</v>
      </c>
      <c r="R334" s="27" t="s">
        <v>400</v>
      </c>
      <c r="S334" s="27">
        <v>6418</v>
      </c>
      <c r="T334" s="28" t="s">
        <v>27</v>
      </c>
      <c r="U334" s="28" t="s">
        <v>28</v>
      </c>
      <c r="V334" s="28" t="s">
        <v>29</v>
      </c>
      <c r="W334" s="28" t="s">
        <v>126</v>
      </c>
    </row>
    <row r="335" spans="1:23" ht="15" customHeight="1" x14ac:dyDescent="0.25">
      <c r="A335" s="20" t="str">
        <f>VLOOKUP(F335,[1]CLIENTES!B:L,11,0)</f>
        <v>RODRIGO</v>
      </c>
      <c r="B335" s="20" t="s">
        <v>470</v>
      </c>
      <c r="C335" s="20">
        <v>46230</v>
      </c>
      <c r="D335" s="21" t="s">
        <v>21</v>
      </c>
      <c r="E335" s="21">
        <v>2848</v>
      </c>
      <c r="F335" s="21">
        <v>5223419</v>
      </c>
      <c r="G335" s="21">
        <v>146094</v>
      </c>
      <c r="H335" s="21" t="s">
        <v>265</v>
      </c>
      <c r="I335" s="21" t="s">
        <v>266</v>
      </c>
      <c r="J335" s="21">
        <v>6123</v>
      </c>
      <c r="K335" s="21">
        <v>607</v>
      </c>
      <c r="L335" s="22">
        <v>93</v>
      </c>
      <c r="M335" s="24" t="s">
        <v>521</v>
      </c>
      <c r="N335" s="24" t="s">
        <v>25</v>
      </c>
      <c r="O335" s="25">
        <v>46235</v>
      </c>
      <c r="P335" s="21" t="s">
        <v>398</v>
      </c>
      <c r="Q335" s="26" t="s">
        <v>57</v>
      </c>
      <c r="R335" s="27" t="s">
        <v>427</v>
      </c>
      <c r="S335" s="27">
        <v>2200</v>
      </c>
      <c r="T335" s="28" t="s">
        <v>27</v>
      </c>
      <c r="U335" s="28" t="s">
        <v>28</v>
      </c>
      <c r="V335" s="28" t="s">
        <v>29</v>
      </c>
      <c r="W335" s="28" t="s">
        <v>126</v>
      </c>
    </row>
    <row r="336" spans="1:23" ht="15" customHeight="1" x14ac:dyDescent="0.25">
      <c r="A336" s="20" t="str">
        <f>VLOOKUP(F336,[1]CLIENTES!B:L,11,0)</f>
        <v>RODRIGO</v>
      </c>
      <c r="B336" s="20" t="s">
        <v>470</v>
      </c>
      <c r="C336" s="20">
        <v>46230</v>
      </c>
      <c r="D336" s="21" t="s">
        <v>21</v>
      </c>
      <c r="E336" s="21">
        <v>3171</v>
      </c>
      <c r="F336" s="21">
        <v>5186266</v>
      </c>
      <c r="G336" s="21">
        <v>142707</v>
      </c>
      <c r="H336" s="21" t="s">
        <v>212</v>
      </c>
      <c r="I336" s="21" t="s">
        <v>213</v>
      </c>
      <c r="J336" s="21" t="s">
        <v>214</v>
      </c>
      <c r="K336" s="21">
        <v>197</v>
      </c>
      <c r="L336" s="32">
        <v>92</v>
      </c>
      <c r="M336" s="24" t="s">
        <v>522</v>
      </c>
      <c r="N336" s="24" t="s">
        <v>25</v>
      </c>
      <c r="O336" s="25">
        <v>46235</v>
      </c>
      <c r="P336" s="21" t="s">
        <v>398</v>
      </c>
      <c r="Q336" s="26" t="s">
        <v>57</v>
      </c>
      <c r="R336" s="27" t="s">
        <v>427</v>
      </c>
      <c r="S336" s="27">
        <v>2500</v>
      </c>
      <c r="T336" s="28" t="s">
        <v>27</v>
      </c>
      <c r="U336" s="28" t="s">
        <v>28</v>
      </c>
      <c r="V336" s="28" t="s">
        <v>29</v>
      </c>
      <c r="W336" s="28" t="s">
        <v>126</v>
      </c>
    </row>
    <row r="337" spans="1:23" ht="15" customHeight="1" x14ac:dyDescent="0.25">
      <c r="A337" s="20" t="str">
        <f>VLOOKUP(F337,[1]CLIENTES!B:L,11,0)</f>
        <v>RODRIGO</v>
      </c>
      <c r="B337" s="20" t="s">
        <v>470</v>
      </c>
      <c r="C337" s="20">
        <v>46230</v>
      </c>
      <c r="D337" s="21" t="s">
        <v>21</v>
      </c>
      <c r="E337" s="21">
        <v>2849</v>
      </c>
      <c r="F337" s="21">
        <v>5141420</v>
      </c>
      <c r="G337" s="21">
        <v>129963</v>
      </c>
      <c r="H337" s="21" t="s">
        <v>374</v>
      </c>
      <c r="I337" s="21" t="s">
        <v>266</v>
      </c>
      <c r="J337" s="21">
        <v>6123</v>
      </c>
      <c r="K337" s="21">
        <v>607</v>
      </c>
      <c r="L337" s="22">
        <v>93</v>
      </c>
      <c r="M337" s="24" t="s">
        <v>523</v>
      </c>
      <c r="N337" s="24" t="s">
        <v>25</v>
      </c>
      <c r="O337" s="25">
        <v>46235</v>
      </c>
      <c r="P337" s="21" t="s">
        <v>398</v>
      </c>
      <c r="Q337" s="26" t="s">
        <v>57</v>
      </c>
      <c r="R337" s="27" t="s">
        <v>427</v>
      </c>
      <c r="S337" s="27">
        <v>4500</v>
      </c>
      <c r="T337" s="28" t="s">
        <v>27</v>
      </c>
      <c r="U337" s="28" t="s">
        <v>28</v>
      </c>
      <c r="V337" s="28" t="s">
        <v>29</v>
      </c>
      <c r="W337" s="28" t="s">
        <v>126</v>
      </c>
    </row>
    <row r="338" spans="1:23" ht="15" customHeight="1" x14ac:dyDescent="0.25">
      <c r="A338" s="20" t="str">
        <f>VLOOKUP(F338,[1]CLIENTES!B:L,11,0)</f>
        <v>RODRIGO</v>
      </c>
      <c r="B338" s="20" t="s">
        <v>470</v>
      </c>
      <c r="C338" s="20">
        <v>46230</v>
      </c>
      <c r="D338" s="21" t="s">
        <v>21</v>
      </c>
      <c r="E338" s="21">
        <v>3180</v>
      </c>
      <c r="F338" s="21">
        <v>5019245</v>
      </c>
      <c r="G338" s="21">
        <v>145028</v>
      </c>
      <c r="H338" s="21" t="s">
        <v>312</v>
      </c>
      <c r="I338" s="21" t="s">
        <v>54</v>
      </c>
      <c r="J338" s="21" t="s">
        <v>55</v>
      </c>
      <c r="K338" s="21">
        <v>191</v>
      </c>
      <c r="L338" s="22">
        <v>92</v>
      </c>
      <c r="M338" s="24" t="s">
        <v>524</v>
      </c>
      <c r="N338" s="24" t="s">
        <v>25</v>
      </c>
      <c r="O338" s="25">
        <v>46235</v>
      </c>
      <c r="P338" s="21" t="s">
        <v>398</v>
      </c>
      <c r="Q338" s="26" t="s">
        <v>57</v>
      </c>
      <c r="R338" s="27" t="s">
        <v>427</v>
      </c>
      <c r="S338" s="27">
        <v>1000</v>
      </c>
      <c r="T338" s="28" t="s">
        <v>27</v>
      </c>
      <c r="U338" s="28" t="s">
        <v>28</v>
      </c>
      <c r="V338" s="28" t="s">
        <v>29</v>
      </c>
      <c r="W338" s="28" t="s">
        <v>126</v>
      </c>
    </row>
    <row r="339" spans="1:23" ht="15" customHeight="1" x14ac:dyDescent="0.25">
      <c r="A339" s="20" t="str">
        <f>VLOOKUP(F339,[1]CLIENTES!B:L,11,0)</f>
        <v>RODRIGO</v>
      </c>
      <c r="B339" s="20" t="s">
        <v>470</v>
      </c>
      <c r="C339" s="20">
        <v>46230</v>
      </c>
      <c r="D339" s="21" t="s">
        <v>21</v>
      </c>
      <c r="E339" s="21">
        <v>2882</v>
      </c>
      <c r="F339" s="21">
        <v>5011698</v>
      </c>
      <c r="G339" s="21"/>
      <c r="H339" s="21" t="s">
        <v>525</v>
      </c>
      <c r="I339" s="21" t="s">
        <v>76</v>
      </c>
      <c r="J339" s="21">
        <v>6123</v>
      </c>
      <c r="K339" s="21">
        <v>675</v>
      </c>
      <c r="L339" s="32">
        <v>92</v>
      </c>
      <c r="M339" s="24" t="s">
        <v>447</v>
      </c>
      <c r="N339" s="24" t="s">
        <v>25</v>
      </c>
      <c r="O339" s="25">
        <v>46235</v>
      </c>
      <c r="P339" s="21" t="s">
        <v>398</v>
      </c>
      <c r="Q339" s="26" t="s">
        <v>57</v>
      </c>
      <c r="R339" s="27" t="s">
        <v>427</v>
      </c>
      <c r="S339" s="27">
        <v>2500</v>
      </c>
      <c r="T339" s="28" t="s">
        <v>27</v>
      </c>
      <c r="U339" s="28" t="s">
        <v>28</v>
      </c>
      <c r="V339" s="28" t="s">
        <v>29</v>
      </c>
      <c r="W339" s="28" t="s">
        <v>126</v>
      </c>
    </row>
    <row r="340" spans="1:23" ht="15" customHeight="1" x14ac:dyDescent="0.25">
      <c r="A340" s="20" t="str">
        <f>VLOOKUP(F340,[1]CLIENTES!B:L,11,0)</f>
        <v>RODRIGO</v>
      </c>
      <c r="B340" s="20" t="s">
        <v>470</v>
      </c>
      <c r="C340" s="20">
        <v>46230</v>
      </c>
      <c r="D340" s="21" t="s">
        <v>21</v>
      </c>
      <c r="E340" s="21">
        <v>3177</v>
      </c>
      <c r="F340" s="21">
        <v>5228956</v>
      </c>
      <c r="G340" s="21"/>
      <c r="H340" s="21" t="s">
        <v>526</v>
      </c>
      <c r="I340" s="21" t="s">
        <v>527</v>
      </c>
      <c r="J340" s="21" t="s">
        <v>536</v>
      </c>
      <c r="K340" s="21">
        <v>531</v>
      </c>
      <c r="L340" s="32">
        <v>93</v>
      </c>
      <c r="M340" s="24" t="s">
        <v>528</v>
      </c>
      <c r="N340" s="24" t="s">
        <v>25</v>
      </c>
      <c r="O340" s="25">
        <v>46235</v>
      </c>
      <c r="P340" s="21" t="s">
        <v>398</v>
      </c>
      <c r="Q340" s="26" t="s">
        <v>57</v>
      </c>
      <c r="R340" s="27" t="s">
        <v>427</v>
      </c>
      <c r="S340" s="27">
        <v>2640</v>
      </c>
      <c r="T340" s="28" t="s">
        <v>27</v>
      </c>
      <c r="U340" s="28" t="s">
        <v>28</v>
      </c>
      <c r="V340" s="28" t="s">
        <v>29</v>
      </c>
      <c r="W340" s="28" t="s">
        <v>126</v>
      </c>
    </row>
    <row r="341" spans="1:23" ht="15" customHeight="1" x14ac:dyDescent="0.25">
      <c r="A341" s="20" t="str">
        <f>VLOOKUP(F341,[1]CLIENTES!B:L,11,0)</f>
        <v>RODRIGO</v>
      </c>
      <c r="B341" s="20" t="s">
        <v>470</v>
      </c>
      <c r="C341" s="20">
        <v>46230</v>
      </c>
      <c r="D341" s="21" t="s">
        <v>21</v>
      </c>
      <c r="E341" s="21">
        <v>2873</v>
      </c>
      <c r="F341" s="21">
        <v>5340656</v>
      </c>
      <c r="G341" s="21">
        <v>184833</v>
      </c>
      <c r="H341" s="21" t="s">
        <v>529</v>
      </c>
      <c r="I341" s="21" t="s">
        <v>23</v>
      </c>
      <c r="J341" s="21">
        <v>6125</v>
      </c>
      <c r="K341" s="21">
        <v>692</v>
      </c>
      <c r="L341" s="22">
        <v>92</v>
      </c>
      <c r="M341" s="24" t="s">
        <v>530</v>
      </c>
      <c r="N341" s="24" t="s">
        <v>25</v>
      </c>
      <c r="O341" s="25">
        <v>46235</v>
      </c>
      <c r="P341" s="21" t="s">
        <v>398</v>
      </c>
      <c r="Q341" s="26" t="s">
        <v>49</v>
      </c>
      <c r="R341" s="27" t="s">
        <v>400</v>
      </c>
      <c r="S341" s="27">
        <v>1458</v>
      </c>
      <c r="T341" s="28" t="s">
        <v>27</v>
      </c>
      <c r="U341" s="28" t="s">
        <v>28</v>
      </c>
      <c r="V341" s="28" t="s">
        <v>29</v>
      </c>
      <c r="W341" s="28" t="s">
        <v>126</v>
      </c>
    </row>
    <row r="342" spans="1:23" ht="15" customHeight="1" x14ac:dyDescent="0.25">
      <c r="A342" s="20" t="str">
        <f>VLOOKUP(F342,[1]CLIENTES!B:L,11,0)</f>
        <v>RODRIGO</v>
      </c>
      <c r="B342" s="20" t="s">
        <v>470</v>
      </c>
      <c r="C342" s="20">
        <v>46230</v>
      </c>
      <c r="D342" s="21" t="s">
        <v>21</v>
      </c>
      <c r="E342" s="21">
        <v>2857</v>
      </c>
      <c r="F342" s="21">
        <v>5038157</v>
      </c>
      <c r="G342" s="21">
        <v>165753</v>
      </c>
      <c r="H342" s="21" t="s">
        <v>531</v>
      </c>
      <c r="I342" s="21" t="s">
        <v>23</v>
      </c>
      <c r="J342" s="21">
        <v>6125</v>
      </c>
      <c r="K342" s="21">
        <v>692</v>
      </c>
      <c r="L342" s="22">
        <v>92</v>
      </c>
      <c r="M342" s="24" t="s">
        <v>532</v>
      </c>
      <c r="N342" s="24" t="s">
        <v>25</v>
      </c>
      <c r="O342" s="25">
        <v>46235</v>
      </c>
      <c r="P342" s="21" t="s">
        <v>398</v>
      </c>
      <c r="Q342" s="26" t="s">
        <v>49</v>
      </c>
      <c r="R342" s="27" t="s">
        <v>400</v>
      </c>
      <c r="S342" s="27">
        <v>4000</v>
      </c>
      <c r="T342" s="28" t="s">
        <v>27</v>
      </c>
      <c r="U342" s="28" t="s">
        <v>28</v>
      </c>
      <c r="V342" s="28" t="s">
        <v>29</v>
      </c>
      <c r="W342" s="28" t="s">
        <v>126</v>
      </c>
    </row>
    <row r="343" spans="1:23" ht="15" customHeight="1" x14ac:dyDescent="0.25">
      <c r="A343" s="20" t="str">
        <f>VLOOKUP(F343,[1]CLIENTES!B:L,11,0)</f>
        <v>RODRIGO</v>
      </c>
      <c r="B343" s="20" t="s">
        <v>470</v>
      </c>
      <c r="C343" s="20">
        <v>46230</v>
      </c>
      <c r="D343" s="21" t="s">
        <v>21</v>
      </c>
      <c r="E343" s="21">
        <v>3164</v>
      </c>
      <c r="F343" s="21">
        <v>5127060</v>
      </c>
      <c r="G343" s="21">
        <v>187971</v>
      </c>
      <c r="H343" s="21" t="s">
        <v>90</v>
      </c>
      <c r="I343" s="21" t="s">
        <v>71</v>
      </c>
      <c r="J343" s="21" t="s">
        <v>72</v>
      </c>
      <c r="K343" s="21">
        <v>186</v>
      </c>
      <c r="L343" s="22">
        <v>92</v>
      </c>
      <c r="M343" s="24" t="s">
        <v>533</v>
      </c>
      <c r="N343" s="24" t="s">
        <v>25</v>
      </c>
      <c r="O343" s="25">
        <v>46235</v>
      </c>
      <c r="P343" s="21" t="s">
        <v>398</v>
      </c>
      <c r="Q343" s="26" t="s">
        <v>428</v>
      </c>
      <c r="R343" s="27" t="s">
        <v>430</v>
      </c>
      <c r="S343" s="27">
        <v>1000</v>
      </c>
      <c r="T343" s="28" t="s">
        <v>27</v>
      </c>
      <c r="U343" s="28" t="s">
        <v>28</v>
      </c>
      <c r="V343" s="28" t="s">
        <v>29</v>
      </c>
      <c r="W343" s="28" t="s">
        <v>60</v>
      </c>
    </row>
    <row r="344" spans="1:23" ht="15" customHeight="1" x14ac:dyDescent="0.25">
      <c r="A344" s="20" t="str">
        <f>VLOOKUP(F344,[1]CLIENTES!B:L,11,0)</f>
        <v>RODRIGO</v>
      </c>
      <c r="B344" s="20" t="s">
        <v>470</v>
      </c>
      <c r="C344" s="20">
        <v>46230</v>
      </c>
      <c r="D344" s="21" t="s">
        <v>21</v>
      </c>
      <c r="E344" s="21">
        <v>2899</v>
      </c>
      <c r="F344" s="21">
        <v>5026768</v>
      </c>
      <c r="G344" s="21">
        <v>113399</v>
      </c>
      <c r="H344" s="21" t="s">
        <v>139</v>
      </c>
      <c r="I344" s="21" t="s">
        <v>132</v>
      </c>
      <c r="J344" s="21">
        <v>6127</v>
      </c>
      <c r="K344" s="21">
        <v>605</v>
      </c>
      <c r="L344" s="22">
        <v>92</v>
      </c>
      <c r="M344" s="24" t="s">
        <v>534</v>
      </c>
      <c r="N344" s="24" t="s">
        <v>25</v>
      </c>
      <c r="O344" s="25">
        <v>46235</v>
      </c>
      <c r="P344" s="21" t="s">
        <v>398</v>
      </c>
      <c r="Q344" s="26" t="s">
        <v>471</v>
      </c>
      <c r="R344" s="27" t="s">
        <v>433</v>
      </c>
      <c r="S344" s="27">
        <v>10000</v>
      </c>
      <c r="T344" s="28" t="s">
        <v>27</v>
      </c>
      <c r="U344" s="28" t="s">
        <v>28</v>
      </c>
      <c r="V344" s="28" t="s">
        <v>29</v>
      </c>
      <c r="W344" s="28" t="s">
        <v>126</v>
      </c>
    </row>
    <row r="345" spans="1:23" ht="15" customHeight="1" x14ac:dyDescent="0.25">
      <c r="A345" s="20" t="str">
        <f>VLOOKUP(F345,[1]CLIENTES!B:L,11,0)</f>
        <v>RODRIGO</v>
      </c>
      <c r="B345" s="20" t="s">
        <v>537</v>
      </c>
      <c r="C345" s="20">
        <v>46203</v>
      </c>
      <c r="D345" s="21" t="s">
        <v>21</v>
      </c>
      <c r="E345" s="21">
        <v>3846</v>
      </c>
      <c r="F345" s="21">
        <v>5133664</v>
      </c>
      <c r="G345" s="21">
        <v>142632</v>
      </c>
      <c r="H345" s="21" t="s">
        <v>134</v>
      </c>
      <c r="I345" s="21" t="s">
        <v>40</v>
      </c>
      <c r="J345" s="21" t="s">
        <v>41</v>
      </c>
      <c r="K345" s="29">
        <v>194</v>
      </c>
      <c r="L345" s="33">
        <v>92</v>
      </c>
      <c r="M345" s="24" t="s">
        <v>467</v>
      </c>
      <c r="N345" s="21" t="s">
        <v>25</v>
      </c>
      <c r="O345" s="25">
        <v>46266</v>
      </c>
      <c r="P345" s="21" t="s">
        <v>398</v>
      </c>
      <c r="Q345" s="26" t="s">
        <v>471</v>
      </c>
      <c r="R345" s="27" t="s">
        <v>426</v>
      </c>
      <c r="S345" s="27">
        <v>30000</v>
      </c>
      <c r="T345" s="28" t="s">
        <v>27</v>
      </c>
      <c r="U345" s="28" t="s">
        <v>28</v>
      </c>
      <c r="V345" s="28" t="s">
        <v>29</v>
      </c>
      <c r="W345" s="28" t="s">
        <v>126</v>
      </c>
    </row>
    <row r="346" spans="1:23" ht="15" customHeight="1" x14ac:dyDescent="0.25">
      <c r="A346" s="20" t="str">
        <f>VLOOKUP(F346,[1]CLIENTES!B:L,11,0)</f>
        <v>RODRIGO</v>
      </c>
      <c r="B346" s="20" t="s">
        <v>537</v>
      </c>
      <c r="C346" s="20">
        <v>46230</v>
      </c>
      <c r="D346" s="21" t="s">
        <v>21</v>
      </c>
      <c r="E346" s="21">
        <v>3836</v>
      </c>
      <c r="F346" s="21">
        <v>5225860</v>
      </c>
      <c r="G346" s="21">
        <v>180402</v>
      </c>
      <c r="H346" s="21" t="s">
        <v>39</v>
      </c>
      <c r="I346" s="21" t="s">
        <v>40</v>
      </c>
      <c r="J346" s="21" t="s">
        <v>41</v>
      </c>
      <c r="K346" s="29">
        <v>194</v>
      </c>
      <c r="L346" s="33">
        <v>92</v>
      </c>
      <c r="M346" s="24" t="s">
        <v>534</v>
      </c>
      <c r="N346" s="21" t="s">
        <v>25</v>
      </c>
      <c r="O346" s="25">
        <v>46266</v>
      </c>
      <c r="P346" s="21" t="s">
        <v>398</v>
      </c>
      <c r="Q346" s="26" t="s">
        <v>471</v>
      </c>
      <c r="R346" s="27" t="s">
        <v>426</v>
      </c>
      <c r="S346" s="27">
        <v>30000</v>
      </c>
      <c r="T346" s="28" t="s">
        <v>27</v>
      </c>
      <c r="U346" s="28" t="s">
        <v>28</v>
      </c>
      <c r="V346" s="28" t="s">
        <v>29</v>
      </c>
      <c r="W346" s="28" t="s">
        <v>126</v>
      </c>
    </row>
    <row r="347" spans="1:23" ht="15" customHeight="1" x14ac:dyDescent="0.25">
      <c r="A347" s="20" t="str">
        <f>VLOOKUP(F347,[1]CLIENTES!B:L,11,0)</f>
        <v>RODRIGO</v>
      </c>
      <c r="B347" s="20" t="s">
        <v>537</v>
      </c>
      <c r="C347" s="20">
        <v>46230</v>
      </c>
      <c r="D347" s="21" t="s">
        <v>21</v>
      </c>
      <c r="E347" s="21">
        <v>3427</v>
      </c>
      <c r="F347" s="21">
        <v>5229985</v>
      </c>
      <c r="G347" s="21">
        <v>180738</v>
      </c>
      <c r="H347" s="21" t="s">
        <v>131</v>
      </c>
      <c r="I347" s="21" t="s">
        <v>132</v>
      </c>
      <c r="J347" s="21">
        <v>6127</v>
      </c>
      <c r="K347" s="29">
        <v>605</v>
      </c>
      <c r="L347" s="33">
        <v>92</v>
      </c>
      <c r="M347" s="24" t="s">
        <v>534</v>
      </c>
      <c r="N347" s="21" t="s">
        <v>25</v>
      </c>
      <c r="O347" s="25">
        <v>46266</v>
      </c>
      <c r="P347" s="21" t="s">
        <v>398</v>
      </c>
      <c r="Q347" s="26" t="s">
        <v>471</v>
      </c>
      <c r="R347" s="27" t="s">
        <v>433</v>
      </c>
      <c r="S347" s="27">
        <v>20000</v>
      </c>
      <c r="T347" s="28" t="s">
        <v>27</v>
      </c>
      <c r="U347" s="28" t="s">
        <v>28</v>
      </c>
      <c r="V347" s="28" t="s">
        <v>29</v>
      </c>
      <c r="W347" s="28" t="s">
        <v>126</v>
      </c>
    </row>
    <row r="348" spans="1:23" ht="15" customHeight="1" x14ac:dyDescent="0.25">
      <c r="A348" s="20" t="str">
        <f>VLOOKUP(F348,[1]CLIENTES!B:L,11,0)</f>
        <v>RODRIGO</v>
      </c>
      <c r="B348" s="20" t="s">
        <v>537</v>
      </c>
      <c r="C348" s="20">
        <v>46232</v>
      </c>
      <c r="D348" s="21" t="s">
        <v>21</v>
      </c>
      <c r="E348" s="21">
        <v>3420</v>
      </c>
      <c r="F348" s="21">
        <v>5004685</v>
      </c>
      <c r="G348" s="21">
        <v>110434</v>
      </c>
      <c r="H348" s="21" t="s">
        <v>116</v>
      </c>
      <c r="I348" s="21" t="s">
        <v>23</v>
      </c>
      <c r="J348" s="21">
        <v>6125</v>
      </c>
      <c r="K348" s="29">
        <v>692</v>
      </c>
      <c r="L348" s="33">
        <v>92</v>
      </c>
      <c r="M348" s="24" t="s">
        <v>538</v>
      </c>
      <c r="N348" s="21" t="s">
        <v>25</v>
      </c>
      <c r="O348" s="25">
        <v>46266</v>
      </c>
      <c r="P348" s="21" t="s">
        <v>398</v>
      </c>
      <c r="Q348" s="26" t="s">
        <v>49</v>
      </c>
      <c r="R348" s="27" t="s">
        <v>402</v>
      </c>
      <c r="S348" s="27">
        <v>14433.84</v>
      </c>
      <c r="T348" s="28" t="s">
        <v>27</v>
      </c>
      <c r="U348" s="28" t="s">
        <v>28</v>
      </c>
      <c r="V348" s="28" t="s">
        <v>29</v>
      </c>
      <c r="W348" s="28" t="s">
        <v>338</v>
      </c>
    </row>
    <row r="349" spans="1:23" ht="15" customHeight="1" x14ac:dyDescent="0.25">
      <c r="A349" s="20" t="str">
        <f>VLOOKUP(F349,[1]CLIENTES!B:L,11,0)</f>
        <v>RODRIGO</v>
      </c>
      <c r="B349" s="20" t="s">
        <v>537</v>
      </c>
      <c r="C349" s="20">
        <v>46186</v>
      </c>
      <c r="D349" s="21" t="s">
        <v>21</v>
      </c>
      <c r="E349" s="21">
        <v>3413</v>
      </c>
      <c r="F349" s="21">
        <v>5128707</v>
      </c>
      <c r="G349" s="21">
        <v>128420</v>
      </c>
      <c r="H349" s="21" t="s">
        <v>261</v>
      </c>
      <c r="I349" s="21" t="s">
        <v>113</v>
      </c>
      <c r="J349" s="21">
        <v>6127</v>
      </c>
      <c r="K349" s="29">
        <v>682</v>
      </c>
      <c r="L349" s="33">
        <v>92</v>
      </c>
      <c r="M349" s="24" t="s">
        <v>539</v>
      </c>
      <c r="N349" s="21" t="s">
        <v>25</v>
      </c>
      <c r="O349" s="25">
        <v>46266</v>
      </c>
      <c r="P349" s="21" t="s">
        <v>398</v>
      </c>
      <c r="Q349" s="26" t="s">
        <v>471</v>
      </c>
      <c r="R349" s="27" t="s">
        <v>692</v>
      </c>
      <c r="S349" s="27">
        <v>10000</v>
      </c>
      <c r="T349" s="28" t="s">
        <v>27</v>
      </c>
      <c r="U349" s="28" t="s">
        <v>28</v>
      </c>
      <c r="V349" s="28" t="s">
        <v>29</v>
      </c>
      <c r="W349" s="28" t="s">
        <v>126</v>
      </c>
    </row>
    <row r="350" spans="1:23" ht="15" customHeight="1" x14ac:dyDescent="0.25">
      <c r="A350" s="20" t="str">
        <f>VLOOKUP(F350,[1]CLIENTES!B:L,11,0)</f>
        <v>RODRIGO</v>
      </c>
      <c r="B350" s="20" t="s">
        <v>537</v>
      </c>
      <c r="C350" s="20">
        <v>46181</v>
      </c>
      <c r="D350" s="21" t="s">
        <v>21</v>
      </c>
      <c r="E350" s="21">
        <v>3418</v>
      </c>
      <c r="F350" s="21">
        <v>5109334</v>
      </c>
      <c r="G350" s="21">
        <v>134327</v>
      </c>
      <c r="H350" s="21" t="s">
        <v>339</v>
      </c>
      <c r="I350" s="21" t="s">
        <v>23</v>
      </c>
      <c r="J350" s="21">
        <v>6125</v>
      </c>
      <c r="K350" s="29">
        <v>692</v>
      </c>
      <c r="L350" s="33">
        <v>93</v>
      </c>
      <c r="M350" s="24" t="s">
        <v>540</v>
      </c>
      <c r="N350" s="21" t="s">
        <v>25</v>
      </c>
      <c r="O350" s="25">
        <v>46266</v>
      </c>
      <c r="P350" s="21" t="s">
        <v>398</v>
      </c>
      <c r="Q350" s="26" t="s">
        <v>26</v>
      </c>
      <c r="R350" s="27" t="s">
        <v>429</v>
      </c>
      <c r="S350" s="27">
        <v>97.3</v>
      </c>
      <c r="T350" s="28" t="s">
        <v>27</v>
      </c>
      <c r="U350" s="28" t="s">
        <v>28</v>
      </c>
      <c r="V350" s="28" t="s">
        <v>29</v>
      </c>
      <c r="W350" s="28" t="s">
        <v>126</v>
      </c>
    </row>
    <row r="351" spans="1:23" ht="15" customHeight="1" x14ac:dyDescent="0.25">
      <c r="A351" s="20" t="str">
        <f>VLOOKUP(F351,[1]CLIENTES!B:L,11,0)</f>
        <v>RODRIGO</v>
      </c>
      <c r="B351" s="20" t="s">
        <v>537</v>
      </c>
      <c r="C351" s="20">
        <v>46225</v>
      </c>
      <c r="D351" s="21" t="s">
        <v>21</v>
      </c>
      <c r="E351" s="21">
        <v>3433</v>
      </c>
      <c r="F351" s="21">
        <v>5008478</v>
      </c>
      <c r="G351" s="21" t="e">
        <v>#N/A</v>
      </c>
      <c r="H351" s="21" t="s">
        <v>541</v>
      </c>
      <c r="I351" s="21" t="s">
        <v>23</v>
      </c>
      <c r="J351" s="21">
        <v>6125</v>
      </c>
      <c r="K351" s="29">
        <v>692</v>
      </c>
      <c r="L351" s="33">
        <v>93</v>
      </c>
      <c r="M351" s="24" t="s">
        <v>542</v>
      </c>
      <c r="N351" s="21" t="s">
        <v>25</v>
      </c>
      <c r="O351" s="25">
        <v>46266</v>
      </c>
      <c r="P351" s="21" t="s">
        <v>398</v>
      </c>
      <c r="Q351" s="26" t="s">
        <v>26</v>
      </c>
      <c r="R351" s="27" t="s">
        <v>399</v>
      </c>
      <c r="S351" s="27">
        <v>1142</v>
      </c>
      <c r="T351" s="28" t="s">
        <v>27</v>
      </c>
      <c r="U351" s="28" t="s">
        <v>28</v>
      </c>
      <c r="V351" s="28" t="s">
        <v>29</v>
      </c>
      <c r="W351" s="28" t="s">
        <v>126</v>
      </c>
    </row>
    <row r="352" spans="1:23" ht="15" customHeight="1" x14ac:dyDescent="0.25">
      <c r="A352" s="20" t="str">
        <f>VLOOKUP(F352,[1]CLIENTES!B:L,11,0)</f>
        <v>RODRIGO</v>
      </c>
      <c r="B352" s="20" t="s">
        <v>537</v>
      </c>
      <c r="C352" s="20">
        <v>46227</v>
      </c>
      <c r="D352" s="21" t="s">
        <v>118</v>
      </c>
      <c r="E352" s="21">
        <v>4000174576</v>
      </c>
      <c r="F352" s="21">
        <v>5026399</v>
      </c>
      <c r="G352" s="21">
        <v>116247</v>
      </c>
      <c r="H352" s="21" t="s">
        <v>119</v>
      </c>
      <c r="I352" s="21" t="s">
        <v>37</v>
      </c>
      <c r="J352" s="21" t="s">
        <v>98</v>
      </c>
      <c r="K352" s="29">
        <v>739</v>
      </c>
      <c r="L352" s="33">
        <v>37</v>
      </c>
      <c r="M352" s="24" t="s">
        <v>543</v>
      </c>
      <c r="N352" s="21" t="s">
        <v>25</v>
      </c>
      <c r="O352" s="25">
        <v>46231</v>
      </c>
      <c r="P352" s="21" t="s">
        <v>398</v>
      </c>
      <c r="Q352" s="26" t="s">
        <v>423</v>
      </c>
      <c r="R352" s="27" t="s">
        <v>425</v>
      </c>
      <c r="S352" s="27">
        <v>3360</v>
      </c>
      <c r="T352" s="28" t="s">
        <v>27</v>
      </c>
      <c r="U352" s="28" t="s">
        <v>50</v>
      </c>
      <c r="V352" s="28" t="s">
        <v>51</v>
      </c>
      <c r="W352" s="28" t="s">
        <v>204</v>
      </c>
    </row>
    <row r="353" spans="1:23" ht="15" customHeight="1" x14ac:dyDescent="0.25">
      <c r="A353" s="20" t="str">
        <f>VLOOKUP(F353,[1]CLIENTES!B:L,11,0)</f>
        <v>RODRIGO</v>
      </c>
      <c r="B353" s="20" t="s">
        <v>537</v>
      </c>
      <c r="C353" s="20">
        <v>46233</v>
      </c>
      <c r="D353" s="21" t="s">
        <v>21</v>
      </c>
      <c r="E353" s="21">
        <v>3842</v>
      </c>
      <c r="F353" s="21">
        <v>5023870</v>
      </c>
      <c r="G353" s="21">
        <v>114899</v>
      </c>
      <c r="H353" s="21" t="s">
        <v>544</v>
      </c>
      <c r="I353" s="21" t="s">
        <v>217</v>
      </c>
      <c r="J353" s="21" t="s">
        <v>218</v>
      </c>
      <c r="K353" s="29">
        <v>195</v>
      </c>
      <c r="L353" s="33">
        <v>92</v>
      </c>
      <c r="M353" s="24" t="s">
        <v>545</v>
      </c>
      <c r="N353" s="21" t="s">
        <v>25</v>
      </c>
      <c r="O353" s="25">
        <v>46266</v>
      </c>
      <c r="P353" s="21" t="s">
        <v>398</v>
      </c>
      <c r="Q353" s="26" t="s">
        <v>485</v>
      </c>
      <c r="R353" s="27" t="s">
        <v>485</v>
      </c>
      <c r="S353" s="27">
        <v>500</v>
      </c>
      <c r="T353" s="28" t="s">
        <v>27</v>
      </c>
      <c r="U353" s="28" t="s">
        <v>28</v>
      </c>
      <c r="V353" s="28" t="s">
        <v>29</v>
      </c>
      <c r="W353" s="28" t="s">
        <v>126</v>
      </c>
    </row>
    <row r="354" spans="1:23" ht="15" customHeight="1" x14ac:dyDescent="0.25">
      <c r="A354" s="20" t="str">
        <f>VLOOKUP(F354,[1]CLIENTES!B:L,11,0)</f>
        <v>RODRIGO</v>
      </c>
      <c r="B354" s="20" t="s">
        <v>537</v>
      </c>
      <c r="C354" s="20">
        <v>46233</v>
      </c>
      <c r="D354" s="21" t="s">
        <v>21</v>
      </c>
      <c r="E354" s="21">
        <v>3436</v>
      </c>
      <c r="F354" s="21">
        <v>5109656</v>
      </c>
      <c r="G354" s="21">
        <v>133996</v>
      </c>
      <c r="H354" s="21" t="s">
        <v>418</v>
      </c>
      <c r="I354" s="21" t="s">
        <v>23</v>
      </c>
      <c r="J354" s="21">
        <v>6125</v>
      </c>
      <c r="K354" s="29">
        <v>692</v>
      </c>
      <c r="L354" s="33">
        <v>93</v>
      </c>
      <c r="M354" s="24" t="s">
        <v>546</v>
      </c>
      <c r="N354" s="21" t="s">
        <v>25</v>
      </c>
      <c r="O354" s="25">
        <v>46266</v>
      </c>
      <c r="P354" s="21" t="s">
        <v>398</v>
      </c>
      <c r="Q354" s="26" t="s">
        <v>535</v>
      </c>
      <c r="R354" s="27" t="s">
        <v>535</v>
      </c>
      <c r="S354" s="27">
        <v>7150</v>
      </c>
      <c r="T354" s="28" t="s">
        <v>27</v>
      </c>
      <c r="U354" s="28" t="s">
        <v>28</v>
      </c>
      <c r="V354" s="28" t="s">
        <v>29</v>
      </c>
      <c r="W354" s="28" t="s">
        <v>45</v>
      </c>
    </row>
    <row r="355" spans="1:23" ht="15" customHeight="1" x14ac:dyDescent="0.25">
      <c r="A355" s="20" t="str">
        <f>VLOOKUP(F355,[1]CLIENTES!B:L,11,0)</f>
        <v>RODRIGO</v>
      </c>
      <c r="B355" s="20" t="s">
        <v>537</v>
      </c>
      <c r="C355" s="20">
        <v>46237</v>
      </c>
      <c r="D355" s="21" t="s">
        <v>21</v>
      </c>
      <c r="E355" s="21">
        <v>14205</v>
      </c>
      <c r="F355" s="21">
        <v>5173494</v>
      </c>
      <c r="G355" s="21">
        <v>185079</v>
      </c>
      <c r="H355" s="21" t="s">
        <v>547</v>
      </c>
      <c r="I355" s="21" t="s">
        <v>217</v>
      </c>
      <c r="J355" s="21" t="s">
        <v>596</v>
      </c>
      <c r="K355" s="29">
        <v>755</v>
      </c>
      <c r="L355" s="33">
        <v>92</v>
      </c>
      <c r="M355" s="24" t="s">
        <v>548</v>
      </c>
      <c r="N355" s="21" t="s">
        <v>25</v>
      </c>
      <c r="O355" s="25">
        <v>46266</v>
      </c>
      <c r="P355" s="21" t="s">
        <v>398</v>
      </c>
      <c r="Q355" s="26" t="s">
        <v>485</v>
      </c>
      <c r="R355" s="27" t="s">
        <v>485</v>
      </c>
      <c r="S355" s="27">
        <v>553.85</v>
      </c>
      <c r="T355" s="28" t="s">
        <v>27</v>
      </c>
      <c r="U355" s="28" t="s">
        <v>50</v>
      </c>
      <c r="V355" s="28" t="s">
        <v>51</v>
      </c>
      <c r="W355" s="28" t="s">
        <v>549</v>
      </c>
    </row>
    <row r="356" spans="1:23" ht="15" customHeight="1" x14ac:dyDescent="0.25">
      <c r="A356" s="20" t="str">
        <f>VLOOKUP(F356,[1]CLIENTES!B:L,11,0)</f>
        <v>RODRIGO</v>
      </c>
      <c r="B356" s="20" t="s">
        <v>537</v>
      </c>
      <c r="C356" s="20">
        <v>46239</v>
      </c>
      <c r="D356" s="21" t="s">
        <v>21</v>
      </c>
      <c r="E356" s="21">
        <v>3420</v>
      </c>
      <c r="F356" s="21">
        <v>5004685</v>
      </c>
      <c r="G356" s="21">
        <v>110434</v>
      </c>
      <c r="H356" s="21" t="s">
        <v>116</v>
      </c>
      <c r="I356" s="21" t="s">
        <v>23</v>
      </c>
      <c r="J356" s="21">
        <v>6125</v>
      </c>
      <c r="K356" s="29">
        <v>692</v>
      </c>
      <c r="L356" s="33">
        <v>92</v>
      </c>
      <c r="M356" s="24" t="s">
        <v>550</v>
      </c>
      <c r="N356" s="21" t="s">
        <v>25</v>
      </c>
      <c r="O356" s="25">
        <v>46266</v>
      </c>
      <c r="P356" s="21" t="s">
        <v>398</v>
      </c>
      <c r="Q356" s="26" t="s">
        <v>49</v>
      </c>
      <c r="R356" s="27" t="s">
        <v>402</v>
      </c>
      <c r="S356" s="27">
        <v>9891.52</v>
      </c>
      <c r="T356" s="28" t="s">
        <v>27</v>
      </c>
      <c r="U356" s="28" t="s">
        <v>28</v>
      </c>
      <c r="V356" s="28" t="s">
        <v>29</v>
      </c>
      <c r="W356" s="28" t="s">
        <v>338</v>
      </c>
    </row>
    <row r="357" spans="1:23" ht="15" customHeight="1" x14ac:dyDescent="0.25">
      <c r="A357" s="20" t="str">
        <f>VLOOKUP(F357,[1]CLIENTES!B:L,11,0)</f>
        <v>RODRIGO</v>
      </c>
      <c r="B357" s="20" t="s">
        <v>537</v>
      </c>
      <c r="C357" s="20">
        <v>46241</v>
      </c>
      <c r="D357" s="21" t="s">
        <v>21</v>
      </c>
      <c r="E357" s="21">
        <v>3437</v>
      </c>
      <c r="F357" s="21">
        <v>5020319</v>
      </c>
      <c r="G357" s="21">
        <v>110315</v>
      </c>
      <c r="H357" s="21" t="s">
        <v>112</v>
      </c>
      <c r="I357" s="21" t="s">
        <v>113</v>
      </c>
      <c r="J357" s="21">
        <v>6127</v>
      </c>
      <c r="K357" s="29">
        <v>682</v>
      </c>
      <c r="L357" s="33">
        <v>92</v>
      </c>
      <c r="M357" s="24" t="s">
        <v>551</v>
      </c>
      <c r="N357" s="21" t="s">
        <v>25</v>
      </c>
      <c r="O357" s="25">
        <v>46266</v>
      </c>
      <c r="P357" s="21" t="s">
        <v>398</v>
      </c>
      <c r="Q357" s="26" t="s">
        <v>471</v>
      </c>
      <c r="R357" s="27" t="s">
        <v>692</v>
      </c>
      <c r="S357" s="27">
        <v>9672</v>
      </c>
      <c r="T357" s="28" t="s">
        <v>27</v>
      </c>
      <c r="U357" s="28" t="s">
        <v>28</v>
      </c>
      <c r="V357" s="28" t="s">
        <v>29</v>
      </c>
      <c r="W357" s="28" t="s">
        <v>126</v>
      </c>
    </row>
    <row r="358" spans="1:23" ht="15" customHeight="1" x14ac:dyDescent="0.25">
      <c r="A358" s="20" t="str">
        <f>VLOOKUP(F358,[1]CLIENTES!B:L,11,0)</f>
        <v>RODRIGO</v>
      </c>
      <c r="B358" s="20" t="s">
        <v>537</v>
      </c>
      <c r="C358" s="20">
        <v>46244</v>
      </c>
      <c r="D358" s="21" t="s">
        <v>21</v>
      </c>
      <c r="E358" s="21">
        <v>14090</v>
      </c>
      <c r="F358" s="21">
        <v>5006978</v>
      </c>
      <c r="G358" s="21">
        <v>103036</v>
      </c>
      <c r="H358" s="21" t="s">
        <v>58</v>
      </c>
      <c r="I358" s="21" t="s">
        <v>23</v>
      </c>
      <c r="J358" s="21" t="s">
        <v>47</v>
      </c>
      <c r="K358" s="29">
        <v>722</v>
      </c>
      <c r="L358" s="33">
        <v>25</v>
      </c>
      <c r="M358" s="24" t="s">
        <v>552</v>
      </c>
      <c r="N358" s="21" t="s">
        <v>25</v>
      </c>
      <c r="O358" s="25">
        <v>46266</v>
      </c>
      <c r="P358" s="21" t="s">
        <v>398</v>
      </c>
      <c r="Q358" s="26" t="s">
        <v>26</v>
      </c>
      <c r="R358" s="27" t="s">
        <v>26</v>
      </c>
      <c r="S358" s="27">
        <v>8000</v>
      </c>
      <c r="T358" s="28" t="s">
        <v>27</v>
      </c>
      <c r="U358" s="28" t="s">
        <v>50</v>
      </c>
      <c r="V358" s="28" t="s">
        <v>51</v>
      </c>
      <c r="W358" s="28" t="s">
        <v>97</v>
      </c>
    </row>
    <row r="359" spans="1:23" ht="15" customHeight="1" x14ac:dyDescent="0.25">
      <c r="A359" s="20" t="str">
        <f>VLOOKUP(F359,[1]CLIENTES!B:L,11,0)</f>
        <v>RODRIGO</v>
      </c>
      <c r="B359" s="20" t="s">
        <v>537</v>
      </c>
      <c r="C359" s="20">
        <v>46244</v>
      </c>
      <c r="D359" s="21" t="s">
        <v>21</v>
      </c>
      <c r="E359" s="21">
        <v>3421</v>
      </c>
      <c r="F359" s="21">
        <v>5006978</v>
      </c>
      <c r="G359" s="21">
        <v>103036</v>
      </c>
      <c r="H359" s="21" t="s">
        <v>58</v>
      </c>
      <c r="I359" s="21" t="s">
        <v>23</v>
      </c>
      <c r="J359" s="21">
        <v>6125</v>
      </c>
      <c r="K359" s="29">
        <v>692</v>
      </c>
      <c r="L359" s="33">
        <v>92</v>
      </c>
      <c r="M359" s="24" t="s">
        <v>553</v>
      </c>
      <c r="N359" s="21" t="s">
        <v>25</v>
      </c>
      <c r="O359" s="25">
        <v>46266</v>
      </c>
      <c r="P359" s="21" t="s">
        <v>398</v>
      </c>
      <c r="Q359" s="26" t="s">
        <v>26</v>
      </c>
      <c r="R359" s="27" t="s">
        <v>26</v>
      </c>
      <c r="S359" s="27">
        <v>13796.55</v>
      </c>
      <c r="T359" s="28" t="s">
        <v>27</v>
      </c>
      <c r="U359" s="28" t="s">
        <v>28</v>
      </c>
      <c r="V359" s="28" t="s">
        <v>29</v>
      </c>
      <c r="W359" s="28" t="s">
        <v>97</v>
      </c>
    </row>
    <row r="360" spans="1:23" ht="15" customHeight="1" x14ac:dyDescent="0.25">
      <c r="A360" s="20" t="str">
        <f>VLOOKUP(F360,[1]CLIENTES!B:L,11,0)</f>
        <v>RODRIGO</v>
      </c>
      <c r="B360" s="20" t="s">
        <v>537</v>
      </c>
      <c r="C360" s="20">
        <v>46244</v>
      </c>
      <c r="D360" s="21" t="s">
        <v>21</v>
      </c>
      <c r="E360" s="21">
        <v>14090</v>
      </c>
      <c r="F360" s="21">
        <v>5006978</v>
      </c>
      <c r="G360" s="21">
        <v>103036</v>
      </c>
      <c r="H360" s="21" t="s">
        <v>58</v>
      </c>
      <c r="I360" s="21" t="s">
        <v>23</v>
      </c>
      <c r="J360" s="21" t="s">
        <v>47</v>
      </c>
      <c r="K360" s="29">
        <v>722</v>
      </c>
      <c r="L360" s="33">
        <v>25</v>
      </c>
      <c r="M360" s="24" t="s">
        <v>554</v>
      </c>
      <c r="N360" s="21" t="s">
        <v>25</v>
      </c>
      <c r="O360" s="25">
        <v>46266</v>
      </c>
      <c r="P360" s="21" t="s">
        <v>398</v>
      </c>
      <c r="Q360" s="26" t="s">
        <v>26</v>
      </c>
      <c r="R360" s="27" t="s">
        <v>26</v>
      </c>
      <c r="S360" s="27">
        <v>33837.51</v>
      </c>
      <c r="T360" s="28" t="s">
        <v>27</v>
      </c>
      <c r="U360" s="28" t="s">
        <v>50</v>
      </c>
      <c r="V360" s="28" t="s">
        <v>51</v>
      </c>
      <c r="W360" s="28" t="s">
        <v>97</v>
      </c>
    </row>
    <row r="361" spans="1:23" ht="15" customHeight="1" x14ac:dyDescent="0.25">
      <c r="A361" s="20" t="str">
        <f>VLOOKUP(F361,[1]CLIENTES!B:L,11,0)</f>
        <v>RODRIGO</v>
      </c>
      <c r="B361" s="20" t="s">
        <v>537</v>
      </c>
      <c r="C361" s="20">
        <v>46244</v>
      </c>
      <c r="D361" s="21" t="s">
        <v>21</v>
      </c>
      <c r="E361" s="21">
        <v>14093</v>
      </c>
      <c r="F361" s="21">
        <v>5157891</v>
      </c>
      <c r="G361" s="21">
        <v>165987</v>
      </c>
      <c r="H361" s="21" t="s">
        <v>209</v>
      </c>
      <c r="I361" s="21" t="s">
        <v>23</v>
      </c>
      <c r="J361" s="21" t="s">
        <v>47</v>
      </c>
      <c r="K361" s="29">
        <v>722</v>
      </c>
      <c r="L361" s="33">
        <v>25</v>
      </c>
      <c r="M361" s="24" t="s">
        <v>555</v>
      </c>
      <c r="N361" s="21" t="s">
        <v>25</v>
      </c>
      <c r="O361" s="25">
        <v>46266</v>
      </c>
      <c r="P361" s="21" t="s">
        <v>398</v>
      </c>
      <c r="Q361" s="26" t="s">
        <v>26</v>
      </c>
      <c r="R361" s="27" t="s">
        <v>26</v>
      </c>
      <c r="S361" s="27">
        <v>20000</v>
      </c>
      <c r="T361" s="28" t="s">
        <v>27</v>
      </c>
      <c r="U361" s="28" t="s">
        <v>50</v>
      </c>
      <c r="V361" s="28" t="s">
        <v>51</v>
      </c>
      <c r="W361" s="28" t="s">
        <v>97</v>
      </c>
    </row>
    <row r="362" spans="1:23" ht="15" customHeight="1" x14ac:dyDescent="0.25">
      <c r="A362" s="20" t="str">
        <f>VLOOKUP(F362,[1]CLIENTES!B:L,11,0)</f>
        <v>RODRIGO</v>
      </c>
      <c r="B362" s="20" t="s">
        <v>537</v>
      </c>
      <c r="C362" s="20">
        <v>46246</v>
      </c>
      <c r="D362" s="21" t="s">
        <v>21</v>
      </c>
      <c r="E362" s="21">
        <v>3437</v>
      </c>
      <c r="F362" s="21">
        <v>5020319</v>
      </c>
      <c r="G362" s="21">
        <v>110315</v>
      </c>
      <c r="H362" s="21" t="s">
        <v>112</v>
      </c>
      <c r="I362" s="21" t="s">
        <v>113</v>
      </c>
      <c r="J362" s="21">
        <v>6127</v>
      </c>
      <c r="K362" s="29">
        <v>682</v>
      </c>
      <c r="L362" s="33">
        <v>92</v>
      </c>
      <c r="M362" s="24" t="s">
        <v>556</v>
      </c>
      <c r="N362" s="21" t="s">
        <v>25</v>
      </c>
      <c r="O362" s="25">
        <v>46266</v>
      </c>
      <c r="P362" s="21" t="s">
        <v>398</v>
      </c>
      <c r="Q362" s="26" t="s">
        <v>471</v>
      </c>
      <c r="R362" s="27" t="s">
        <v>692</v>
      </c>
      <c r="S362" s="27">
        <v>6666</v>
      </c>
      <c r="T362" s="28" t="s">
        <v>27</v>
      </c>
      <c r="U362" s="28" t="s">
        <v>28</v>
      </c>
      <c r="V362" s="28" t="s">
        <v>29</v>
      </c>
      <c r="W362" s="28" t="s">
        <v>45</v>
      </c>
    </row>
    <row r="363" spans="1:23" ht="15" customHeight="1" x14ac:dyDescent="0.25">
      <c r="A363" s="20" t="str">
        <f>VLOOKUP(F363,[1]CLIENTES!B:L,11,0)</f>
        <v>RODRIGO</v>
      </c>
      <c r="B363" s="20" t="s">
        <v>537</v>
      </c>
      <c r="C363" s="20">
        <v>46247</v>
      </c>
      <c r="D363" s="21" t="s">
        <v>21</v>
      </c>
      <c r="E363" s="21">
        <v>3420</v>
      </c>
      <c r="F363" s="21">
        <v>5004685</v>
      </c>
      <c r="G363" s="21">
        <v>110434</v>
      </c>
      <c r="H363" s="21" t="s">
        <v>116</v>
      </c>
      <c r="I363" s="21" t="s">
        <v>23</v>
      </c>
      <c r="J363" s="21">
        <v>6125</v>
      </c>
      <c r="K363" s="29">
        <v>692</v>
      </c>
      <c r="L363" s="33">
        <v>92</v>
      </c>
      <c r="M363" s="24" t="s">
        <v>557</v>
      </c>
      <c r="N363" s="21" t="s">
        <v>25</v>
      </c>
      <c r="O363" s="25">
        <v>46266</v>
      </c>
      <c r="P363" s="21" t="s">
        <v>398</v>
      </c>
      <c r="Q363" s="26" t="s">
        <v>49</v>
      </c>
      <c r="R363" s="27" t="s">
        <v>402</v>
      </c>
      <c r="S363" s="27">
        <v>2500</v>
      </c>
      <c r="T363" s="28" t="s">
        <v>27</v>
      </c>
      <c r="U363" s="28" t="s">
        <v>28</v>
      </c>
      <c r="V363" s="28" t="s">
        <v>29</v>
      </c>
      <c r="W363" s="28" t="s">
        <v>126</v>
      </c>
    </row>
    <row r="364" spans="1:23" ht="15" customHeight="1" x14ac:dyDescent="0.25">
      <c r="A364" s="20" t="str">
        <f>VLOOKUP(F364,[1]CLIENTES!B:L,11,0)</f>
        <v>RODRIGO</v>
      </c>
      <c r="B364" s="20" t="s">
        <v>537</v>
      </c>
      <c r="C364" s="20">
        <v>46247</v>
      </c>
      <c r="D364" s="21" t="s">
        <v>21</v>
      </c>
      <c r="E364" s="21">
        <v>3422</v>
      </c>
      <c r="F364" s="21">
        <v>5023831</v>
      </c>
      <c r="G364" s="21">
        <v>126676</v>
      </c>
      <c r="H364" s="21" t="s">
        <v>22</v>
      </c>
      <c r="I364" s="21" t="s">
        <v>23</v>
      </c>
      <c r="J364" s="21">
        <v>6125</v>
      </c>
      <c r="K364" s="29">
        <v>692</v>
      </c>
      <c r="L364" s="33">
        <v>93</v>
      </c>
      <c r="M364" s="24" t="s">
        <v>315</v>
      </c>
      <c r="N364" s="21" t="s">
        <v>25</v>
      </c>
      <c r="O364" s="25">
        <v>46266</v>
      </c>
      <c r="P364" s="21" t="s">
        <v>398</v>
      </c>
      <c r="Q364" s="26" t="s">
        <v>26</v>
      </c>
      <c r="R364" s="27" t="s">
        <v>399</v>
      </c>
      <c r="S364" s="27">
        <v>2000</v>
      </c>
      <c r="T364" s="28" t="s">
        <v>27</v>
      </c>
      <c r="U364" s="28" t="s">
        <v>28</v>
      </c>
      <c r="V364" s="28" t="s">
        <v>29</v>
      </c>
      <c r="W364" s="28" t="s">
        <v>126</v>
      </c>
    </row>
    <row r="365" spans="1:23" ht="15" customHeight="1" x14ac:dyDescent="0.25">
      <c r="A365" s="20" t="str">
        <f>VLOOKUP(F365,[1]CLIENTES!B:L,11,0)</f>
        <v>RODRIGO</v>
      </c>
      <c r="B365" s="20" t="s">
        <v>537</v>
      </c>
      <c r="C365" s="20">
        <v>46252</v>
      </c>
      <c r="D365" s="21" t="s">
        <v>21</v>
      </c>
      <c r="E365" s="21">
        <v>3428</v>
      </c>
      <c r="F365" s="21">
        <v>5338214</v>
      </c>
      <c r="G365" s="21">
        <v>184659</v>
      </c>
      <c r="H365" s="21" t="s">
        <v>84</v>
      </c>
      <c r="I365" s="21" t="s">
        <v>23</v>
      </c>
      <c r="J365" s="21">
        <v>6125</v>
      </c>
      <c r="K365" s="29">
        <v>692</v>
      </c>
      <c r="L365" s="33">
        <v>93</v>
      </c>
      <c r="M365" s="24" t="s">
        <v>558</v>
      </c>
      <c r="N365" s="21" t="s">
        <v>25</v>
      </c>
      <c r="O365" s="25">
        <v>46266</v>
      </c>
      <c r="P365" s="21" t="s">
        <v>398</v>
      </c>
      <c r="Q365" s="26" t="s">
        <v>26</v>
      </c>
      <c r="R365" s="27" t="s">
        <v>399</v>
      </c>
      <c r="S365" s="27">
        <v>1800</v>
      </c>
      <c r="T365" s="28" t="s">
        <v>27</v>
      </c>
      <c r="U365" s="28" t="s">
        <v>28</v>
      </c>
      <c r="V365" s="28" t="s">
        <v>29</v>
      </c>
      <c r="W365" s="28" t="s">
        <v>126</v>
      </c>
    </row>
    <row r="366" spans="1:23" ht="15" customHeight="1" x14ac:dyDescent="0.25">
      <c r="A366" s="20" t="str">
        <f>VLOOKUP(F366,[1]CLIENTES!B:L,11,0)</f>
        <v>RODRIGO</v>
      </c>
      <c r="B366" s="20" t="s">
        <v>537</v>
      </c>
      <c r="C366" s="20">
        <v>46252</v>
      </c>
      <c r="D366" s="21" t="s">
        <v>21</v>
      </c>
      <c r="E366" s="21">
        <v>14211</v>
      </c>
      <c r="F366" s="21">
        <v>5015829</v>
      </c>
      <c r="G366" s="21">
        <v>150946</v>
      </c>
      <c r="H366" s="21" t="s">
        <v>559</v>
      </c>
      <c r="I366" s="21" t="s">
        <v>23</v>
      </c>
      <c r="J366" s="21" t="s">
        <v>560</v>
      </c>
      <c r="K366" s="29">
        <v>749</v>
      </c>
      <c r="L366" s="33">
        <v>93</v>
      </c>
      <c r="M366" s="24" t="s">
        <v>561</v>
      </c>
      <c r="N366" s="21" t="s">
        <v>25</v>
      </c>
      <c r="O366" s="25">
        <v>46266</v>
      </c>
      <c r="P366" s="21" t="s">
        <v>398</v>
      </c>
      <c r="Q366" s="26" t="s">
        <v>26</v>
      </c>
      <c r="R366" s="27" t="s">
        <v>562</v>
      </c>
      <c r="S366" s="27">
        <v>5189.04</v>
      </c>
      <c r="T366" s="28" t="s">
        <v>27</v>
      </c>
      <c r="U366" s="28" t="s">
        <v>50</v>
      </c>
      <c r="V366" s="28" t="s">
        <v>51</v>
      </c>
      <c r="W366" s="28" t="s">
        <v>563</v>
      </c>
    </row>
    <row r="367" spans="1:23" ht="15" customHeight="1" x14ac:dyDescent="0.25">
      <c r="A367" s="20" t="str">
        <f>VLOOKUP(F367,[1]CLIENTES!B:L,11,0)</f>
        <v>RODRIGO</v>
      </c>
      <c r="B367" s="20" t="s">
        <v>537</v>
      </c>
      <c r="C367" s="20">
        <v>46252</v>
      </c>
      <c r="D367" s="21" t="s">
        <v>21</v>
      </c>
      <c r="E367" s="21">
        <v>3446</v>
      </c>
      <c r="F367" s="21">
        <v>5192822</v>
      </c>
      <c r="G367" s="21">
        <v>142805</v>
      </c>
      <c r="H367" s="21" t="s">
        <v>564</v>
      </c>
      <c r="I367" s="21" t="s">
        <v>23</v>
      </c>
      <c r="J367" s="21">
        <v>6125</v>
      </c>
      <c r="K367" s="29">
        <v>692</v>
      </c>
      <c r="L367" s="33">
        <v>93</v>
      </c>
      <c r="M367" s="24" t="s">
        <v>565</v>
      </c>
      <c r="N367" s="25" t="s">
        <v>25</v>
      </c>
      <c r="O367" s="25">
        <v>46266</v>
      </c>
      <c r="P367" s="21" t="s">
        <v>398</v>
      </c>
      <c r="Q367" s="26" t="s">
        <v>26</v>
      </c>
      <c r="R367" s="27" t="s">
        <v>399</v>
      </c>
      <c r="S367" s="27">
        <v>1200</v>
      </c>
      <c r="T367" s="28" t="s">
        <v>27</v>
      </c>
      <c r="U367" s="28" t="s">
        <v>28</v>
      </c>
      <c r="V367" s="28" t="s">
        <v>29</v>
      </c>
      <c r="W367" s="28" t="s">
        <v>97</v>
      </c>
    </row>
    <row r="368" spans="1:23" ht="15" customHeight="1" x14ac:dyDescent="0.25">
      <c r="A368" s="20" t="str">
        <f>VLOOKUP(F368,[1]CLIENTES!B:L,11,0)</f>
        <v>RODRIGO</v>
      </c>
      <c r="B368" s="20" t="s">
        <v>537</v>
      </c>
      <c r="C368" s="20">
        <v>46252</v>
      </c>
      <c r="D368" s="21" t="s">
        <v>21</v>
      </c>
      <c r="E368" s="21">
        <v>3420</v>
      </c>
      <c r="F368" s="21">
        <v>5004685</v>
      </c>
      <c r="G368" s="21">
        <v>110434</v>
      </c>
      <c r="H368" s="21" t="s">
        <v>116</v>
      </c>
      <c r="I368" s="21" t="s">
        <v>23</v>
      </c>
      <c r="J368" s="21">
        <v>6125</v>
      </c>
      <c r="K368" s="29">
        <v>692</v>
      </c>
      <c r="L368" s="33">
        <v>92</v>
      </c>
      <c r="M368" s="24" t="s">
        <v>566</v>
      </c>
      <c r="N368" s="21" t="s">
        <v>25</v>
      </c>
      <c r="O368" s="25">
        <v>46266</v>
      </c>
      <c r="P368" s="21" t="s">
        <v>398</v>
      </c>
      <c r="Q368" s="26" t="s">
        <v>49</v>
      </c>
      <c r="R368" s="27" t="s">
        <v>402</v>
      </c>
      <c r="S368" s="27">
        <v>19239.39</v>
      </c>
      <c r="T368" s="28" t="s">
        <v>27</v>
      </c>
      <c r="U368" s="28" t="s">
        <v>28</v>
      </c>
      <c r="V368" s="28" t="s">
        <v>29</v>
      </c>
      <c r="W368" s="28" t="s">
        <v>126</v>
      </c>
    </row>
    <row r="369" spans="1:23" ht="15" customHeight="1" x14ac:dyDescent="0.25">
      <c r="A369" s="20" t="str">
        <f>VLOOKUP(F369,[1]CLIENTES!B:L,11,0)</f>
        <v>RODRIGO</v>
      </c>
      <c r="B369" s="20" t="s">
        <v>537</v>
      </c>
      <c r="C369" s="20">
        <v>46254</v>
      </c>
      <c r="D369" s="21" t="s">
        <v>21</v>
      </c>
      <c r="E369" s="21">
        <v>3429</v>
      </c>
      <c r="F369" s="21">
        <v>5131101</v>
      </c>
      <c r="G369" s="21">
        <v>167218</v>
      </c>
      <c r="H369" s="21" t="s">
        <v>164</v>
      </c>
      <c r="I369" s="21" t="s">
        <v>23</v>
      </c>
      <c r="J369" s="21">
        <v>6125</v>
      </c>
      <c r="K369" s="29">
        <v>692</v>
      </c>
      <c r="L369" s="33">
        <v>93</v>
      </c>
      <c r="M369" s="24" t="s">
        <v>567</v>
      </c>
      <c r="N369" s="21" t="s">
        <v>25</v>
      </c>
      <c r="O369" s="25">
        <v>46266</v>
      </c>
      <c r="P369" s="21" t="s">
        <v>398</v>
      </c>
      <c r="Q369" s="26" t="s">
        <v>26</v>
      </c>
      <c r="R369" s="27" t="s">
        <v>399</v>
      </c>
      <c r="S369" s="27">
        <v>1800.05</v>
      </c>
      <c r="T369" s="28" t="s">
        <v>27</v>
      </c>
      <c r="U369" s="28" t="s">
        <v>28</v>
      </c>
      <c r="V369" s="28" t="s">
        <v>29</v>
      </c>
      <c r="W369" s="28" t="s">
        <v>60</v>
      </c>
    </row>
    <row r="370" spans="1:23" ht="15" customHeight="1" x14ac:dyDescent="0.25">
      <c r="A370" s="20" t="str">
        <f>VLOOKUP(F370,[1]CLIENTES!B:L,11,0)</f>
        <v>RODRIGO</v>
      </c>
      <c r="B370" s="20" t="s">
        <v>537</v>
      </c>
      <c r="C370" s="20">
        <v>46254</v>
      </c>
      <c r="D370" s="21" t="s">
        <v>21</v>
      </c>
      <c r="E370" s="21">
        <v>3437</v>
      </c>
      <c r="F370" s="21">
        <v>5020319</v>
      </c>
      <c r="G370" s="21">
        <v>110315</v>
      </c>
      <c r="H370" s="21" t="s">
        <v>112</v>
      </c>
      <c r="I370" s="21" t="s">
        <v>113</v>
      </c>
      <c r="J370" s="21">
        <v>6127</v>
      </c>
      <c r="K370" s="29">
        <v>682</v>
      </c>
      <c r="L370" s="33">
        <v>92</v>
      </c>
      <c r="M370" s="24" t="s">
        <v>568</v>
      </c>
      <c r="N370" s="21" t="s">
        <v>25</v>
      </c>
      <c r="O370" s="25">
        <v>46266</v>
      </c>
      <c r="P370" s="21" t="s">
        <v>398</v>
      </c>
      <c r="Q370" s="26" t="s">
        <v>471</v>
      </c>
      <c r="R370" s="27" t="s">
        <v>692</v>
      </c>
      <c r="S370" s="27">
        <v>15000</v>
      </c>
      <c r="T370" s="28" t="s">
        <v>27</v>
      </c>
      <c r="U370" s="28" t="s">
        <v>28</v>
      </c>
      <c r="V370" s="28" t="s">
        <v>29</v>
      </c>
      <c r="W370" s="28" t="s">
        <v>126</v>
      </c>
    </row>
    <row r="371" spans="1:23" ht="15" customHeight="1" x14ac:dyDescent="0.25">
      <c r="A371" s="20" t="str">
        <f>VLOOKUP(F371,[1]CLIENTES!B:L,11,0)</f>
        <v>RODRIGO</v>
      </c>
      <c r="B371" s="20" t="s">
        <v>537</v>
      </c>
      <c r="C371" s="20">
        <v>46254</v>
      </c>
      <c r="D371" s="21" t="s">
        <v>21</v>
      </c>
      <c r="E371" s="21">
        <v>3857</v>
      </c>
      <c r="F371" s="21">
        <v>5160852</v>
      </c>
      <c r="G371" s="21">
        <v>144793</v>
      </c>
      <c r="H371" s="21" t="s">
        <v>461</v>
      </c>
      <c r="I371" s="21" t="s">
        <v>71</v>
      </c>
      <c r="J371" s="21" t="s">
        <v>72</v>
      </c>
      <c r="K371" s="29">
        <v>186</v>
      </c>
      <c r="L371" s="33">
        <v>92</v>
      </c>
      <c r="M371" s="24" t="s">
        <v>569</v>
      </c>
      <c r="N371" s="21" t="s">
        <v>25</v>
      </c>
      <c r="O371" s="25">
        <v>46266</v>
      </c>
      <c r="P371" s="21" t="s">
        <v>398</v>
      </c>
      <c r="Q371" s="26" t="s">
        <v>428</v>
      </c>
      <c r="R371" s="27" t="s">
        <v>430</v>
      </c>
      <c r="S371" s="27">
        <v>3000</v>
      </c>
      <c r="T371" s="28" t="s">
        <v>27</v>
      </c>
      <c r="U371" s="28" t="s">
        <v>28</v>
      </c>
      <c r="V371" s="28" t="s">
        <v>29</v>
      </c>
      <c r="W371" s="28" t="s">
        <v>126</v>
      </c>
    </row>
    <row r="372" spans="1:23" ht="15" customHeight="1" x14ac:dyDescent="0.25">
      <c r="A372" s="20" t="str">
        <f>VLOOKUP(F372,[1]CLIENTES!B:L,11,0)</f>
        <v>RODRIGO</v>
      </c>
      <c r="B372" s="20" t="s">
        <v>537</v>
      </c>
      <c r="C372" s="20">
        <v>46254</v>
      </c>
      <c r="D372" s="21" t="s">
        <v>21</v>
      </c>
      <c r="E372" s="21">
        <v>3844</v>
      </c>
      <c r="F372" s="21">
        <v>5226805</v>
      </c>
      <c r="G372" s="21">
        <v>150155</v>
      </c>
      <c r="H372" s="21" t="s">
        <v>86</v>
      </c>
      <c r="I372" s="21" t="s">
        <v>71</v>
      </c>
      <c r="J372" s="21" t="s">
        <v>72</v>
      </c>
      <c r="K372" s="29">
        <v>186</v>
      </c>
      <c r="L372" s="33">
        <v>92</v>
      </c>
      <c r="M372" s="24" t="s">
        <v>570</v>
      </c>
      <c r="N372" s="21" t="s">
        <v>25</v>
      </c>
      <c r="O372" s="25">
        <v>46266</v>
      </c>
      <c r="P372" s="21" t="s">
        <v>398</v>
      </c>
      <c r="Q372" s="26" t="s">
        <v>428</v>
      </c>
      <c r="R372" s="27" t="s">
        <v>431</v>
      </c>
      <c r="S372" s="27">
        <v>2500</v>
      </c>
      <c r="T372" s="28" t="s">
        <v>27</v>
      </c>
      <c r="U372" s="28" t="s">
        <v>28</v>
      </c>
      <c r="V372" s="28" t="s">
        <v>29</v>
      </c>
      <c r="W372" s="28" t="s">
        <v>126</v>
      </c>
    </row>
    <row r="373" spans="1:23" ht="15" customHeight="1" x14ac:dyDescent="0.25">
      <c r="A373" s="20" t="str">
        <f>VLOOKUP(F373,[1]CLIENTES!B:L,11,0)</f>
        <v>RODRIGO</v>
      </c>
      <c r="B373" s="20" t="s">
        <v>537</v>
      </c>
      <c r="C373" s="20">
        <v>46254</v>
      </c>
      <c r="D373" s="21" t="s">
        <v>21</v>
      </c>
      <c r="E373" s="21">
        <v>3844</v>
      </c>
      <c r="F373" s="21">
        <v>5226805</v>
      </c>
      <c r="G373" s="21">
        <v>150155</v>
      </c>
      <c r="H373" s="21" t="s">
        <v>86</v>
      </c>
      <c r="I373" s="21" t="s">
        <v>71</v>
      </c>
      <c r="J373" s="21" t="s">
        <v>72</v>
      </c>
      <c r="K373" s="29">
        <v>186</v>
      </c>
      <c r="L373" s="33">
        <v>92</v>
      </c>
      <c r="M373" s="24" t="s">
        <v>571</v>
      </c>
      <c r="N373" s="21" t="s">
        <v>25</v>
      </c>
      <c r="O373" s="25">
        <v>46266</v>
      </c>
      <c r="P373" s="21" t="s">
        <v>398</v>
      </c>
      <c r="Q373" s="26" t="s">
        <v>428</v>
      </c>
      <c r="R373" s="27" t="s">
        <v>431</v>
      </c>
      <c r="S373" s="27">
        <v>2500</v>
      </c>
      <c r="T373" s="28" t="s">
        <v>27</v>
      </c>
      <c r="U373" s="28" t="s">
        <v>28</v>
      </c>
      <c r="V373" s="28" t="s">
        <v>29</v>
      </c>
      <c r="W373" s="28" t="s">
        <v>126</v>
      </c>
    </row>
    <row r="374" spans="1:23" ht="15" customHeight="1" x14ac:dyDescent="0.25">
      <c r="A374" s="20" t="str">
        <f>VLOOKUP(F374,[1]CLIENTES!B:L,11,0)</f>
        <v>RODRIGO</v>
      </c>
      <c r="B374" s="20" t="s">
        <v>537</v>
      </c>
      <c r="C374" s="20">
        <v>46254</v>
      </c>
      <c r="D374" s="21" t="s">
        <v>21</v>
      </c>
      <c r="E374" s="21">
        <v>3843</v>
      </c>
      <c r="F374" s="21">
        <v>5226805</v>
      </c>
      <c r="G374" s="21">
        <v>150155</v>
      </c>
      <c r="H374" s="21" t="s">
        <v>86</v>
      </c>
      <c r="I374" s="21" t="s">
        <v>71</v>
      </c>
      <c r="J374" s="21" t="s">
        <v>72</v>
      </c>
      <c r="K374" s="29">
        <v>186</v>
      </c>
      <c r="L374" s="33">
        <v>92</v>
      </c>
      <c r="M374" s="24" t="s">
        <v>572</v>
      </c>
      <c r="N374" s="21" t="s">
        <v>25</v>
      </c>
      <c r="O374" s="25">
        <v>46266</v>
      </c>
      <c r="P374" s="21" t="s">
        <v>398</v>
      </c>
      <c r="Q374" s="26" t="s">
        <v>428</v>
      </c>
      <c r="R374" s="27" t="s">
        <v>431</v>
      </c>
      <c r="S374" s="27">
        <v>5000</v>
      </c>
      <c r="T374" s="28" t="s">
        <v>27</v>
      </c>
      <c r="U374" s="28" t="s">
        <v>28</v>
      </c>
      <c r="V374" s="28" t="s">
        <v>29</v>
      </c>
      <c r="W374" s="28" t="s">
        <v>35</v>
      </c>
    </row>
    <row r="375" spans="1:23" ht="15" customHeight="1" x14ac:dyDescent="0.25">
      <c r="A375" s="20" t="str">
        <f>VLOOKUP(F375,[1]CLIENTES!B:L,11,0)</f>
        <v>RODRIGO</v>
      </c>
      <c r="B375" s="20" t="s">
        <v>537</v>
      </c>
      <c r="C375" s="20">
        <v>46254</v>
      </c>
      <c r="D375" s="21" t="s">
        <v>21</v>
      </c>
      <c r="E375" s="21">
        <v>3837</v>
      </c>
      <c r="F375" s="21">
        <v>5159222</v>
      </c>
      <c r="G375" s="21">
        <v>143312</v>
      </c>
      <c r="H375" s="21" t="s">
        <v>184</v>
      </c>
      <c r="I375" s="21" t="s">
        <v>71</v>
      </c>
      <c r="J375" s="21" t="s">
        <v>72</v>
      </c>
      <c r="K375" s="29">
        <v>186</v>
      </c>
      <c r="L375" s="33">
        <v>92</v>
      </c>
      <c r="M375" s="24" t="s">
        <v>573</v>
      </c>
      <c r="N375" s="21" t="s">
        <v>25</v>
      </c>
      <c r="O375" s="25">
        <v>46266</v>
      </c>
      <c r="P375" s="21" t="s">
        <v>398</v>
      </c>
      <c r="Q375" s="26" t="s">
        <v>428</v>
      </c>
      <c r="R375" s="27" t="s">
        <v>430</v>
      </c>
      <c r="S375" s="27">
        <v>1800</v>
      </c>
      <c r="T375" s="28" t="s">
        <v>27</v>
      </c>
      <c r="U375" s="28" t="s">
        <v>28</v>
      </c>
      <c r="V375" s="28" t="s">
        <v>29</v>
      </c>
      <c r="W375" s="28" t="s">
        <v>126</v>
      </c>
    </row>
    <row r="376" spans="1:23" ht="15" customHeight="1" x14ac:dyDescent="0.25">
      <c r="A376" s="20" t="str">
        <f>VLOOKUP(F376,[1]CLIENTES!B:L,11,0)</f>
        <v>RODRIGO</v>
      </c>
      <c r="B376" s="20" t="s">
        <v>537</v>
      </c>
      <c r="C376" s="20">
        <v>46254</v>
      </c>
      <c r="D376" s="21" t="s">
        <v>21</v>
      </c>
      <c r="E376" s="21">
        <v>3438</v>
      </c>
      <c r="F376" s="21">
        <v>5020347</v>
      </c>
      <c r="G376" s="21">
        <v>112787</v>
      </c>
      <c r="H376" s="21" t="s">
        <v>129</v>
      </c>
      <c r="I376" s="21" t="s">
        <v>23</v>
      </c>
      <c r="J376" s="21">
        <v>6125</v>
      </c>
      <c r="K376" s="29">
        <v>692</v>
      </c>
      <c r="L376" s="33">
        <v>93</v>
      </c>
      <c r="M376" s="24" t="s">
        <v>574</v>
      </c>
      <c r="N376" s="21" t="s">
        <v>25</v>
      </c>
      <c r="O376" s="25">
        <v>46266</v>
      </c>
      <c r="P376" s="21" t="s">
        <v>398</v>
      </c>
      <c r="Q376" s="26" t="s">
        <v>49</v>
      </c>
      <c r="R376" s="27" t="s">
        <v>400</v>
      </c>
      <c r="S376" s="27">
        <v>5834</v>
      </c>
      <c r="T376" s="28" t="s">
        <v>27</v>
      </c>
      <c r="U376" s="28" t="s">
        <v>28</v>
      </c>
      <c r="V376" s="28" t="s">
        <v>29</v>
      </c>
      <c r="W376" s="28" t="s">
        <v>45</v>
      </c>
    </row>
    <row r="377" spans="1:23" ht="15" customHeight="1" x14ac:dyDescent="0.25">
      <c r="A377" s="20" t="str">
        <f>VLOOKUP(F377,[1]CLIENTES!B:L,11,0)</f>
        <v>RODRIGO</v>
      </c>
      <c r="B377" s="20" t="s">
        <v>537</v>
      </c>
      <c r="C377" s="20">
        <v>46254</v>
      </c>
      <c r="D377" s="21" t="s">
        <v>21</v>
      </c>
      <c r="E377" s="21">
        <v>3438</v>
      </c>
      <c r="F377" s="21">
        <v>5020347</v>
      </c>
      <c r="G377" s="21">
        <v>112787</v>
      </c>
      <c r="H377" s="21" t="s">
        <v>129</v>
      </c>
      <c r="I377" s="21" t="s">
        <v>23</v>
      </c>
      <c r="J377" s="21">
        <v>6125</v>
      </c>
      <c r="K377" s="29">
        <v>692</v>
      </c>
      <c r="L377" s="33">
        <v>93</v>
      </c>
      <c r="M377" s="24" t="s">
        <v>575</v>
      </c>
      <c r="N377" s="21" t="s">
        <v>25</v>
      </c>
      <c r="O377" s="25">
        <v>46266</v>
      </c>
      <c r="P377" s="21" t="s">
        <v>398</v>
      </c>
      <c r="Q377" s="26" t="s">
        <v>49</v>
      </c>
      <c r="R377" s="27" t="s">
        <v>400</v>
      </c>
      <c r="S377" s="27">
        <v>3740</v>
      </c>
      <c r="T377" s="28" t="s">
        <v>27</v>
      </c>
      <c r="U377" s="28" t="s">
        <v>28</v>
      </c>
      <c r="V377" s="28" t="s">
        <v>29</v>
      </c>
      <c r="W377" s="28" t="s">
        <v>126</v>
      </c>
    </row>
    <row r="378" spans="1:23" ht="15" customHeight="1" x14ac:dyDescent="0.25">
      <c r="A378" s="20" t="str">
        <f>VLOOKUP(F378,[1]CLIENTES!B:L,11,0)</f>
        <v>RODRIGO</v>
      </c>
      <c r="B378" s="20" t="s">
        <v>537</v>
      </c>
      <c r="C378" s="20">
        <v>46254</v>
      </c>
      <c r="D378" s="21" t="s">
        <v>21</v>
      </c>
      <c r="E378" s="21">
        <v>3415</v>
      </c>
      <c r="F378" s="21">
        <v>5340656</v>
      </c>
      <c r="G378" s="21">
        <v>184833</v>
      </c>
      <c r="H378" s="21" t="s">
        <v>252</v>
      </c>
      <c r="I378" s="21" t="s">
        <v>23</v>
      </c>
      <c r="J378" s="21">
        <v>6125</v>
      </c>
      <c r="K378" s="29">
        <v>692</v>
      </c>
      <c r="L378" s="33">
        <v>93</v>
      </c>
      <c r="M378" s="24" t="s">
        <v>576</v>
      </c>
      <c r="N378" s="21" t="s">
        <v>25</v>
      </c>
      <c r="O378" s="25">
        <v>46266</v>
      </c>
      <c r="P378" s="21" t="s">
        <v>398</v>
      </c>
      <c r="Q378" s="26" t="s">
        <v>49</v>
      </c>
      <c r="R378" s="27" t="s">
        <v>400</v>
      </c>
      <c r="S378" s="27">
        <v>1841</v>
      </c>
      <c r="T378" s="28" t="s">
        <v>27</v>
      </c>
      <c r="U378" s="28" t="s">
        <v>28</v>
      </c>
      <c r="V378" s="28" t="s">
        <v>29</v>
      </c>
      <c r="W378" s="28" t="s">
        <v>126</v>
      </c>
    </row>
    <row r="379" spans="1:23" ht="15" customHeight="1" x14ac:dyDescent="0.25">
      <c r="A379" s="20" t="str">
        <f>VLOOKUP(F379,[1]CLIENTES!B:L,11,0)</f>
        <v>RODRIGO</v>
      </c>
      <c r="B379" s="20" t="s">
        <v>537</v>
      </c>
      <c r="C379" s="20">
        <v>46254</v>
      </c>
      <c r="D379" s="21" t="s">
        <v>21</v>
      </c>
      <c r="E379" s="21">
        <v>3434</v>
      </c>
      <c r="F379" s="21">
        <v>5038157</v>
      </c>
      <c r="G379" s="21">
        <v>165753</v>
      </c>
      <c r="H379" s="21" t="s">
        <v>531</v>
      </c>
      <c r="I379" s="21" t="s">
        <v>23</v>
      </c>
      <c r="J379" s="21">
        <v>6125</v>
      </c>
      <c r="K379" s="29">
        <v>692</v>
      </c>
      <c r="L379" s="33">
        <v>91</v>
      </c>
      <c r="M379" s="24" t="s">
        <v>577</v>
      </c>
      <c r="N379" s="21" t="s">
        <v>25</v>
      </c>
      <c r="O379" s="25">
        <v>46266</v>
      </c>
      <c r="P379" s="21" t="s">
        <v>398</v>
      </c>
      <c r="Q379" s="26" t="s">
        <v>49</v>
      </c>
      <c r="R379" s="27" t="s">
        <v>400</v>
      </c>
      <c r="S379" s="27">
        <v>3969.68</v>
      </c>
      <c r="T379" s="28" t="s">
        <v>27</v>
      </c>
      <c r="U379" s="28" t="s">
        <v>28</v>
      </c>
      <c r="V379" s="28" t="s">
        <v>29</v>
      </c>
      <c r="W379" s="28" t="s">
        <v>126</v>
      </c>
    </row>
    <row r="380" spans="1:23" ht="15" customHeight="1" x14ac:dyDescent="0.25">
      <c r="A380" s="20" t="str">
        <f>VLOOKUP(F380,[1]CLIENTES!B:L,11,0)</f>
        <v>RODRIGO</v>
      </c>
      <c r="B380" s="20" t="s">
        <v>537</v>
      </c>
      <c r="C380" s="20">
        <v>46254</v>
      </c>
      <c r="D380" s="21" t="s">
        <v>21</v>
      </c>
      <c r="E380" s="21">
        <v>3435</v>
      </c>
      <c r="F380" s="21">
        <v>5259915</v>
      </c>
      <c r="G380" s="21">
        <v>166008</v>
      </c>
      <c r="H380" s="21" t="s">
        <v>159</v>
      </c>
      <c r="I380" s="21" t="s">
        <v>23</v>
      </c>
      <c r="J380" s="21">
        <v>6125</v>
      </c>
      <c r="K380" s="29">
        <v>692</v>
      </c>
      <c r="L380" s="33">
        <v>93</v>
      </c>
      <c r="M380" s="24" t="s">
        <v>578</v>
      </c>
      <c r="N380" s="21" t="s">
        <v>25</v>
      </c>
      <c r="O380" s="25">
        <v>46266</v>
      </c>
      <c r="P380" s="21" t="s">
        <v>398</v>
      </c>
      <c r="Q380" s="26" t="s">
        <v>49</v>
      </c>
      <c r="R380" s="27" t="s">
        <v>400</v>
      </c>
      <c r="S380" s="27">
        <v>3322.5</v>
      </c>
      <c r="T380" s="28" t="s">
        <v>27</v>
      </c>
      <c r="U380" s="28" t="s">
        <v>28</v>
      </c>
      <c r="V380" s="28" t="s">
        <v>29</v>
      </c>
      <c r="W380" s="28" t="s">
        <v>126</v>
      </c>
    </row>
    <row r="381" spans="1:23" ht="15" customHeight="1" x14ac:dyDescent="0.25">
      <c r="A381" s="20" t="str">
        <f>VLOOKUP(F381,[1]CLIENTES!B:L,11,0)</f>
        <v>RODRIGO</v>
      </c>
      <c r="B381" s="20" t="s">
        <v>537</v>
      </c>
      <c r="C381" s="20">
        <v>46254</v>
      </c>
      <c r="D381" s="21" t="s">
        <v>21</v>
      </c>
      <c r="E381" s="21">
        <v>3419</v>
      </c>
      <c r="F381" s="21">
        <v>5017576</v>
      </c>
      <c r="G381" s="21">
        <v>116132</v>
      </c>
      <c r="H381" s="21" t="s">
        <v>31</v>
      </c>
      <c r="I381" s="21" t="s">
        <v>32</v>
      </c>
      <c r="J381" s="21">
        <v>6169</v>
      </c>
      <c r="K381" s="29">
        <v>690</v>
      </c>
      <c r="L381" s="33">
        <v>92</v>
      </c>
      <c r="M381" s="24" t="s">
        <v>579</v>
      </c>
      <c r="N381" s="21" t="s">
        <v>25</v>
      </c>
      <c r="O381" s="25">
        <v>46266</v>
      </c>
      <c r="P381" s="21" t="s">
        <v>398</v>
      </c>
      <c r="Q381" s="26" t="s">
        <v>423</v>
      </c>
      <c r="R381" s="27" t="s">
        <v>424</v>
      </c>
      <c r="S381" s="27">
        <v>10000</v>
      </c>
      <c r="T381" s="28" t="s">
        <v>27</v>
      </c>
      <c r="U381" s="28" t="s">
        <v>28</v>
      </c>
      <c r="V381" s="28" t="s">
        <v>29</v>
      </c>
      <c r="W381" s="28" t="s">
        <v>35</v>
      </c>
    </row>
    <row r="382" spans="1:23" ht="15" customHeight="1" x14ac:dyDescent="0.25">
      <c r="A382" s="20" t="str">
        <f>VLOOKUP(F382,[1]CLIENTES!B:L,11,0)</f>
        <v>RODRIGO</v>
      </c>
      <c r="B382" s="20" t="s">
        <v>537</v>
      </c>
      <c r="C382" s="20">
        <v>46254</v>
      </c>
      <c r="D382" s="21" t="s">
        <v>21</v>
      </c>
      <c r="E382" s="21">
        <v>3419</v>
      </c>
      <c r="F382" s="21">
        <v>5017576</v>
      </c>
      <c r="G382" s="21">
        <v>116132</v>
      </c>
      <c r="H382" s="21" t="s">
        <v>31</v>
      </c>
      <c r="I382" s="21" t="s">
        <v>32</v>
      </c>
      <c r="J382" s="21">
        <v>6169</v>
      </c>
      <c r="K382" s="29">
        <v>690</v>
      </c>
      <c r="L382" s="33">
        <v>92</v>
      </c>
      <c r="M382" s="24" t="s">
        <v>580</v>
      </c>
      <c r="N382" s="21" t="s">
        <v>25</v>
      </c>
      <c r="O382" s="25">
        <v>46266</v>
      </c>
      <c r="P382" s="21" t="s">
        <v>398</v>
      </c>
      <c r="Q382" s="26" t="s">
        <v>423</v>
      </c>
      <c r="R382" s="27" t="s">
        <v>424</v>
      </c>
      <c r="S382" s="27">
        <v>10000</v>
      </c>
      <c r="T382" s="28" t="s">
        <v>27</v>
      </c>
      <c r="U382" s="28" t="s">
        <v>28</v>
      </c>
      <c r="V382" s="28" t="s">
        <v>29</v>
      </c>
      <c r="W382" s="28" t="s">
        <v>126</v>
      </c>
    </row>
    <row r="383" spans="1:23" ht="15" customHeight="1" x14ac:dyDescent="0.25">
      <c r="A383" s="20" t="str">
        <f>VLOOKUP(F383,[1]CLIENTES!B:L,11,0)</f>
        <v>RODRIGO</v>
      </c>
      <c r="B383" s="20" t="s">
        <v>537</v>
      </c>
      <c r="C383" s="20">
        <v>46254</v>
      </c>
      <c r="D383" s="21" t="s">
        <v>21</v>
      </c>
      <c r="E383" s="21">
        <v>3423</v>
      </c>
      <c r="F383" s="21">
        <v>5161469</v>
      </c>
      <c r="G383" s="21">
        <v>141489</v>
      </c>
      <c r="H383" s="21" t="s">
        <v>368</v>
      </c>
      <c r="I383" s="21" t="s">
        <v>37</v>
      </c>
      <c r="J383" s="21">
        <v>6169</v>
      </c>
      <c r="K383" s="29">
        <v>689</v>
      </c>
      <c r="L383" s="33">
        <v>92</v>
      </c>
      <c r="M383" s="24" t="s">
        <v>581</v>
      </c>
      <c r="N383" s="21" t="s">
        <v>25</v>
      </c>
      <c r="O383" s="25">
        <v>46266</v>
      </c>
      <c r="P383" s="21" t="s">
        <v>398</v>
      </c>
      <c r="Q383" s="26" t="s">
        <v>423</v>
      </c>
      <c r="R383" s="27" t="s">
        <v>432</v>
      </c>
      <c r="S383" s="27">
        <v>2000</v>
      </c>
      <c r="T383" s="28" t="s">
        <v>27</v>
      </c>
      <c r="U383" s="28" t="s">
        <v>28</v>
      </c>
      <c r="V383" s="28" t="s">
        <v>29</v>
      </c>
      <c r="W383" s="28" t="s">
        <v>126</v>
      </c>
    </row>
    <row r="384" spans="1:23" ht="15" customHeight="1" x14ac:dyDescent="0.25">
      <c r="A384" s="20" t="str">
        <f>VLOOKUP(F384,[1]CLIENTES!B:L,11,0)</f>
        <v>RODRIGO</v>
      </c>
      <c r="B384" s="20" t="s">
        <v>537</v>
      </c>
      <c r="C384" s="20">
        <v>46254</v>
      </c>
      <c r="D384" s="21" t="s">
        <v>21</v>
      </c>
      <c r="E384" s="21">
        <v>3417</v>
      </c>
      <c r="F384" s="21">
        <v>5040108</v>
      </c>
      <c r="G384" s="21">
        <v>123355</v>
      </c>
      <c r="H384" s="21" t="s">
        <v>93</v>
      </c>
      <c r="I384" s="21" t="s">
        <v>37</v>
      </c>
      <c r="J384" s="21">
        <v>6169</v>
      </c>
      <c r="K384" s="29">
        <v>689</v>
      </c>
      <c r="L384" s="33">
        <v>92</v>
      </c>
      <c r="M384" s="24" t="s">
        <v>582</v>
      </c>
      <c r="N384" s="21" t="s">
        <v>25</v>
      </c>
      <c r="O384" s="25">
        <v>46266</v>
      </c>
      <c r="P384" s="21" t="s">
        <v>398</v>
      </c>
      <c r="Q384" s="26" t="s">
        <v>423</v>
      </c>
      <c r="R384" s="27" t="s">
        <v>427</v>
      </c>
      <c r="S384" s="27">
        <v>15000</v>
      </c>
      <c r="T384" s="28" t="s">
        <v>27</v>
      </c>
      <c r="U384" s="28" t="s">
        <v>28</v>
      </c>
      <c r="V384" s="28" t="s">
        <v>29</v>
      </c>
      <c r="W384" s="28" t="s">
        <v>126</v>
      </c>
    </row>
    <row r="385" spans="1:23" ht="15" customHeight="1" x14ac:dyDescent="0.25">
      <c r="A385" s="20" t="str">
        <f>VLOOKUP(F385,[1]CLIENTES!B:L,11,0)</f>
        <v>RODRIGO</v>
      </c>
      <c r="B385" s="20" t="s">
        <v>537</v>
      </c>
      <c r="C385" s="20">
        <v>46254</v>
      </c>
      <c r="D385" s="21" t="s">
        <v>21</v>
      </c>
      <c r="E385" s="21">
        <v>3430</v>
      </c>
      <c r="F385" s="21">
        <v>5115019</v>
      </c>
      <c r="G385" s="21">
        <v>123456</v>
      </c>
      <c r="H385" s="21" t="s">
        <v>36</v>
      </c>
      <c r="I385" s="21" t="s">
        <v>37</v>
      </c>
      <c r="J385" s="21">
        <v>6169</v>
      </c>
      <c r="K385" s="29">
        <v>689</v>
      </c>
      <c r="L385" s="33">
        <v>92</v>
      </c>
      <c r="M385" s="24" t="s">
        <v>583</v>
      </c>
      <c r="N385" s="21" t="s">
        <v>25</v>
      </c>
      <c r="O385" s="25">
        <v>46266</v>
      </c>
      <c r="P385" s="21" t="s">
        <v>398</v>
      </c>
      <c r="Q385" s="26" t="s">
        <v>423</v>
      </c>
      <c r="R385" s="27" t="s">
        <v>425</v>
      </c>
      <c r="S385" s="27">
        <v>37500</v>
      </c>
      <c r="T385" s="28" t="s">
        <v>27</v>
      </c>
      <c r="U385" s="28" t="s">
        <v>28</v>
      </c>
      <c r="V385" s="28" t="s">
        <v>29</v>
      </c>
      <c r="W385" s="28" t="s">
        <v>126</v>
      </c>
    </row>
    <row r="386" spans="1:23" ht="15" customHeight="1" x14ac:dyDescent="0.25">
      <c r="A386" s="20" t="str">
        <f>VLOOKUP(F386,[1]CLIENTES!B:L,11,0)</f>
        <v>RODRIGO</v>
      </c>
      <c r="B386" s="20" t="s">
        <v>537</v>
      </c>
      <c r="C386" s="20">
        <v>46254</v>
      </c>
      <c r="D386" s="21" t="s">
        <v>21</v>
      </c>
      <c r="E386" s="21">
        <v>3850</v>
      </c>
      <c r="F386" s="21">
        <v>5115189</v>
      </c>
      <c r="G386" s="21">
        <v>129296</v>
      </c>
      <c r="H386" s="21" t="s">
        <v>68</v>
      </c>
      <c r="I386" s="21" t="s">
        <v>54</v>
      </c>
      <c r="J386" s="21" t="s">
        <v>55</v>
      </c>
      <c r="K386" s="29">
        <v>191</v>
      </c>
      <c r="L386" s="33">
        <v>93</v>
      </c>
      <c r="M386" s="24" t="s">
        <v>584</v>
      </c>
      <c r="N386" s="21" t="s">
        <v>25</v>
      </c>
      <c r="O386" s="25">
        <v>46266</v>
      </c>
      <c r="P386" s="21" t="s">
        <v>398</v>
      </c>
      <c r="Q386" s="26" t="s">
        <v>57</v>
      </c>
      <c r="R386" s="27" t="s">
        <v>401</v>
      </c>
      <c r="S386" s="27">
        <v>3500</v>
      </c>
      <c r="T386" s="28" t="s">
        <v>27</v>
      </c>
      <c r="U386" s="28" t="s">
        <v>28</v>
      </c>
      <c r="V386" s="28" t="s">
        <v>29</v>
      </c>
      <c r="W386" s="28" t="s">
        <v>126</v>
      </c>
    </row>
    <row r="387" spans="1:23" ht="15" customHeight="1" x14ac:dyDescent="0.25">
      <c r="A387" s="20" t="str">
        <f>VLOOKUP(F387,[1]CLIENTES!B:L,11,0)</f>
        <v>RODRIGO</v>
      </c>
      <c r="B387" s="20" t="s">
        <v>537</v>
      </c>
      <c r="C387" s="20">
        <v>46254</v>
      </c>
      <c r="D387" s="21" t="s">
        <v>21</v>
      </c>
      <c r="E387" s="21">
        <v>3442</v>
      </c>
      <c r="F387" s="21">
        <v>5223419</v>
      </c>
      <c r="G387" s="21">
        <v>146094</v>
      </c>
      <c r="H387" s="21" t="s">
        <v>265</v>
      </c>
      <c r="I387" s="21" t="s">
        <v>266</v>
      </c>
      <c r="J387" s="21">
        <v>6123</v>
      </c>
      <c r="K387" s="29">
        <v>607</v>
      </c>
      <c r="L387" s="33">
        <v>93</v>
      </c>
      <c r="M387" s="24" t="s">
        <v>255</v>
      </c>
      <c r="N387" s="21" t="s">
        <v>25</v>
      </c>
      <c r="O387" s="25">
        <v>46266</v>
      </c>
      <c r="P387" s="21" t="s">
        <v>398</v>
      </c>
      <c r="Q387" s="26" t="s">
        <v>57</v>
      </c>
      <c r="R387" s="27" t="s">
        <v>427</v>
      </c>
      <c r="S387" s="27">
        <v>3300</v>
      </c>
      <c r="T387" s="28" t="s">
        <v>27</v>
      </c>
      <c r="U387" s="28" t="s">
        <v>28</v>
      </c>
      <c r="V387" s="28" t="s">
        <v>29</v>
      </c>
      <c r="W387" s="28" t="s">
        <v>126</v>
      </c>
    </row>
    <row r="388" spans="1:23" ht="15" customHeight="1" x14ac:dyDescent="0.25">
      <c r="A388" s="20" t="str">
        <f>VLOOKUP(F388,[1]CLIENTES!B:L,11,0)</f>
        <v>RODRIGO</v>
      </c>
      <c r="B388" s="20" t="s">
        <v>537</v>
      </c>
      <c r="C388" s="20">
        <v>46254</v>
      </c>
      <c r="D388" s="21" t="s">
        <v>21</v>
      </c>
      <c r="E388" s="21">
        <v>3414</v>
      </c>
      <c r="F388" s="21">
        <v>5310560</v>
      </c>
      <c r="G388" s="21">
        <v>121796</v>
      </c>
      <c r="H388" s="21" t="s">
        <v>179</v>
      </c>
      <c r="I388" s="21" t="s">
        <v>76</v>
      </c>
      <c r="J388" s="21">
        <v>6123</v>
      </c>
      <c r="K388" s="29">
        <v>675</v>
      </c>
      <c r="L388" s="33">
        <v>92</v>
      </c>
      <c r="M388" s="24" t="s">
        <v>585</v>
      </c>
      <c r="N388" s="21" t="s">
        <v>25</v>
      </c>
      <c r="O388" s="25">
        <v>46266</v>
      </c>
      <c r="P388" s="21" t="s">
        <v>398</v>
      </c>
      <c r="Q388" s="26" t="s">
        <v>57</v>
      </c>
      <c r="R388" s="27" t="s">
        <v>427</v>
      </c>
      <c r="S388" s="27">
        <v>800</v>
      </c>
      <c r="T388" s="28" t="s">
        <v>27</v>
      </c>
      <c r="U388" s="28" t="s">
        <v>28</v>
      </c>
      <c r="V388" s="28" t="s">
        <v>29</v>
      </c>
      <c r="W388" s="28" t="s">
        <v>126</v>
      </c>
    </row>
    <row r="389" spans="1:23" ht="15" customHeight="1" x14ac:dyDescent="0.25">
      <c r="A389" s="20" t="str">
        <f>VLOOKUP(F389,[1]CLIENTES!B:L,11,0)</f>
        <v>RODRIGO</v>
      </c>
      <c r="B389" s="20" t="s">
        <v>537</v>
      </c>
      <c r="C389" s="20">
        <v>46254</v>
      </c>
      <c r="D389" s="21" t="s">
        <v>21</v>
      </c>
      <c r="E389" s="21">
        <v>3582</v>
      </c>
      <c r="F389" s="21">
        <v>5141420</v>
      </c>
      <c r="G389" s="21">
        <v>129963</v>
      </c>
      <c r="H389" s="21" t="s">
        <v>374</v>
      </c>
      <c r="I389" s="21" t="s">
        <v>266</v>
      </c>
      <c r="J389" s="21">
        <v>6123</v>
      </c>
      <c r="K389" s="29">
        <v>607</v>
      </c>
      <c r="L389" s="33">
        <v>93</v>
      </c>
      <c r="M389" s="24" t="s">
        <v>586</v>
      </c>
      <c r="N389" s="21" t="s">
        <v>25</v>
      </c>
      <c r="O389" s="25">
        <v>46296</v>
      </c>
      <c r="P389" s="21" t="s">
        <v>398</v>
      </c>
      <c r="Q389" s="26" t="s">
        <v>57</v>
      </c>
      <c r="R389" s="27" t="s">
        <v>427</v>
      </c>
      <c r="S389" s="27">
        <v>5500</v>
      </c>
      <c r="T389" s="28" t="s">
        <v>27</v>
      </c>
      <c r="U389" s="28" t="s">
        <v>28</v>
      </c>
      <c r="V389" s="28" t="s">
        <v>29</v>
      </c>
      <c r="W389" s="28" t="s">
        <v>126</v>
      </c>
    </row>
    <row r="390" spans="1:23" ht="15" customHeight="1" x14ac:dyDescent="0.25">
      <c r="A390" s="20" t="str">
        <f>VLOOKUP(F390,[1]CLIENTES!B:L,11,0)</f>
        <v>RODRIGO</v>
      </c>
      <c r="B390" s="20" t="s">
        <v>537</v>
      </c>
      <c r="C390" s="20">
        <v>46254</v>
      </c>
      <c r="D390" s="21" t="s">
        <v>21</v>
      </c>
      <c r="E390" s="21">
        <v>3841</v>
      </c>
      <c r="F390" s="21">
        <v>5019245</v>
      </c>
      <c r="G390" s="21">
        <v>145028</v>
      </c>
      <c r="H390" s="21" t="s">
        <v>312</v>
      </c>
      <c r="I390" s="21" t="s">
        <v>54</v>
      </c>
      <c r="J390" s="21" t="s">
        <v>55</v>
      </c>
      <c r="K390" s="29">
        <v>191</v>
      </c>
      <c r="L390" s="33">
        <v>92</v>
      </c>
      <c r="M390" s="24" t="s">
        <v>587</v>
      </c>
      <c r="N390" s="21" t="s">
        <v>25</v>
      </c>
      <c r="O390" s="25">
        <v>46266</v>
      </c>
      <c r="P390" s="21" t="s">
        <v>398</v>
      </c>
      <c r="Q390" s="26" t="s">
        <v>57</v>
      </c>
      <c r="R390" s="27" t="s">
        <v>427</v>
      </c>
      <c r="S390" s="27">
        <v>3000</v>
      </c>
      <c r="T390" s="28" t="s">
        <v>27</v>
      </c>
      <c r="U390" s="28" t="s">
        <v>28</v>
      </c>
      <c r="V390" s="28" t="s">
        <v>29</v>
      </c>
      <c r="W390" s="28" t="s">
        <v>126</v>
      </c>
    </row>
    <row r="391" spans="1:23" ht="15" customHeight="1" x14ac:dyDescent="0.25">
      <c r="A391" s="20" t="str">
        <f>VLOOKUP(F391,[1]CLIENTES!B:L,11,0)</f>
        <v>RODRIGO</v>
      </c>
      <c r="B391" s="20" t="s">
        <v>537</v>
      </c>
      <c r="C391" s="20">
        <v>46254</v>
      </c>
      <c r="D391" s="21" t="s">
        <v>21</v>
      </c>
      <c r="E391" s="21">
        <v>3845</v>
      </c>
      <c r="F391" s="21">
        <v>5366274</v>
      </c>
      <c r="G391" s="21">
        <v>193277</v>
      </c>
      <c r="H391" s="21" t="s">
        <v>351</v>
      </c>
      <c r="I391" s="21" t="s">
        <v>71</v>
      </c>
      <c r="J391" s="21" t="s">
        <v>72</v>
      </c>
      <c r="K391" s="29">
        <v>186</v>
      </c>
      <c r="L391" s="33">
        <v>92</v>
      </c>
      <c r="M391" s="24" t="s">
        <v>588</v>
      </c>
      <c r="N391" s="21" t="s">
        <v>25</v>
      </c>
      <c r="O391" s="25">
        <v>46266</v>
      </c>
      <c r="P391" s="21" t="s">
        <v>398</v>
      </c>
      <c r="Q391" s="26" t="s">
        <v>428</v>
      </c>
      <c r="R391" s="27" t="s">
        <v>430</v>
      </c>
      <c r="S391" s="27">
        <v>1200</v>
      </c>
      <c r="T391" s="28" t="s">
        <v>27</v>
      </c>
      <c r="U391" s="28" t="s">
        <v>28</v>
      </c>
      <c r="V391" s="28" t="s">
        <v>29</v>
      </c>
      <c r="W391" s="28" t="s">
        <v>126</v>
      </c>
    </row>
    <row r="392" spans="1:23" ht="15" customHeight="1" x14ac:dyDescent="0.25">
      <c r="A392" s="20" t="str">
        <f>VLOOKUP(F392,[1]CLIENTES!B:L,11,0)</f>
        <v>RODRIGO</v>
      </c>
      <c r="B392" s="20" t="s">
        <v>537</v>
      </c>
      <c r="C392" s="20">
        <v>46254</v>
      </c>
      <c r="D392" s="21" t="s">
        <v>21</v>
      </c>
      <c r="E392" s="21">
        <v>3850</v>
      </c>
      <c r="F392" s="21">
        <v>5115189</v>
      </c>
      <c r="G392" s="21">
        <v>129296</v>
      </c>
      <c r="H392" s="21" t="s">
        <v>68</v>
      </c>
      <c r="I392" s="21" t="s">
        <v>54</v>
      </c>
      <c r="J392" s="21" t="s">
        <v>55</v>
      </c>
      <c r="K392" s="29">
        <v>191</v>
      </c>
      <c r="L392" s="33">
        <v>93</v>
      </c>
      <c r="M392" s="24" t="s">
        <v>534</v>
      </c>
      <c r="N392" s="21" t="s">
        <v>25</v>
      </c>
      <c r="O392" s="25">
        <v>46266</v>
      </c>
      <c r="P392" s="21" t="s">
        <v>398</v>
      </c>
      <c r="Q392" s="26" t="s">
        <v>57</v>
      </c>
      <c r="R392" s="27" t="s">
        <v>401</v>
      </c>
      <c r="S392" s="27">
        <v>6500</v>
      </c>
      <c r="T392" s="28" t="s">
        <v>27</v>
      </c>
      <c r="U392" s="28" t="s">
        <v>28</v>
      </c>
      <c r="V392" s="28" t="s">
        <v>29</v>
      </c>
      <c r="W392" s="28" t="s">
        <v>126</v>
      </c>
    </row>
    <row r="393" spans="1:23" ht="15" customHeight="1" x14ac:dyDescent="0.25">
      <c r="A393" s="20" t="str">
        <f>VLOOKUP(F393,[1]CLIENTES!B:L,11,0)</f>
        <v>RODRIGO</v>
      </c>
      <c r="B393" s="20" t="s">
        <v>537</v>
      </c>
      <c r="C393" s="20">
        <v>46259</v>
      </c>
      <c r="D393" s="21" t="s">
        <v>21</v>
      </c>
      <c r="E393" s="21">
        <v>3858</v>
      </c>
      <c r="F393" s="21">
        <v>5178343</v>
      </c>
      <c r="G393" s="21">
        <v>145105</v>
      </c>
      <c r="H393" s="21" t="s">
        <v>589</v>
      </c>
      <c r="I393" s="21" t="s">
        <v>213</v>
      </c>
      <c r="J393" s="21" t="s">
        <v>214</v>
      </c>
      <c r="K393" s="29">
        <v>197</v>
      </c>
      <c r="L393" s="33">
        <v>92</v>
      </c>
      <c r="M393" s="24" t="s">
        <v>590</v>
      </c>
      <c r="N393" s="21" t="s">
        <v>25</v>
      </c>
      <c r="O393" s="25">
        <v>46266</v>
      </c>
      <c r="P393" s="21" t="s">
        <v>398</v>
      </c>
      <c r="Q393" s="26" t="s">
        <v>57</v>
      </c>
      <c r="R393" s="27" t="s">
        <v>427</v>
      </c>
      <c r="S393" s="27">
        <v>220.97</v>
      </c>
      <c r="T393" s="28" t="s">
        <v>27</v>
      </c>
      <c r="U393" s="28" t="s">
        <v>28</v>
      </c>
      <c r="V393" s="28" t="s">
        <v>29</v>
      </c>
      <c r="W393" s="28" t="s">
        <v>126</v>
      </c>
    </row>
    <row r="394" spans="1:23" ht="15" customHeight="1" x14ac:dyDescent="0.25">
      <c r="A394" s="20" t="str">
        <f>VLOOKUP(F394,[1]CLIENTES!B:L,11,0)</f>
        <v>RODRIGO</v>
      </c>
      <c r="B394" s="20" t="s">
        <v>537</v>
      </c>
      <c r="C394" s="20">
        <v>46259</v>
      </c>
      <c r="D394" s="21" t="s">
        <v>21</v>
      </c>
      <c r="E394" s="21">
        <v>3426</v>
      </c>
      <c r="F394" s="21">
        <v>5026768</v>
      </c>
      <c r="G394" s="21">
        <v>113399</v>
      </c>
      <c r="H394" s="21" t="s">
        <v>139</v>
      </c>
      <c r="I394" s="21" t="s">
        <v>132</v>
      </c>
      <c r="J394" s="21">
        <v>6127</v>
      </c>
      <c r="K394" s="29">
        <v>605</v>
      </c>
      <c r="L394" s="33">
        <v>92</v>
      </c>
      <c r="M394" s="24" t="s">
        <v>591</v>
      </c>
      <c r="N394" s="21" t="s">
        <v>25</v>
      </c>
      <c r="O394" s="25">
        <v>46266</v>
      </c>
      <c r="P394" s="21" t="s">
        <v>398</v>
      </c>
      <c r="Q394" s="26" t="s">
        <v>471</v>
      </c>
      <c r="R394" s="27" t="s">
        <v>433</v>
      </c>
      <c r="S394" s="27">
        <v>4800</v>
      </c>
      <c r="T394" s="28" t="s">
        <v>27</v>
      </c>
      <c r="U394" s="28" t="s">
        <v>28</v>
      </c>
      <c r="V394" s="28" t="s">
        <v>29</v>
      </c>
      <c r="W394" s="28" t="s">
        <v>126</v>
      </c>
    </row>
    <row r="395" spans="1:23" ht="15" customHeight="1" x14ac:dyDescent="0.25">
      <c r="A395" s="20" t="str">
        <f>VLOOKUP(F395,[1]CLIENTES!B:L,11,0)</f>
        <v>RODRIGO</v>
      </c>
      <c r="B395" s="20" t="s">
        <v>537</v>
      </c>
      <c r="C395" s="20">
        <v>46259</v>
      </c>
      <c r="D395" s="21" t="s">
        <v>21</v>
      </c>
      <c r="E395" s="21">
        <v>3835</v>
      </c>
      <c r="F395" s="21">
        <v>5225860</v>
      </c>
      <c r="G395" s="21">
        <v>180402</v>
      </c>
      <c r="H395" s="21" t="s">
        <v>39</v>
      </c>
      <c r="I395" s="21" t="s">
        <v>40</v>
      </c>
      <c r="J395" s="21" t="s">
        <v>41</v>
      </c>
      <c r="K395" s="29">
        <v>194</v>
      </c>
      <c r="L395" s="33">
        <v>92</v>
      </c>
      <c r="M395" s="24" t="s">
        <v>592</v>
      </c>
      <c r="N395" s="21" t="s">
        <v>25</v>
      </c>
      <c r="O395" s="25">
        <v>46266</v>
      </c>
      <c r="P395" s="21" t="s">
        <v>398</v>
      </c>
      <c r="Q395" s="26" t="s">
        <v>471</v>
      </c>
      <c r="R395" s="27" t="s">
        <v>426</v>
      </c>
      <c r="S395" s="27">
        <v>20000</v>
      </c>
      <c r="T395" s="28" t="s">
        <v>27</v>
      </c>
      <c r="U395" s="28" t="s">
        <v>28</v>
      </c>
      <c r="V395" s="28" t="s">
        <v>29</v>
      </c>
      <c r="W395" s="28" t="s">
        <v>126</v>
      </c>
    </row>
    <row r="396" spans="1:23" ht="15" customHeight="1" x14ac:dyDescent="0.25">
      <c r="A396" s="20" t="str">
        <f>VLOOKUP(F396,[1]CLIENTES!B:L,11,0)</f>
        <v>RODRIGO</v>
      </c>
      <c r="B396" s="20" t="s">
        <v>537</v>
      </c>
      <c r="C396" s="20">
        <v>46259</v>
      </c>
      <c r="D396" s="21" t="s">
        <v>21</v>
      </c>
      <c r="E396" s="21">
        <v>3427</v>
      </c>
      <c r="F396" s="21">
        <v>5229985</v>
      </c>
      <c r="G396" s="21">
        <v>180738</v>
      </c>
      <c r="H396" s="21" t="s">
        <v>131</v>
      </c>
      <c r="I396" s="21" t="s">
        <v>132</v>
      </c>
      <c r="J396" s="21">
        <v>6127</v>
      </c>
      <c r="K396" s="29">
        <v>605</v>
      </c>
      <c r="L396" s="33">
        <v>92</v>
      </c>
      <c r="M396" s="24" t="s">
        <v>593</v>
      </c>
      <c r="N396" s="21" t="s">
        <v>25</v>
      </c>
      <c r="O396" s="25">
        <v>46266</v>
      </c>
      <c r="P396" s="21" t="s">
        <v>398</v>
      </c>
      <c r="Q396" s="26" t="s">
        <v>471</v>
      </c>
      <c r="R396" s="27" t="s">
        <v>433</v>
      </c>
      <c r="S396" s="27">
        <v>10000</v>
      </c>
      <c r="T396" s="28" t="s">
        <v>27</v>
      </c>
      <c r="U396" s="28" t="s">
        <v>28</v>
      </c>
      <c r="V396" s="28" t="s">
        <v>29</v>
      </c>
      <c r="W396" s="28" t="s">
        <v>126</v>
      </c>
    </row>
    <row r="397" spans="1:23" ht="15" customHeight="1" x14ac:dyDescent="0.25">
      <c r="A397" s="20" t="str">
        <f>VLOOKUP(F397,[1]CLIENTES!B:L,11,0)</f>
        <v>RODRIGO</v>
      </c>
      <c r="B397" s="20" t="s">
        <v>537</v>
      </c>
      <c r="C397" s="20">
        <v>46259</v>
      </c>
      <c r="D397" s="21" t="s">
        <v>21</v>
      </c>
      <c r="E397" s="21">
        <v>3413</v>
      </c>
      <c r="F397" s="21">
        <v>5128707</v>
      </c>
      <c r="G397" s="21">
        <v>128420</v>
      </c>
      <c r="H397" s="21" t="s">
        <v>261</v>
      </c>
      <c r="I397" s="21" t="s">
        <v>113</v>
      </c>
      <c r="J397" s="21">
        <v>6127</v>
      </c>
      <c r="K397" s="29">
        <v>682</v>
      </c>
      <c r="L397" s="33">
        <v>92</v>
      </c>
      <c r="M397" s="24" t="s">
        <v>593</v>
      </c>
      <c r="N397" s="21" t="s">
        <v>25</v>
      </c>
      <c r="O397" s="25">
        <v>46266</v>
      </c>
      <c r="P397" s="21" t="s">
        <v>398</v>
      </c>
      <c r="Q397" s="26" t="s">
        <v>471</v>
      </c>
      <c r="R397" s="27" t="s">
        <v>692</v>
      </c>
      <c r="S397" s="27">
        <v>10000</v>
      </c>
      <c r="T397" s="28" t="s">
        <v>27</v>
      </c>
      <c r="U397" s="28" t="s">
        <v>28</v>
      </c>
      <c r="V397" s="28" t="s">
        <v>29</v>
      </c>
      <c r="W397" s="28" t="s">
        <v>126</v>
      </c>
    </row>
    <row r="398" spans="1:23" ht="15" customHeight="1" x14ac:dyDescent="0.25">
      <c r="A398" s="20" t="str">
        <f>VLOOKUP(F398,[1]CLIENTES!B:L,11,0)</f>
        <v>RODRIGO</v>
      </c>
      <c r="B398" s="20" t="s">
        <v>537</v>
      </c>
      <c r="C398" s="20">
        <v>46259</v>
      </c>
      <c r="D398" s="21" t="s">
        <v>21</v>
      </c>
      <c r="E398" s="21">
        <v>3839</v>
      </c>
      <c r="F398" s="21">
        <v>5127060</v>
      </c>
      <c r="G398" s="21">
        <v>187971</v>
      </c>
      <c r="H398" s="21" t="s">
        <v>90</v>
      </c>
      <c r="I398" s="21" t="s">
        <v>71</v>
      </c>
      <c r="J398" s="21" t="s">
        <v>72</v>
      </c>
      <c r="K398" s="29">
        <v>186</v>
      </c>
      <c r="L398" s="33">
        <v>92</v>
      </c>
      <c r="M398" s="24" t="s">
        <v>597</v>
      </c>
      <c r="N398" s="21" t="s">
        <v>25</v>
      </c>
      <c r="O398" s="25">
        <v>46266</v>
      </c>
      <c r="P398" s="21" t="s">
        <v>398</v>
      </c>
      <c r="Q398" s="26" t="s">
        <v>428</v>
      </c>
      <c r="R398" s="27" t="s">
        <v>430</v>
      </c>
      <c r="S398" s="27">
        <v>1134</v>
      </c>
      <c r="T398" s="28" t="s">
        <v>27</v>
      </c>
      <c r="U398" s="28" t="s">
        <v>28</v>
      </c>
      <c r="V398" s="28" t="s">
        <v>29</v>
      </c>
      <c r="W398" s="28" t="s">
        <v>126</v>
      </c>
    </row>
    <row r="399" spans="1:23" ht="15" customHeight="1" x14ac:dyDescent="0.25">
      <c r="A399" s="20" t="str">
        <f>VLOOKUP(F399,[1]CLIENTES!B:L,11,0)</f>
        <v>RODRIGO</v>
      </c>
      <c r="B399" s="20" t="s">
        <v>537</v>
      </c>
      <c r="C399" s="20">
        <v>46259</v>
      </c>
      <c r="D399" s="21" t="s">
        <v>21</v>
      </c>
      <c r="E399" s="21">
        <v>3845</v>
      </c>
      <c r="F399" s="21">
        <v>5366274</v>
      </c>
      <c r="G399" s="21">
        <v>193277</v>
      </c>
      <c r="H399" s="21" t="s">
        <v>351</v>
      </c>
      <c r="I399" s="21" t="s">
        <v>71</v>
      </c>
      <c r="J399" s="21" t="s">
        <v>72</v>
      </c>
      <c r="K399" s="29">
        <v>186</v>
      </c>
      <c r="L399" s="33">
        <v>92</v>
      </c>
      <c r="M399" s="24" t="s">
        <v>598</v>
      </c>
      <c r="N399" s="21" t="s">
        <v>25</v>
      </c>
      <c r="O399" s="25">
        <v>46266</v>
      </c>
      <c r="P399" s="21" t="s">
        <v>398</v>
      </c>
      <c r="Q399" s="26" t="s">
        <v>428</v>
      </c>
      <c r="R399" s="27" t="s">
        <v>430</v>
      </c>
      <c r="S399" s="27">
        <v>1360</v>
      </c>
      <c r="T399" s="28" t="s">
        <v>27</v>
      </c>
      <c r="U399" s="28" t="s">
        <v>28</v>
      </c>
      <c r="V399" s="28" t="s">
        <v>29</v>
      </c>
      <c r="W399" s="28" t="s">
        <v>126</v>
      </c>
    </row>
    <row r="400" spans="1:23" ht="15" customHeight="1" x14ac:dyDescent="0.25">
      <c r="A400" s="20" t="str">
        <f>VLOOKUP(F400,[1]CLIENTES!B:L,11,0)</f>
        <v>RODRIGO</v>
      </c>
      <c r="B400" s="20" t="s">
        <v>537</v>
      </c>
      <c r="C400" s="20">
        <v>46259</v>
      </c>
      <c r="D400" s="21" t="s">
        <v>21</v>
      </c>
      <c r="E400" s="21">
        <v>3444</v>
      </c>
      <c r="F400" s="21">
        <v>5070522</v>
      </c>
      <c r="G400" s="21">
        <v>143311</v>
      </c>
      <c r="H400" s="21" t="s">
        <v>66</v>
      </c>
      <c r="I400" s="21" t="s">
        <v>23</v>
      </c>
      <c r="J400" s="21">
        <v>6125</v>
      </c>
      <c r="K400" s="29">
        <v>692</v>
      </c>
      <c r="L400" s="33">
        <v>93</v>
      </c>
      <c r="M400" s="24" t="s">
        <v>599</v>
      </c>
      <c r="N400" s="21" t="s">
        <v>25</v>
      </c>
      <c r="O400" s="25">
        <v>46266</v>
      </c>
      <c r="P400" s="21" t="s">
        <v>398</v>
      </c>
      <c r="Q400" s="26" t="s">
        <v>49</v>
      </c>
      <c r="R400" s="27" t="s">
        <v>400</v>
      </c>
      <c r="S400" s="27">
        <v>2250</v>
      </c>
      <c r="T400" s="28" t="s">
        <v>27</v>
      </c>
      <c r="U400" s="28" t="s">
        <v>28</v>
      </c>
      <c r="V400" s="28" t="s">
        <v>29</v>
      </c>
      <c r="W400" s="28" t="s">
        <v>126</v>
      </c>
    </row>
    <row r="401" spans="1:23" ht="15" customHeight="1" x14ac:dyDescent="0.25">
      <c r="A401" s="20" t="str">
        <f>VLOOKUP(F401,[1]CLIENTES!B:L,11,0)</f>
        <v>RODRIGO</v>
      </c>
      <c r="B401" s="20" t="s">
        <v>537</v>
      </c>
      <c r="C401" s="20">
        <v>46259</v>
      </c>
      <c r="D401" s="21" t="s">
        <v>21</v>
      </c>
      <c r="E401" s="21">
        <v>3851</v>
      </c>
      <c r="F401" s="21">
        <v>5231303</v>
      </c>
      <c r="G401" s="21">
        <v>167018</v>
      </c>
      <c r="H401" s="21" t="s">
        <v>104</v>
      </c>
      <c r="I401" s="21" t="s">
        <v>37</v>
      </c>
      <c r="J401" s="21" t="s">
        <v>105</v>
      </c>
      <c r="K401" s="29">
        <v>189</v>
      </c>
      <c r="L401" s="33">
        <v>93</v>
      </c>
      <c r="M401" s="24" t="s">
        <v>600</v>
      </c>
      <c r="N401" s="21" t="s">
        <v>25</v>
      </c>
      <c r="O401" s="25">
        <v>46266</v>
      </c>
      <c r="P401" s="21" t="s">
        <v>398</v>
      </c>
      <c r="Q401" s="26" t="s">
        <v>423</v>
      </c>
      <c r="R401" s="27" t="s">
        <v>432</v>
      </c>
      <c r="S401" s="27">
        <v>5000</v>
      </c>
      <c r="T401" s="28" t="s">
        <v>27</v>
      </c>
      <c r="U401" s="28" t="s">
        <v>28</v>
      </c>
      <c r="V401" s="28" t="s">
        <v>29</v>
      </c>
      <c r="W401" s="28" t="s">
        <v>126</v>
      </c>
    </row>
    <row r="402" spans="1:23" ht="15" customHeight="1" x14ac:dyDescent="0.25">
      <c r="A402" s="20" t="str">
        <f>VLOOKUP(F402,[1]CLIENTES!B:L,11,0)</f>
        <v>RODRIGO</v>
      </c>
      <c r="B402" s="20" t="s">
        <v>537</v>
      </c>
      <c r="C402" s="20">
        <v>46259</v>
      </c>
      <c r="D402" s="21" t="s">
        <v>21</v>
      </c>
      <c r="E402" s="21">
        <v>3416</v>
      </c>
      <c r="F402" s="21">
        <v>5185642</v>
      </c>
      <c r="G402" s="21">
        <v>142109</v>
      </c>
      <c r="H402" s="21" t="s">
        <v>166</v>
      </c>
      <c r="I402" s="21" t="s">
        <v>23</v>
      </c>
      <c r="J402" s="21">
        <v>6125</v>
      </c>
      <c r="K402" s="29">
        <v>692</v>
      </c>
      <c r="L402" s="33">
        <v>93</v>
      </c>
      <c r="M402" s="24" t="s">
        <v>601</v>
      </c>
      <c r="N402" s="21" t="s">
        <v>25</v>
      </c>
      <c r="O402" s="25">
        <v>46266</v>
      </c>
      <c r="P402" s="21" t="s">
        <v>398</v>
      </c>
      <c r="Q402" s="26" t="s">
        <v>26</v>
      </c>
      <c r="R402" s="27" t="s">
        <v>399</v>
      </c>
      <c r="S402" s="27">
        <v>5729.19</v>
      </c>
      <c r="T402" s="28" t="s">
        <v>27</v>
      </c>
      <c r="U402" s="28" t="s">
        <v>28</v>
      </c>
      <c r="V402" s="28" t="s">
        <v>29</v>
      </c>
      <c r="W402" s="28" t="s">
        <v>97</v>
      </c>
    </row>
    <row r="403" spans="1:23" ht="15" customHeight="1" x14ac:dyDescent="0.25">
      <c r="A403" s="20" t="str">
        <f>VLOOKUP(F403,[1]CLIENTES!B:L,11,0)</f>
        <v>RODRIGO</v>
      </c>
      <c r="B403" s="20" t="s">
        <v>537</v>
      </c>
      <c r="C403" s="20">
        <v>46259</v>
      </c>
      <c r="D403" s="21" t="s">
        <v>118</v>
      </c>
      <c r="E403" s="34" t="s">
        <v>465</v>
      </c>
      <c r="F403" s="21">
        <v>5026399</v>
      </c>
      <c r="G403" s="21">
        <v>116247</v>
      </c>
      <c r="H403" s="21" t="s">
        <v>119</v>
      </c>
      <c r="I403" s="21" t="s">
        <v>37</v>
      </c>
      <c r="J403" s="21" t="s">
        <v>105</v>
      </c>
      <c r="K403" s="29">
        <v>189</v>
      </c>
      <c r="L403" s="33">
        <v>92</v>
      </c>
      <c r="M403" s="24" t="s">
        <v>594</v>
      </c>
      <c r="N403" s="34" t="s">
        <v>25</v>
      </c>
      <c r="O403" s="25">
        <v>46266</v>
      </c>
      <c r="P403" s="21" t="s">
        <v>398</v>
      </c>
      <c r="Q403" s="26" t="s">
        <v>423</v>
      </c>
      <c r="R403" s="27" t="s">
        <v>425</v>
      </c>
      <c r="S403" s="27">
        <v>55000</v>
      </c>
      <c r="T403" s="28" t="s">
        <v>27</v>
      </c>
      <c r="U403" s="28" t="s">
        <v>28</v>
      </c>
      <c r="V403" s="28" t="s">
        <v>29</v>
      </c>
      <c r="W403" s="28" t="s">
        <v>204</v>
      </c>
    </row>
    <row r="404" spans="1:23" ht="15" customHeight="1" x14ac:dyDescent="0.25">
      <c r="A404" s="20" t="s">
        <v>702</v>
      </c>
      <c r="B404" s="20" t="s">
        <v>602</v>
      </c>
      <c r="C404" s="20">
        <v>46244</v>
      </c>
      <c r="D404" s="21" t="s">
        <v>703</v>
      </c>
      <c r="E404" s="34">
        <v>17814</v>
      </c>
      <c r="F404" s="21">
        <v>5006978</v>
      </c>
      <c r="G404" s="21">
        <v>103036</v>
      </c>
      <c r="H404" s="21" t="s">
        <v>58</v>
      </c>
      <c r="I404" s="21" t="s">
        <v>23</v>
      </c>
      <c r="J404" s="21" t="s">
        <v>47</v>
      </c>
      <c r="K404" s="21">
        <v>722</v>
      </c>
      <c r="L404" s="29">
        <v>92</v>
      </c>
      <c r="M404" s="23" t="s">
        <v>603</v>
      </c>
      <c r="N404" s="21" t="s">
        <v>25</v>
      </c>
      <c r="O404" s="25">
        <v>46296</v>
      </c>
      <c r="P404" s="21" t="s">
        <v>398</v>
      </c>
      <c r="Q404" s="21" t="s">
        <v>26</v>
      </c>
      <c r="R404" s="26" t="s">
        <v>26</v>
      </c>
      <c r="S404" s="27">
        <v>1000</v>
      </c>
      <c r="T404" s="28" t="s">
        <v>27</v>
      </c>
      <c r="U404" s="28" t="s">
        <v>50</v>
      </c>
      <c r="V404" s="28" t="s">
        <v>51</v>
      </c>
      <c r="W404" s="28" t="s">
        <v>97</v>
      </c>
    </row>
    <row r="405" spans="1:23" ht="15" customHeight="1" x14ac:dyDescent="0.25">
      <c r="A405" s="20" t="s">
        <v>702</v>
      </c>
      <c r="B405" s="20" t="s">
        <v>602</v>
      </c>
      <c r="C405" s="20">
        <v>46273</v>
      </c>
      <c r="D405" s="21" t="s">
        <v>703</v>
      </c>
      <c r="E405" s="34">
        <v>17817</v>
      </c>
      <c r="F405" s="21">
        <v>5157891</v>
      </c>
      <c r="G405" s="21">
        <v>165987</v>
      </c>
      <c r="H405" s="21" t="s">
        <v>209</v>
      </c>
      <c r="I405" s="21" t="s">
        <v>23</v>
      </c>
      <c r="J405" s="21" t="s">
        <v>47</v>
      </c>
      <c r="K405" s="21">
        <v>722</v>
      </c>
      <c r="L405" s="29">
        <v>92</v>
      </c>
      <c r="M405" s="23" t="s">
        <v>604</v>
      </c>
      <c r="N405" s="21" t="s">
        <v>25</v>
      </c>
      <c r="O405" s="25">
        <v>46296</v>
      </c>
      <c r="P405" s="21" t="s">
        <v>398</v>
      </c>
      <c r="Q405" s="21" t="s">
        <v>26</v>
      </c>
      <c r="R405" s="26" t="s">
        <v>26</v>
      </c>
      <c r="S405" s="27">
        <v>20000</v>
      </c>
      <c r="T405" s="28" t="s">
        <v>27</v>
      </c>
      <c r="U405" s="28" t="s">
        <v>50</v>
      </c>
      <c r="V405" s="28" t="s">
        <v>51</v>
      </c>
      <c r="W405" s="28" t="s">
        <v>97</v>
      </c>
    </row>
    <row r="406" spans="1:23" ht="15" customHeight="1" x14ac:dyDescent="0.25">
      <c r="A406" s="20" t="s">
        <v>702</v>
      </c>
      <c r="B406" s="20" t="s">
        <v>602</v>
      </c>
      <c r="C406" s="20">
        <v>46273</v>
      </c>
      <c r="D406" s="21" t="s">
        <v>703</v>
      </c>
      <c r="E406" s="34">
        <v>3956</v>
      </c>
      <c r="F406" s="21">
        <v>5004685</v>
      </c>
      <c r="G406" s="21">
        <v>110434</v>
      </c>
      <c r="H406" s="21" t="s">
        <v>614</v>
      </c>
      <c r="I406" s="21" t="s">
        <v>23</v>
      </c>
      <c r="J406" s="21" t="s">
        <v>618</v>
      </c>
      <c r="K406" s="21">
        <v>192</v>
      </c>
      <c r="L406" s="29">
        <v>93</v>
      </c>
      <c r="M406" s="23" t="s">
        <v>605</v>
      </c>
      <c r="N406" s="21" t="s">
        <v>25</v>
      </c>
      <c r="O406" s="25">
        <v>46296</v>
      </c>
      <c r="P406" s="21" t="s">
        <v>398</v>
      </c>
      <c r="Q406" s="21" t="s">
        <v>49</v>
      </c>
      <c r="R406" s="26" t="s">
        <v>402</v>
      </c>
      <c r="S406" s="27">
        <v>2000</v>
      </c>
      <c r="T406" s="28" t="s">
        <v>27</v>
      </c>
      <c r="U406" s="28" t="s">
        <v>28</v>
      </c>
      <c r="V406" s="28" t="s">
        <v>29</v>
      </c>
      <c r="W406" s="28" t="s">
        <v>126</v>
      </c>
    </row>
    <row r="407" spans="1:23" ht="15" customHeight="1" x14ac:dyDescent="0.25">
      <c r="A407" s="20" t="s">
        <v>702</v>
      </c>
      <c r="B407" s="20" t="s">
        <v>602</v>
      </c>
      <c r="C407" s="20">
        <v>46273</v>
      </c>
      <c r="D407" s="21" t="s">
        <v>703</v>
      </c>
      <c r="E407" s="34">
        <v>4453</v>
      </c>
      <c r="F407" s="21">
        <v>5118346</v>
      </c>
      <c r="G407" s="21">
        <v>143232</v>
      </c>
      <c r="H407" s="21" t="s">
        <v>656</v>
      </c>
      <c r="I407" s="21" t="s">
        <v>23</v>
      </c>
      <c r="J407" s="21" t="s">
        <v>618</v>
      </c>
      <c r="K407" s="21">
        <v>192</v>
      </c>
      <c r="L407" s="29">
        <v>93</v>
      </c>
      <c r="M407" s="23" t="s">
        <v>606</v>
      </c>
      <c r="N407" s="21" t="s">
        <v>25</v>
      </c>
      <c r="O407" s="25">
        <v>46296</v>
      </c>
      <c r="P407" s="21" t="s">
        <v>398</v>
      </c>
      <c r="Q407" s="21" t="s">
        <v>26</v>
      </c>
      <c r="R407" s="26" t="s">
        <v>607</v>
      </c>
      <c r="S407" s="27">
        <v>1800</v>
      </c>
      <c r="T407" s="28" t="s">
        <v>27</v>
      </c>
      <c r="U407" s="28" t="s">
        <v>28</v>
      </c>
      <c r="V407" s="28" t="s">
        <v>29</v>
      </c>
      <c r="W407" s="28" t="s">
        <v>126</v>
      </c>
    </row>
    <row r="408" spans="1:23" ht="15" customHeight="1" x14ac:dyDescent="0.25">
      <c r="A408" s="20" t="s">
        <v>702</v>
      </c>
      <c r="B408" s="20" t="s">
        <v>602</v>
      </c>
      <c r="C408" s="20">
        <v>46273</v>
      </c>
      <c r="D408" s="21" t="s">
        <v>703</v>
      </c>
      <c r="E408" s="34">
        <v>4433</v>
      </c>
      <c r="F408" s="21">
        <v>5184211</v>
      </c>
      <c r="G408" s="21">
        <v>142662</v>
      </c>
      <c r="H408" s="21" t="s">
        <v>187</v>
      </c>
      <c r="I408" s="21" t="s">
        <v>188</v>
      </c>
      <c r="J408" s="21" t="s">
        <v>41</v>
      </c>
      <c r="K408" s="21">
        <v>179</v>
      </c>
      <c r="L408" s="29">
        <v>92</v>
      </c>
      <c r="M408" s="23" t="s">
        <v>608</v>
      </c>
      <c r="N408" s="21" t="s">
        <v>25</v>
      </c>
      <c r="O408" s="25">
        <v>46296</v>
      </c>
      <c r="P408" s="21" t="s">
        <v>398</v>
      </c>
      <c r="Q408" s="21" t="s">
        <v>471</v>
      </c>
      <c r="R408" s="26" t="s">
        <v>427</v>
      </c>
      <c r="S408" s="27">
        <v>960</v>
      </c>
      <c r="T408" s="28" t="s">
        <v>27</v>
      </c>
      <c r="U408" s="28" t="s">
        <v>28</v>
      </c>
      <c r="V408" s="28" t="s">
        <v>29</v>
      </c>
      <c r="W408" s="28" t="s">
        <v>126</v>
      </c>
    </row>
    <row r="409" spans="1:23" ht="15" customHeight="1" x14ac:dyDescent="0.25">
      <c r="A409" s="20" t="s">
        <v>702</v>
      </c>
      <c r="B409" s="20" t="s">
        <v>602</v>
      </c>
      <c r="C409" s="20">
        <v>46273</v>
      </c>
      <c r="D409" s="21" t="s">
        <v>703</v>
      </c>
      <c r="E409" s="34">
        <v>4454</v>
      </c>
      <c r="F409" s="21">
        <v>5159289</v>
      </c>
      <c r="G409" s="21">
        <v>143188</v>
      </c>
      <c r="H409" s="21" t="s">
        <v>227</v>
      </c>
      <c r="I409" s="21" t="s">
        <v>23</v>
      </c>
      <c r="J409" s="21" t="s">
        <v>618</v>
      </c>
      <c r="K409" s="21">
        <v>192</v>
      </c>
      <c r="L409" s="29">
        <v>93</v>
      </c>
      <c r="M409" s="23" t="s">
        <v>609</v>
      </c>
      <c r="N409" s="21" t="s">
        <v>25</v>
      </c>
      <c r="O409" s="25">
        <v>46296</v>
      </c>
      <c r="P409" s="21" t="s">
        <v>398</v>
      </c>
      <c r="Q409" s="21" t="s">
        <v>26</v>
      </c>
      <c r="R409" s="26" t="s">
        <v>607</v>
      </c>
      <c r="S409" s="27">
        <v>1400</v>
      </c>
      <c r="T409" s="28" t="s">
        <v>27</v>
      </c>
      <c r="U409" s="28" t="s">
        <v>28</v>
      </c>
      <c r="V409" s="28" t="s">
        <v>29</v>
      </c>
      <c r="W409" s="28" t="s">
        <v>610</v>
      </c>
    </row>
    <row r="410" spans="1:23" ht="15" customHeight="1" x14ac:dyDescent="0.25">
      <c r="A410" s="20" t="s">
        <v>702</v>
      </c>
      <c r="B410" s="20" t="s">
        <v>602</v>
      </c>
      <c r="C410" s="20">
        <v>46279</v>
      </c>
      <c r="D410" s="21" t="s">
        <v>703</v>
      </c>
      <c r="E410" s="34">
        <v>3956</v>
      </c>
      <c r="F410" s="21">
        <v>5004685</v>
      </c>
      <c r="G410" s="21">
        <v>110434</v>
      </c>
      <c r="H410" s="21" t="s">
        <v>614</v>
      </c>
      <c r="I410" s="21" t="s">
        <v>23</v>
      </c>
      <c r="J410" s="21" t="s">
        <v>618</v>
      </c>
      <c r="K410" s="21">
        <v>192</v>
      </c>
      <c r="L410" s="29">
        <v>93</v>
      </c>
      <c r="M410" s="23" t="s">
        <v>611</v>
      </c>
      <c r="N410" s="21" t="s">
        <v>25</v>
      </c>
      <c r="O410" s="25">
        <v>46296</v>
      </c>
      <c r="P410" s="21" t="s">
        <v>398</v>
      </c>
      <c r="Q410" s="21" t="s">
        <v>49</v>
      </c>
      <c r="R410" s="26" t="s">
        <v>402</v>
      </c>
      <c r="S410" s="27">
        <v>23670.73</v>
      </c>
      <c r="T410" s="28" t="s">
        <v>27</v>
      </c>
      <c r="U410" s="28" t="s">
        <v>28</v>
      </c>
      <c r="V410" s="28" t="s">
        <v>29</v>
      </c>
      <c r="W410" s="28" t="s">
        <v>97</v>
      </c>
    </row>
    <row r="411" spans="1:23" ht="15" customHeight="1" x14ac:dyDescent="0.25">
      <c r="A411" s="20" t="s">
        <v>702</v>
      </c>
      <c r="B411" s="20" t="s">
        <v>602</v>
      </c>
      <c r="C411" s="20">
        <v>46282</v>
      </c>
      <c r="D411" s="21" t="s">
        <v>703</v>
      </c>
      <c r="E411" s="34">
        <v>4455</v>
      </c>
      <c r="F411" s="21">
        <v>5217293</v>
      </c>
      <c r="G411" s="21">
        <v>145966</v>
      </c>
      <c r="H411" s="21" t="s">
        <v>86</v>
      </c>
      <c r="I411" s="21" t="s">
        <v>23</v>
      </c>
      <c r="J411" s="21" t="s">
        <v>618</v>
      </c>
      <c r="K411" s="21">
        <v>192</v>
      </c>
      <c r="L411" s="29">
        <v>92</v>
      </c>
      <c r="M411" s="23" t="s">
        <v>612</v>
      </c>
      <c r="N411" s="21" t="s">
        <v>25</v>
      </c>
      <c r="O411" s="25">
        <v>46296</v>
      </c>
      <c r="P411" s="21" t="s">
        <v>398</v>
      </c>
      <c r="Q411" s="21" t="s">
        <v>26</v>
      </c>
      <c r="R411" s="26" t="s">
        <v>607</v>
      </c>
      <c r="S411" s="27">
        <v>2222.2199999999998</v>
      </c>
      <c r="T411" s="28" t="s">
        <v>27</v>
      </c>
      <c r="U411" s="28" t="s">
        <v>28</v>
      </c>
      <c r="V411" s="28" t="s">
        <v>29</v>
      </c>
      <c r="W411" s="28" t="s">
        <v>35</v>
      </c>
    </row>
    <row r="412" spans="1:23" ht="15" customHeight="1" x14ac:dyDescent="0.25">
      <c r="A412" s="20" t="s">
        <v>702</v>
      </c>
      <c r="B412" s="20" t="s">
        <v>602</v>
      </c>
      <c r="C412" s="20">
        <v>46286</v>
      </c>
      <c r="D412" s="21" t="s">
        <v>703</v>
      </c>
      <c r="E412" s="34">
        <v>3956</v>
      </c>
      <c r="F412" s="21">
        <v>5004685</v>
      </c>
      <c r="G412" s="21">
        <v>110434</v>
      </c>
      <c r="H412" s="21" t="s">
        <v>614</v>
      </c>
      <c r="I412" s="21" t="s">
        <v>23</v>
      </c>
      <c r="J412" s="21" t="s">
        <v>618</v>
      </c>
      <c r="K412" s="21">
        <v>192</v>
      </c>
      <c r="L412" s="29">
        <v>93</v>
      </c>
      <c r="M412" s="23" t="s">
        <v>615</v>
      </c>
      <c r="N412" s="21" t="s">
        <v>25</v>
      </c>
      <c r="O412" s="25">
        <v>46296</v>
      </c>
      <c r="P412" s="21" t="s">
        <v>398</v>
      </c>
      <c r="Q412" s="21" t="s">
        <v>49</v>
      </c>
      <c r="R412" s="26" t="s">
        <v>402</v>
      </c>
      <c r="S412" s="27">
        <v>1000</v>
      </c>
      <c r="T412" s="28" t="s">
        <v>27</v>
      </c>
      <c r="U412" s="28" t="s">
        <v>28</v>
      </c>
      <c r="V412" s="28" t="s">
        <v>29</v>
      </c>
      <c r="W412" s="28" t="s">
        <v>126</v>
      </c>
    </row>
    <row r="413" spans="1:23" ht="15" customHeight="1" x14ac:dyDescent="0.25">
      <c r="A413" s="20" t="s">
        <v>702</v>
      </c>
      <c r="B413" s="20" t="s">
        <v>602</v>
      </c>
      <c r="C413" s="20">
        <v>46286</v>
      </c>
      <c r="D413" s="21" t="s">
        <v>703</v>
      </c>
      <c r="E413" s="34">
        <v>4454</v>
      </c>
      <c r="F413" s="21">
        <v>5349074</v>
      </c>
      <c r="G413" s="21"/>
      <c r="H413" s="21" t="s">
        <v>616</v>
      </c>
      <c r="I413" s="21" t="s">
        <v>23</v>
      </c>
      <c r="J413" s="21" t="s">
        <v>618</v>
      </c>
      <c r="K413" s="21">
        <v>192</v>
      </c>
      <c r="L413" s="29">
        <v>93</v>
      </c>
      <c r="M413" s="23" t="s">
        <v>619</v>
      </c>
      <c r="N413" s="21" t="s">
        <v>25</v>
      </c>
      <c r="O413" s="25">
        <v>46296</v>
      </c>
      <c r="P413" s="21" t="s">
        <v>398</v>
      </c>
      <c r="Q413" s="21" t="s">
        <v>26</v>
      </c>
      <c r="R413" s="26" t="s">
        <v>607</v>
      </c>
      <c r="S413" s="27">
        <v>240</v>
      </c>
      <c r="T413" s="28" t="s">
        <v>27</v>
      </c>
      <c r="U413" s="28" t="s">
        <v>28</v>
      </c>
      <c r="V413" s="28" t="s">
        <v>29</v>
      </c>
      <c r="W413" s="28" t="s">
        <v>149</v>
      </c>
    </row>
    <row r="414" spans="1:23" ht="15" customHeight="1" x14ac:dyDescent="0.25">
      <c r="A414" s="20" t="s">
        <v>702</v>
      </c>
      <c r="B414" s="20" t="s">
        <v>602</v>
      </c>
      <c r="C414" s="20">
        <v>46288</v>
      </c>
      <c r="D414" s="21" t="s">
        <v>703</v>
      </c>
      <c r="E414" s="34">
        <v>3957</v>
      </c>
      <c r="F414" s="21">
        <v>5149985</v>
      </c>
      <c r="G414" s="21">
        <v>142628</v>
      </c>
      <c r="H414" s="21" t="s">
        <v>617</v>
      </c>
      <c r="I414" s="21" t="s">
        <v>23</v>
      </c>
      <c r="J414" s="21">
        <v>6125</v>
      </c>
      <c r="K414" s="21">
        <v>692</v>
      </c>
      <c r="L414" s="29">
        <v>92</v>
      </c>
      <c r="M414" s="23" t="s">
        <v>635</v>
      </c>
      <c r="N414" s="21" t="s">
        <v>25</v>
      </c>
      <c r="O414" s="25">
        <v>46296</v>
      </c>
      <c r="P414" s="21" t="s">
        <v>398</v>
      </c>
      <c r="Q414" s="21" t="s">
        <v>49</v>
      </c>
      <c r="R414" s="26" t="s">
        <v>400</v>
      </c>
      <c r="S414" s="27">
        <v>1456</v>
      </c>
      <c r="T414" s="28" t="s">
        <v>27</v>
      </c>
      <c r="U414" s="28" t="s">
        <v>28</v>
      </c>
      <c r="V414" s="28" t="s">
        <v>29</v>
      </c>
      <c r="W414" s="28" t="s">
        <v>620</v>
      </c>
    </row>
    <row r="415" spans="1:23" ht="15" customHeight="1" x14ac:dyDescent="0.25">
      <c r="A415" s="20" t="s">
        <v>702</v>
      </c>
      <c r="B415" s="20" t="s">
        <v>602</v>
      </c>
      <c r="C415" s="20">
        <v>46288</v>
      </c>
      <c r="D415" s="21" t="s">
        <v>703</v>
      </c>
      <c r="E415" s="34">
        <v>4456</v>
      </c>
      <c r="F415" s="21">
        <v>5023831</v>
      </c>
      <c r="G415" s="21">
        <v>126676</v>
      </c>
      <c r="H415" s="21" t="s">
        <v>621</v>
      </c>
      <c r="I415" s="21" t="s">
        <v>23</v>
      </c>
      <c r="J415" s="21" t="s">
        <v>618</v>
      </c>
      <c r="K415" s="21">
        <v>192</v>
      </c>
      <c r="L415" s="29">
        <v>93</v>
      </c>
      <c r="M415" s="23" t="s">
        <v>636</v>
      </c>
      <c r="N415" s="21" t="s">
        <v>25</v>
      </c>
      <c r="O415" s="25">
        <v>46296</v>
      </c>
      <c r="P415" s="21" t="s">
        <v>398</v>
      </c>
      <c r="Q415" s="21" t="s">
        <v>26</v>
      </c>
      <c r="R415" s="26" t="s">
        <v>607</v>
      </c>
      <c r="S415" s="27">
        <v>3900</v>
      </c>
      <c r="T415" s="28" t="s">
        <v>27</v>
      </c>
      <c r="U415" s="28" t="s">
        <v>28</v>
      </c>
      <c r="V415" s="28" t="s">
        <v>29</v>
      </c>
      <c r="W415" s="28" t="s">
        <v>126</v>
      </c>
    </row>
    <row r="416" spans="1:23" ht="15" customHeight="1" x14ac:dyDescent="0.25">
      <c r="A416" s="20" t="s">
        <v>702</v>
      </c>
      <c r="B416" s="20" t="s">
        <v>602</v>
      </c>
      <c r="C416" s="20">
        <v>46288</v>
      </c>
      <c r="D416" s="21" t="s">
        <v>703</v>
      </c>
      <c r="E416" s="34">
        <v>4396</v>
      </c>
      <c r="F416" s="21">
        <v>5226805</v>
      </c>
      <c r="G416" s="21">
        <v>150155</v>
      </c>
      <c r="H416" s="21" t="s">
        <v>622</v>
      </c>
      <c r="I416" s="21" t="s">
        <v>71</v>
      </c>
      <c r="J416" s="21" t="s">
        <v>72</v>
      </c>
      <c r="K416" s="21">
        <v>186</v>
      </c>
      <c r="L416" s="29">
        <v>92</v>
      </c>
      <c r="M416" s="23" t="s">
        <v>637</v>
      </c>
      <c r="N416" s="21" t="s">
        <v>25</v>
      </c>
      <c r="O416" s="25">
        <v>46296</v>
      </c>
      <c r="P416" s="21" t="s">
        <v>398</v>
      </c>
      <c r="Q416" s="21" t="s">
        <v>428</v>
      </c>
      <c r="R416" s="26" t="s">
        <v>431</v>
      </c>
      <c r="S416" s="27">
        <v>5000</v>
      </c>
      <c r="T416" s="28" t="s">
        <v>27</v>
      </c>
      <c r="U416" s="28" t="s">
        <v>28</v>
      </c>
      <c r="V416" s="28" t="s">
        <v>29</v>
      </c>
      <c r="W416" s="28" t="s">
        <v>126</v>
      </c>
    </row>
    <row r="417" spans="1:23" ht="15" customHeight="1" x14ac:dyDescent="0.25">
      <c r="A417" s="20" t="s">
        <v>702</v>
      </c>
      <c r="B417" s="20" t="s">
        <v>602</v>
      </c>
      <c r="C417" s="20">
        <v>46288</v>
      </c>
      <c r="D417" s="21" t="s">
        <v>703</v>
      </c>
      <c r="E417" s="34">
        <v>4483</v>
      </c>
      <c r="F417" s="21">
        <v>5015597</v>
      </c>
      <c r="G417" s="21">
        <v>146602</v>
      </c>
      <c r="H417" s="21" t="s">
        <v>623</v>
      </c>
      <c r="I417" s="21" t="s">
        <v>483</v>
      </c>
      <c r="J417" s="21" t="s">
        <v>218</v>
      </c>
      <c r="K417" s="21">
        <v>193</v>
      </c>
      <c r="L417" s="29">
        <v>92</v>
      </c>
      <c r="M417" s="23" t="s">
        <v>638</v>
      </c>
      <c r="N417" s="21" t="s">
        <v>25</v>
      </c>
      <c r="O417" s="25">
        <v>46296</v>
      </c>
      <c r="P417" s="21" t="s">
        <v>398</v>
      </c>
      <c r="Q417" s="21" t="s">
        <v>485</v>
      </c>
      <c r="R417" s="26" t="s">
        <v>485</v>
      </c>
      <c r="S417" s="27">
        <v>500</v>
      </c>
      <c r="T417" s="28" t="s">
        <v>27</v>
      </c>
      <c r="U417" s="28" t="s">
        <v>28</v>
      </c>
      <c r="V417" s="28" t="s">
        <v>29</v>
      </c>
      <c r="W417" s="28" t="s">
        <v>126</v>
      </c>
    </row>
    <row r="418" spans="1:23" ht="15" customHeight="1" x14ac:dyDescent="0.25">
      <c r="A418" s="20" t="s">
        <v>702</v>
      </c>
      <c r="B418" s="20" t="s">
        <v>602</v>
      </c>
      <c r="C418" s="20">
        <v>46288</v>
      </c>
      <c r="D418" s="21" t="s">
        <v>703</v>
      </c>
      <c r="E418" s="34">
        <v>4458</v>
      </c>
      <c r="F418" s="21">
        <v>5192822</v>
      </c>
      <c r="G418" s="21">
        <v>142805</v>
      </c>
      <c r="H418" s="21" t="s">
        <v>624</v>
      </c>
      <c r="I418" s="21" t="s">
        <v>23</v>
      </c>
      <c r="J418" s="21" t="s">
        <v>618</v>
      </c>
      <c r="K418" s="21">
        <v>192</v>
      </c>
      <c r="L418" s="29">
        <v>93</v>
      </c>
      <c r="M418" s="23" t="s">
        <v>639</v>
      </c>
      <c r="N418" s="21" t="s">
        <v>25</v>
      </c>
      <c r="O418" s="25">
        <v>46296</v>
      </c>
      <c r="P418" s="21" t="s">
        <v>398</v>
      </c>
      <c r="Q418" s="21" t="s">
        <v>26</v>
      </c>
      <c r="R418" s="26" t="s">
        <v>607</v>
      </c>
      <c r="S418" s="27">
        <v>1600</v>
      </c>
      <c r="T418" s="28" t="s">
        <v>27</v>
      </c>
      <c r="U418" s="28" t="s">
        <v>28</v>
      </c>
      <c r="V418" s="28" t="s">
        <v>29</v>
      </c>
      <c r="W418" s="28" t="s">
        <v>126</v>
      </c>
    </row>
    <row r="419" spans="1:23" ht="15" customHeight="1" x14ac:dyDescent="0.25">
      <c r="A419" s="20" t="s">
        <v>702</v>
      </c>
      <c r="B419" s="20" t="s">
        <v>602</v>
      </c>
      <c r="C419" s="20">
        <v>46288</v>
      </c>
      <c r="D419" s="21" t="s">
        <v>703</v>
      </c>
      <c r="E419" s="34">
        <v>4396</v>
      </c>
      <c r="F419" s="21">
        <v>5226805</v>
      </c>
      <c r="G419" s="21">
        <v>150155</v>
      </c>
      <c r="H419" s="21" t="s">
        <v>622</v>
      </c>
      <c r="I419" s="21" t="s">
        <v>71</v>
      </c>
      <c r="J419" s="21" t="s">
        <v>72</v>
      </c>
      <c r="K419" s="21">
        <v>186</v>
      </c>
      <c r="L419" s="29">
        <v>92</v>
      </c>
      <c r="M419" s="23" t="s">
        <v>640</v>
      </c>
      <c r="N419" s="21" t="s">
        <v>25</v>
      </c>
      <c r="O419" s="25">
        <v>46296</v>
      </c>
      <c r="P419" s="21" t="s">
        <v>398</v>
      </c>
      <c r="Q419" s="21" t="s">
        <v>428</v>
      </c>
      <c r="R419" s="26" t="s">
        <v>431</v>
      </c>
      <c r="S419" s="27">
        <v>2000</v>
      </c>
      <c r="T419" s="28" t="s">
        <v>27</v>
      </c>
      <c r="U419" s="28" t="s">
        <v>28</v>
      </c>
      <c r="V419" s="28" t="s">
        <v>29</v>
      </c>
      <c r="W419" s="28" t="s">
        <v>126</v>
      </c>
    </row>
    <row r="420" spans="1:23" ht="15" customHeight="1" x14ac:dyDescent="0.25">
      <c r="A420" s="20" t="s">
        <v>702</v>
      </c>
      <c r="B420" s="20" t="s">
        <v>602</v>
      </c>
      <c r="C420" s="20">
        <v>46288</v>
      </c>
      <c r="D420" s="21" t="s">
        <v>703</v>
      </c>
      <c r="E420" s="34">
        <v>4396</v>
      </c>
      <c r="F420" s="21">
        <v>5226805</v>
      </c>
      <c r="G420" s="21">
        <v>150155</v>
      </c>
      <c r="H420" s="21" t="s">
        <v>622</v>
      </c>
      <c r="I420" s="21" t="s">
        <v>71</v>
      </c>
      <c r="J420" s="21" t="s">
        <v>72</v>
      </c>
      <c r="K420" s="21">
        <v>186</v>
      </c>
      <c r="L420" s="29">
        <v>92</v>
      </c>
      <c r="M420" s="23" t="s">
        <v>641</v>
      </c>
      <c r="N420" s="21" t="s">
        <v>25</v>
      </c>
      <c r="O420" s="25">
        <v>46296</v>
      </c>
      <c r="P420" s="21" t="s">
        <v>398</v>
      </c>
      <c r="Q420" s="21" t="s">
        <v>428</v>
      </c>
      <c r="R420" s="26" t="s">
        <v>431</v>
      </c>
      <c r="S420" s="27">
        <v>2000</v>
      </c>
      <c r="T420" s="28" t="s">
        <v>27</v>
      </c>
      <c r="U420" s="28" t="s">
        <v>28</v>
      </c>
      <c r="V420" s="28" t="s">
        <v>29</v>
      </c>
      <c r="W420" s="28" t="s">
        <v>126</v>
      </c>
    </row>
    <row r="421" spans="1:23" ht="15" customHeight="1" x14ac:dyDescent="0.25">
      <c r="A421" s="20" t="s">
        <v>702</v>
      </c>
      <c r="B421" s="20" t="s">
        <v>602</v>
      </c>
      <c r="C421" s="20">
        <v>46288</v>
      </c>
      <c r="D421" s="21" t="s">
        <v>703</v>
      </c>
      <c r="E421" s="34">
        <v>4412</v>
      </c>
      <c r="F421" s="21">
        <v>5366274</v>
      </c>
      <c r="G421" s="21">
        <v>193277</v>
      </c>
      <c r="H421" s="21" t="s">
        <v>625</v>
      </c>
      <c r="I421" s="21" t="s">
        <v>71</v>
      </c>
      <c r="J421" s="21" t="s">
        <v>72</v>
      </c>
      <c r="K421" s="21">
        <v>186</v>
      </c>
      <c r="L421" s="29">
        <v>92</v>
      </c>
      <c r="M421" s="23" t="s">
        <v>642</v>
      </c>
      <c r="N421" s="21" t="s">
        <v>25</v>
      </c>
      <c r="O421" s="25">
        <v>46296</v>
      </c>
      <c r="P421" s="21" t="s">
        <v>398</v>
      </c>
      <c r="Q421" s="21" t="s">
        <v>428</v>
      </c>
      <c r="R421" s="26" t="s">
        <v>430</v>
      </c>
      <c r="S421" s="27">
        <v>2580</v>
      </c>
      <c r="T421" s="28" t="s">
        <v>27</v>
      </c>
      <c r="U421" s="28" t="s">
        <v>28</v>
      </c>
      <c r="V421" s="28" t="s">
        <v>29</v>
      </c>
      <c r="W421" s="28" t="s">
        <v>126</v>
      </c>
    </row>
    <row r="422" spans="1:23" ht="15" customHeight="1" x14ac:dyDescent="0.25">
      <c r="A422" s="20" t="s">
        <v>702</v>
      </c>
      <c r="B422" s="20" t="s">
        <v>602</v>
      </c>
      <c r="C422" s="20">
        <v>46288</v>
      </c>
      <c r="D422" s="21" t="s">
        <v>703</v>
      </c>
      <c r="E422" s="34">
        <v>4413</v>
      </c>
      <c r="F422" s="21">
        <v>5159222</v>
      </c>
      <c r="G422" s="21">
        <v>143312</v>
      </c>
      <c r="H422" s="21" t="s">
        <v>626</v>
      </c>
      <c r="I422" s="21" t="s">
        <v>71</v>
      </c>
      <c r="J422" s="21" t="s">
        <v>72</v>
      </c>
      <c r="K422" s="21">
        <v>186</v>
      </c>
      <c r="L422" s="29">
        <v>92</v>
      </c>
      <c r="M422" s="23" t="s">
        <v>643</v>
      </c>
      <c r="N422" s="21" t="s">
        <v>25</v>
      </c>
      <c r="O422" s="25">
        <v>46296</v>
      </c>
      <c r="P422" s="21" t="s">
        <v>398</v>
      </c>
      <c r="Q422" s="21" t="s">
        <v>428</v>
      </c>
      <c r="R422" s="26" t="s">
        <v>430</v>
      </c>
      <c r="S422" s="27">
        <v>1465.44</v>
      </c>
      <c r="T422" s="28" t="s">
        <v>27</v>
      </c>
      <c r="U422" s="28" t="s">
        <v>28</v>
      </c>
      <c r="V422" s="28" t="s">
        <v>29</v>
      </c>
      <c r="W422" s="28" t="s">
        <v>126</v>
      </c>
    </row>
    <row r="423" spans="1:23" ht="15" customHeight="1" x14ac:dyDescent="0.25">
      <c r="A423" s="20" t="s">
        <v>702</v>
      </c>
      <c r="B423" s="20" t="s">
        <v>602</v>
      </c>
      <c r="C423" s="20">
        <v>46288</v>
      </c>
      <c r="D423" s="21" t="s">
        <v>703</v>
      </c>
      <c r="E423" s="34">
        <v>4414</v>
      </c>
      <c r="F423" s="21">
        <v>5005427</v>
      </c>
      <c r="G423" s="21">
        <v>124424</v>
      </c>
      <c r="H423" s="21" t="s">
        <v>627</v>
      </c>
      <c r="I423" s="21" t="s">
        <v>71</v>
      </c>
      <c r="J423" s="21" t="s">
        <v>72</v>
      </c>
      <c r="K423" s="21">
        <v>186</v>
      </c>
      <c r="L423" s="29">
        <v>92</v>
      </c>
      <c r="M423" s="23" t="s">
        <v>255</v>
      </c>
      <c r="N423" s="21" t="s">
        <v>25</v>
      </c>
      <c r="O423" s="25">
        <v>46296</v>
      </c>
      <c r="P423" s="21" t="s">
        <v>398</v>
      </c>
      <c r="Q423" s="21" t="s">
        <v>428</v>
      </c>
      <c r="R423" s="26" t="s">
        <v>430</v>
      </c>
      <c r="S423" s="27">
        <v>350</v>
      </c>
      <c r="T423" s="28" t="s">
        <v>27</v>
      </c>
      <c r="U423" s="28" t="s">
        <v>28</v>
      </c>
      <c r="V423" s="28" t="s">
        <v>29</v>
      </c>
      <c r="W423" s="28" t="s">
        <v>126</v>
      </c>
    </row>
    <row r="424" spans="1:23" ht="15" customHeight="1" x14ac:dyDescent="0.25">
      <c r="A424" s="20" t="s">
        <v>702</v>
      </c>
      <c r="B424" s="20" t="s">
        <v>602</v>
      </c>
      <c r="C424" s="20">
        <v>46288</v>
      </c>
      <c r="D424" s="21" t="s">
        <v>703</v>
      </c>
      <c r="E424" s="34">
        <v>4399</v>
      </c>
      <c r="F424" s="21">
        <v>5006419</v>
      </c>
      <c r="G424" s="21">
        <v>134827</v>
      </c>
      <c r="H424" s="21" t="s">
        <v>628</v>
      </c>
      <c r="I424" s="21" t="s">
        <v>71</v>
      </c>
      <c r="J424" s="21" t="s">
        <v>72</v>
      </c>
      <c r="K424" s="21">
        <v>186</v>
      </c>
      <c r="L424" s="29">
        <v>92</v>
      </c>
      <c r="M424" s="23" t="s">
        <v>644</v>
      </c>
      <c r="N424" s="21" t="s">
        <v>25</v>
      </c>
      <c r="O424" s="25">
        <v>46296</v>
      </c>
      <c r="P424" s="21" t="s">
        <v>398</v>
      </c>
      <c r="Q424" s="21" t="s">
        <v>428</v>
      </c>
      <c r="R424" s="26" t="s">
        <v>430</v>
      </c>
      <c r="S424" s="27">
        <v>1303.2</v>
      </c>
      <c r="T424" s="28" t="s">
        <v>27</v>
      </c>
      <c r="U424" s="28" t="s">
        <v>28</v>
      </c>
      <c r="V424" s="28" t="s">
        <v>29</v>
      </c>
      <c r="W424" s="28" t="s">
        <v>126</v>
      </c>
    </row>
    <row r="425" spans="1:23" ht="15" customHeight="1" x14ac:dyDescent="0.25">
      <c r="A425" s="20" t="s">
        <v>702</v>
      </c>
      <c r="B425" s="20" t="s">
        <v>602</v>
      </c>
      <c r="C425" s="20">
        <v>46288</v>
      </c>
      <c r="D425" s="21" t="s">
        <v>703</v>
      </c>
      <c r="E425" s="34">
        <v>3937</v>
      </c>
      <c r="F425" s="21">
        <v>5107112</v>
      </c>
      <c r="G425" s="21">
        <v>123370</v>
      </c>
      <c r="H425" s="21" t="s">
        <v>629</v>
      </c>
      <c r="I425" s="21" t="s">
        <v>23</v>
      </c>
      <c r="J425" s="21">
        <v>6125</v>
      </c>
      <c r="K425" s="21">
        <v>692</v>
      </c>
      <c r="L425" s="29">
        <v>93</v>
      </c>
      <c r="M425" s="23" t="s">
        <v>645</v>
      </c>
      <c r="N425" s="21" t="s">
        <v>25</v>
      </c>
      <c r="O425" s="25">
        <v>46296</v>
      </c>
      <c r="P425" s="21" t="s">
        <v>398</v>
      </c>
      <c r="Q425" s="21" t="s">
        <v>49</v>
      </c>
      <c r="R425" s="26" t="s">
        <v>400</v>
      </c>
      <c r="S425" s="27">
        <v>11705</v>
      </c>
      <c r="T425" s="28" t="s">
        <v>27</v>
      </c>
      <c r="U425" s="28" t="s">
        <v>28</v>
      </c>
      <c r="V425" s="28" t="s">
        <v>29</v>
      </c>
      <c r="W425" s="28" t="s">
        <v>126</v>
      </c>
    </row>
    <row r="426" spans="1:23" ht="15" customHeight="1" x14ac:dyDescent="0.25">
      <c r="A426" s="20" t="s">
        <v>702</v>
      </c>
      <c r="B426" s="20" t="s">
        <v>602</v>
      </c>
      <c r="C426" s="20">
        <v>46288</v>
      </c>
      <c r="D426" s="21" t="s">
        <v>703</v>
      </c>
      <c r="E426" s="34">
        <v>3956</v>
      </c>
      <c r="F426" s="21">
        <v>5004685</v>
      </c>
      <c r="G426" s="21">
        <v>110434</v>
      </c>
      <c r="H426" s="21" t="s">
        <v>614</v>
      </c>
      <c r="I426" s="21" t="s">
        <v>23</v>
      </c>
      <c r="J426" s="21" t="s">
        <v>618</v>
      </c>
      <c r="K426" s="21">
        <v>192</v>
      </c>
      <c r="L426" s="29">
        <v>93</v>
      </c>
      <c r="M426" s="23" t="s">
        <v>646</v>
      </c>
      <c r="N426" s="21" t="s">
        <v>25</v>
      </c>
      <c r="O426" s="25">
        <v>46296</v>
      </c>
      <c r="P426" s="21" t="s">
        <v>398</v>
      </c>
      <c r="Q426" s="21" t="s">
        <v>49</v>
      </c>
      <c r="R426" s="26" t="s">
        <v>402</v>
      </c>
      <c r="S426" s="27">
        <v>16727.66</v>
      </c>
      <c r="T426" s="28" t="s">
        <v>27</v>
      </c>
      <c r="U426" s="28" t="s">
        <v>28</v>
      </c>
      <c r="V426" s="28" t="s">
        <v>29</v>
      </c>
      <c r="W426" s="28" t="s">
        <v>60</v>
      </c>
    </row>
    <row r="427" spans="1:23" ht="15" customHeight="1" x14ac:dyDescent="0.25">
      <c r="A427" s="20" t="s">
        <v>702</v>
      </c>
      <c r="B427" s="20" t="s">
        <v>602</v>
      </c>
      <c r="C427" s="20">
        <v>46290</v>
      </c>
      <c r="D427" s="21" t="s">
        <v>703</v>
      </c>
      <c r="E427" s="34">
        <v>4441</v>
      </c>
      <c r="F427" s="21">
        <v>5014649</v>
      </c>
      <c r="G427" s="21">
        <v>305110</v>
      </c>
      <c r="H427" s="21" t="s">
        <v>630</v>
      </c>
      <c r="I427" s="21" t="s">
        <v>217</v>
      </c>
      <c r="J427" s="21" t="s">
        <v>218</v>
      </c>
      <c r="K427" s="21">
        <v>195</v>
      </c>
      <c r="L427" s="29">
        <v>93</v>
      </c>
      <c r="M427" s="23" t="s">
        <v>647</v>
      </c>
      <c r="N427" s="21" t="s">
        <v>25</v>
      </c>
      <c r="O427" s="25">
        <v>46296</v>
      </c>
      <c r="P427" s="21" t="s">
        <v>398</v>
      </c>
      <c r="Q427" s="21" t="s">
        <v>485</v>
      </c>
      <c r="R427" s="26" t="s">
        <v>485</v>
      </c>
      <c r="S427" s="27">
        <v>576</v>
      </c>
      <c r="T427" s="28" t="s">
        <v>27</v>
      </c>
      <c r="U427" s="28" t="s">
        <v>28</v>
      </c>
      <c r="V427" s="28" t="s">
        <v>29</v>
      </c>
      <c r="W427" s="28" t="s">
        <v>52</v>
      </c>
    </row>
    <row r="428" spans="1:23" ht="15" customHeight="1" x14ac:dyDescent="0.25">
      <c r="A428" s="20" t="s">
        <v>702</v>
      </c>
      <c r="B428" s="20" t="s">
        <v>602</v>
      </c>
      <c r="C428" s="20">
        <v>46290</v>
      </c>
      <c r="D428" s="21" t="s">
        <v>703</v>
      </c>
      <c r="E428" s="34">
        <v>3934</v>
      </c>
      <c r="F428" s="21">
        <v>5226500</v>
      </c>
      <c r="G428" s="21">
        <v>141142</v>
      </c>
      <c r="H428" s="21" t="s">
        <v>631</v>
      </c>
      <c r="I428" s="21" t="s">
        <v>266</v>
      </c>
      <c r="J428" s="21">
        <v>6123</v>
      </c>
      <c r="K428" s="21">
        <v>607</v>
      </c>
      <c r="L428" s="29">
        <v>93</v>
      </c>
      <c r="M428" s="23" t="s">
        <v>458</v>
      </c>
      <c r="N428" s="21" t="s">
        <v>25</v>
      </c>
      <c r="O428" s="25">
        <v>46296</v>
      </c>
      <c r="P428" s="21" t="s">
        <v>398</v>
      </c>
      <c r="Q428" s="21" t="s">
        <v>57</v>
      </c>
      <c r="R428" s="26" t="s">
        <v>427</v>
      </c>
      <c r="S428" s="27">
        <v>660</v>
      </c>
      <c r="T428" s="28" t="s">
        <v>27</v>
      </c>
      <c r="U428" s="28" t="s">
        <v>28</v>
      </c>
      <c r="V428" s="28" t="s">
        <v>29</v>
      </c>
      <c r="W428" s="28" t="s">
        <v>52</v>
      </c>
    </row>
    <row r="429" spans="1:23" ht="15" customHeight="1" x14ac:dyDescent="0.25">
      <c r="A429" s="20" t="s">
        <v>702</v>
      </c>
      <c r="B429" s="20" t="s">
        <v>602</v>
      </c>
      <c r="C429" s="20">
        <v>46290</v>
      </c>
      <c r="D429" s="21" t="s">
        <v>703</v>
      </c>
      <c r="E429" s="34">
        <v>4416</v>
      </c>
      <c r="F429" s="21">
        <v>5115189</v>
      </c>
      <c r="G429" s="21">
        <v>129296</v>
      </c>
      <c r="H429" s="21" t="s">
        <v>516</v>
      </c>
      <c r="I429" s="21" t="s">
        <v>54</v>
      </c>
      <c r="J429" s="21" t="s">
        <v>55</v>
      </c>
      <c r="K429" s="21">
        <v>191</v>
      </c>
      <c r="L429" s="29">
        <v>92</v>
      </c>
      <c r="M429" s="23" t="s">
        <v>648</v>
      </c>
      <c r="N429" s="21" t="s">
        <v>25</v>
      </c>
      <c r="O429" s="25">
        <v>46296</v>
      </c>
      <c r="P429" s="21" t="s">
        <v>398</v>
      </c>
      <c r="Q429" s="21" t="s">
        <v>57</v>
      </c>
      <c r="R429" s="26" t="s">
        <v>401</v>
      </c>
      <c r="S429" s="27">
        <v>4500</v>
      </c>
      <c r="T429" s="28" t="s">
        <v>27</v>
      </c>
      <c r="U429" s="28" t="s">
        <v>28</v>
      </c>
      <c r="V429" s="28" t="s">
        <v>29</v>
      </c>
      <c r="W429" s="28" t="s">
        <v>52</v>
      </c>
    </row>
    <row r="430" spans="1:23" ht="15" customHeight="1" x14ac:dyDescent="0.25">
      <c r="A430" s="20" t="s">
        <v>702</v>
      </c>
      <c r="B430" s="20" t="s">
        <v>602</v>
      </c>
      <c r="C430" s="20">
        <v>46290</v>
      </c>
      <c r="D430" s="21" t="s">
        <v>703</v>
      </c>
      <c r="E430" s="34">
        <v>4416</v>
      </c>
      <c r="F430" s="21">
        <v>5115189</v>
      </c>
      <c r="G430" s="21">
        <v>129296</v>
      </c>
      <c r="H430" s="21" t="s">
        <v>516</v>
      </c>
      <c r="I430" s="21" t="s">
        <v>54</v>
      </c>
      <c r="J430" s="21" t="s">
        <v>55</v>
      </c>
      <c r="K430" s="21">
        <v>191</v>
      </c>
      <c r="L430" s="29">
        <v>92</v>
      </c>
      <c r="M430" s="23" t="s">
        <v>649</v>
      </c>
      <c r="N430" s="21" t="s">
        <v>25</v>
      </c>
      <c r="O430" s="25">
        <v>46296</v>
      </c>
      <c r="P430" s="21" t="s">
        <v>398</v>
      </c>
      <c r="Q430" s="21" t="s">
        <v>57</v>
      </c>
      <c r="R430" s="26" t="s">
        <v>401</v>
      </c>
      <c r="S430" s="27">
        <v>7000</v>
      </c>
      <c r="T430" s="28" t="s">
        <v>27</v>
      </c>
      <c r="U430" s="28" t="s">
        <v>28</v>
      </c>
      <c r="V430" s="28" t="s">
        <v>29</v>
      </c>
      <c r="W430" s="28" t="s">
        <v>52</v>
      </c>
    </row>
    <row r="431" spans="1:23" ht="15" customHeight="1" x14ac:dyDescent="0.25">
      <c r="A431" s="20" t="s">
        <v>702</v>
      </c>
      <c r="B431" s="20" t="s">
        <v>602</v>
      </c>
      <c r="C431" s="20">
        <v>46290</v>
      </c>
      <c r="D431" s="21" t="s">
        <v>703</v>
      </c>
      <c r="E431" s="34">
        <v>4356</v>
      </c>
      <c r="F431" s="21">
        <v>5182828</v>
      </c>
      <c r="G431" s="21">
        <v>142649</v>
      </c>
      <c r="H431" s="21" t="s">
        <v>632</v>
      </c>
      <c r="I431" s="21" t="s">
        <v>54</v>
      </c>
      <c r="J431" s="21" t="s">
        <v>55</v>
      </c>
      <c r="K431" s="21">
        <v>191</v>
      </c>
      <c r="L431" s="29">
        <v>93</v>
      </c>
      <c r="M431" s="23" t="s">
        <v>650</v>
      </c>
      <c r="N431" s="21" t="s">
        <v>25</v>
      </c>
      <c r="O431" s="25">
        <v>46296</v>
      </c>
      <c r="P431" s="21" t="s">
        <v>398</v>
      </c>
      <c r="Q431" s="21" t="s">
        <v>57</v>
      </c>
      <c r="R431" s="26" t="s">
        <v>427</v>
      </c>
      <c r="S431" s="27">
        <v>10000</v>
      </c>
      <c r="T431" s="28" t="s">
        <v>27</v>
      </c>
      <c r="U431" s="28" t="s">
        <v>28</v>
      </c>
      <c r="V431" s="28" t="s">
        <v>29</v>
      </c>
      <c r="W431" s="28" t="s">
        <v>52</v>
      </c>
    </row>
    <row r="432" spans="1:23" ht="15" customHeight="1" x14ac:dyDescent="0.25">
      <c r="A432" s="20" t="s">
        <v>702</v>
      </c>
      <c r="B432" s="20" t="s">
        <v>602</v>
      </c>
      <c r="C432" s="20">
        <v>46290</v>
      </c>
      <c r="D432" s="21" t="s">
        <v>703</v>
      </c>
      <c r="E432" s="34">
        <v>4460</v>
      </c>
      <c r="F432" s="21">
        <v>5179610</v>
      </c>
      <c r="G432" s="21">
        <v>138067</v>
      </c>
      <c r="H432" s="21" t="s">
        <v>633</v>
      </c>
      <c r="I432" s="21" t="s">
        <v>76</v>
      </c>
      <c r="J432" s="21" t="s">
        <v>55</v>
      </c>
      <c r="K432" s="21">
        <v>187</v>
      </c>
      <c r="L432" s="29">
        <v>92</v>
      </c>
      <c r="M432" s="23" t="s">
        <v>267</v>
      </c>
      <c r="N432" s="21" t="s">
        <v>25</v>
      </c>
      <c r="O432" s="25">
        <v>46296</v>
      </c>
      <c r="P432" s="21" t="s">
        <v>398</v>
      </c>
      <c r="Q432" s="21" t="s">
        <v>57</v>
      </c>
      <c r="R432" s="26" t="s">
        <v>427</v>
      </c>
      <c r="S432" s="27">
        <v>2500</v>
      </c>
      <c r="T432" s="28" t="s">
        <v>27</v>
      </c>
      <c r="U432" s="28" t="s">
        <v>28</v>
      </c>
      <c r="V432" s="28" t="s">
        <v>29</v>
      </c>
      <c r="W432" s="28" t="s">
        <v>52</v>
      </c>
    </row>
    <row r="433" spans="1:23" ht="15" customHeight="1" x14ac:dyDescent="0.25">
      <c r="A433" s="20" t="s">
        <v>702</v>
      </c>
      <c r="B433" s="20" t="s">
        <v>602</v>
      </c>
      <c r="C433" s="20">
        <v>46290</v>
      </c>
      <c r="D433" s="21" t="s">
        <v>703</v>
      </c>
      <c r="E433" s="34">
        <v>3935</v>
      </c>
      <c r="F433" s="21">
        <v>5223419</v>
      </c>
      <c r="G433" s="21">
        <v>146094</v>
      </c>
      <c r="H433" s="21" t="s">
        <v>505</v>
      </c>
      <c r="I433" s="21" t="s">
        <v>266</v>
      </c>
      <c r="J433" s="21">
        <v>6123</v>
      </c>
      <c r="K433" s="21">
        <v>607</v>
      </c>
      <c r="L433" s="29">
        <v>93</v>
      </c>
      <c r="M433" s="23" t="s">
        <v>446</v>
      </c>
      <c r="N433" s="21" t="s">
        <v>25</v>
      </c>
      <c r="O433" s="25">
        <v>46296</v>
      </c>
      <c r="P433" s="21" t="s">
        <v>398</v>
      </c>
      <c r="Q433" s="21" t="s">
        <v>57</v>
      </c>
      <c r="R433" s="26" t="s">
        <v>427</v>
      </c>
      <c r="S433" s="27">
        <v>2000</v>
      </c>
      <c r="T433" s="28" t="s">
        <v>27</v>
      </c>
      <c r="U433" s="28" t="s">
        <v>28</v>
      </c>
      <c r="V433" s="28" t="s">
        <v>29</v>
      </c>
      <c r="W433" s="28" t="s">
        <v>52</v>
      </c>
    </row>
    <row r="434" spans="1:23" ht="15" customHeight="1" x14ac:dyDescent="0.25">
      <c r="A434" s="20" t="s">
        <v>702</v>
      </c>
      <c r="B434" s="20" t="s">
        <v>602</v>
      </c>
      <c r="C434" s="20">
        <v>46290</v>
      </c>
      <c r="D434" s="21" t="s">
        <v>703</v>
      </c>
      <c r="E434" s="34">
        <v>3936</v>
      </c>
      <c r="F434" s="21">
        <v>5141420</v>
      </c>
      <c r="G434" s="21">
        <v>129963</v>
      </c>
      <c r="H434" s="21" t="s">
        <v>634</v>
      </c>
      <c r="I434" s="21" t="s">
        <v>266</v>
      </c>
      <c r="J434" s="21">
        <v>6123</v>
      </c>
      <c r="K434" s="21">
        <v>607</v>
      </c>
      <c r="L434" s="29">
        <v>92</v>
      </c>
      <c r="M434" s="23" t="s">
        <v>651</v>
      </c>
      <c r="N434" s="21" t="s">
        <v>25</v>
      </c>
      <c r="O434" s="25">
        <v>46296</v>
      </c>
      <c r="P434" s="21" t="s">
        <v>398</v>
      </c>
      <c r="Q434" s="21" t="s">
        <v>57</v>
      </c>
      <c r="R434" s="26" t="s">
        <v>427</v>
      </c>
      <c r="S434" s="27">
        <v>7000</v>
      </c>
      <c r="T434" s="28" t="s">
        <v>27</v>
      </c>
      <c r="U434" s="28" t="s">
        <v>28</v>
      </c>
      <c r="V434" s="28" t="s">
        <v>29</v>
      </c>
      <c r="W434" s="28" t="s">
        <v>52</v>
      </c>
    </row>
    <row r="435" spans="1:23" ht="15" customHeight="1" x14ac:dyDescent="0.25">
      <c r="A435" s="20" t="s">
        <v>702</v>
      </c>
      <c r="B435" s="20" t="s">
        <v>602</v>
      </c>
      <c r="C435" s="20">
        <v>46290</v>
      </c>
      <c r="D435" s="21" t="s">
        <v>703</v>
      </c>
      <c r="E435" s="34">
        <v>4461</v>
      </c>
      <c r="F435" s="21">
        <v>5011698</v>
      </c>
      <c r="G435" s="21">
        <v>194196</v>
      </c>
      <c r="H435" s="21" t="s">
        <v>525</v>
      </c>
      <c r="I435" s="21" t="s">
        <v>266</v>
      </c>
      <c r="J435" s="21" t="s">
        <v>55</v>
      </c>
      <c r="K435" s="21">
        <v>187</v>
      </c>
      <c r="L435" s="29">
        <v>92</v>
      </c>
      <c r="M435" s="23" t="s">
        <v>447</v>
      </c>
      <c r="N435" s="21" t="s">
        <v>25</v>
      </c>
      <c r="O435" s="25">
        <v>46296</v>
      </c>
      <c r="P435" s="21" t="s">
        <v>398</v>
      </c>
      <c r="Q435" s="21" t="s">
        <v>57</v>
      </c>
      <c r="R435" s="26" t="s">
        <v>427</v>
      </c>
      <c r="S435" s="27">
        <v>1000</v>
      </c>
      <c r="T435" s="28" t="s">
        <v>27</v>
      </c>
      <c r="U435" s="28" t="s">
        <v>28</v>
      </c>
      <c r="V435" s="28" t="s">
        <v>29</v>
      </c>
      <c r="W435" s="28" t="s">
        <v>52</v>
      </c>
    </row>
    <row r="436" spans="1:23" ht="15" customHeight="1" x14ac:dyDescent="0.25">
      <c r="A436" s="20" t="s">
        <v>717</v>
      </c>
      <c r="B436" s="20" t="s">
        <v>602</v>
      </c>
      <c r="C436" s="20">
        <v>46269</v>
      </c>
      <c r="D436" s="21" t="s">
        <v>703</v>
      </c>
      <c r="E436" s="34">
        <v>15483</v>
      </c>
      <c r="F436" s="21">
        <v>5063519</v>
      </c>
      <c r="G436" s="21">
        <v>162630</v>
      </c>
      <c r="H436" s="21" t="s">
        <v>652</v>
      </c>
      <c r="I436" s="21" t="s">
        <v>23</v>
      </c>
      <c r="J436" s="21" t="s">
        <v>560</v>
      </c>
      <c r="K436" s="21">
        <v>749</v>
      </c>
      <c r="L436" s="29">
        <v>26</v>
      </c>
      <c r="M436" s="23" t="s">
        <v>653</v>
      </c>
      <c r="N436" s="21" t="s">
        <v>25</v>
      </c>
      <c r="O436" s="25">
        <v>46296</v>
      </c>
      <c r="P436" s="21" t="s">
        <v>434</v>
      </c>
      <c r="Q436" s="21" t="s">
        <v>435</v>
      </c>
      <c r="R436" s="26" t="s">
        <v>654</v>
      </c>
      <c r="S436" s="27" t="s">
        <v>718</v>
      </c>
      <c r="T436" s="28" t="s">
        <v>27</v>
      </c>
      <c r="U436" s="28" t="s">
        <v>50</v>
      </c>
      <c r="V436" s="28" t="s">
        <v>51</v>
      </c>
      <c r="W436" s="28" t="s">
        <v>655</v>
      </c>
    </row>
    <row r="437" spans="1:23" ht="15" customHeight="1" x14ac:dyDescent="0.25">
      <c r="A437" s="20" t="s">
        <v>702</v>
      </c>
      <c r="B437" s="20" t="s">
        <v>602</v>
      </c>
      <c r="C437" s="20">
        <v>46290</v>
      </c>
      <c r="D437" s="21" t="s">
        <v>703</v>
      </c>
      <c r="E437" s="34">
        <v>4423</v>
      </c>
      <c r="F437" s="21">
        <v>5348324</v>
      </c>
      <c r="G437" s="21"/>
      <c r="H437" s="21" t="s">
        <v>657</v>
      </c>
      <c r="I437" s="21" t="s">
        <v>113</v>
      </c>
      <c r="J437" s="21" t="s">
        <v>41</v>
      </c>
      <c r="K437" s="21">
        <v>182</v>
      </c>
      <c r="L437" s="29">
        <v>92</v>
      </c>
      <c r="M437" s="23" t="s">
        <v>669</v>
      </c>
      <c r="N437" s="21" t="s">
        <v>25</v>
      </c>
      <c r="O437" s="25">
        <v>46296</v>
      </c>
      <c r="P437" s="21" t="s">
        <v>398</v>
      </c>
      <c r="Q437" s="21" t="s">
        <v>471</v>
      </c>
      <c r="R437" s="26" t="s">
        <v>427</v>
      </c>
      <c r="S437" s="27">
        <v>4733</v>
      </c>
      <c r="T437" s="28" t="s">
        <v>27</v>
      </c>
      <c r="U437" s="28" t="s">
        <v>28</v>
      </c>
      <c r="V437" s="28" t="s">
        <v>29</v>
      </c>
      <c r="W437" s="28" t="s">
        <v>52</v>
      </c>
    </row>
    <row r="438" spans="1:23" ht="15" customHeight="1" x14ac:dyDescent="0.25">
      <c r="A438" s="20" t="s">
        <v>702</v>
      </c>
      <c r="B438" s="20" t="s">
        <v>602</v>
      </c>
      <c r="C438" s="20">
        <v>46290</v>
      </c>
      <c r="D438" s="21" t="s">
        <v>703</v>
      </c>
      <c r="E438" s="34">
        <v>4462</v>
      </c>
      <c r="F438" s="21">
        <v>5109656</v>
      </c>
      <c r="G438" s="21">
        <v>133996</v>
      </c>
      <c r="H438" s="21" t="s">
        <v>658</v>
      </c>
      <c r="I438" s="21" t="s">
        <v>23</v>
      </c>
      <c r="J438" s="21" t="s">
        <v>618</v>
      </c>
      <c r="K438" s="21">
        <v>192</v>
      </c>
      <c r="L438" s="29">
        <v>92</v>
      </c>
      <c r="M438" s="23" t="s">
        <v>670</v>
      </c>
      <c r="N438" s="21" t="s">
        <v>25</v>
      </c>
      <c r="O438" s="25">
        <v>46296</v>
      </c>
      <c r="P438" s="21" t="s">
        <v>398</v>
      </c>
      <c r="Q438" s="21" t="s">
        <v>535</v>
      </c>
      <c r="R438" s="26" t="s">
        <v>535</v>
      </c>
      <c r="S438" s="27">
        <v>15000</v>
      </c>
      <c r="T438" s="28" t="s">
        <v>27</v>
      </c>
      <c r="U438" s="28" t="s">
        <v>28</v>
      </c>
      <c r="V438" s="28" t="s">
        <v>29</v>
      </c>
      <c r="W438" s="28" t="s">
        <v>52</v>
      </c>
    </row>
    <row r="439" spans="1:23" ht="15" customHeight="1" x14ac:dyDescent="0.25">
      <c r="A439" s="20" t="s">
        <v>702</v>
      </c>
      <c r="B439" s="20" t="s">
        <v>602</v>
      </c>
      <c r="C439" s="20">
        <v>46290</v>
      </c>
      <c r="D439" s="21" t="s">
        <v>703</v>
      </c>
      <c r="E439" s="34">
        <v>4423</v>
      </c>
      <c r="F439" s="21">
        <v>5348324</v>
      </c>
      <c r="G439" s="21"/>
      <c r="H439" s="21" t="s">
        <v>657</v>
      </c>
      <c r="I439" s="21" t="s">
        <v>113</v>
      </c>
      <c r="J439" s="21" t="s">
        <v>41</v>
      </c>
      <c r="K439" s="21">
        <v>182</v>
      </c>
      <c r="L439" s="29">
        <v>92</v>
      </c>
      <c r="M439" s="23" t="s">
        <v>671</v>
      </c>
      <c r="N439" s="21" t="s">
        <v>25</v>
      </c>
      <c r="O439" s="25">
        <v>46296</v>
      </c>
      <c r="P439" s="21" t="s">
        <v>398</v>
      </c>
      <c r="Q439" s="21" t="s">
        <v>471</v>
      </c>
      <c r="R439" s="26" t="s">
        <v>427</v>
      </c>
      <c r="S439" s="27">
        <v>9000</v>
      </c>
      <c r="T439" s="28" t="s">
        <v>27</v>
      </c>
      <c r="U439" s="28" t="s">
        <v>28</v>
      </c>
      <c r="V439" s="28" t="s">
        <v>29</v>
      </c>
      <c r="W439" s="28" t="s">
        <v>52</v>
      </c>
    </row>
    <row r="440" spans="1:23" ht="15" customHeight="1" x14ac:dyDescent="0.25">
      <c r="A440" s="20" t="s">
        <v>702</v>
      </c>
      <c r="B440" s="20" t="s">
        <v>602</v>
      </c>
      <c r="C440" s="20">
        <v>46290</v>
      </c>
      <c r="D440" s="21" t="s">
        <v>703</v>
      </c>
      <c r="E440" s="34">
        <v>4423</v>
      </c>
      <c r="F440" s="21">
        <v>5348324</v>
      </c>
      <c r="G440" s="21"/>
      <c r="H440" s="21" t="s">
        <v>657</v>
      </c>
      <c r="I440" s="21" t="s">
        <v>113</v>
      </c>
      <c r="J440" s="21" t="s">
        <v>41</v>
      </c>
      <c r="K440" s="21">
        <v>182</v>
      </c>
      <c r="L440" s="29">
        <v>92</v>
      </c>
      <c r="M440" s="23" t="s">
        <v>672</v>
      </c>
      <c r="N440" s="21" t="s">
        <v>25</v>
      </c>
      <c r="O440" s="25">
        <v>46296</v>
      </c>
      <c r="P440" s="21" t="s">
        <v>398</v>
      </c>
      <c r="Q440" s="21" t="s">
        <v>471</v>
      </c>
      <c r="R440" s="26" t="s">
        <v>427</v>
      </c>
      <c r="S440" s="27">
        <v>4000</v>
      </c>
      <c r="T440" s="28" t="s">
        <v>27</v>
      </c>
      <c r="U440" s="28" t="s">
        <v>28</v>
      </c>
      <c r="V440" s="28" t="s">
        <v>29</v>
      </c>
      <c r="W440" s="28" t="s">
        <v>52</v>
      </c>
    </row>
    <row r="441" spans="1:23" ht="15" customHeight="1" x14ac:dyDescent="0.25">
      <c r="A441" s="20" t="s">
        <v>702</v>
      </c>
      <c r="B441" s="20" t="s">
        <v>602</v>
      </c>
      <c r="C441" s="20">
        <v>46290</v>
      </c>
      <c r="D441" s="21" t="s">
        <v>703</v>
      </c>
      <c r="E441" s="34">
        <v>4434</v>
      </c>
      <c r="F441" s="21">
        <v>5225860</v>
      </c>
      <c r="G441" s="21">
        <v>180402</v>
      </c>
      <c r="H441" s="21" t="s">
        <v>659</v>
      </c>
      <c r="I441" s="21" t="s">
        <v>40</v>
      </c>
      <c r="J441" s="21" t="s">
        <v>41</v>
      </c>
      <c r="K441" s="21">
        <v>194</v>
      </c>
      <c r="L441" s="29">
        <v>92</v>
      </c>
      <c r="M441" s="23" t="s">
        <v>446</v>
      </c>
      <c r="N441" s="21" t="s">
        <v>25</v>
      </c>
      <c r="O441" s="25">
        <v>46296</v>
      </c>
      <c r="P441" s="21" t="s">
        <v>398</v>
      </c>
      <c r="Q441" s="21" t="s">
        <v>471</v>
      </c>
      <c r="R441" s="26" t="s">
        <v>426</v>
      </c>
      <c r="S441" s="27">
        <v>50000</v>
      </c>
      <c r="T441" s="28" t="s">
        <v>27</v>
      </c>
      <c r="U441" s="28" t="s">
        <v>28</v>
      </c>
      <c r="V441" s="28" t="s">
        <v>29</v>
      </c>
      <c r="W441" s="28" t="s">
        <v>52</v>
      </c>
    </row>
    <row r="442" spans="1:23" ht="15" customHeight="1" x14ac:dyDescent="0.25">
      <c r="A442" s="20" t="s">
        <v>702</v>
      </c>
      <c r="B442" s="20" t="s">
        <v>602</v>
      </c>
      <c r="C442" s="20">
        <v>46290</v>
      </c>
      <c r="D442" s="21" t="s">
        <v>703</v>
      </c>
      <c r="E442" s="34">
        <v>4459</v>
      </c>
      <c r="F442" s="21">
        <v>5026768</v>
      </c>
      <c r="G442" s="21">
        <v>113399</v>
      </c>
      <c r="H442" s="21" t="s">
        <v>660</v>
      </c>
      <c r="I442" s="21" t="s">
        <v>132</v>
      </c>
      <c r="J442" s="21" t="s">
        <v>41</v>
      </c>
      <c r="K442" s="21">
        <v>185</v>
      </c>
      <c r="L442" s="29">
        <v>92</v>
      </c>
      <c r="M442" s="23" t="s">
        <v>673</v>
      </c>
      <c r="N442" s="21" t="s">
        <v>25</v>
      </c>
      <c r="O442" s="25">
        <v>46296</v>
      </c>
      <c r="P442" s="21" t="s">
        <v>398</v>
      </c>
      <c r="Q442" s="21" t="s">
        <v>471</v>
      </c>
      <c r="R442" s="26" t="s">
        <v>433</v>
      </c>
      <c r="S442" s="27">
        <v>3000</v>
      </c>
      <c r="T442" s="28" t="s">
        <v>27</v>
      </c>
      <c r="U442" s="28" t="s">
        <v>28</v>
      </c>
      <c r="V442" s="28" t="s">
        <v>29</v>
      </c>
      <c r="W442" s="28" t="s">
        <v>45</v>
      </c>
    </row>
    <row r="443" spans="1:23" ht="15" customHeight="1" x14ac:dyDescent="0.25">
      <c r="A443" s="20" t="s">
        <v>702</v>
      </c>
      <c r="B443" s="20" t="s">
        <v>602</v>
      </c>
      <c r="C443" s="20">
        <v>46290</v>
      </c>
      <c r="D443" s="21" t="s">
        <v>703</v>
      </c>
      <c r="E443" s="34">
        <v>4459</v>
      </c>
      <c r="F443" s="21">
        <v>5026768</v>
      </c>
      <c r="G443" s="21">
        <v>113399</v>
      </c>
      <c r="H443" s="21" t="s">
        <v>660</v>
      </c>
      <c r="I443" s="21" t="s">
        <v>132</v>
      </c>
      <c r="J443" s="21" t="s">
        <v>41</v>
      </c>
      <c r="K443" s="21">
        <v>185</v>
      </c>
      <c r="L443" s="29">
        <v>92</v>
      </c>
      <c r="M443" s="23" t="s">
        <v>674</v>
      </c>
      <c r="N443" s="21" t="s">
        <v>25</v>
      </c>
      <c r="O443" s="25">
        <v>46296</v>
      </c>
      <c r="P443" s="21" t="s">
        <v>398</v>
      </c>
      <c r="Q443" s="21" t="s">
        <v>471</v>
      </c>
      <c r="R443" s="26" t="s">
        <v>433</v>
      </c>
      <c r="S443" s="27">
        <v>4968</v>
      </c>
      <c r="T443" s="28" t="s">
        <v>27</v>
      </c>
      <c r="U443" s="28" t="s">
        <v>28</v>
      </c>
      <c r="V443" s="28" t="s">
        <v>29</v>
      </c>
      <c r="W443" s="28" t="s">
        <v>52</v>
      </c>
    </row>
    <row r="444" spans="1:23" ht="15" customHeight="1" x14ac:dyDescent="0.25">
      <c r="A444" s="20" t="s">
        <v>702</v>
      </c>
      <c r="B444" s="20" t="s">
        <v>602</v>
      </c>
      <c r="C444" s="20">
        <v>46290</v>
      </c>
      <c r="D444" s="21" t="s">
        <v>703</v>
      </c>
      <c r="E444" s="34">
        <v>4463</v>
      </c>
      <c r="F444" s="21">
        <v>5229985</v>
      </c>
      <c r="G444" s="21">
        <v>180738</v>
      </c>
      <c r="H444" s="21" t="s">
        <v>661</v>
      </c>
      <c r="I444" s="21" t="s">
        <v>132</v>
      </c>
      <c r="J444" s="21" t="s">
        <v>41</v>
      </c>
      <c r="K444" s="21">
        <v>185</v>
      </c>
      <c r="L444" s="29">
        <v>92</v>
      </c>
      <c r="M444" s="23" t="s">
        <v>675</v>
      </c>
      <c r="N444" s="21" t="s">
        <v>25</v>
      </c>
      <c r="O444" s="25">
        <v>46296</v>
      </c>
      <c r="P444" s="21" t="s">
        <v>398</v>
      </c>
      <c r="Q444" s="21" t="s">
        <v>471</v>
      </c>
      <c r="R444" s="26" t="s">
        <v>433</v>
      </c>
      <c r="S444" s="27">
        <v>2500</v>
      </c>
      <c r="T444" s="28" t="s">
        <v>27</v>
      </c>
      <c r="U444" s="28" t="s">
        <v>28</v>
      </c>
      <c r="V444" s="28" t="s">
        <v>29</v>
      </c>
      <c r="W444" s="28" t="s">
        <v>52</v>
      </c>
    </row>
    <row r="445" spans="1:23" ht="15" customHeight="1" x14ac:dyDescent="0.25">
      <c r="A445" s="20" t="s">
        <v>702</v>
      </c>
      <c r="B445" s="20" t="s">
        <v>602</v>
      </c>
      <c r="C445" s="20">
        <v>46290</v>
      </c>
      <c r="D445" s="21" t="s">
        <v>703</v>
      </c>
      <c r="E445" s="34">
        <v>4436</v>
      </c>
      <c r="F445" s="21">
        <v>5133664</v>
      </c>
      <c r="G445" s="21">
        <v>142632</v>
      </c>
      <c r="H445" s="21" t="s">
        <v>662</v>
      </c>
      <c r="I445" s="21" t="s">
        <v>40</v>
      </c>
      <c r="J445" s="21" t="s">
        <v>41</v>
      </c>
      <c r="K445" s="21">
        <v>194</v>
      </c>
      <c r="L445" s="29">
        <v>92</v>
      </c>
      <c r="M445" s="23" t="s">
        <v>260</v>
      </c>
      <c r="N445" s="21" t="s">
        <v>25</v>
      </c>
      <c r="O445" s="25">
        <v>46296</v>
      </c>
      <c r="P445" s="21" t="s">
        <v>398</v>
      </c>
      <c r="Q445" s="21" t="s">
        <v>471</v>
      </c>
      <c r="R445" s="26" t="s">
        <v>426</v>
      </c>
      <c r="S445" s="27">
        <v>5333</v>
      </c>
      <c r="T445" s="28" t="s">
        <v>27</v>
      </c>
      <c r="U445" s="28" t="s">
        <v>28</v>
      </c>
      <c r="V445" s="28" t="s">
        <v>29</v>
      </c>
      <c r="W445" s="28" t="s">
        <v>52</v>
      </c>
    </row>
    <row r="446" spans="1:23" ht="15" customHeight="1" x14ac:dyDescent="0.25">
      <c r="A446" s="20" t="s">
        <v>702</v>
      </c>
      <c r="B446" s="20" t="s">
        <v>602</v>
      </c>
      <c r="C446" s="20">
        <v>46290</v>
      </c>
      <c r="D446" s="21" t="s">
        <v>703</v>
      </c>
      <c r="E446" s="34">
        <v>4424</v>
      </c>
      <c r="F446" s="21">
        <v>5128707</v>
      </c>
      <c r="G446" s="21">
        <v>128420</v>
      </c>
      <c r="H446" s="21" t="s">
        <v>663</v>
      </c>
      <c r="I446" s="21" t="s">
        <v>113</v>
      </c>
      <c r="J446" s="21" t="s">
        <v>41</v>
      </c>
      <c r="K446" s="21">
        <v>182</v>
      </c>
      <c r="L446" s="29">
        <v>92</v>
      </c>
      <c r="M446" s="23" t="s">
        <v>446</v>
      </c>
      <c r="N446" s="21" t="s">
        <v>25</v>
      </c>
      <c r="O446" s="25">
        <v>46296</v>
      </c>
      <c r="P446" s="21" t="s">
        <v>398</v>
      </c>
      <c r="Q446" s="21" t="s">
        <v>471</v>
      </c>
      <c r="R446" s="26" t="s">
        <v>613</v>
      </c>
      <c r="S446" s="27">
        <v>9000</v>
      </c>
      <c r="T446" s="28" t="s">
        <v>27</v>
      </c>
      <c r="U446" s="28" t="s">
        <v>28</v>
      </c>
      <c r="V446" s="28" t="s">
        <v>29</v>
      </c>
      <c r="W446" s="28" t="s">
        <v>52</v>
      </c>
    </row>
    <row r="447" spans="1:23" ht="15" customHeight="1" x14ac:dyDescent="0.25">
      <c r="A447" s="20" t="s">
        <v>702</v>
      </c>
      <c r="B447" s="20" t="s">
        <v>602</v>
      </c>
      <c r="C447" s="20">
        <v>46290</v>
      </c>
      <c r="D447" s="21" t="s">
        <v>703</v>
      </c>
      <c r="E447" s="34">
        <v>4432</v>
      </c>
      <c r="F447" s="21">
        <v>5020319</v>
      </c>
      <c r="G447" s="21">
        <v>110315</v>
      </c>
      <c r="H447" s="21" t="s">
        <v>664</v>
      </c>
      <c r="I447" s="21" t="s">
        <v>113</v>
      </c>
      <c r="J447" s="21" t="s">
        <v>41</v>
      </c>
      <c r="K447" s="21">
        <v>182</v>
      </c>
      <c r="L447" s="29">
        <v>92</v>
      </c>
      <c r="M447" s="23" t="s">
        <v>676</v>
      </c>
      <c r="N447" s="21" t="s">
        <v>25</v>
      </c>
      <c r="O447" s="25">
        <v>46296</v>
      </c>
      <c r="P447" s="21" t="s">
        <v>398</v>
      </c>
      <c r="Q447" s="21" t="s">
        <v>471</v>
      </c>
      <c r="R447" s="26" t="s">
        <v>613</v>
      </c>
      <c r="S447" s="27">
        <v>8820</v>
      </c>
      <c r="T447" s="28" t="s">
        <v>27</v>
      </c>
      <c r="U447" s="28" t="s">
        <v>28</v>
      </c>
      <c r="V447" s="28" t="s">
        <v>29</v>
      </c>
      <c r="W447" s="28" t="s">
        <v>52</v>
      </c>
    </row>
    <row r="448" spans="1:23" ht="15" customHeight="1" x14ac:dyDescent="0.25">
      <c r="A448" s="20" t="s">
        <v>702</v>
      </c>
      <c r="B448" s="20" t="s">
        <v>602</v>
      </c>
      <c r="C448" s="20">
        <v>46290</v>
      </c>
      <c r="D448" s="21" t="s">
        <v>703</v>
      </c>
      <c r="E448" s="34">
        <v>4432</v>
      </c>
      <c r="F448" s="21">
        <v>5020319</v>
      </c>
      <c r="G448" s="21">
        <v>110315</v>
      </c>
      <c r="H448" s="21" t="s">
        <v>664</v>
      </c>
      <c r="I448" s="21" t="s">
        <v>113</v>
      </c>
      <c r="J448" s="21" t="s">
        <v>41</v>
      </c>
      <c r="K448" s="21">
        <v>182</v>
      </c>
      <c r="L448" s="29">
        <v>92</v>
      </c>
      <c r="M448" s="23" t="s">
        <v>677</v>
      </c>
      <c r="N448" s="21" t="s">
        <v>25</v>
      </c>
      <c r="O448" s="25">
        <v>46296</v>
      </c>
      <c r="P448" s="21" t="s">
        <v>398</v>
      </c>
      <c r="Q448" s="21" t="s">
        <v>471</v>
      </c>
      <c r="R448" s="26" t="s">
        <v>613</v>
      </c>
      <c r="S448" s="27">
        <v>14000</v>
      </c>
      <c r="T448" s="28" t="s">
        <v>27</v>
      </c>
      <c r="U448" s="28" t="s">
        <v>28</v>
      </c>
      <c r="V448" s="28" t="s">
        <v>29</v>
      </c>
      <c r="W448" s="28" t="s">
        <v>52</v>
      </c>
    </row>
    <row r="449" spans="1:23" ht="15" customHeight="1" x14ac:dyDescent="0.25">
      <c r="A449" s="20" t="s">
        <v>702</v>
      </c>
      <c r="B449" s="20" t="s">
        <v>602</v>
      </c>
      <c r="C449" s="20">
        <v>46290</v>
      </c>
      <c r="D449" s="21" t="s">
        <v>703</v>
      </c>
      <c r="E449" s="34">
        <v>4464</v>
      </c>
      <c r="F449" s="21">
        <v>5259915</v>
      </c>
      <c r="G449" s="21">
        <v>166008</v>
      </c>
      <c r="H449" s="21" t="s">
        <v>665</v>
      </c>
      <c r="I449" s="21" t="s">
        <v>23</v>
      </c>
      <c r="J449" s="21" t="s">
        <v>618</v>
      </c>
      <c r="K449" s="21">
        <v>192</v>
      </c>
      <c r="L449" s="29">
        <v>93</v>
      </c>
      <c r="M449" s="23" t="s">
        <v>678</v>
      </c>
      <c r="N449" s="21" t="s">
        <v>25</v>
      </c>
      <c r="O449" s="25">
        <v>46296</v>
      </c>
      <c r="P449" s="21" t="s">
        <v>398</v>
      </c>
      <c r="Q449" s="21" t="s">
        <v>49</v>
      </c>
      <c r="R449" s="26" t="s">
        <v>400</v>
      </c>
      <c r="S449" s="27">
        <v>4974</v>
      </c>
      <c r="T449" s="28" t="s">
        <v>27</v>
      </c>
      <c r="U449" s="28" t="s">
        <v>28</v>
      </c>
      <c r="V449" s="28" t="s">
        <v>29</v>
      </c>
      <c r="W449" s="28" t="s">
        <v>52</v>
      </c>
    </row>
    <row r="450" spans="1:23" ht="15" customHeight="1" x14ac:dyDescent="0.25">
      <c r="A450" s="20" t="s">
        <v>702</v>
      </c>
      <c r="B450" s="20" t="s">
        <v>602</v>
      </c>
      <c r="C450" s="20">
        <v>46290</v>
      </c>
      <c r="D450" s="21" t="s">
        <v>703</v>
      </c>
      <c r="E450" s="34">
        <v>4437</v>
      </c>
      <c r="F450" s="21">
        <v>5231303</v>
      </c>
      <c r="G450" s="21">
        <v>167018</v>
      </c>
      <c r="H450" s="21" t="s">
        <v>104</v>
      </c>
      <c r="I450" s="21" t="s">
        <v>37</v>
      </c>
      <c r="J450" s="21" t="s">
        <v>105</v>
      </c>
      <c r="K450" s="21">
        <v>189</v>
      </c>
      <c r="L450" s="29">
        <v>93</v>
      </c>
      <c r="M450" s="23" t="s">
        <v>492</v>
      </c>
      <c r="N450" s="21" t="s">
        <v>25</v>
      </c>
      <c r="O450" s="25">
        <v>46296</v>
      </c>
      <c r="P450" s="21" t="s">
        <v>398</v>
      </c>
      <c r="Q450" s="21" t="s">
        <v>423</v>
      </c>
      <c r="R450" s="26" t="s">
        <v>432</v>
      </c>
      <c r="S450" s="27">
        <v>5000</v>
      </c>
      <c r="T450" s="28" t="s">
        <v>27</v>
      </c>
      <c r="U450" s="28" t="s">
        <v>28</v>
      </c>
      <c r="V450" s="28" t="s">
        <v>29</v>
      </c>
      <c r="W450" s="28" t="s">
        <v>52</v>
      </c>
    </row>
    <row r="451" spans="1:23" ht="15" customHeight="1" x14ac:dyDescent="0.25">
      <c r="A451" s="20" t="s">
        <v>702</v>
      </c>
      <c r="B451" s="20" t="s">
        <v>602</v>
      </c>
      <c r="C451" s="20">
        <v>46290</v>
      </c>
      <c r="D451" s="21" t="s">
        <v>703</v>
      </c>
      <c r="E451" s="34">
        <v>17872</v>
      </c>
      <c r="F451" s="21">
        <v>5226350</v>
      </c>
      <c r="G451" s="21">
        <v>184821</v>
      </c>
      <c r="H451" s="21" t="s">
        <v>666</v>
      </c>
      <c r="I451" s="21" t="s">
        <v>483</v>
      </c>
      <c r="J451" s="21" t="s">
        <v>679</v>
      </c>
      <c r="K451" s="21">
        <v>756</v>
      </c>
      <c r="L451" s="29">
        <v>93</v>
      </c>
      <c r="M451" s="23" t="s">
        <v>680</v>
      </c>
      <c r="N451" s="21" t="s">
        <v>25</v>
      </c>
      <c r="O451" s="25">
        <v>46296</v>
      </c>
      <c r="P451" s="21" t="s">
        <v>398</v>
      </c>
      <c r="Q451" s="21" t="s">
        <v>485</v>
      </c>
      <c r="R451" s="26" t="s">
        <v>485</v>
      </c>
      <c r="S451" s="27">
        <v>1536</v>
      </c>
      <c r="T451" s="28" t="s">
        <v>27</v>
      </c>
      <c r="U451" s="28" t="s">
        <v>50</v>
      </c>
      <c r="V451" s="28" t="s">
        <v>51</v>
      </c>
      <c r="W451" s="28" t="s">
        <v>60</v>
      </c>
    </row>
    <row r="452" spans="1:23" ht="15" customHeight="1" x14ac:dyDescent="0.25">
      <c r="A452" s="20" t="s">
        <v>702</v>
      </c>
      <c r="B452" s="20" t="s">
        <v>602</v>
      </c>
      <c r="C452" s="20">
        <v>46290</v>
      </c>
      <c r="D452" s="21" t="s">
        <v>703</v>
      </c>
      <c r="E452" s="34">
        <v>4465</v>
      </c>
      <c r="F452" s="21">
        <v>5040108</v>
      </c>
      <c r="G452" s="21">
        <v>123355</v>
      </c>
      <c r="H452" s="21" t="s">
        <v>667</v>
      </c>
      <c r="I452" s="21" t="s">
        <v>37</v>
      </c>
      <c r="J452" s="21" t="s">
        <v>105</v>
      </c>
      <c r="K452" s="21">
        <v>189</v>
      </c>
      <c r="L452" s="29">
        <v>92</v>
      </c>
      <c r="M452" s="23" t="s">
        <v>681</v>
      </c>
      <c r="N452" s="21" t="s">
        <v>25</v>
      </c>
      <c r="O452" s="25">
        <v>46296</v>
      </c>
      <c r="P452" s="21" t="s">
        <v>398</v>
      </c>
      <c r="Q452" s="21" t="s">
        <v>423</v>
      </c>
      <c r="R452" s="26" t="s">
        <v>427</v>
      </c>
      <c r="S452" s="27">
        <v>15000</v>
      </c>
      <c r="T452" s="28" t="s">
        <v>27</v>
      </c>
      <c r="U452" s="28" t="s">
        <v>28</v>
      </c>
      <c r="V452" s="28" t="s">
        <v>29</v>
      </c>
      <c r="W452" s="28" t="s">
        <v>126</v>
      </c>
    </row>
    <row r="453" spans="1:23" ht="15" customHeight="1" x14ac:dyDescent="0.25">
      <c r="A453" s="20" t="s">
        <v>702</v>
      </c>
      <c r="B453" s="20" t="s">
        <v>602</v>
      </c>
      <c r="C453" s="20">
        <v>46290</v>
      </c>
      <c r="D453" s="21" t="s">
        <v>703</v>
      </c>
      <c r="E453" s="34">
        <v>4466</v>
      </c>
      <c r="F453" s="21">
        <v>5070522</v>
      </c>
      <c r="G453" s="21">
        <v>143311</v>
      </c>
      <c r="H453" s="21" t="s">
        <v>66</v>
      </c>
      <c r="I453" s="21" t="s">
        <v>23</v>
      </c>
      <c r="J453" s="21" t="s">
        <v>618</v>
      </c>
      <c r="K453" s="21">
        <v>192</v>
      </c>
      <c r="L453" s="29">
        <v>91</v>
      </c>
      <c r="M453" s="23" t="s">
        <v>682</v>
      </c>
      <c r="N453" s="21" t="s">
        <v>25</v>
      </c>
      <c r="O453" s="25">
        <v>46296</v>
      </c>
      <c r="P453" s="21" t="s">
        <v>398</v>
      </c>
      <c r="Q453" s="21" t="s">
        <v>49</v>
      </c>
      <c r="R453" s="26" t="s">
        <v>400</v>
      </c>
      <c r="S453" s="27">
        <v>2370</v>
      </c>
      <c r="T453" s="28" t="s">
        <v>27</v>
      </c>
      <c r="U453" s="28" t="s">
        <v>28</v>
      </c>
      <c r="V453" s="28" t="s">
        <v>29</v>
      </c>
      <c r="W453" s="28" t="s">
        <v>126</v>
      </c>
    </row>
    <row r="454" spans="1:23" ht="15" customHeight="1" x14ac:dyDescent="0.25">
      <c r="A454" s="20" t="s">
        <v>702</v>
      </c>
      <c r="B454" s="20" t="s">
        <v>602</v>
      </c>
      <c r="C454" s="20">
        <v>46290</v>
      </c>
      <c r="D454" s="21" t="s">
        <v>703</v>
      </c>
      <c r="E454" s="34">
        <v>4467</v>
      </c>
      <c r="F454" s="21">
        <v>5115019</v>
      </c>
      <c r="G454" s="21">
        <v>123456</v>
      </c>
      <c r="H454" s="21" t="s">
        <v>668</v>
      </c>
      <c r="I454" s="21" t="s">
        <v>37</v>
      </c>
      <c r="J454" s="21" t="s">
        <v>105</v>
      </c>
      <c r="K454" s="21">
        <v>189</v>
      </c>
      <c r="L454" s="29">
        <v>92</v>
      </c>
      <c r="M454" s="23" t="s">
        <v>683</v>
      </c>
      <c r="N454" s="21" t="s">
        <v>25</v>
      </c>
      <c r="O454" s="25">
        <v>46296</v>
      </c>
      <c r="P454" s="21" t="s">
        <v>398</v>
      </c>
      <c r="Q454" s="21" t="s">
        <v>423</v>
      </c>
      <c r="R454" s="26" t="s">
        <v>425</v>
      </c>
      <c r="S454" s="27">
        <v>32500</v>
      </c>
      <c r="T454" s="28" t="s">
        <v>27</v>
      </c>
      <c r="U454" s="28" t="s">
        <v>28</v>
      </c>
      <c r="V454" s="28" t="s">
        <v>29</v>
      </c>
      <c r="W454" s="28" t="s">
        <v>126</v>
      </c>
    </row>
    <row r="455" spans="1:23" ht="15" customHeight="1" x14ac:dyDescent="0.25">
      <c r="A455" s="20" t="s">
        <v>702</v>
      </c>
      <c r="B455" s="20" t="s">
        <v>602</v>
      </c>
      <c r="C455" s="20">
        <v>46290</v>
      </c>
      <c r="D455" s="21" t="s">
        <v>703</v>
      </c>
      <c r="E455" s="34">
        <v>4468</v>
      </c>
      <c r="F455" s="21">
        <v>5178518</v>
      </c>
      <c r="G455" s="21">
        <v>142230</v>
      </c>
      <c r="H455" s="21" t="s">
        <v>499</v>
      </c>
      <c r="I455" s="21" t="s">
        <v>37</v>
      </c>
      <c r="J455" s="21" t="s">
        <v>105</v>
      </c>
      <c r="K455" s="21">
        <v>189</v>
      </c>
      <c r="L455" s="29">
        <v>92</v>
      </c>
      <c r="M455" s="23" t="s">
        <v>684</v>
      </c>
      <c r="N455" s="21" t="s">
        <v>25</v>
      </c>
      <c r="O455" s="25">
        <v>46296</v>
      </c>
      <c r="P455" s="21" t="s">
        <v>398</v>
      </c>
      <c r="Q455" s="21" t="s">
        <v>423</v>
      </c>
      <c r="R455" s="26" t="s">
        <v>432</v>
      </c>
      <c r="S455" s="27">
        <v>2000</v>
      </c>
      <c r="T455" s="28" t="s">
        <v>27</v>
      </c>
      <c r="U455" s="28" t="s">
        <v>28</v>
      </c>
      <c r="V455" s="28" t="s">
        <v>29</v>
      </c>
      <c r="W455" s="28" t="s">
        <v>35</v>
      </c>
    </row>
    <row r="456" spans="1:23" ht="15" customHeight="1" x14ac:dyDescent="0.25">
      <c r="A456" s="20" t="s">
        <v>702</v>
      </c>
      <c r="B456" s="20" t="s">
        <v>602</v>
      </c>
      <c r="C456" s="20">
        <v>46290</v>
      </c>
      <c r="D456" s="21" t="s">
        <v>703</v>
      </c>
      <c r="E456" s="34">
        <v>3938</v>
      </c>
      <c r="F456" s="21">
        <v>5161469</v>
      </c>
      <c r="G456" s="21">
        <v>141489</v>
      </c>
      <c r="H456" s="21" t="s">
        <v>368</v>
      </c>
      <c r="I456" s="21" t="s">
        <v>37</v>
      </c>
      <c r="J456" s="21">
        <v>6169</v>
      </c>
      <c r="K456" s="21">
        <v>689</v>
      </c>
      <c r="L456" s="29">
        <v>93</v>
      </c>
      <c r="M456" s="23" t="s">
        <v>581</v>
      </c>
      <c r="N456" s="21" t="s">
        <v>25</v>
      </c>
      <c r="O456" s="25">
        <v>46296</v>
      </c>
      <c r="P456" s="21" t="s">
        <v>398</v>
      </c>
      <c r="Q456" s="21" t="s">
        <v>423</v>
      </c>
      <c r="R456" s="26" t="s">
        <v>432</v>
      </c>
      <c r="S456" s="27">
        <v>2000</v>
      </c>
      <c r="T456" s="28" t="s">
        <v>27</v>
      </c>
      <c r="U456" s="28" t="s">
        <v>28</v>
      </c>
      <c r="V456" s="28" t="s">
        <v>29</v>
      </c>
      <c r="W456" s="28" t="s">
        <v>126</v>
      </c>
    </row>
    <row r="457" spans="1:23" ht="15" customHeight="1" x14ac:dyDescent="0.25">
      <c r="A457" s="20" t="s">
        <v>702</v>
      </c>
      <c r="B457" s="20" t="s">
        <v>602</v>
      </c>
      <c r="C457" s="20">
        <v>46290</v>
      </c>
      <c r="D457" s="21" t="s">
        <v>703</v>
      </c>
      <c r="E457" s="34">
        <v>4439</v>
      </c>
      <c r="F457" s="21">
        <v>5017576</v>
      </c>
      <c r="G457" s="21">
        <v>116132</v>
      </c>
      <c r="H457" s="21" t="s">
        <v>493</v>
      </c>
      <c r="I457" s="21" t="s">
        <v>32</v>
      </c>
      <c r="J457" s="21" t="s">
        <v>105</v>
      </c>
      <c r="K457" s="21">
        <v>190</v>
      </c>
      <c r="L457" s="29">
        <v>92</v>
      </c>
      <c r="M457" s="23" t="s">
        <v>685</v>
      </c>
      <c r="N457" s="21" t="s">
        <v>25</v>
      </c>
      <c r="O457" s="25">
        <v>46296</v>
      </c>
      <c r="P457" s="21" t="s">
        <v>398</v>
      </c>
      <c r="Q457" s="21" t="s">
        <v>423</v>
      </c>
      <c r="R457" s="26" t="s">
        <v>424</v>
      </c>
      <c r="S457" s="27">
        <v>21091</v>
      </c>
      <c r="T457" s="28" t="s">
        <v>27</v>
      </c>
      <c r="U457" s="28" t="s">
        <v>28</v>
      </c>
      <c r="V457" s="28" t="s">
        <v>29</v>
      </c>
      <c r="W457" s="28" t="s">
        <v>686</v>
      </c>
    </row>
    <row r="458" spans="1:23" ht="15" customHeight="1" x14ac:dyDescent="0.25">
      <c r="A458" s="20" t="s">
        <v>702</v>
      </c>
      <c r="B458" s="20" t="s">
        <v>602</v>
      </c>
      <c r="C458" s="20">
        <v>46290</v>
      </c>
      <c r="D458" s="21" t="s">
        <v>703</v>
      </c>
      <c r="E458" s="34">
        <v>3966</v>
      </c>
      <c r="F458" s="21">
        <v>5020352</v>
      </c>
      <c r="G458" s="21">
        <v>127298</v>
      </c>
      <c r="H458" s="21" t="s">
        <v>124</v>
      </c>
      <c r="I458" s="21" t="s">
        <v>23</v>
      </c>
      <c r="J458" s="21" t="s">
        <v>618</v>
      </c>
      <c r="K458" s="21">
        <v>192</v>
      </c>
      <c r="L458" s="29">
        <v>92</v>
      </c>
      <c r="M458" s="23" t="s">
        <v>687</v>
      </c>
      <c r="N458" s="21" t="s">
        <v>25</v>
      </c>
      <c r="O458" s="25">
        <v>46296</v>
      </c>
      <c r="P458" s="21" t="s">
        <v>398</v>
      </c>
      <c r="Q458" s="21" t="s">
        <v>49</v>
      </c>
      <c r="R458" s="26" t="s">
        <v>400</v>
      </c>
      <c r="S458" s="27">
        <v>4000</v>
      </c>
      <c r="T458" s="28" t="s">
        <v>27</v>
      </c>
      <c r="U458" s="28" t="s">
        <v>28</v>
      </c>
      <c r="V458" s="28" t="s">
        <v>29</v>
      </c>
      <c r="W458" s="28" t="s">
        <v>126</v>
      </c>
    </row>
    <row r="459" spans="1:23" ht="15" customHeight="1" x14ac:dyDescent="0.25">
      <c r="A459" s="20" t="s">
        <v>702</v>
      </c>
      <c r="B459" s="20" t="s">
        <v>602</v>
      </c>
      <c r="C459" s="20">
        <v>46290</v>
      </c>
      <c r="D459" s="21" t="s">
        <v>703</v>
      </c>
      <c r="E459" s="34">
        <v>3967</v>
      </c>
      <c r="F459" s="21">
        <v>5020347</v>
      </c>
      <c r="G459" s="21">
        <v>112787</v>
      </c>
      <c r="H459" s="21" t="s">
        <v>129</v>
      </c>
      <c r="I459" s="21" t="s">
        <v>23</v>
      </c>
      <c r="J459" s="21" t="s">
        <v>618</v>
      </c>
      <c r="K459" s="21">
        <v>192</v>
      </c>
      <c r="L459" s="29">
        <v>92</v>
      </c>
      <c r="M459" s="23" t="s">
        <v>688</v>
      </c>
      <c r="N459" s="21" t="s">
        <v>25</v>
      </c>
      <c r="O459" s="25">
        <v>46296</v>
      </c>
      <c r="P459" s="21" t="s">
        <v>398</v>
      </c>
      <c r="Q459" s="21" t="s">
        <v>49</v>
      </c>
      <c r="R459" s="26" t="s">
        <v>400</v>
      </c>
      <c r="S459" s="27">
        <v>17200</v>
      </c>
      <c r="T459" s="28" t="s">
        <v>27</v>
      </c>
      <c r="U459" s="28" t="s">
        <v>28</v>
      </c>
      <c r="V459" s="28" t="s">
        <v>29</v>
      </c>
      <c r="W459" s="28" t="s">
        <v>126</v>
      </c>
    </row>
    <row r="460" spans="1:23" ht="15" customHeight="1" x14ac:dyDescent="0.25">
      <c r="A460" s="20" t="s">
        <v>702</v>
      </c>
      <c r="B460" s="20" t="s">
        <v>602</v>
      </c>
      <c r="C460" s="20">
        <v>46290</v>
      </c>
      <c r="D460" s="21" t="s">
        <v>703</v>
      </c>
      <c r="E460" s="34">
        <v>4469</v>
      </c>
      <c r="F460" s="21">
        <v>5115019</v>
      </c>
      <c r="G460" s="21">
        <v>123456</v>
      </c>
      <c r="H460" s="21" t="s">
        <v>668</v>
      </c>
      <c r="I460" s="21" t="s">
        <v>37</v>
      </c>
      <c r="J460" s="21" t="s">
        <v>105</v>
      </c>
      <c r="K460" s="21">
        <v>189</v>
      </c>
      <c r="L460" s="29">
        <v>92</v>
      </c>
      <c r="M460" s="23" t="s">
        <v>689</v>
      </c>
      <c r="N460" s="21" t="s">
        <v>25</v>
      </c>
      <c r="O460" s="25">
        <v>46296</v>
      </c>
      <c r="P460" s="21" t="s">
        <v>398</v>
      </c>
      <c r="Q460" s="21" t="s">
        <v>423</v>
      </c>
      <c r="R460" s="26" t="s">
        <v>425</v>
      </c>
      <c r="S460" s="27">
        <v>3386</v>
      </c>
      <c r="T460" s="28" t="s">
        <v>27</v>
      </c>
      <c r="U460" s="28" t="s">
        <v>28</v>
      </c>
      <c r="V460" s="28" t="s">
        <v>29</v>
      </c>
      <c r="W460" s="28" t="s">
        <v>97</v>
      </c>
    </row>
    <row r="461" spans="1:23" ht="15" customHeight="1" x14ac:dyDescent="0.25">
      <c r="A461" s="20" t="s">
        <v>702</v>
      </c>
      <c r="B461" s="20" t="s">
        <v>602</v>
      </c>
      <c r="C461" s="20">
        <v>46290</v>
      </c>
      <c r="D461" s="21" t="s">
        <v>703</v>
      </c>
      <c r="E461" s="34">
        <v>4470</v>
      </c>
      <c r="F461" s="21">
        <v>5340656</v>
      </c>
      <c r="G461" s="21">
        <v>184833</v>
      </c>
      <c r="H461" s="21" t="s">
        <v>529</v>
      </c>
      <c r="I461" s="21" t="s">
        <v>23</v>
      </c>
      <c r="J461" s="21" t="s">
        <v>618</v>
      </c>
      <c r="K461" s="21">
        <v>192</v>
      </c>
      <c r="L461" s="29">
        <v>93</v>
      </c>
      <c r="M461" s="23" t="s">
        <v>690</v>
      </c>
      <c r="N461" s="21" t="s">
        <v>25</v>
      </c>
      <c r="O461" s="25">
        <v>46296</v>
      </c>
      <c r="P461" s="21" t="s">
        <v>398</v>
      </c>
      <c r="Q461" s="21" t="s">
        <v>49</v>
      </c>
      <c r="R461" s="26" t="s">
        <v>400</v>
      </c>
      <c r="S461" s="27">
        <v>1509</v>
      </c>
      <c r="T461" s="28" t="s">
        <v>27</v>
      </c>
      <c r="U461" s="28" t="s">
        <v>28</v>
      </c>
      <c r="V461" s="28" t="s">
        <v>29</v>
      </c>
      <c r="W461" s="28" t="s">
        <v>126</v>
      </c>
    </row>
    <row r="462" spans="1:23" ht="15" customHeight="1" x14ac:dyDescent="0.25">
      <c r="A462" s="20" t="s">
        <v>702</v>
      </c>
      <c r="B462" s="20" t="s">
        <v>602</v>
      </c>
      <c r="C462" s="20">
        <v>46290</v>
      </c>
      <c r="D462" s="21" t="s">
        <v>204</v>
      </c>
      <c r="E462" s="34"/>
      <c r="F462" s="21">
        <v>5026399</v>
      </c>
      <c r="G462" s="21">
        <v>116247</v>
      </c>
      <c r="H462" s="21" t="s">
        <v>119</v>
      </c>
      <c r="I462" s="21" t="s">
        <v>37</v>
      </c>
      <c r="J462" s="21" t="s">
        <v>105</v>
      </c>
      <c r="K462" s="21">
        <v>189</v>
      </c>
      <c r="L462" s="29">
        <v>92</v>
      </c>
      <c r="M462" s="23" t="s">
        <v>691</v>
      </c>
      <c r="N462" s="34" t="s">
        <v>25</v>
      </c>
      <c r="O462" s="24">
        <v>46296</v>
      </c>
      <c r="P462" s="21" t="s">
        <v>398</v>
      </c>
      <c r="Q462" s="21" t="s">
        <v>423</v>
      </c>
      <c r="R462" s="26" t="s">
        <v>425</v>
      </c>
      <c r="S462" s="27">
        <v>62773</v>
      </c>
      <c r="T462" s="28" t="s">
        <v>27</v>
      </c>
      <c r="U462" s="28" t="s">
        <v>28</v>
      </c>
      <c r="V462" s="28" t="s">
        <v>29</v>
      </c>
      <c r="W462" s="28" t="s">
        <v>204</v>
      </c>
    </row>
    <row r="463" spans="1:23" ht="15" customHeight="1" x14ac:dyDescent="0.25">
      <c r="A463" s="28" t="s">
        <v>702</v>
      </c>
      <c r="B463" s="28" t="s">
        <v>602</v>
      </c>
      <c r="C463" s="20"/>
      <c r="D463" s="21"/>
      <c r="E463" s="34"/>
      <c r="F463" s="21">
        <v>5043976</v>
      </c>
      <c r="G463" s="21">
        <v>120904</v>
      </c>
      <c r="H463" s="21" t="s">
        <v>693</v>
      </c>
      <c r="I463" s="21" t="s">
        <v>196</v>
      </c>
      <c r="J463" s="21" t="s">
        <v>41</v>
      </c>
      <c r="K463" s="21">
        <v>183</v>
      </c>
      <c r="L463" s="29">
        <v>93</v>
      </c>
      <c r="M463" s="35" t="s">
        <v>697</v>
      </c>
      <c r="N463" s="24" t="s">
        <v>465</v>
      </c>
      <c r="O463" s="24" t="s">
        <v>465</v>
      </c>
      <c r="P463" s="21"/>
      <c r="Q463" s="21"/>
      <c r="R463" s="26"/>
      <c r="S463" s="27">
        <v>2000</v>
      </c>
      <c r="T463" s="28" t="s">
        <v>27</v>
      </c>
      <c r="U463" s="28" t="s">
        <v>28</v>
      </c>
      <c r="V463" s="28" t="s">
        <v>29</v>
      </c>
      <c r="W463" s="28" t="s">
        <v>52</v>
      </c>
    </row>
    <row r="464" spans="1:23" ht="15" customHeight="1" x14ac:dyDescent="0.25">
      <c r="A464" s="28" t="s">
        <v>702</v>
      </c>
      <c r="B464" s="28" t="s">
        <v>694</v>
      </c>
      <c r="C464" s="20"/>
      <c r="D464" s="21"/>
      <c r="E464" s="34"/>
      <c r="F464" s="21">
        <v>5370267</v>
      </c>
      <c r="G464" s="21"/>
      <c r="H464" s="21" t="s">
        <v>695</v>
      </c>
      <c r="I464" s="21" t="s">
        <v>23</v>
      </c>
      <c r="J464" s="21" t="s">
        <v>47</v>
      </c>
      <c r="K464" s="21">
        <v>722</v>
      </c>
      <c r="L464" s="29">
        <v>91</v>
      </c>
      <c r="M464" s="35" t="s">
        <v>698</v>
      </c>
      <c r="N464" s="24" t="s">
        <v>25</v>
      </c>
      <c r="O464" s="24">
        <v>46302</v>
      </c>
      <c r="P464" s="21"/>
      <c r="Q464" s="21"/>
      <c r="R464" s="26"/>
      <c r="S464" s="27">
        <v>8000</v>
      </c>
      <c r="T464" s="28" t="s">
        <v>27</v>
      </c>
      <c r="U464" s="28" t="s">
        <v>50</v>
      </c>
      <c r="V464" s="28" t="s">
        <v>51</v>
      </c>
      <c r="W464" s="28" t="s">
        <v>97</v>
      </c>
    </row>
    <row r="465" spans="1:23" ht="15" customHeight="1" x14ac:dyDescent="0.25">
      <c r="A465" s="28" t="s">
        <v>702</v>
      </c>
      <c r="B465" s="28" t="s">
        <v>694</v>
      </c>
      <c r="C465" s="20"/>
      <c r="D465" s="21"/>
      <c r="E465" s="34"/>
      <c r="F465" s="21">
        <v>5370267</v>
      </c>
      <c r="G465" s="21"/>
      <c r="H465" s="21" t="s">
        <v>695</v>
      </c>
      <c r="I465" s="21" t="s">
        <v>23</v>
      </c>
      <c r="J465" s="21" t="s">
        <v>47</v>
      </c>
      <c r="K465" s="21">
        <v>722</v>
      </c>
      <c r="L465" s="29">
        <v>91</v>
      </c>
      <c r="M465" s="35" t="s">
        <v>698</v>
      </c>
      <c r="N465" s="24" t="s">
        <v>25</v>
      </c>
      <c r="O465" s="24">
        <v>46302</v>
      </c>
      <c r="P465" s="21"/>
      <c r="Q465" s="21"/>
      <c r="R465" s="26"/>
      <c r="S465" s="27">
        <v>30000</v>
      </c>
      <c r="T465" s="28" t="s">
        <v>27</v>
      </c>
      <c r="U465" s="28" t="s">
        <v>50</v>
      </c>
      <c r="V465" s="28" t="s">
        <v>51</v>
      </c>
      <c r="W465" s="28" t="s">
        <v>97</v>
      </c>
    </row>
    <row r="466" spans="1:23" ht="15" customHeight="1" x14ac:dyDescent="0.25">
      <c r="A466" s="28" t="s">
        <v>702</v>
      </c>
      <c r="B466" s="28" t="s">
        <v>694</v>
      </c>
      <c r="C466" s="20"/>
      <c r="D466" s="21"/>
      <c r="E466" s="34"/>
      <c r="F466" s="21">
        <v>5199893</v>
      </c>
      <c r="G466" s="21">
        <v>182687</v>
      </c>
      <c r="H466" s="21" t="s">
        <v>696</v>
      </c>
      <c r="I466" s="21" t="s">
        <v>483</v>
      </c>
      <c r="J466" s="21" t="s">
        <v>218</v>
      </c>
      <c r="K466" s="21">
        <v>193</v>
      </c>
      <c r="L466" s="29">
        <v>93</v>
      </c>
      <c r="M466" s="35" t="s">
        <v>699</v>
      </c>
      <c r="N466" s="24" t="s">
        <v>465</v>
      </c>
      <c r="O466" s="24" t="s">
        <v>465</v>
      </c>
      <c r="P466" s="21"/>
      <c r="Q466" s="21"/>
      <c r="R466" s="26"/>
      <c r="S466" s="27">
        <v>384</v>
      </c>
      <c r="T466" s="28" t="s">
        <v>27</v>
      </c>
      <c r="U466" s="28" t="s">
        <v>28</v>
      </c>
      <c r="V466" s="28" t="s">
        <v>29</v>
      </c>
      <c r="W466" s="28" t="s">
        <v>52</v>
      </c>
    </row>
    <row r="467" spans="1:23" ht="15" customHeight="1" x14ac:dyDescent="0.25">
      <c r="A467" s="28" t="s">
        <v>702</v>
      </c>
      <c r="B467" s="28" t="s">
        <v>694</v>
      </c>
      <c r="C467" s="20"/>
      <c r="D467" s="21"/>
      <c r="E467" s="34"/>
      <c r="F467" s="21">
        <v>5004685</v>
      </c>
      <c r="G467" s="21">
        <v>110434</v>
      </c>
      <c r="H467" s="21" t="s">
        <v>116</v>
      </c>
      <c r="I467" s="21" t="s">
        <v>23</v>
      </c>
      <c r="J467" s="21" t="s">
        <v>618</v>
      </c>
      <c r="K467" s="21">
        <v>192</v>
      </c>
      <c r="L467" s="29">
        <v>92</v>
      </c>
      <c r="M467" s="35" t="s">
        <v>719</v>
      </c>
      <c r="N467" s="24" t="s">
        <v>465</v>
      </c>
      <c r="O467" s="24" t="s">
        <v>465</v>
      </c>
      <c r="P467" s="21"/>
      <c r="Q467" s="21"/>
      <c r="R467" s="26"/>
      <c r="S467" s="27">
        <v>12243.28</v>
      </c>
      <c r="T467" s="28" t="s">
        <v>27</v>
      </c>
      <c r="U467" s="28" t="s">
        <v>28</v>
      </c>
      <c r="V467" s="28" t="s">
        <v>29</v>
      </c>
      <c r="W467" s="28" t="s">
        <v>338</v>
      </c>
    </row>
    <row r="468" spans="1:23" ht="15" customHeight="1" x14ac:dyDescent="0.25">
      <c r="A468" s="28" t="s">
        <v>702</v>
      </c>
      <c r="B468" s="28" t="s">
        <v>694</v>
      </c>
      <c r="C468" s="20"/>
      <c r="D468" s="21"/>
      <c r="E468" s="34"/>
      <c r="F468" s="21">
        <v>5004685</v>
      </c>
      <c r="G468" s="21">
        <v>110434</v>
      </c>
      <c r="H468" s="21" t="s">
        <v>116</v>
      </c>
      <c r="I468" s="21" t="s">
        <v>23</v>
      </c>
      <c r="J468" s="21" t="s">
        <v>618</v>
      </c>
      <c r="K468" s="21">
        <v>192</v>
      </c>
      <c r="L468" s="29">
        <v>92</v>
      </c>
      <c r="M468" s="35" t="s">
        <v>700</v>
      </c>
      <c r="N468" s="24" t="s">
        <v>465</v>
      </c>
      <c r="O468" s="24" t="s">
        <v>465</v>
      </c>
      <c r="P468" s="21"/>
      <c r="Q468" s="21"/>
      <c r="R468" s="26"/>
      <c r="S468" s="27">
        <v>9.84</v>
      </c>
      <c r="T468" s="28" t="s">
        <v>27</v>
      </c>
      <c r="U468" s="28" t="s">
        <v>28</v>
      </c>
      <c r="V468" s="28" t="s">
        <v>29</v>
      </c>
      <c r="W468" s="28" t="s">
        <v>701</v>
      </c>
    </row>
    <row r="469" spans="1:23" ht="15" customHeight="1" x14ac:dyDescent="0.25">
      <c r="A469" s="28" t="s">
        <v>702</v>
      </c>
      <c r="B469" s="28" t="s">
        <v>694</v>
      </c>
      <c r="C469" s="20"/>
      <c r="D469" s="21"/>
      <c r="E469" s="34"/>
      <c r="F469" s="21">
        <v>5217293</v>
      </c>
      <c r="G469" s="21">
        <v>145966</v>
      </c>
      <c r="H469" s="21" t="s">
        <v>505</v>
      </c>
      <c r="I469" s="21" t="s">
        <v>23</v>
      </c>
      <c r="J469" s="21" t="s">
        <v>618</v>
      </c>
      <c r="K469" s="21">
        <v>192</v>
      </c>
      <c r="L469" s="29">
        <v>92</v>
      </c>
      <c r="M469" s="35" t="s">
        <v>704</v>
      </c>
      <c r="N469" s="24" t="s">
        <v>465</v>
      </c>
      <c r="O469" s="24" t="s">
        <v>465</v>
      </c>
      <c r="P469" s="21"/>
      <c r="Q469" s="21"/>
      <c r="R469" s="26"/>
      <c r="S469" s="27">
        <v>2222.2199999999998</v>
      </c>
      <c r="T469" s="28" t="s">
        <v>27</v>
      </c>
      <c r="U469" s="28" t="s">
        <v>28</v>
      </c>
      <c r="V469" s="28" t="s">
        <v>29</v>
      </c>
      <c r="W469" s="28" t="s">
        <v>35</v>
      </c>
    </row>
    <row r="470" spans="1:23" ht="15" customHeight="1" x14ac:dyDescent="0.25">
      <c r="A470" s="28" t="s">
        <v>702</v>
      </c>
      <c r="B470" s="28" t="s">
        <v>694</v>
      </c>
      <c r="C470" s="20"/>
      <c r="D470" s="21"/>
      <c r="E470" s="34"/>
      <c r="F470" s="21">
        <v>5006978</v>
      </c>
      <c r="G470" s="21">
        <v>103036</v>
      </c>
      <c r="H470" s="21" t="s">
        <v>58</v>
      </c>
      <c r="I470" s="21" t="s">
        <v>23</v>
      </c>
      <c r="J470" s="21" t="s">
        <v>47</v>
      </c>
      <c r="K470" s="21">
        <v>722</v>
      </c>
      <c r="L470" s="29">
        <v>92</v>
      </c>
      <c r="M470" s="35" t="s">
        <v>720</v>
      </c>
      <c r="N470" s="24" t="s">
        <v>465</v>
      </c>
      <c r="O470" s="24" t="s">
        <v>465</v>
      </c>
      <c r="P470" s="21"/>
      <c r="Q470" s="21"/>
      <c r="R470" s="26"/>
      <c r="S470" s="27">
        <v>53950.16</v>
      </c>
      <c r="T470" s="28" t="s">
        <v>27</v>
      </c>
      <c r="U470" s="28" t="s">
        <v>28</v>
      </c>
      <c r="V470" s="28" t="s">
        <v>29</v>
      </c>
      <c r="W470" s="28" t="s">
        <v>60</v>
      </c>
    </row>
    <row r="471" spans="1:23" ht="15" customHeight="1" x14ac:dyDescent="0.25">
      <c r="A471" s="28" t="s">
        <v>702</v>
      </c>
      <c r="B471" s="28" t="s">
        <v>694</v>
      </c>
      <c r="C471" s="20"/>
      <c r="D471" s="21"/>
      <c r="E471" s="34"/>
      <c r="F471" s="21">
        <v>5173494</v>
      </c>
      <c r="G471" s="21">
        <v>185079</v>
      </c>
      <c r="H471" s="21" t="s">
        <v>547</v>
      </c>
      <c r="I471" s="21" t="s">
        <v>217</v>
      </c>
      <c r="J471" s="21" t="s">
        <v>596</v>
      </c>
      <c r="K471" s="21">
        <v>755</v>
      </c>
      <c r="L471" s="29">
        <v>93</v>
      </c>
      <c r="M471" s="35" t="s">
        <v>705</v>
      </c>
      <c r="N471" s="24" t="s">
        <v>465</v>
      </c>
      <c r="O471" s="24" t="s">
        <v>465</v>
      </c>
      <c r="P471" s="21"/>
      <c r="Q471" s="21"/>
      <c r="R471" s="26"/>
      <c r="S471" s="27">
        <v>402</v>
      </c>
      <c r="T471" s="28" t="s">
        <v>27</v>
      </c>
      <c r="U471" s="28" t="s">
        <v>50</v>
      </c>
      <c r="V471" s="28" t="s">
        <v>29</v>
      </c>
      <c r="W471" s="28" t="s">
        <v>60</v>
      </c>
    </row>
    <row r="472" spans="1:23" ht="15" customHeight="1" x14ac:dyDescent="0.25">
      <c r="A472" s="28" t="s">
        <v>702</v>
      </c>
      <c r="B472" s="28" t="s">
        <v>694</v>
      </c>
      <c r="C472" s="20"/>
      <c r="D472" s="21"/>
      <c r="E472" s="34"/>
      <c r="F472" s="21">
        <v>5131101</v>
      </c>
      <c r="G472" s="21">
        <v>167218</v>
      </c>
      <c r="H472" s="21" t="s">
        <v>164</v>
      </c>
      <c r="I472" s="21" t="s">
        <v>23</v>
      </c>
      <c r="J472" s="21">
        <v>6125</v>
      </c>
      <c r="K472" s="21">
        <v>692</v>
      </c>
      <c r="L472" s="29">
        <v>93</v>
      </c>
      <c r="M472" s="35" t="s">
        <v>706</v>
      </c>
      <c r="N472" s="24" t="s">
        <v>465</v>
      </c>
      <c r="O472" s="24" t="s">
        <v>465</v>
      </c>
      <c r="P472" s="21"/>
      <c r="Q472" s="21"/>
      <c r="R472" s="26"/>
      <c r="S472" s="27">
        <v>826.54</v>
      </c>
      <c r="T472" s="28" t="s">
        <v>27</v>
      </c>
      <c r="U472" s="28" t="s">
        <v>28</v>
      </c>
      <c r="V472" s="28" t="s">
        <v>29</v>
      </c>
      <c r="W472" s="28" t="s">
        <v>60</v>
      </c>
    </row>
    <row r="473" spans="1:23" ht="15" customHeight="1" x14ac:dyDescent="0.25">
      <c r="A473" s="28" t="s">
        <v>702</v>
      </c>
      <c r="B473" s="28" t="s">
        <v>694</v>
      </c>
      <c r="C473" s="20"/>
      <c r="D473" s="21"/>
      <c r="E473" s="34"/>
      <c r="F473" s="21">
        <v>5109682</v>
      </c>
      <c r="G473" s="21">
        <v>128100</v>
      </c>
      <c r="H473" s="21" t="s">
        <v>88</v>
      </c>
      <c r="I473" s="21" t="s">
        <v>23</v>
      </c>
      <c r="J473" s="21">
        <v>6125</v>
      </c>
      <c r="K473" s="21">
        <v>692</v>
      </c>
      <c r="L473" s="29">
        <v>93</v>
      </c>
      <c r="M473" s="35" t="s">
        <v>707</v>
      </c>
      <c r="N473" s="24" t="s">
        <v>465</v>
      </c>
      <c r="O473" s="24" t="s">
        <v>465</v>
      </c>
      <c r="P473" s="21"/>
      <c r="Q473" s="21"/>
      <c r="R473" s="26"/>
      <c r="S473" s="27">
        <v>10000</v>
      </c>
      <c r="T473" s="28" t="s">
        <v>27</v>
      </c>
      <c r="U473" s="28" t="s">
        <v>28</v>
      </c>
      <c r="V473" s="28" t="s">
        <v>29</v>
      </c>
      <c r="W473" s="28" t="s">
        <v>60</v>
      </c>
    </row>
    <row r="474" spans="1:23" ht="15" customHeight="1" x14ac:dyDescent="0.25">
      <c r="A474" s="28" t="s">
        <v>702</v>
      </c>
      <c r="B474" s="28" t="s">
        <v>694</v>
      </c>
      <c r="C474" s="20"/>
      <c r="D474" s="21"/>
      <c r="E474" s="34"/>
      <c r="F474" s="21">
        <v>5023831</v>
      </c>
      <c r="G474" s="21">
        <v>126676</v>
      </c>
      <c r="H474" s="21" t="s">
        <v>22</v>
      </c>
      <c r="I474" s="21" t="s">
        <v>23</v>
      </c>
      <c r="J474" s="21">
        <v>6125</v>
      </c>
      <c r="K474" s="21">
        <v>692</v>
      </c>
      <c r="L474" s="29">
        <v>93</v>
      </c>
      <c r="M474" s="35" t="s">
        <v>708</v>
      </c>
      <c r="N474" s="24" t="s">
        <v>465</v>
      </c>
      <c r="O474" s="24" t="s">
        <v>465</v>
      </c>
      <c r="P474" s="21"/>
      <c r="Q474" s="21"/>
      <c r="R474" s="26"/>
      <c r="S474" s="27">
        <v>2040</v>
      </c>
      <c r="T474" s="28" t="s">
        <v>27</v>
      </c>
      <c r="U474" s="28" t="s">
        <v>28</v>
      </c>
      <c r="V474" s="28" t="s">
        <v>29</v>
      </c>
      <c r="W474" s="28" t="s">
        <v>60</v>
      </c>
    </row>
    <row r="475" spans="1:23" ht="15" customHeight="1" x14ac:dyDescent="0.25">
      <c r="A475" s="28" t="s">
        <v>702</v>
      </c>
      <c r="B475" s="28" t="s">
        <v>694</v>
      </c>
      <c r="C475" s="20"/>
      <c r="D475" s="21"/>
      <c r="E475" s="34"/>
      <c r="F475" s="21">
        <v>5015279</v>
      </c>
      <c r="G475" s="21">
        <v>180836</v>
      </c>
      <c r="H475" s="21" t="s">
        <v>709</v>
      </c>
      <c r="I475" s="21" t="s">
        <v>483</v>
      </c>
      <c r="J475" s="21" t="s">
        <v>218</v>
      </c>
      <c r="K475" s="21">
        <v>193</v>
      </c>
      <c r="L475" s="29">
        <v>93</v>
      </c>
      <c r="M475" s="35" t="s">
        <v>710</v>
      </c>
      <c r="N475" s="24" t="s">
        <v>465</v>
      </c>
      <c r="O475" s="24" t="s">
        <v>465</v>
      </c>
      <c r="P475" s="21"/>
      <c r="Q475" s="21"/>
      <c r="R475" s="26"/>
      <c r="S475" s="27">
        <v>500</v>
      </c>
      <c r="T475" s="28" t="s">
        <v>27</v>
      </c>
      <c r="U475" s="28" t="s">
        <v>28</v>
      </c>
      <c r="V475" s="28" t="s">
        <v>29</v>
      </c>
      <c r="W475" s="28" t="s">
        <v>35</v>
      </c>
    </row>
    <row r="476" spans="1:23" ht="15" customHeight="1" x14ac:dyDescent="0.25">
      <c r="A476" s="28" t="s">
        <v>702</v>
      </c>
      <c r="B476" s="28" t="s">
        <v>694</v>
      </c>
      <c r="C476" s="20"/>
      <c r="D476" s="21"/>
      <c r="E476" s="34"/>
      <c r="F476" s="36" t="s">
        <v>711</v>
      </c>
      <c r="G476" s="21">
        <v>108630</v>
      </c>
      <c r="H476" s="21" t="s">
        <v>712</v>
      </c>
      <c r="I476" s="21" t="s">
        <v>217</v>
      </c>
      <c r="J476" s="21" t="s">
        <v>218</v>
      </c>
      <c r="K476" s="21">
        <v>195</v>
      </c>
      <c r="L476" s="29">
        <v>92</v>
      </c>
      <c r="M476" s="35" t="s">
        <v>713</v>
      </c>
      <c r="N476" s="24" t="s">
        <v>465</v>
      </c>
      <c r="O476" s="24" t="s">
        <v>465</v>
      </c>
      <c r="P476" s="21"/>
      <c r="Q476" s="21"/>
      <c r="R476" s="26"/>
      <c r="S476" s="27">
        <v>11000</v>
      </c>
      <c r="T476" s="28" t="s">
        <v>27</v>
      </c>
      <c r="U476" s="28" t="s">
        <v>28</v>
      </c>
      <c r="V476" s="28" t="s">
        <v>29</v>
      </c>
      <c r="W476" s="28" t="s">
        <v>52</v>
      </c>
    </row>
    <row r="477" spans="1:23" ht="15" customHeight="1" x14ac:dyDescent="0.25">
      <c r="A477" s="28" t="s">
        <v>702</v>
      </c>
      <c r="B477" s="28" t="s">
        <v>694</v>
      </c>
      <c r="C477" s="20"/>
      <c r="D477" s="21"/>
      <c r="E477" s="34"/>
      <c r="F477" s="21">
        <v>5023831</v>
      </c>
      <c r="G477" s="21">
        <v>126676</v>
      </c>
      <c r="H477" s="21" t="s">
        <v>22</v>
      </c>
      <c r="I477" s="21" t="s">
        <v>23</v>
      </c>
      <c r="J477" s="21">
        <v>6125</v>
      </c>
      <c r="K477" s="21">
        <v>692</v>
      </c>
      <c r="L477" s="29">
        <v>93</v>
      </c>
      <c r="M477" s="35" t="s">
        <v>714</v>
      </c>
      <c r="N477" s="24" t="s">
        <v>465</v>
      </c>
      <c r="O477" s="24" t="s">
        <v>465</v>
      </c>
      <c r="P477" s="21"/>
      <c r="Q477" s="21"/>
      <c r="R477" s="26"/>
      <c r="S477" s="27">
        <v>1112.4100000000001</v>
      </c>
      <c r="T477" s="28" t="s">
        <v>27</v>
      </c>
      <c r="U477" s="28" t="s">
        <v>28</v>
      </c>
      <c r="V477" s="28" t="s">
        <v>29</v>
      </c>
      <c r="W477" s="28" t="s">
        <v>60</v>
      </c>
    </row>
    <row r="478" spans="1:23" ht="15" customHeight="1" x14ac:dyDescent="0.25">
      <c r="A478" s="28" t="s">
        <v>702</v>
      </c>
      <c r="B478" s="28" t="s">
        <v>694</v>
      </c>
      <c r="C478" s="20"/>
      <c r="D478" s="21"/>
      <c r="E478" s="34"/>
      <c r="F478" s="21">
        <v>5118346</v>
      </c>
      <c r="G478" s="21">
        <v>143232</v>
      </c>
      <c r="H478" s="21" t="s">
        <v>237</v>
      </c>
      <c r="I478" s="21" t="s">
        <v>23</v>
      </c>
      <c r="J478" s="21" t="s">
        <v>618</v>
      </c>
      <c r="K478" s="21">
        <v>192</v>
      </c>
      <c r="L478" s="29">
        <v>93</v>
      </c>
      <c r="M478" s="35" t="s">
        <v>715</v>
      </c>
      <c r="N478" s="24" t="s">
        <v>465</v>
      </c>
      <c r="O478" s="24" t="s">
        <v>465</v>
      </c>
      <c r="P478" s="21"/>
      <c r="Q478" s="21"/>
      <c r="R478" s="26"/>
      <c r="S478" s="27">
        <v>2005.49</v>
      </c>
      <c r="T478" s="28" t="s">
        <v>27</v>
      </c>
      <c r="U478" s="28" t="s">
        <v>28</v>
      </c>
      <c r="V478" s="28" t="s">
        <v>29</v>
      </c>
      <c r="W478" s="28" t="s">
        <v>60</v>
      </c>
    </row>
    <row r="479" spans="1:23" ht="15" customHeight="1" x14ac:dyDescent="0.25">
      <c r="A479" s="28" t="s">
        <v>702</v>
      </c>
      <c r="B479" s="28" t="s">
        <v>694</v>
      </c>
      <c r="C479" s="20"/>
      <c r="D479" s="21"/>
      <c r="E479" s="34"/>
      <c r="F479" s="21">
        <v>5004685</v>
      </c>
      <c r="G479" s="21">
        <v>110434</v>
      </c>
      <c r="H479" s="21" t="s">
        <v>116</v>
      </c>
      <c r="I479" s="21" t="s">
        <v>23</v>
      </c>
      <c r="J479" s="21" t="s">
        <v>618</v>
      </c>
      <c r="K479" s="21">
        <v>192</v>
      </c>
      <c r="L479" s="29">
        <v>92</v>
      </c>
      <c r="M479" s="35" t="s">
        <v>716</v>
      </c>
      <c r="N479" s="24" t="s">
        <v>465</v>
      </c>
      <c r="O479" s="24" t="s">
        <v>465</v>
      </c>
      <c r="P479" s="21"/>
      <c r="Q479" s="21"/>
      <c r="R479" s="26"/>
      <c r="S479" s="27">
        <v>14135.49</v>
      </c>
      <c r="T479" s="28" t="s">
        <v>27</v>
      </c>
      <c r="U479" s="28" t="s">
        <v>28</v>
      </c>
      <c r="V479" s="28" t="s">
        <v>29</v>
      </c>
      <c r="W479" s="28" t="s">
        <v>338</v>
      </c>
    </row>
    <row r="480" spans="1:23" ht="15" customHeight="1" x14ac:dyDescent="0.25">
      <c r="A480" s="28" t="s">
        <v>702</v>
      </c>
      <c r="B480" s="28" t="s">
        <v>694</v>
      </c>
      <c r="C480" s="20"/>
      <c r="D480" s="21"/>
      <c r="E480" s="34"/>
      <c r="F480" s="36" t="s">
        <v>721</v>
      </c>
      <c r="G480" s="21">
        <v>193277</v>
      </c>
      <c r="H480" s="21" t="s">
        <v>351</v>
      </c>
      <c r="I480" s="21" t="s">
        <v>71</v>
      </c>
      <c r="J480" s="21" t="s">
        <v>72</v>
      </c>
      <c r="K480" s="21">
        <v>186</v>
      </c>
      <c r="L480" s="29">
        <v>92</v>
      </c>
      <c r="M480" s="35" t="s">
        <v>722</v>
      </c>
      <c r="N480" s="24" t="s">
        <v>465</v>
      </c>
      <c r="O480" s="24" t="s">
        <v>465</v>
      </c>
      <c r="P480" s="21"/>
      <c r="Q480" s="21"/>
      <c r="R480" s="26"/>
      <c r="S480" s="27">
        <v>1500</v>
      </c>
      <c r="T480" s="28" t="s">
        <v>27</v>
      </c>
      <c r="U480" s="28" t="s">
        <v>28</v>
      </c>
      <c r="V480" s="28" t="s">
        <v>29</v>
      </c>
      <c r="W480" s="28" t="s">
        <v>60</v>
      </c>
    </row>
    <row r="481" spans="1:23" ht="15" customHeight="1" x14ac:dyDescent="0.25">
      <c r="A481" s="28" t="s">
        <v>702</v>
      </c>
      <c r="B481" s="28" t="s">
        <v>694</v>
      </c>
      <c r="C481" s="20"/>
      <c r="D481" s="21"/>
      <c r="E481" s="34"/>
      <c r="F481" s="36" t="s">
        <v>721</v>
      </c>
      <c r="G481" s="21">
        <v>193277</v>
      </c>
      <c r="H481" s="21" t="s">
        <v>351</v>
      </c>
      <c r="I481" s="21" t="s">
        <v>71</v>
      </c>
      <c r="J481" s="21" t="s">
        <v>72</v>
      </c>
      <c r="K481" s="21">
        <v>186</v>
      </c>
      <c r="L481" s="29">
        <v>92</v>
      </c>
      <c r="M481" s="35" t="s">
        <v>723</v>
      </c>
      <c r="N481" s="24" t="s">
        <v>465</v>
      </c>
      <c r="O481" s="24" t="s">
        <v>465</v>
      </c>
      <c r="P481" s="21"/>
      <c r="Q481" s="21"/>
      <c r="R481" s="26"/>
      <c r="S481" s="27">
        <v>657.82</v>
      </c>
      <c r="T481" s="28" t="s">
        <v>27</v>
      </c>
      <c r="U481" s="28" t="s">
        <v>28</v>
      </c>
      <c r="V481" s="28" t="s">
        <v>29</v>
      </c>
      <c r="W481" s="28" t="s">
        <v>126</v>
      </c>
    </row>
    <row r="482" spans="1:23" ht="15" customHeight="1" x14ac:dyDescent="0.25">
      <c r="A482" s="28" t="s">
        <v>702</v>
      </c>
      <c r="B482" s="28" t="s">
        <v>694</v>
      </c>
      <c r="C482" s="20"/>
      <c r="D482" s="21"/>
      <c r="E482" s="34"/>
      <c r="F482" s="21">
        <v>5159222</v>
      </c>
      <c r="G482" s="21">
        <v>143312</v>
      </c>
      <c r="H482" s="21" t="s">
        <v>184</v>
      </c>
      <c r="I482" s="21" t="s">
        <v>71</v>
      </c>
      <c r="J482" s="21" t="s">
        <v>72</v>
      </c>
      <c r="K482" s="21">
        <v>186</v>
      </c>
      <c r="L482" s="29">
        <v>92</v>
      </c>
      <c r="M482" s="35" t="s">
        <v>724</v>
      </c>
      <c r="N482" s="24" t="s">
        <v>465</v>
      </c>
      <c r="O482" s="24" t="s">
        <v>465</v>
      </c>
      <c r="P482" s="21"/>
      <c r="Q482" s="21"/>
      <c r="R482" s="26"/>
      <c r="S482" s="27">
        <v>1460</v>
      </c>
      <c r="T482" s="28" t="s">
        <v>27</v>
      </c>
      <c r="U482" s="28" t="s">
        <v>28</v>
      </c>
      <c r="V482" s="28" t="s">
        <v>29</v>
      </c>
      <c r="W482" s="28" t="s">
        <v>126</v>
      </c>
    </row>
    <row r="483" spans="1:23" ht="15" customHeight="1" x14ac:dyDescent="0.25">
      <c r="A483" s="28" t="s">
        <v>702</v>
      </c>
      <c r="B483" s="28" t="s">
        <v>694</v>
      </c>
      <c r="C483" s="20"/>
      <c r="D483" s="21"/>
      <c r="E483" s="34"/>
      <c r="F483" s="21">
        <v>5159289</v>
      </c>
      <c r="G483" s="21">
        <v>143188</v>
      </c>
      <c r="H483" s="21" t="s">
        <v>725</v>
      </c>
      <c r="I483" s="21" t="s">
        <v>23</v>
      </c>
      <c r="J483" s="21" t="s">
        <v>618</v>
      </c>
      <c r="K483" s="21">
        <v>192</v>
      </c>
      <c r="L483" s="29">
        <v>93</v>
      </c>
      <c r="M483" s="35" t="s">
        <v>726</v>
      </c>
      <c r="N483" s="24" t="s">
        <v>465</v>
      </c>
      <c r="O483" s="24" t="s">
        <v>465</v>
      </c>
      <c r="P483" s="21"/>
      <c r="Q483" s="21"/>
      <c r="R483" s="26"/>
      <c r="S483" s="27">
        <v>420</v>
      </c>
      <c r="T483" s="28" t="s">
        <v>27</v>
      </c>
      <c r="U483" s="28" t="s">
        <v>28</v>
      </c>
      <c r="V483" s="28" t="s">
        <v>29</v>
      </c>
      <c r="W483" s="28" t="s">
        <v>338</v>
      </c>
    </row>
    <row r="484" spans="1:23" ht="15" customHeight="1" x14ac:dyDescent="0.25">
      <c r="A484" s="28" t="s">
        <v>702</v>
      </c>
      <c r="B484" s="28" t="s">
        <v>694</v>
      </c>
      <c r="C484" s="20"/>
      <c r="D484" s="21"/>
      <c r="E484" s="34"/>
      <c r="F484" s="21">
        <v>5015298</v>
      </c>
      <c r="G484" s="21"/>
      <c r="H484" s="21" t="s">
        <v>727</v>
      </c>
      <c r="I484" s="21" t="s">
        <v>483</v>
      </c>
      <c r="J484" s="21" t="s">
        <v>218</v>
      </c>
      <c r="K484" s="21">
        <v>193</v>
      </c>
      <c r="L484" s="29">
        <v>92</v>
      </c>
      <c r="M484" s="35" t="s">
        <v>728</v>
      </c>
      <c r="N484" s="24" t="s">
        <v>465</v>
      </c>
      <c r="O484" s="24" t="s">
        <v>465</v>
      </c>
      <c r="P484" s="21"/>
      <c r="Q484" s="21"/>
      <c r="R484" s="26"/>
      <c r="S484" s="27">
        <v>800</v>
      </c>
      <c r="T484" s="28" t="s">
        <v>27</v>
      </c>
      <c r="U484" s="28" t="s">
        <v>28</v>
      </c>
      <c r="V484" s="28" t="s">
        <v>29</v>
      </c>
      <c r="W484" s="28" t="s">
        <v>60</v>
      </c>
    </row>
    <row r="485" spans="1:23" ht="15" customHeight="1" x14ac:dyDescent="0.25">
      <c r="A485" s="28" t="s">
        <v>702</v>
      </c>
      <c r="B485" s="28" t="s">
        <v>694</v>
      </c>
      <c r="C485" s="20"/>
      <c r="D485" s="21"/>
      <c r="E485" s="34"/>
      <c r="F485" s="21">
        <v>5162285</v>
      </c>
      <c r="G485" s="21">
        <v>164437</v>
      </c>
      <c r="H485" s="21" t="s">
        <v>729</v>
      </c>
      <c r="I485" s="21" t="s">
        <v>217</v>
      </c>
      <c r="J485" s="21" t="s">
        <v>596</v>
      </c>
      <c r="K485" s="21">
        <v>755</v>
      </c>
      <c r="L485" s="29">
        <v>93</v>
      </c>
      <c r="M485" s="35" t="s">
        <v>730</v>
      </c>
      <c r="N485" s="24" t="s">
        <v>465</v>
      </c>
      <c r="O485" s="24" t="s">
        <v>465</v>
      </c>
      <c r="P485" s="21"/>
      <c r="Q485" s="21"/>
      <c r="R485" s="26"/>
      <c r="S485" s="27">
        <v>652</v>
      </c>
      <c r="T485" s="28" t="s">
        <v>27</v>
      </c>
      <c r="U485" s="28" t="s">
        <v>50</v>
      </c>
      <c r="V485" s="28" t="s">
        <v>29</v>
      </c>
      <c r="W485" s="28" t="s">
        <v>60</v>
      </c>
    </row>
  </sheetData>
  <autoFilter ref="A1:W477" xr:uid="{98AA0BDE-E6C8-4B65-9542-F70F3610FBA9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 ACORDOS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2026-03-30T17:17:24Z</dcterms:created>
  <dcterms:modified xsi:type="dcterms:W3CDTF">2026-10-26T13:46:54Z</dcterms:modified>
</cp:coreProperties>
</file>