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urano\Setor_Area\Exportação\Institucional e Food Service\INTELIGÊNCIA COMERCIAL\Histórico e PVG 2025\ATUALIZAÇÃO APP\"/>
    </mc:Choice>
  </mc:AlternateContent>
  <xr:revisionPtr revIDLastSave="0" documentId="14_{F11725C7-C092-40EC-80FD-58E2C0354EA2}" xr6:coauthVersionLast="47" xr6:coauthVersionMax="47" xr10:uidLastSave="{00000000-0000-0000-0000-000000000000}"/>
  <bookViews>
    <workbookView xWindow="-108" yWindow="-108" windowWidth="23256" windowHeight="12456" xr2:uid="{26CED4ED-5781-4158-9309-97F3C42298B0}"/>
  </bookViews>
  <sheets>
    <sheet name="BASE ACORDOS" sheetId="1" r:id="rId1"/>
  </sheets>
  <externalReferences>
    <externalReference r:id="rId2"/>
  </externalReferences>
  <definedNames>
    <definedName name="_xlnm._FilterDatabase" localSheetId="0" hidden="1">'BASE ACORDOS'!$A$1:$W$475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4" i="1" l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R246" i="1"/>
  <c r="Q246" i="1"/>
  <c r="P246" i="1"/>
  <c r="A246" i="1"/>
  <c r="R245" i="1"/>
  <c r="Q245" i="1"/>
  <c r="P245" i="1"/>
  <c r="A245" i="1"/>
  <c r="R244" i="1"/>
  <c r="Q244" i="1"/>
  <c r="P244" i="1"/>
  <c r="A244" i="1"/>
  <c r="R243" i="1"/>
  <c r="Q243" i="1"/>
  <c r="P243" i="1"/>
  <c r="A243" i="1"/>
  <c r="R242" i="1"/>
  <c r="Q242" i="1"/>
  <c r="P242" i="1"/>
  <c r="A242" i="1"/>
  <c r="R241" i="1"/>
  <c r="Q241" i="1"/>
  <c r="P241" i="1"/>
  <c r="A241" i="1"/>
  <c r="R240" i="1"/>
  <c r="Q240" i="1"/>
  <c r="P240" i="1"/>
  <c r="A240" i="1"/>
  <c r="R239" i="1"/>
  <c r="Q239" i="1"/>
  <c r="P239" i="1"/>
  <c r="A239" i="1"/>
  <c r="R238" i="1"/>
  <c r="Q238" i="1"/>
  <c r="P238" i="1"/>
  <c r="A238" i="1"/>
  <c r="R237" i="1"/>
  <c r="Q237" i="1"/>
  <c r="P237" i="1"/>
  <c r="A237" i="1"/>
  <c r="R236" i="1"/>
  <c r="Q236" i="1"/>
  <c r="P236" i="1"/>
  <c r="A236" i="1"/>
  <c r="R235" i="1"/>
  <c r="Q235" i="1"/>
  <c r="P235" i="1"/>
  <c r="A235" i="1"/>
  <c r="R234" i="1"/>
  <c r="Q234" i="1"/>
  <c r="P234" i="1"/>
  <c r="A234" i="1"/>
  <c r="R233" i="1"/>
  <c r="Q233" i="1"/>
  <c r="P233" i="1"/>
  <c r="A233" i="1"/>
  <c r="R232" i="1"/>
  <c r="Q232" i="1"/>
  <c r="P232" i="1"/>
  <c r="A232" i="1"/>
  <c r="R231" i="1"/>
  <c r="Q231" i="1"/>
  <c r="P231" i="1"/>
  <c r="A231" i="1"/>
  <c r="R230" i="1"/>
  <c r="Q230" i="1"/>
  <c r="P230" i="1"/>
  <c r="A230" i="1"/>
  <c r="R229" i="1"/>
  <c r="Q229" i="1"/>
  <c r="P229" i="1"/>
  <c r="A229" i="1"/>
  <c r="R228" i="1"/>
  <c r="Q228" i="1"/>
  <c r="P228" i="1"/>
  <c r="A228" i="1"/>
  <c r="R227" i="1"/>
  <c r="Q227" i="1"/>
  <c r="P227" i="1"/>
  <c r="A227" i="1"/>
  <c r="R226" i="1"/>
  <c r="Q226" i="1"/>
  <c r="P226" i="1"/>
  <c r="A226" i="1"/>
  <c r="R225" i="1"/>
  <c r="Q225" i="1"/>
  <c r="P225" i="1"/>
  <c r="A225" i="1"/>
  <c r="R224" i="1"/>
  <c r="Q224" i="1"/>
  <c r="P224" i="1"/>
  <c r="A224" i="1"/>
  <c r="R223" i="1"/>
  <c r="Q223" i="1"/>
  <c r="P223" i="1"/>
  <c r="A223" i="1"/>
  <c r="R222" i="1"/>
  <c r="Q222" i="1"/>
  <c r="P222" i="1"/>
  <c r="A222" i="1"/>
  <c r="R221" i="1"/>
  <c r="Q221" i="1"/>
  <c r="P221" i="1"/>
  <c r="A221" i="1"/>
  <c r="R220" i="1"/>
  <c r="Q220" i="1"/>
  <c r="P220" i="1"/>
  <c r="A220" i="1"/>
  <c r="R219" i="1"/>
  <c r="Q219" i="1"/>
  <c r="P219" i="1"/>
  <c r="A219" i="1"/>
  <c r="R218" i="1"/>
  <c r="Q218" i="1"/>
  <c r="P218" i="1"/>
  <c r="A218" i="1"/>
  <c r="R217" i="1"/>
  <c r="Q217" i="1"/>
  <c r="P217" i="1"/>
  <c r="A217" i="1"/>
  <c r="R216" i="1"/>
  <c r="Q216" i="1"/>
  <c r="P216" i="1"/>
  <c r="A216" i="1"/>
  <c r="R215" i="1"/>
  <c r="Q215" i="1"/>
  <c r="P215" i="1"/>
  <c r="A215" i="1"/>
  <c r="R214" i="1"/>
  <c r="Q214" i="1"/>
  <c r="P214" i="1"/>
  <c r="A214" i="1"/>
  <c r="R213" i="1"/>
  <c r="Q213" i="1"/>
  <c r="P213" i="1"/>
  <c r="A213" i="1"/>
  <c r="R212" i="1"/>
  <c r="Q212" i="1"/>
  <c r="P212" i="1"/>
  <c r="A212" i="1"/>
  <c r="R211" i="1"/>
  <c r="Q211" i="1"/>
  <c r="P211" i="1"/>
  <c r="A211" i="1"/>
  <c r="R210" i="1"/>
  <c r="Q210" i="1"/>
  <c r="P210" i="1"/>
  <c r="A210" i="1"/>
  <c r="R209" i="1"/>
  <c r="Q209" i="1"/>
  <c r="P209" i="1"/>
  <c r="A209" i="1"/>
  <c r="R208" i="1"/>
  <c r="Q208" i="1"/>
  <c r="P208" i="1"/>
  <c r="A208" i="1"/>
  <c r="R207" i="1"/>
  <c r="Q207" i="1"/>
  <c r="P207" i="1"/>
  <c r="A207" i="1"/>
  <c r="R206" i="1"/>
  <c r="Q206" i="1"/>
  <c r="P206" i="1"/>
  <c r="A206" i="1"/>
  <c r="R205" i="1"/>
  <c r="Q205" i="1"/>
  <c r="P205" i="1"/>
  <c r="A205" i="1"/>
  <c r="R204" i="1"/>
  <c r="Q204" i="1"/>
  <c r="P204" i="1"/>
  <c r="A204" i="1"/>
  <c r="R203" i="1"/>
  <c r="Q203" i="1"/>
  <c r="P203" i="1"/>
  <c r="A203" i="1"/>
  <c r="R202" i="1"/>
  <c r="Q202" i="1"/>
  <c r="P202" i="1"/>
  <c r="A202" i="1"/>
  <c r="R201" i="1"/>
  <c r="Q201" i="1"/>
  <c r="P201" i="1"/>
  <c r="A201" i="1"/>
  <c r="R200" i="1"/>
  <c r="Q200" i="1"/>
  <c r="P200" i="1"/>
  <c r="A200" i="1"/>
  <c r="R199" i="1"/>
  <c r="Q199" i="1"/>
  <c r="P199" i="1"/>
  <c r="A199" i="1"/>
  <c r="R198" i="1"/>
  <c r="Q198" i="1"/>
  <c r="P198" i="1"/>
  <c r="A198" i="1"/>
  <c r="R197" i="1"/>
  <c r="Q197" i="1"/>
  <c r="P197" i="1"/>
  <c r="A197" i="1"/>
  <c r="R196" i="1"/>
  <c r="Q196" i="1"/>
  <c r="P196" i="1"/>
  <c r="A196" i="1"/>
  <c r="R195" i="1"/>
  <c r="Q195" i="1"/>
  <c r="P195" i="1"/>
  <c r="A195" i="1"/>
  <c r="R194" i="1"/>
  <c r="Q194" i="1"/>
  <c r="P194" i="1"/>
  <c r="A194" i="1"/>
  <c r="R193" i="1"/>
  <c r="Q193" i="1"/>
  <c r="P193" i="1"/>
  <c r="A193" i="1"/>
  <c r="R192" i="1"/>
  <c r="Q192" i="1"/>
  <c r="P192" i="1"/>
  <c r="A192" i="1"/>
  <c r="R191" i="1"/>
  <c r="Q191" i="1"/>
  <c r="P191" i="1"/>
  <c r="A191" i="1"/>
  <c r="R190" i="1"/>
  <c r="Q190" i="1"/>
  <c r="P190" i="1"/>
  <c r="A190" i="1"/>
  <c r="R189" i="1"/>
  <c r="Q189" i="1"/>
  <c r="P189" i="1"/>
  <c r="A189" i="1"/>
  <c r="R188" i="1"/>
  <c r="Q188" i="1"/>
  <c r="P188" i="1"/>
  <c r="A188" i="1"/>
  <c r="R187" i="1"/>
  <c r="Q187" i="1"/>
  <c r="P187" i="1"/>
  <c r="A187" i="1"/>
  <c r="R186" i="1"/>
  <c r="Q186" i="1"/>
  <c r="P186" i="1"/>
  <c r="A186" i="1"/>
  <c r="R185" i="1"/>
  <c r="Q185" i="1"/>
  <c r="P185" i="1"/>
  <c r="A185" i="1"/>
  <c r="R184" i="1"/>
  <c r="Q184" i="1"/>
  <c r="P184" i="1"/>
  <c r="A184" i="1"/>
  <c r="R183" i="1"/>
  <c r="Q183" i="1"/>
  <c r="P183" i="1"/>
  <c r="A183" i="1"/>
  <c r="R182" i="1"/>
  <c r="Q182" i="1"/>
  <c r="P182" i="1"/>
  <c r="A182" i="1"/>
  <c r="R181" i="1"/>
  <c r="Q181" i="1"/>
  <c r="P181" i="1"/>
  <c r="A181" i="1"/>
  <c r="R180" i="1"/>
  <c r="Q180" i="1"/>
  <c r="P180" i="1"/>
  <c r="A180" i="1"/>
  <c r="R179" i="1"/>
  <c r="Q179" i="1"/>
  <c r="P179" i="1"/>
  <c r="A179" i="1"/>
  <c r="R178" i="1"/>
  <c r="Q178" i="1"/>
  <c r="P178" i="1"/>
  <c r="A178" i="1"/>
  <c r="R177" i="1"/>
  <c r="Q177" i="1"/>
  <c r="P177" i="1"/>
  <c r="A177" i="1"/>
  <c r="R176" i="1"/>
  <c r="Q176" i="1"/>
  <c r="P176" i="1"/>
  <c r="A176" i="1"/>
  <c r="R175" i="1"/>
  <c r="Q175" i="1"/>
  <c r="P175" i="1"/>
  <c r="A175" i="1"/>
  <c r="R174" i="1"/>
  <c r="Q174" i="1"/>
  <c r="P174" i="1"/>
  <c r="A174" i="1"/>
  <c r="R173" i="1"/>
  <c r="Q173" i="1"/>
  <c r="P173" i="1"/>
  <c r="A173" i="1"/>
  <c r="R172" i="1"/>
  <c r="Q172" i="1"/>
  <c r="P172" i="1"/>
  <c r="A172" i="1"/>
  <c r="R171" i="1"/>
  <c r="Q171" i="1"/>
  <c r="P171" i="1"/>
  <c r="A171" i="1"/>
  <c r="R170" i="1"/>
  <c r="Q170" i="1"/>
  <c r="P170" i="1"/>
  <c r="A170" i="1"/>
  <c r="R169" i="1"/>
  <c r="Q169" i="1"/>
  <c r="P169" i="1"/>
  <c r="A169" i="1"/>
  <c r="R168" i="1"/>
  <c r="Q168" i="1"/>
  <c r="P168" i="1"/>
  <c r="A168" i="1"/>
  <c r="R167" i="1"/>
  <c r="Q167" i="1"/>
  <c r="P167" i="1"/>
  <c r="A167" i="1"/>
  <c r="R166" i="1"/>
  <c r="Q166" i="1"/>
  <c r="P166" i="1"/>
  <c r="A166" i="1"/>
  <c r="R165" i="1"/>
  <c r="Q165" i="1"/>
  <c r="P165" i="1"/>
  <c r="A165" i="1"/>
  <c r="R164" i="1"/>
  <c r="Q164" i="1"/>
  <c r="P164" i="1"/>
  <c r="A164" i="1"/>
  <c r="R163" i="1"/>
  <c r="Q163" i="1"/>
  <c r="P163" i="1"/>
  <c r="A163" i="1"/>
  <c r="R162" i="1"/>
  <c r="Q162" i="1"/>
  <c r="P162" i="1"/>
  <c r="A162" i="1"/>
  <c r="R161" i="1"/>
  <c r="Q161" i="1"/>
  <c r="P161" i="1"/>
  <c r="A161" i="1"/>
  <c r="R160" i="1"/>
  <c r="Q160" i="1"/>
  <c r="P160" i="1"/>
  <c r="A160" i="1"/>
  <c r="R159" i="1"/>
  <c r="Q159" i="1"/>
  <c r="P159" i="1"/>
  <c r="A159" i="1"/>
  <c r="R158" i="1"/>
  <c r="Q158" i="1"/>
  <c r="P158" i="1"/>
  <c r="A158" i="1"/>
  <c r="R157" i="1"/>
  <c r="Q157" i="1"/>
  <c r="P157" i="1"/>
  <c r="A157" i="1"/>
  <c r="R156" i="1"/>
  <c r="Q156" i="1"/>
  <c r="P156" i="1"/>
  <c r="A156" i="1"/>
  <c r="R155" i="1"/>
  <c r="Q155" i="1"/>
  <c r="P155" i="1"/>
  <c r="A155" i="1"/>
  <c r="R154" i="1"/>
  <c r="Q154" i="1"/>
  <c r="P154" i="1"/>
  <c r="A154" i="1"/>
  <c r="R153" i="1"/>
  <c r="Q153" i="1"/>
  <c r="P153" i="1"/>
  <c r="A153" i="1"/>
  <c r="R152" i="1"/>
  <c r="Q152" i="1"/>
  <c r="P152" i="1"/>
  <c r="A152" i="1"/>
  <c r="R151" i="1"/>
  <c r="Q151" i="1"/>
  <c r="P151" i="1"/>
  <c r="A151" i="1"/>
  <c r="R150" i="1"/>
  <c r="Q150" i="1"/>
  <c r="P150" i="1"/>
  <c r="A150" i="1"/>
  <c r="R149" i="1"/>
  <c r="Q149" i="1"/>
  <c r="P149" i="1"/>
  <c r="A149" i="1"/>
  <c r="R148" i="1"/>
  <c r="Q148" i="1"/>
  <c r="P148" i="1"/>
  <c r="A148" i="1"/>
  <c r="R147" i="1"/>
  <c r="Q147" i="1"/>
  <c r="P147" i="1"/>
  <c r="A147" i="1"/>
  <c r="R146" i="1"/>
  <c r="Q146" i="1"/>
  <c r="P146" i="1"/>
  <c r="A146" i="1"/>
  <c r="R145" i="1"/>
  <c r="Q145" i="1"/>
  <c r="P145" i="1"/>
  <c r="A145" i="1"/>
  <c r="R144" i="1"/>
  <c r="Q144" i="1"/>
  <c r="P144" i="1"/>
  <c r="A144" i="1"/>
  <c r="R143" i="1"/>
  <c r="Q143" i="1"/>
  <c r="P143" i="1"/>
  <c r="A143" i="1"/>
  <c r="R142" i="1"/>
  <c r="Q142" i="1"/>
  <c r="P142" i="1"/>
  <c r="A142" i="1"/>
  <c r="R141" i="1"/>
  <c r="Q141" i="1"/>
  <c r="P141" i="1"/>
  <c r="A141" i="1"/>
  <c r="R140" i="1"/>
  <c r="Q140" i="1"/>
  <c r="P140" i="1"/>
  <c r="A140" i="1"/>
  <c r="R139" i="1"/>
  <c r="Q139" i="1"/>
  <c r="P139" i="1"/>
  <c r="A139" i="1"/>
  <c r="R138" i="1"/>
  <c r="Q138" i="1"/>
  <c r="P138" i="1"/>
  <c r="A138" i="1"/>
  <c r="R137" i="1"/>
  <c r="Q137" i="1"/>
  <c r="P137" i="1"/>
  <c r="A137" i="1"/>
  <c r="R136" i="1"/>
  <c r="Q136" i="1"/>
  <c r="P136" i="1"/>
  <c r="A136" i="1"/>
  <c r="R135" i="1"/>
  <c r="Q135" i="1"/>
  <c r="P135" i="1"/>
  <c r="A135" i="1"/>
  <c r="R134" i="1"/>
  <c r="Q134" i="1"/>
  <c r="P134" i="1"/>
  <c r="A134" i="1"/>
  <c r="R133" i="1"/>
  <c r="Q133" i="1"/>
  <c r="P133" i="1"/>
  <c r="A133" i="1"/>
  <c r="R132" i="1"/>
  <c r="Q132" i="1"/>
  <c r="P132" i="1"/>
  <c r="A132" i="1"/>
  <c r="R131" i="1"/>
  <c r="Q131" i="1"/>
  <c r="P131" i="1"/>
  <c r="A131" i="1"/>
  <c r="R130" i="1"/>
  <c r="Q130" i="1"/>
  <c r="P130" i="1"/>
  <c r="A130" i="1"/>
  <c r="R129" i="1"/>
  <c r="Q129" i="1"/>
  <c r="P129" i="1"/>
  <c r="A129" i="1"/>
  <c r="R128" i="1"/>
  <c r="Q128" i="1"/>
  <c r="P128" i="1"/>
  <c r="A128" i="1"/>
  <c r="R127" i="1"/>
  <c r="Q127" i="1"/>
  <c r="P127" i="1"/>
  <c r="A127" i="1"/>
  <c r="R126" i="1"/>
  <c r="Q126" i="1"/>
  <c r="P126" i="1"/>
  <c r="A126" i="1"/>
  <c r="R125" i="1"/>
  <c r="Q125" i="1"/>
  <c r="P125" i="1"/>
  <c r="A125" i="1"/>
  <c r="R124" i="1"/>
  <c r="Q124" i="1"/>
  <c r="P124" i="1"/>
  <c r="A124" i="1"/>
  <c r="R123" i="1"/>
  <c r="Q123" i="1"/>
  <c r="P123" i="1"/>
  <c r="A123" i="1"/>
  <c r="R122" i="1"/>
  <c r="Q122" i="1"/>
  <c r="P122" i="1"/>
  <c r="A122" i="1"/>
  <c r="R121" i="1"/>
  <c r="Q121" i="1"/>
  <c r="P121" i="1"/>
  <c r="A121" i="1"/>
  <c r="R120" i="1"/>
  <c r="Q120" i="1"/>
  <c r="P120" i="1"/>
  <c r="A120" i="1"/>
  <c r="R119" i="1"/>
  <c r="Q119" i="1"/>
  <c r="P119" i="1"/>
  <c r="A119" i="1"/>
  <c r="R118" i="1"/>
  <c r="Q118" i="1"/>
  <c r="P118" i="1"/>
  <c r="A118" i="1"/>
  <c r="R117" i="1"/>
  <c r="Q117" i="1"/>
  <c r="P117" i="1"/>
  <c r="A117" i="1"/>
  <c r="R116" i="1"/>
  <c r="Q116" i="1"/>
  <c r="P116" i="1"/>
  <c r="A116" i="1"/>
  <c r="R115" i="1"/>
  <c r="Q115" i="1"/>
  <c r="P115" i="1"/>
  <c r="A115" i="1"/>
  <c r="R114" i="1"/>
  <c r="Q114" i="1"/>
  <c r="P114" i="1"/>
  <c r="A114" i="1"/>
  <c r="R113" i="1"/>
  <c r="Q113" i="1"/>
  <c r="P113" i="1"/>
  <c r="A113" i="1"/>
  <c r="R112" i="1"/>
  <c r="Q112" i="1"/>
  <c r="P112" i="1"/>
  <c r="A112" i="1"/>
  <c r="R111" i="1"/>
  <c r="Q111" i="1"/>
  <c r="P111" i="1"/>
  <c r="A111" i="1"/>
  <c r="R110" i="1"/>
  <c r="Q110" i="1"/>
  <c r="P110" i="1"/>
  <c r="A110" i="1"/>
  <c r="R109" i="1"/>
  <c r="Q109" i="1"/>
  <c r="P109" i="1"/>
  <c r="A109" i="1"/>
  <c r="R108" i="1"/>
  <c r="Q108" i="1"/>
  <c r="P108" i="1"/>
  <c r="A108" i="1"/>
  <c r="R107" i="1"/>
  <c r="Q107" i="1"/>
  <c r="P107" i="1"/>
  <c r="A107" i="1"/>
  <c r="R106" i="1"/>
  <c r="Q106" i="1"/>
  <c r="P106" i="1"/>
  <c r="A106" i="1"/>
  <c r="R105" i="1"/>
  <c r="Q105" i="1"/>
  <c r="P105" i="1"/>
  <c r="A105" i="1"/>
  <c r="R104" i="1"/>
  <c r="Q104" i="1"/>
  <c r="P104" i="1"/>
  <c r="A104" i="1"/>
  <c r="R103" i="1"/>
  <c r="Q103" i="1"/>
  <c r="P103" i="1"/>
  <c r="A103" i="1"/>
  <c r="R102" i="1"/>
  <c r="Q102" i="1"/>
  <c r="P102" i="1"/>
  <c r="A102" i="1"/>
  <c r="R101" i="1"/>
  <c r="Q101" i="1"/>
  <c r="P101" i="1"/>
  <c r="A101" i="1"/>
  <c r="R100" i="1"/>
  <c r="Q100" i="1"/>
  <c r="P100" i="1"/>
  <c r="A100" i="1"/>
  <c r="R99" i="1"/>
  <c r="Q99" i="1"/>
  <c r="P99" i="1"/>
  <c r="A99" i="1"/>
  <c r="R98" i="1"/>
  <c r="Q98" i="1"/>
  <c r="P98" i="1"/>
  <c r="A98" i="1"/>
  <c r="R97" i="1"/>
  <c r="Q97" i="1"/>
  <c r="P97" i="1"/>
  <c r="A97" i="1"/>
  <c r="R96" i="1"/>
  <c r="Q96" i="1"/>
  <c r="P96" i="1"/>
  <c r="A96" i="1"/>
  <c r="R95" i="1"/>
  <c r="Q95" i="1"/>
  <c r="P95" i="1"/>
  <c r="A95" i="1"/>
  <c r="R94" i="1"/>
  <c r="Q94" i="1"/>
  <c r="P94" i="1"/>
  <c r="A94" i="1"/>
  <c r="R93" i="1"/>
  <c r="Q93" i="1"/>
  <c r="P93" i="1"/>
  <c r="A93" i="1"/>
  <c r="R92" i="1"/>
  <c r="Q92" i="1"/>
  <c r="P92" i="1"/>
  <c r="A92" i="1"/>
  <c r="R91" i="1"/>
  <c r="Q91" i="1"/>
  <c r="P91" i="1"/>
  <c r="A91" i="1"/>
  <c r="R90" i="1"/>
  <c r="Q90" i="1"/>
  <c r="P90" i="1"/>
  <c r="A90" i="1"/>
  <c r="R89" i="1"/>
  <c r="Q89" i="1"/>
  <c r="P89" i="1"/>
  <c r="A89" i="1"/>
  <c r="R88" i="1"/>
  <c r="Q88" i="1"/>
  <c r="P88" i="1"/>
  <c r="A88" i="1"/>
  <c r="R87" i="1"/>
  <c r="Q87" i="1"/>
  <c r="P87" i="1"/>
  <c r="A87" i="1"/>
  <c r="R86" i="1"/>
  <c r="Q86" i="1"/>
  <c r="P86" i="1"/>
  <c r="A86" i="1"/>
  <c r="R85" i="1"/>
  <c r="Q85" i="1"/>
  <c r="P85" i="1"/>
  <c r="A85" i="1"/>
  <c r="R84" i="1"/>
  <c r="Q84" i="1"/>
  <c r="P84" i="1"/>
  <c r="A84" i="1"/>
  <c r="R83" i="1"/>
  <c r="Q83" i="1"/>
  <c r="P83" i="1"/>
  <c r="A83" i="1"/>
  <c r="R82" i="1"/>
  <c r="Q82" i="1"/>
  <c r="P82" i="1"/>
  <c r="A82" i="1"/>
  <c r="R81" i="1"/>
  <c r="Q81" i="1"/>
  <c r="P81" i="1"/>
  <c r="A81" i="1"/>
  <c r="R80" i="1"/>
  <c r="Q80" i="1"/>
  <c r="P80" i="1"/>
  <c r="A80" i="1"/>
  <c r="R79" i="1"/>
  <c r="Q79" i="1"/>
  <c r="P79" i="1"/>
  <c r="A79" i="1"/>
  <c r="R78" i="1"/>
  <c r="Q78" i="1"/>
  <c r="P78" i="1"/>
  <c r="A78" i="1"/>
  <c r="R77" i="1"/>
  <c r="Q77" i="1"/>
  <c r="P77" i="1"/>
  <c r="A77" i="1"/>
  <c r="R76" i="1"/>
  <c r="Q76" i="1"/>
  <c r="P76" i="1"/>
  <c r="A76" i="1"/>
  <c r="R75" i="1"/>
  <c r="Q75" i="1"/>
  <c r="P75" i="1"/>
  <c r="A75" i="1"/>
  <c r="R74" i="1"/>
  <c r="Q74" i="1"/>
  <c r="P74" i="1"/>
  <c r="A74" i="1"/>
  <c r="R73" i="1"/>
  <c r="Q73" i="1"/>
  <c r="P73" i="1"/>
  <c r="A73" i="1"/>
  <c r="R72" i="1"/>
  <c r="Q72" i="1"/>
  <c r="P72" i="1"/>
  <c r="A72" i="1"/>
  <c r="R71" i="1"/>
  <c r="Q71" i="1"/>
  <c r="P71" i="1"/>
  <c r="A71" i="1"/>
  <c r="R70" i="1"/>
  <c r="Q70" i="1"/>
  <c r="P70" i="1"/>
  <c r="A70" i="1"/>
  <c r="R69" i="1"/>
  <c r="Q69" i="1"/>
  <c r="P69" i="1"/>
  <c r="A69" i="1"/>
  <c r="R68" i="1"/>
  <c r="Q68" i="1"/>
  <c r="P68" i="1"/>
  <c r="A68" i="1"/>
  <c r="R67" i="1"/>
  <c r="Q67" i="1"/>
  <c r="P67" i="1"/>
  <c r="A67" i="1"/>
  <c r="R66" i="1"/>
  <c r="Q66" i="1"/>
  <c r="P66" i="1"/>
  <c r="A66" i="1"/>
  <c r="R65" i="1"/>
  <c r="Q65" i="1"/>
  <c r="P65" i="1"/>
  <c r="A65" i="1"/>
  <c r="R64" i="1"/>
  <c r="Q64" i="1"/>
  <c r="P64" i="1"/>
  <c r="A64" i="1"/>
  <c r="R63" i="1"/>
  <c r="Q63" i="1"/>
  <c r="P63" i="1"/>
  <c r="A63" i="1"/>
  <c r="R62" i="1"/>
  <c r="Q62" i="1"/>
  <c r="P62" i="1"/>
  <c r="A62" i="1"/>
  <c r="R61" i="1"/>
  <c r="Q61" i="1"/>
  <c r="P61" i="1"/>
  <c r="A61" i="1"/>
  <c r="R60" i="1"/>
  <c r="Q60" i="1"/>
  <c r="P60" i="1"/>
  <c r="A60" i="1"/>
  <c r="R59" i="1"/>
  <c r="Q59" i="1"/>
  <c r="P59" i="1"/>
  <c r="A59" i="1"/>
  <c r="R58" i="1"/>
  <c r="Q58" i="1"/>
  <c r="P58" i="1"/>
  <c r="A58" i="1"/>
  <c r="R57" i="1"/>
  <c r="Q57" i="1"/>
  <c r="P57" i="1"/>
  <c r="A57" i="1"/>
  <c r="R56" i="1"/>
  <c r="Q56" i="1"/>
  <c r="P56" i="1"/>
  <c r="A56" i="1"/>
  <c r="R55" i="1"/>
  <c r="Q55" i="1"/>
  <c r="P55" i="1"/>
  <c r="A55" i="1"/>
  <c r="R54" i="1"/>
  <c r="Q54" i="1"/>
  <c r="P54" i="1"/>
  <c r="A54" i="1"/>
  <c r="R53" i="1"/>
  <c r="Q53" i="1"/>
  <c r="P53" i="1"/>
  <c r="A53" i="1"/>
  <c r="R52" i="1"/>
  <c r="Q52" i="1"/>
  <c r="P52" i="1"/>
  <c r="A52" i="1"/>
  <c r="R51" i="1"/>
  <c r="Q51" i="1"/>
  <c r="P51" i="1"/>
  <c r="A51" i="1"/>
  <c r="R50" i="1"/>
  <c r="Q50" i="1"/>
  <c r="P50" i="1"/>
  <c r="A50" i="1"/>
  <c r="R49" i="1"/>
  <c r="Q49" i="1"/>
  <c r="P49" i="1"/>
  <c r="A49" i="1"/>
  <c r="R48" i="1"/>
  <c r="Q48" i="1"/>
  <c r="P48" i="1"/>
  <c r="A48" i="1"/>
  <c r="R47" i="1"/>
  <c r="Q47" i="1"/>
  <c r="P47" i="1"/>
  <c r="A47" i="1"/>
  <c r="R46" i="1"/>
  <c r="Q46" i="1"/>
  <c r="P46" i="1"/>
  <c r="A46" i="1"/>
  <c r="R45" i="1"/>
  <c r="Q45" i="1"/>
  <c r="P45" i="1"/>
  <c r="A45" i="1"/>
  <c r="R44" i="1"/>
  <c r="Q44" i="1"/>
  <c r="P44" i="1"/>
  <c r="A44" i="1"/>
  <c r="R43" i="1"/>
  <c r="Q43" i="1"/>
  <c r="P43" i="1"/>
  <c r="A43" i="1"/>
  <c r="R42" i="1"/>
  <c r="Q42" i="1"/>
  <c r="P42" i="1"/>
  <c r="A42" i="1"/>
  <c r="R41" i="1"/>
  <c r="Q41" i="1"/>
  <c r="P41" i="1"/>
  <c r="A41" i="1"/>
  <c r="R40" i="1"/>
  <c r="Q40" i="1"/>
  <c r="P40" i="1"/>
  <c r="A40" i="1"/>
  <c r="R39" i="1"/>
  <c r="Q39" i="1"/>
  <c r="P39" i="1"/>
  <c r="A39" i="1"/>
  <c r="R38" i="1"/>
  <c r="Q38" i="1"/>
  <c r="P38" i="1"/>
  <c r="A38" i="1"/>
  <c r="R37" i="1"/>
  <c r="Q37" i="1"/>
  <c r="P37" i="1"/>
  <c r="A37" i="1"/>
  <c r="R36" i="1"/>
  <c r="Q36" i="1"/>
  <c r="P36" i="1"/>
  <c r="A36" i="1"/>
  <c r="R35" i="1"/>
  <c r="Q35" i="1"/>
  <c r="P35" i="1"/>
  <c r="A35" i="1"/>
  <c r="R34" i="1"/>
  <c r="Q34" i="1"/>
  <c r="P34" i="1"/>
  <c r="A34" i="1"/>
  <c r="R33" i="1"/>
  <c r="Q33" i="1"/>
  <c r="P33" i="1"/>
  <c r="A33" i="1"/>
  <c r="R32" i="1"/>
  <c r="Q32" i="1"/>
  <c r="P32" i="1"/>
  <c r="A32" i="1"/>
  <c r="R31" i="1"/>
  <c r="Q31" i="1"/>
  <c r="P31" i="1"/>
  <c r="A31" i="1"/>
  <c r="R30" i="1"/>
  <c r="Q30" i="1"/>
  <c r="P30" i="1"/>
  <c r="A30" i="1"/>
  <c r="R29" i="1"/>
  <c r="Q29" i="1"/>
  <c r="P29" i="1"/>
  <c r="A29" i="1"/>
  <c r="R28" i="1"/>
  <c r="Q28" i="1"/>
  <c r="P28" i="1"/>
  <c r="A28" i="1"/>
  <c r="R27" i="1"/>
  <c r="Q27" i="1"/>
  <c r="P27" i="1"/>
  <c r="A27" i="1"/>
  <c r="R26" i="1"/>
  <c r="Q26" i="1"/>
  <c r="P26" i="1"/>
  <c r="A26" i="1"/>
  <c r="R25" i="1"/>
  <c r="Q25" i="1"/>
  <c r="P25" i="1"/>
  <c r="A25" i="1"/>
  <c r="R24" i="1"/>
  <c r="Q24" i="1"/>
  <c r="P24" i="1"/>
  <c r="A24" i="1"/>
  <c r="R23" i="1"/>
  <c r="Q23" i="1"/>
  <c r="P23" i="1"/>
  <c r="A23" i="1"/>
  <c r="R22" i="1"/>
  <c r="Q22" i="1"/>
  <c r="P22" i="1"/>
  <c r="A22" i="1"/>
  <c r="R21" i="1"/>
  <c r="Q21" i="1"/>
  <c r="P21" i="1"/>
  <c r="A21" i="1"/>
  <c r="R20" i="1"/>
  <c r="Q20" i="1"/>
  <c r="P20" i="1"/>
  <c r="A20" i="1"/>
  <c r="R19" i="1"/>
  <c r="Q19" i="1"/>
  <c r="P19" i="1"/>
  <c r="A19" i="1"/>
  <c r="R18" i="1"/>
  <c r="Q18" i="1"/>
  <c r="P18" i="1"/>
  <c r="A18" i="1"/>
  <c r="R17" i="1"/>
  <c r="Q17" i="1"/>
  <c r="P17" i="1"/>
  <c r="A17" i="1"/>
  <c r="R16" i="1"/>
  <c r="Q16" i="1"/>
  <c r="P16" i="1"/>
  <c r="A16" i="1"/>
  <c r="R15" i="1"/>
  <c r="Q15" i="1"/>
  <c r="P15" i="1"/>
  <c r="A15" i="1"/>
  <c r="R14" i="1"/>
  <c r="Q14" i="1"/>
  <c r="P14" i="1"/>
  <c r="A14" i="1"/>
  <c r="R13" i="1"/>
  <c r="Q13" i="1"/>
  <c r="P13" i="1"/>
  <c r="A13" i="1"/>
  <c r="R12" i="1"/>
  <c r="Q12" i="1"/>
  <c r="P12" i="1"/>
  <c r="A12" i="1"/>
  <c r="R11" i="1"/>
  <c r="Q11" i="1"/>
  <c r="P11" i="1"/>
  <c r="A11" i="1"/>
  <c r="R10" i="1"/>
  <c r="Q10" i="1"/>
  <c r="P10" i="1"/>
  <c r="A10" i="1"/>
  <c r="R9" i="1"/>
  <c r="Q9" i="1"/>
  <c r="P9" i="1"/>
  <c r="A9" i="1"/>
  <c r="R8" i="1"/>
  <c r="Q8" i="1"/>
  <c r="P8" i="1"/>
  <c r="A8" i="1"/>
  <c r="R7" i="1"/>
  <c r="Q7" i="1"/>
  <c r="P7" i="1"/>
  <c r="A7" i="1"/>
  <c r="R6" i="1"/>
  <c r="Q6" i="1"/>
  <c r="P6" i="1"/>
  <c r="A6" i="1"/>
  <c r="R5" i="1"/>
  <c r="Q5" i="1"/>
  <c r="P5" i="1"/>
  <c r="A5" i="1"/>
  <c r="R4" i="1"/>
  <c r="Q4" i="1"/>
  <c r="P4" i="1"/>
  <c r="A4" i="1"/>
  <c r="R3" i="1"/>
  <c r="Q3" i="1"/>
  <c r="P3" i="1"/>
  <c r="A3" i="1"/>
  <c r="R2" i="1"/>
  <c r="Q2" i="1"/>
  <c r="P2" i="1"/>
  <c r="A2" i="1"/>
</calcChain>
</file>

<file path=xl/sharedStrings.xml><?xml version="1.0" encoding="utf-8"?>
<sst xmlns="http://schemas.openxmlformats.org/spreadsheetml/2006/main" count="6717" uniqueCount="817">
  <si>
    <t>Gerente</t>
  </si>
  <si>
    <t>Mês</t>
  </si>
  <si>
    <t>Data</t>
  </si>
  <si>
    <t>Tipo</t>
  </si>
  <si>
    <t>N° Acordo</t>
  </si>
  <si>
    <t>Cliente</t>
  </si>
  <si>
    <t>Cód. Fornecedor</t>
  </si>
  <si>
    <t>UF</t>
  </si>
  <si>
    <t>EV</t>
  </si>
  <si>
    <t>EQV</t>
  </si>
  <si>
    <t xml:space="preserve">GRUPO </t>
  </si>
  <si>
    <t>JUSTIFICATIVA</t>
  </si>
  <si>
    <t>Status</t>
  </si>
  <si>
    <t>Data de Pagamento</t>
  </si>
  <si>
    <t>Responsável</t>
  </si>
  <si>
    <t>Valor</t>
  </si>
  <si>
    <t>Local</t>
  </si>
  <si>
    <t>Empresa</t>
  </si>
  <si>
    <t>Plano</t>
  </si>
  <si>
    <t>Onde?</t>
  </si>
  <si>
    <t>Janeiro</t>
  </si>
  <si>
    <t>VERBA</t>
  </si>
  <si>
    <t>DORIVALI COM DIST DE PROD ALIM LTDA</t>
  </si>
  <si>
    <t>SP</t>
  </si>
  <si>
    <t>Investimento de R$ 5.000 em ações de Sell Out no Leite condensado bag 5kg e R$ 1.000 para negociação de Sell In do pedido de dezembro de 2025</t>
  </si>
  <si>
    <t>Pago</t>
  </si>
  <si>
    <t>RAQUEL BARBOSA</t>
  </si>
  <si>
    <t>Docusing</t>
  </si>
  <si>
    <t>Itambé</t>
  </si>
  <si>
    <t>Não</t>
  </si>
  <si>
    <t>Sell Out e Sell In</t>
  </si>
  <si>
    <t>COMERCIAL DISKPAN LTDA</t>
  </si>
  <si>
    <t>ES</t>
  </si>
  <si>
    <t>Investimento de R$ 90.000 para pagamento da Campanha pacote diamante - Parcela 5/6</t>
  </si>
  <si>
    <t>Base antiga</t>
  </si>
  <si>
    <t>Campanha</t>
  </si>
  <si>
    <t>J ARAUJO DISTRIBUIDORA IMP E EXP SA</t>
  </si>
  <si>
    <t>RJ</t>
  </si>
  <si>
    <t>Investimento na Campanha de vendas ArcoFood - Parcela 6/7</t>
  </si>
  <si>
    <t>DISPAN DISTRIBUIDORA DE ALIMENTOS</t>
  </si>
  <si>
    <t>PE</t>
  </si>
  <si>
    <t>0127</t>
  </si>
  <si>
    <t>Investimento na Feira HFN - Parcela 4/5</t>
  </si>
  <si>
    <t>VAGO NORDESTE</t>
  </si>
  <si>
    <t>Docsing</t>
  </si>
  <si>
    <t>Feira</t>
  </si>
  <si>
    <t>LAT LUSO BRASILEIRO LTDA</t>
  </si>
  <si>
    <t>0722</t>
  </si>
  <si>
    <t xml:space="preserve">Investimento em Sell Out na Categoria de Queijos Especiais - Parmesão </t>
  </si>
  <si>
    <t>ALEXANDRO</t>
  </si>
  <si>
    <t>Lactalis</t>
  </si>
  <si>
    <t>-</t>
  </si>
  <si>
    <t>Sell Out</t>
  </si>
  <si>
    <t>AMORIX ALIMENTOS EIRELI</t>
  </si>
  <si>
    <t>GO</t>
  </si>
  <si>
    <t>0123</t>
  </si>
  <si>
    <t>Investimento em ações de  Sell Out - Parcela 6/6</t>
  </si>
  <si>
    <t>MARCO AURELIO</t>
  </si>
  <si>
    <t>DISTRIBUIDORA E IMP IRMAOS AVELINO</t>
  </si>
  <si>
    <t>Investimento comercial -  Fechamento de pedido Sell in: Dezembro 2025</t>
  </si>
  <si>
    <t>Sell In</t>
  </si>
  <si>
    <t>Investimento Comercial - Sell in Nº.PED.: 140504 - Decorrente de uma verba atrasada rederente a Março de 2025 2/4</t>
  </si>
  <si>
    <t>MACPAN COM E DIST DE PROD ALIM LT M</t>
  </si>
  <si>
    <t>Investimento Comercial em: Ação de sellout leite condensado bag 5kg - 3000; ação de positivação composto culinario 1kg - 1050; ação de sellout leite condensado lata 5kg - 3000; leite condensado lata 395 - 3315; ação de sellout doce de leite lata 5kg 3096; doce de leite bag 2,5kg - 2000</t>
  </si>
  <si>
    <t>Sell Out e Positivação</t>
  </si>
  <si>
    <t>Investimento Comercial em: Sell out no creme de leite 25% SKU 600665313</t>
  </si>
  <si>
    <t>WEA COM DE PROD DE PANIF LTDA</t>
  </si>
  <si>
    <t>Investimento de Sell out no: Creme De Leite 25% - 601,60; Leite Condensado Lata 5Kg - 500</t>
  </si>
  <si>
    <t>STA DISTRIBUIDORA DE ALIMENTOS LTDA</t>
  </si>
  <si>
    <t xml:space="preserve">Investimento em Sell Out no: Leite Condensado Itambe Bag 5Kg 1,5% - 4000; Ação Sell Out  Creme De Leite 17% - 3000; Ação Sell Out Creme De Leite 25% - 3000 </t>
  </si>
  <si>
    <t>COM E REPRESENTACOES CECOTI LTDA</t>
  </si>
  <si>
    <t>MG</t>
  </si>
  <si>
    <t>0122</t>
  </si>
  <si>
    <t>Investimento em sell out no:  Leite condensado bag 2,5Kg</t>
  </si>
  <si>
    <t xml:space="preserve">Investimento De Sell Out No:  Creme De Leite 25% Cartonado 1,01Kg - 3000
</t>
  </si>
  <si>
    <t>GP EMBALAGENS EIRELI EPP</t>
  </si>
  <si>
    <t>MS</t>
  </si>
  <si>
    <t xml:space="preserve">Investimento em Sell Out no: Creme De Leite 10,1% Itb Cx12Un1,01Kg Pdm - 500; Ação Sell Out Creme De Leite 25% Cartonado 1,01Kg - 500
</t>
  </si>
  <si>
    <t>ADRIPAN PRODUTOS PARA PANIFICACAO L</t>
  </si>
  <si>
    <t xml:space="preserve">Investimento de Sell Out no Doce de Leite Lata Tradicional 05Kg 1100; Ação Sell Out no Leite Condensado Bag 05Kg Integral 628
 </t>
  </si>
  <si>
    <t>ORGANIZACOES BRAZALMEIDA COMERCIO D</t>
  </si>
  <si>
    <t xml:space="preserve">Investimento De Sellout Em Creme De Leite Cartonado 200G Itambe - 250; Creme Lei Levis 10% Itmb Cx27Cx200G Pdm - 280; Leite Condensado Lata 395G - 170
</t>
  </si>
  <si>
    <t>Pagamento de itens avariados referentes ao ano 2025:
COMPOSTO LACTE PROFISSIONAL SC 10 PC 1KG - R$ 600; CREME DE LEITE CARTONADO 200G ITAMBE - R$ 800; LEITE EM PO INTEGRAL PC 1KG - R$ 443,38 
PARCELA 1/4</t>
  </si>
  <si>
    <t>Inaproveitaveis</t>
  </si>
  <si>
    <t>GAPEIXOTO DIST DE PROD ALIM LTD</t>
  </si>
  <si>
    <t>Investimento de Sell Out em 109 bag´s do Leite condensado 5kg, R$4,00 cada unidade.</t>
  </si>
  <si>
    <t>OESA COMERCIO E REPRESENTACOES SA</t>
  </si>
  <si>
    <t xml:space="preserve">Investiemento De  Sell Out No:  Doce De Leite Tradicional Lata 5Kg - 350; Sellout Leite Condensado Bag 5,0 Kg 550.
</t>
  </si>
  <si>
    <t>FERPEREZ COMERCIO DE ALIMENTOS</t>
  </si>
  <si>
    <t>Investimento de Sell in no leite condensado Bag 5Kg 4417; Lata 5Kg 3.916.</t>
  </si>
  <si>
    <t>DOZE DISTRIBUIDORA LTDA</t>
  </si>
  <si>
    <t xml:space="preserve">Investimento de Sell Out na: Manteiga Sem Sal Itambe 192X10G
</t>
  </si>
  <si>
    <t>DESCARTEL DISTRIBUIDORA LTDA ME</t>
  </si>
  <si>
    <t>CCN COMERCIO CENTRO NORTE ALIM LTDA</t>
  </si>
  <si>
    <t>Investimento de Sell In (Rebate) no: Composto  661,50;Doce de Leite 2.044,98;Leite Condensado 13.465,22;Creme UHT 4.712,83;Manteiga 5kg 246,61</t>
  </si>
  <si>
    <t>JBP</t>
  </si>
  <si>
    <t>Investimento de Sell in no: Leite Condensado Semi 5Kg - 1456; Sel lout Creme 1Kg-3544; Sellout Cond Integral 5Kg -5000</t>
  </si>
  <si>
    <t>Sell in</t>
  </si>
  <si>
    <t>0739</t>
  </si>
  <si>
    <t>Investimento de Sell in (Rebate) no: Parmesão 1667,87</t>
  </si>
  <si>
    <t>Investimento de Sell out Cond Semi 5Kg-3000; Sell out Creme 17% Kg-3000; Sell out Creme 10% -3500; Sell out Cond Integral 5Kg-2500;Rebaixa Manteiga 5Kg-3000</t>
  </si>
  <si>
    <t>Investimento de Sell In (Rebate) no: Blister 4.263,14;Doce de Leite 2.916,60;Leite Condensado 11.548,91;Composto 4.774,70Creme UHT 8.975,55;Manteiga 5kg 3.871,75</t>
  </si>
  <si>
    <t xml:space="preserve">Investimento de Sell in (Rebate) no: Parmesão 1.087,82
</t>
  </si>
  <si>
    <t>Investimento de Sell out no: Leite Condensado Integral 5Kg-2000; Sell out Composto Profissional-4000; Sell out Creme Kg-3000; Sell out Composto Culinario-1000</t>
  </si>
  <si>
    <t>SUPER VINHOS DISTRIBUIDORA S A</t>
  </si>
  <si>
    <t>0169</t>
  </si>
  <si>
    <t>Campanha de Aniversário (Pacote de  40 mil reais) 10/10.</t>
  </si>
  <si>
    <t>Investimento de Sell out no: Leite Condensado Int 5Kg -2000; Sell out Creme Kg -2000; Sell out Doce Lata 5Kg-1000</t>
  </si>
  <si>
    <t>JME RAUTA COMERCIAL DISTRIBUIDORA</t>
  </si>
  <si>
    <t>Investimento de Sell out no: Composto Profissional</t>
  </si>
  <si>
    <t>NOBREDO COMERCIO E LOGISTICA LTDA</t>
  </si>
  <si>
    <t>Investimento de Sell out no: Leite Condensado 2,5-1300; Sell out Manteiga 5Kg-700</t>
  </si>
  <si>
    <t>SOST IND E COM DE ALIMENTOS EIRELI</t>
  </si>
  <si>
    <t>BA</t>
  </si>
  <si>
    <t>Investimento de Sell out no: Composto 1Kg  2500; Sell out Doce Lata 5 2500; Sell out Creme Leite 17% 2500; Sell out Creme Leite 25% 2500; Sell out Leite Con Semi Bag 5 2500; Sell out Doce Leite Bag 1,5 2500;  Sell out Leite Cond Lata 5Kg 1500</t>
  </si>
  <si>
    <t xml:space="preserve">Investimento Sell in (Rebate) no: Leite Condensado -16.218,19; Creme UHT - 2.857,57; Doce de Leite - 3.762,31; Manteiga 5KG - 2.891,65; Blister - 190,86; Composto - 237,18 </t>
  </si>
  <si>
    <t>DINIZ COM ATAC DE PROD ALIM LTDA</t>
  </si>
  <si>
    <t>Investimento de Sell In (Rebate 3%) no:Doce de Leite R$5.861,42;Leite Condensado R$ 9.565,44;Creme de Leite 3.281,03;Manteiga R$ 886,98;LPI R$ 1.421,52</t>
  </si>
  <si>
    <t>BONIFICAÇÃO</t>
  </si>
  <si>
    <t>RIO QUALITY COMERCIO DE ALIMENTOS</t>
  </si>
  <si>
    <t>Itens a Bonificar: Leite Condensado Bag Integral 5kg -1.516 UNIDADES</t>
  </si>
  <si>
    <t>Itens a Bonificar: Leite Condensado lata 5kg- 335 unidades; Creme de leite 17% -1.020 unidades</t>
  </si>
  <si>
    <t>Itens a Bonificar: Doce De Leite Chocolate De 800G - 486 Unidades</t>
  </si>
  <si>
    <t>Itens a Bonificar: Parmesão peça - 140kg</t>
  </si>
  <si>
    <t>SPAN VALE COM DE PROD ALIM LTDA</t>
  </si>
  <si>
    <t>Investimento de Sell out no: Leite Condensado Bag 5Kg - R$ 600; Sellout Composto Profissional - R$ 1.000; Sellout Leite Condensado Lata 5Kg R$ 600</t>
  </si>
  <si>
    <t>Sell out</t>
  </si>
  <si>
    <t xml:space="preserve">Investimento De Sell In (Rebate 2%) - Leite Condensado R$ 40.342,79; Doce De Leite R$ 5.080,69; Composto R$ 468,93; Creme Uht R$ 16.322,91; Manteiga 5Kg R$ 5.068,91 
</t>
  </si>
  <si>
    <t>Investimento de Sell out no: Creme uht</t>
  </si>
  <si>
    <t>SVP COMERCIO DE ALIMENTOS LTDA</t>
  </si>
  <si>
    <t>Investimento de Sell Out no: Leite Condensado Bag 5,0Kg - R$ 2.000;Composto Profissional - R$ 1.000; Creme De Leite 17% - R$ 400;Doce De Leite - R$ 500</t>
  </si>
  <si>
    <t>FRANCISCO C LIMA DISTRIB DE ALI</t>
  </si>
  <si>
    <t>CE</t>
  </si>
  <si>
    <t xml:space="preserve">Investimento Sell In (Rebate) - Doce De Leite R$ 889,06; Composto R$ 640,02; Creme Uht R$ 2.875,41; Leite Condensado R$ 31.541,22; Manteiga 5Kg R$ 2.481,42; Blister R$ 33,71 
</t>
  </si>
  <si>
    <t>PADEIRAO COMERCIO PROD PARA PANI LT</t>
  </si>
  <si>
    <t>0536</t>
  </si>
  <si>
    <t xml:space="preserve">Investimento de Sell In (Rebate 0,34%) no: Parmesão R$ 852,33
</t>
  </si>
  <si>
    <t xml:space="preserve">Investimento de Sell In no: Doce De Leite R$ 3.644,43; Leite Condensado R$ 27.108,20; Manteiga 5Kg R$ 3.297,79; Creme Uht R$ 4.543,87; Blister R$ 367,13; Composto R$ 597,80
</t>
  </si>
  <si>
    <t xml:space="preserve">Investimento Sell in (Rebate) - Composto R$ 856,39;Doce leite R$ 3.545,11;Leite Condensado R$ 4.194,87;Creme uht R$ 2.617,87;Blister R$ 1.420,70
 </t>
  </si>
  <si>
    <t>FORTALI DIST DE ALIMENTOS LTDA</t>
  </si>
  <si>
    <t xml:space="preserve">Investimento de Sell In no: Queijos R$77,39; Manteiga 5Kg R$ 1.087,80; Doce De Leite R$ 674,80; Creme Uht  R$ 3.032,48; Leite Condensado R$ 7.607,07; Blister R$ 159,83; Composto R$ 229,60 
</t>
  </si>
  <si>
    <t>Investimento de Sell out no: Leite Condensado bag 5kg - R$ 13.000; Creme uht -R$10.000</t>
  </si>
  <si>
    <t>Fevereiro</t>
  </si>
  <si>
    <t>Investimento de R$ 90.000 para pagamento da Campanha pacote diamante - Parcela 6/6</t>
  </si>
  <si>
    <t>Invenstimento na Campanha de vendas ArcoFood - Parcela 7/7</t>
  </si>
  <si>
    <t>Investimento na Feira HFN - Parcela 5/5</t>
  </si>
  <si>
    <t xml:space="preserve">Investimento de Sell in (Rebate) no: Composto 1.445,60;Manteiga 5kg 5.452,64;7.572,70;Doce de Leite 10.444,87;Creme UHT 14.023,03;Leite Condensado 41.738,41
</t>
  </si>
  <si>
    <t>CHOCOLIDER COM EMBALAGENS LTDA EPP</t>
  </si>
  <si>
    <t>Investimento de Rebaixa de preço em: 16 unidades de Doce de Leite Bag 2,5kg (Shelf curto - 07/02/2026)</t>
  </si>
  <si>
    <t>Rebaixa</t>
  </si>
  <si>
    <t>CHOKDOCE COM PROD ALIMENTICIOS</t>
  </si>
  <si>
    <t>Investimento em Rebaixa de preço em: 1.268 unidades de Creme de Leite 25% 1L - (Shelf curto - 19/02/2026)</t>
  </si>
  <si>
    <t>Investimento de sell-in no - Queijo Parmesão- SKU 540500527</t>
  </si>
  <si>
    <t>Investimento de Sell-out no : Leite condensado bag 5kg -  Shelf  curto</t>
  </si>
  <si>
    <t>Investimento de Sell-in em  3% das vendas de Jan/2026. 
LEITE CONDENSADO - R$12. 925, 00 (27%); CREME UHT - R$       3.758, 00(8%); LEITE EM PÓ - R$ 4.183,00 (9%); DOCE DE LEITE - R$ 5.160,00 (11%) - (ITAMBÉ)</t>
  </si>
  <si>
    <t>Investimento de Sell-in em  3% das vendas de Jan/2026. 
MANTEIGABLISTER- R$ 16.232,00 (34%); QUEIJOS - R$ 3.450,00(7%); IOGURTES - R$ 852,00 (2%); MANTEIGA 5KG - R$ 500,00 (1%); PARMESÃO - R$ 772,00 (2%); SPREADS - R$ 168,00 (0,4%) - LACTALIS</t>
  </si>
  <si>
    <t>Investimento em ação de Sell in no: Creme de leite 25% 1,01kg R$ -  370,87 e no Leite condensado lata 5kg - R$ 711</t>
  </si>
  <si>
    <t>HENDUPAN COM DE PROD CON LTDA</t>
  </si>
  <si>
    <t>Investimento de Sell Out Leite Condensado Bag 5Kg - R$ 2.000; Leite Condensado Lata 5Kg - R$ 390; Doce De Leite Lata 5Kg - R$ 400; Composto Culinario 1Kg - R$ 400</t>
  </si>
  <si>
    <t>PAMA COM DE GENEROS ALIMENTICIOS LT</t>
  </si>
  <si>
    <t>Investimento de Sell Out no: Leite Condensado Lata 395G - R$ 1.200; Ação de Introdução de Composto Profissional 1Kg - R$ 535,40</t>
  </si>
  <si>
    <t>Investimento de: Campanha de Vendas Bateu Levou no Doce de Leite 5kg 600608249</t>
  </si>
  <si>
    <t>Investimento de sell out no: Leite Condensado Lata 5Kg - R$ 2.000;Doce De Leite Chocolate Lata 800G - R$ 2.000; Leite Condensado Lata 395G - R$ 1.000; Sell Out Composto Culinario 1Kg - R$ 1.430</t>
  </si>
  <si>
    <t>Investimento em: Campanha de vendas no Leite Condensado bag 5kg R$ 3.000 ;Leite Condensado lata 5kg R$ 2.000</t>
  </si>
  <si>
    <t>GRANO NICOLETTI COM ALIM LTDA</t>
  </si>
  <si>
    <t>Investimento em:  Sell Out no Bag de 2,5 kg -Obs: Estoque do cliente travado</t>
  </si>
  <si>
    <t>CASA DO PADEIRO COM DE PROD ALIM LT</t>
  </si>
  <si>
    <t>Investimento em: Sell Out no Leite Condensando Bag 5kg R$ 1.388,50; leite Condensado lata 5kg R$ 1.388,50</t>
  </si>
  <si>
    <t>Investimento em: Sell out no Leite Condensado (80%); Creme de leite (20%)- Ferperez completa 29 anos</t>
  </si>
  <si>
    <t>Investimento (Shelf): Leite Condensado Bag 5kg valor: R$1.029; Creme de leite 25% 1,01kg R$ 2.040.</t>
  </si>
  <si>
    <t>Investimento de Sell out no: Leite Condensado bag 2,5kg</t>
  </si>
  <si>
    <t>Investimento de Sell out no: Creme 17%</t>
  </si>
  <si>
    <t>Investimento de Sell out no: Leite condensado bag 5kg</t>
  </si>
  <si>
    <t>Investimento de Sell Out -  Introdução Operador Final Leite Condensado Bag 5Kg R$ 300</t>
  </si>
  <si>
    <t>DIA DISTRIBUICAO E IMPORTACAO AFOGA</t>
  </si>
  <si>
    <t>Investimento de Sell out no Leite condensado bag 2,5kg</t>
  </si>
  <si>
    <t>Investimento da campanha de final de ano - Parcela 3/4 Leite Condensado bag 5kg.</t>
  </si>
  <si>
    <t>Investimento na Convenção do Parceiro 1/6</t>
  </si>
  <si>
    <t xml:space="preserve">Investimento em: Sell Out Creme De Leite 17% Cartonado 1,01Kg - R$ 3.500; Doce De Leite Tradicional Bag 2,5 Kg - R$ 3.500; Leite Condensado Itambe Bag 5Kg 1,5% - R$ 3.000
</t>
  </si>
  <si>
    <t>ARTPAN COMERCIO DE ALIMENTOS LTDA</t>
  </si>
  <si>
    <t xml:space="preserve">Investimento em: Sell Out Composto Culinario Bp Sach10X1Kg Itb Go - 350
</t>
  </si>
  <si>
    <t>Pagamento De Itens Avariados Referentes Ao Ano De 2025: Composto Lacte Profissional Sc 10 Pc 1Kg - R$ 600; Creme De Leite Cartonado 200G Itambé - R$ 800; Leite Em Po Integral Pc 1Kg - R$ 443,38 
Parcela 2/4</t>
  </si>
  <si>
    <t>PIERRE DISTRIBUICAO LTDA</t>
  </si>
  <si>
    <t>Investimento de Sell out em: Parmesão (desenvolvimento no cliente)</t>
  </si>
  <si>
    <t>DISPROPAN LTDA</t>
  </si>
  <si>
    <t>Investimento de sellout no: Leite Condensado Bag 2,5Kg -R$ 640; leite Condensado Bag 5kg - R$360</t>
  </si>
  <si>
    <t xml:space="preserve">Investimento de Sell out em: Manteiga Com Sal Itambe 192X10G - R$ 1.100; Manteiga Extra S/Sal Caixa 5Kg - R$1.500
</t>
  </si>
  <si>
    <t>COMERCIAL ELOI CHAVES LTDA</t>
  </si>
  <si>
    <t>RN</t>
  </si>
  <si>
    <t>Pagamento de Débitos referente as notas:000162995 - (R$351,41); 000162996 - (R$1.736,64); 000186782 (R$15.852,24); 000321548 - (R$192) 'Referência - Anos de 2022 e 2024</t>
  </si>
  <si>
    <t>Erro Faturamento</t>
  </si>
  <si>
    <t>Investimento de Sell out em: Manteiga de 5kg presidente</t>
  </si>
  <si>
    <t>Investimento de Sell out em: Leite condensado Bag 2,5 - R$ 800; Leite Condensado bag 5kg - R$ 800</t>
  </si>
  <si>
    <t>Investimento de Sell Out em: Creme de leite 25%</t>
  </si>
  <si>
    <t xml:space="preserve">Investimento na Campanha Anual Oesa - Cota Prata)Parcela  01/10 </t>
  </si>
  <si>
    <t>MAFRIOS DIST E IMPORTADORA LTDA</t>
  </si>
  <si>
    <t>AL</t>
  </si>
  <si>
    <t>0565</t>
  </si>
  <si>
    <t xml:space="preserve">Investimento de Sell Out em: Queijo Parmesao President Forma Imp
</t>
  </si>
  <si>
    <t>Investimento de Sell Out em: Leite Condensado Bag 5Kg -R$ 2.500; Creme De Leite 17% Kg - R$ 2.500; Composto Culinario -R$ 2.000;</t>
  </si>
  <si>
    <t>Investimento de Sell Out em: Creme 10% 1Kg- R$1.500; Leite Condensado Semi 5Kg - R$ 3.000;Doce Lata 5Kg R$500;</t>
  </si>
  <si>
    <t>Investimento de Sell Out em: Leite Condensado Bag 2,5Kg -R$ 1.000;Creme 17% Kg - R$500;</t>
  </si>
  <si>
    <t>Investimento de Sell Out em: Leite Condensado Semi 5Kg- R$ 6.000; Doce 2,5Kg -R$ 1.000; Creme 17% -R$ 2.000; Composto Culinario -R$ 1.000</t>
  </si>
  <si>
    <t>Itens a Bonificar: Doce De Leite Chocolate 5Kg -100 Unidades; Composto Profissional 320 Unidades</t>
  </si>
  <si>
    <t>Bonificação</t>
  </si>
  <si>
    <t>Item a bonificar: Manteiga Com Sal Itambe 10G -90 Caixas</t>
  </si>
  <si>
    <t>Item a bonificar: Manteiga Com Sal Itambe 10G- 311 Caixas</t>
  </si>
  <si>
    <t>Investimento de Sell Out no Creme 17% - SKU 600666313</t>
  </si>
  <si>
    <t>Investimento de Rebate: Doce de Leite lt 5 kg R$ 8.960;Leite Condensado R$ 14.720; Creme de Leite R$ 5.120;Manteiga R$1.280;LPI R$ 1.920,00</t>
  </si>
  <si>
    <t>NOVA MEGA G ATACADISTA DE ALIM SA</t>
  </si>
  <si>
    <t xml:space="preserve">Investimento de Sell In - 6 tons de Parmesão R$ 5,00 por KG </t>
  </si>
  <si>
    <t xml:space="preserve">Investimento de Sell In- 3 tons de Parmesão R$ 5,00 por KG </t>
  </si>
  <si>
    <t>SORVEPANI COMERCIAL E DISTRIBUI</t>
  </si>
  <si>
    <t>AM</t>
  </si>
  <si>
    <t>0128</t>
  </si>
  <si>
    <t xml:space="preserve">Investimento de Sell Out em: Leite Condensado Bag 2,5Kg </t>
  </si>
  <si>
    <t>CIA BEAL DE ALIMENTOS</t>
  </si>
  <si>
    <t>PR</t>
  </si>
  <si>
    <t>0126</t>
  </si>
  <si>
    <t>Investimento em : Inauguração de Lojas Leite Condensado Bag 5Kg</t>
  </si>
  <si>
    <t>Março</t>
  </si>
  <si>
    <t xml:space="preserve">Investimento na Campanha Anual Oesa - Cota Prata)Parcela  02/10 </t>
  </si>
  <si>
    <t>Investimento em: FIFO Manteiga bloco Itambé 5kg - Parcela (1/3)</t>
  </si>
  <si>
    <t xml:space="preserve">Investimento de Sell In Em: 3% Das Vendas + Campanha Fev/2026 - Leite Condensado R$ 3.456,80;Creme Uht R$ 1.595,79;Leite Em Pó R$ 1.563,28;Doce De Leite R$ 2.016,28
</t>
  </si>
  <si>
    <t xml:space="preserve">Investimento De Sell In Em: 3% Das Vendas De Fev/2026 - Merc + Arom R$ 187,83;Manteiga 5Kg R$ 19.541,15;Blister R$ 12.396,48;Iogurtes R$ 1.956,95; Spreads R$860,36
</t>
  </si>
  <si>
    <t>Investimento de Sell Out no: Leite Condensado semi 5kg R$ 2.500; Leite Condensado bag 5kg R$ 2.500;Blister sem sal - R$ 3.000;Composto Lacteo 1kg R$ 2.000;Doce bag 1,5kg R$ 2.500;Doce lata 5kg R$ 2.500</t>
  </si>
  <si>
    <t xml:space="preserve"> Investimento na Campanha Anual Oesa - Cota Bronze (Parcela  01/09 ) - Valor total do Acordo R$ 20.000,00</t>
  </si>
  <si>
    <t>FUNCHAL IND COM DE PAPEIS LT</t>
  </si>
  <si>
    <t xml:space="preserve">Investimento de Sell Out no: Doce de Leite Bag 2,5kg </t>
  </si>
  <si>
    <t>Investimento da campanha de final de ano - Parcela 4/4 Leite Condensado bag 5kg.</t>
  </si>
  <si>
    <t>PLANETA DOCES E ALIMENTICIOS EIRELI</t>
  </si>
  <si>
    <t xml:space="preserve">Investimento De Sell In Em: Composto Lacte Profissional Sc 10 Pc 1Kg 
</t>
  </si>
  <si>
    <t xml:space="preserve">Investimento De Sell Out em: Doce De Leite Tradicional Lata 5Kg (Campanha De Vendedores) 
</t>
  </si>
  <si>
    <t>AROUMAR DISTRIB DE PRODUTOS ALIM LT</t>
  </si>
  <si>
    <t>Investimento de Sell Out em: Leite Condensado Bag 5Kg - R$ 3.000; Doce De Leite Lata 5Kg - R$ 2.000</t>
  </si>
  <si>
    <t>Investimento de Sell Out em: Doce De Leite Lata 5Kg - R$ 2.000; Rebaixa de preço em: Doce De Leite Bag 2,5Kg R$ 2.000; Sell Out Pascoa em: Leite Condensado Lata 395G - R$3.000; Sell Out Pascoa Leite Condensado Bag 5Kg - R$ 2.900</t>
  </si>
  <si>
    <t>Sell Out e Rebaixa</t>
  </si>
  <si>
    <t>CONFESPAN COMERCIO E DISTRIBUICAO L</t>
  </si>
  <si>
    <t>Investimento em rebaixa de preço no: Leite Condensado Bag 5Kg - R$ 3.628; Sell Out Doce De Leite Tradicional 5Kg - R$ 2.500; Sell Out Leite Condensado Lata 5Kg - R$1.000; Sell Out Manteiga Bloco 5Kg - R$500</t>
  </si>
  <si>
    <t>Investimento de Rebate (4%): Doce de Leite R$ 6.503,56; Leite Condensado R$ 10.684,42; Creme de Leite R$ 3.716,32;Manteiga R$ 929,08;LPI R$1.393,62</t>
  </si>
  <si>
    <t>Pagamento de Itens Avariados Referentes ao ano de 2025: Composto Lacte Profissional Sc 10 Pc 1Kg - R$ 600; Creme De Leite Cartonado 200G Itambé - R$ 800; Leite Em Po Integral Pc 1Kg - R$ 443,38 - Parcela 3/4</t>
  </si>
  <si>
    <t xml:space="preserve">Investimento de Sell Out em: Creme De Leite 25% Cartonado 1,01Kg - R$ 500; Doce De Leite Tradicional Lata 800G R$ 500; Leite Condensado Lata 1,01Kg 8% Itambé - R$ 500
</t>
  </si>
  <si>
    <t>Investimento de Sell Out em: Doce De Leite Tradicional Bag 2,5 Kg - R$ 500; Leite Condensado Bag 2,5Kg - R$ 500; Leite Condensado Bag 5,0 Kg - R$ 500</t>
  </si>
  <si>
    <t xml:space="preserve">Investimento de  Sell In em:  Manteiga Com Sal Itambe 192X10G
</t>
  </si>
  <si>
    <t>Investimento de  Sell out em: Manteiga Com Sal Itambe 192X10G - R$ 800; Manteiga Extra S/Sal Caixa 5Kg - R$ 1.200;Composto Culinario Bp Sach10X1Kg Itb Go - R$ 500</t>
  </si>
  <si>
    <t>Investimento de Sell Out em: Manteiga Com Sal Itambe 192X10G - R$ 300; Manteiga Extra S/Sal Caixa 5Kg - R$ 300; Leite Condensado Bag 2,5Kg - R$900</t>
  </si>
  <si>
    <t>Investimento de Sell Out em:  Leite Condensado Bag 2,5Kg - R$ 1.000; Doce De Leite Tradicional Lata 800G - R$ 1.000</t>
  </si>
  <si>
    <t>IDEAL CESTAS DE ALIMENTOS LTDA</t>
  </si>
  <si>
    <t>Investimento de Sell In em: Creme Lei Levis 10% Itmb Cx27Cx200G Pdm - R$ 200; Leite Condensado Lata 395G - R$ 300</t>
  </si>
  <si>
    <t xml:space="preserve">Investimento na participação da Feira Confeitar - Parcela  01/05
</t>
  </si>
  <si>
    <t>Investimento de  Sell out em: Creme De Leite 25% 1,01Kg - R$ 1.000; Doce Leite Lata 5Kg - R$ 1.000</t>
  </si>
  <si>
    <t>Investimento de Sell Out em: Leite Condensado Lata 5Kg - R$ 850;Creme De Leite 17% - R$850</t>
  </si>
  <si>
    <t>ATRIA PRODUTOS ALIMENTICIOS LTD</t>
  </si>
  <si>
    <t>Investimento de Sell Out em: Creme De Leite 25% 1,01 - R$ 520; Sell Out Doce De Leite Lata 5Kg - R$ 500</t>
  </si>
  <si>
    <t>Investimento de Sell Out em: Leite Condensado Bag 2,5Kg</t>
  </si>
  <si>
    <t>Investimento de Sell Out em: Leite Condensado Bag 5Kg</t>
  </si>
  <si>
    <t>Investimento em : Plano de Mkt</t>
  </si>
  <si>
    <t>Investimento de Sell Out em: Creme De Leite 17%;Leite Condensado Bag 5K</t>
  </si>
  <si>
    <t>LOGUI DISTRIBUICAO LTDA</t>
  </si>
  <si>
    <t>PA</t>
  </si>
  <si>
    <t>Investimento de Sell Out em: Leite Condensado Bag 2,5K</t>
  </si>
  <si>
    <t>ARMAZEM TOP ALTO LTDA</t>
  </si>
  <si>
    <t xml:space="preserve">Investimento de Sell Out em: Leite Condensado Itambé Bag 5Kg 1,5%
Sellout Doce De Leite Tradicional Lata 5Kg 4000
</t>
  </si>
  <si>
    <t>Investimento na Convenção do Parceiro 2/6</t>
  </si>
  <si>
    <t xml:space="preserve">Investimento de Sell Out em: Creme De Leite 17% Cartonado 1,01Kg
</t>
  </si>
  <si>
    <t>OESA COMERCIO E REPRESENTACOES</t>
  </si>
  <si>
    <t>DF</t>
  </si>
  <si>
    <t xml:space="preserve">Investimento de Sell Out em: Leite Condensado Bag 5,0 Kg
</t>
  </si>
  <si>
    <t>SORVEPANI COMERCIAL E DISTRIBUIDORA</t>
  </si>
  <si>
    <t xml:space="preserve">Investimento de Sell Out em: Leite Condensado Bag 2,5Kg
</t>
  </si>
  <si>
    <t xml:space="preserve">Investimento Sell in em:  Composto Todo Dia Sache 400G Itb Go
</t>
  </si>
  <si>
    <t>Investimento de Sell out em: Composto Profissional-R$ 1.100; Composto Culinario - R$ 2.802; Leite Condensado Bag 5 Kg - R$ 3.000; Doce De Leite Lata 5Kg - R$ 2.000; Creme Kg 17%- R$ 2.098</t>
  </si>
  <si>
    <t>Investimento de Sell out em: Leite Condensado Bag 5Kg - R$ 4.000; Leite Condensado Semi 5Kg- R$ 3.000; Doce De Leite Lata 5Kg -R$ 1.000; Creme Kg 17% - R$ 2000</t>
  </si>
  <si>
    <t>Investimento de Sell out em: LeiteCondensado Semi 5Kg - R$ 6.000; Leite Condensado Integral 5Kg- R$ 2.000;Creme 10% - R$ 4.000; Doce De Leite Lata 5Kg - R$ 3.000; Sellout Composto Culinario -R$ 1.000</t>
  </si>
  <si>
    <t>Investimento de Sell out em: Leite Condensado Semi 5Kg - R$ 6.000; Doce De Leite 2,5Kg - R$ 3.000; Creme Kg 10% - R$ 3.000;Composto Proffissional - R$ 2.000; Leite Condensado Bag 5Kg - R$ 1.000</t>
  </si>
  <si>
    <t>Clifor</t>
  </si>
  <si>
    <t> 4000160792 </t>
  </si>
  <si>
    <t>Itens A Bonificar: Manteiga Blister Com Sal 10G- 370 Cxs; Manteiga Bloco Sem Sal - 62Cxs. Motivo Da Ação: Pagamento Campanha Astro - R$ 24.142; Pagamento Gerador Demanda Compartilhado - R$ 6.000; Sell out Condensado Semi 5Kg - R$ 5.000; Sell out Leite Condensado Integral -R$ 3.000; Sell out Creme 17% -R$ 1.858</t>
  </si>
  <si>
    <t>Investimento de Sell Out no: Creme de Leite 17%  Cartonado 1,01kg</t>
  </si>
  <si>
    <t>Abril</t>
  </si>
  <si>
    <t>Investimento de Sell out em: Composto Culinário Bp Sach10X1Kg Itb Go R$ 3.000;  Creme De Leite 25% Cartonado 1,01Kg R$ 3.000; Leite Condensado Itambe Bag 5Kg 1,5% R$ 3.000;Doce De Leite Tradicional Lata 5Kg R$ 3.000; Doce De Leite Itambe 1,5Kg R$ 1.000</t>
  </si>
  <si>
    <t>Investimento na Convenção do Cliente</t>
  </si>
  <si>
    <t>Investimento em: Retirada De Produto No Cliente: Composto Culinário Bp Sach10X1Kg Itb Go, Valor Total: 318,00</t>
  </si>
  <si>
    <t>docsing</t>
  </si>
  <si>
    <t>Investimento de Sell out em: Composto culinario 1.379kg - 1 real por kg = R$ 1.379;Investimento de Sell Out em Doce de leite 193 unidades 1,93 por unidade = R$ 372</t>
  </si>
  <si>
    <t>Investimento Comercia: O produto entregue foi invertido para o cliente. Verba aplicada no Leite condensado bag 5kg integral.</t>
  </si>
  <si>
    <t>Investimento na Campanha Anual Oesa - Cota Bronze (Parcela  02/09 ) - Valor total do Acordo R$ 20.000,00</t>
  </si>
  <si>
    <t>Investimento de Sell Out:  Produtos no estoque do cliente com validade para Maio/2026. 910 unidades de Leite Condensado Bag 5Kg e 2.550 unidades de Creme De Leite 17%</t>
  </si>
  <si>
    <t>Sell Out / Validade</t>
  </si>
  <si>
    <t>Investimento em: FIFO Manteiga bloco Itambé 5kg - Parcela (2/3)</t>
  </si>
  <si>
    <t>Investimento Comercial - Sell in Nº.PED.: 140504 - Decorrente de uma verba atrasada rederente a Março de 2025 3/4</t>
  </si>
  <si>
    <t>Investimento de Sell out em Leite Condensado Semi Bag 5Kg - R$ 20.000,00</t>
  </si>
  <si>
    <t>Investimento de Sell out em Leite Condensado Bag 5Kg - R$ 6.000,00; Composto Profissional- R$ 3.000,00</t>
  </si>
  <si>
    <t>Investimento de Sell out em Leite Condensado Semi 5Kg- R$ 5.000,00 ; Leite Condensado Integral 5Kg- R$ 4.000,00; Creme Kg- R$ 4.000,00 ; Doce Lata 5Kg-R$ 2.000,00</t>
  </si>
  <si>
    <t xml:space="preserve">Investimento Na Campanha Anual Oesa - Cota Prata Parcela  03/10 
</t>
  </si>
  <si>
    <t>Investimento De Sell In Em Doce Leite Bag 2,5 - R$ 492,00; Leite Condensado Bag 5Kg -R$ 1.000,00; Creme De Leite 17% -R$ 508,00.</t>
  </si>
  <si>
    <t xml:space="preserve">Investimento Na Participação Da Feira Confeitar - Parcela  02/05
</t>
  </si>
  <si>
    <t xml:space="preserve">Pagamento De Itens Avariados Referentes Ao Ano De 2025: Composto Lacte Profissional Sc 10 Pc 1Kg - R$ 600; Creme De Leite Cartonado 200G Itambé - R$ 800; Leite Em Po Integral Pc 1Kg - R$ 443,38 - Parcela 4/4
</t>
  </si>
  <si>
    <t>Inaproveitáveis</t>
  </si>
  <si>
    <t xml:space="preserve">Investimento de Sell Out em Manteiga Blister </t>
  </si>
  <si>
    <t>Investimento de Sell In Em Composto Culinario - R$183,00; Manteiga Bloco 5Kg  R$80,00</t>
  </si>
  <si>
    <t>Investimento de Sell Out Em Leite Condensado Bag 2,5G - R$ 500,00; Leite Condensado Bag 5Kg - R$500,00; Doce De Leite bag 2,5kg  - R$500,00</t>
  </si>
  <si>
    <t xml:space="preserve">Investimento De Sell In Em Manteiga Bloco 5Kg - R$800,00; Leite Po 1Kg-  R$ 643,20; Composto Culinario R$300,00; </t>
  </si>
  <si>
    <t xml:space="preserve">Investimento de Sell out em Composto Culinário Bp Sach10X1Kg Itb Go R$ 2.000,00; Manteiga Sem Sal Itambe 192X10G R$2.000,00;Doce De Leite Itambe 1,5Kg  R$2.000,00; Doce De Leite  Lata 800G R$2.000,00 ; Doce De;Leite Tradicional Lata 5Kg R$2.000,00; Leite Condensado Itambe Bag 5Kg 1,5% R$ 2.000,00
</t>
  </si>
  <si>
    <t>Investimento de Sell Out em Leite Condensado Bag 5Kg - R$ 2.000,00;  Doce De Leite Lata 5Kg - R$ 2.500,00</t>
  </si>
  <si>
    <t>Investimento de Sell out em Leite Condensado Lata 5Kg - R$ 584,00; Creme De Leite 25% 1,01Kg  R$ 332,00</t>
  </si>
  <si>
    <t>GARRA COMERCIO ATACADISTA DE ALIM L</t>
  </si>
  <si>
    <t xml:space="preserve">Investimento de Sell Out em: Doce De Leite Tradicional Bag 2,5 Kg - R$ 1.500				
</t>
  </si>
  <si>
    <t>Investimento na Convenção Do Parceiro - Parcela 3/6</t>
  </si>
  <si>
    <t xml:space="preserve">Investimento de  Sell Out em: Creme De Leite 17% Cartonado 1,01Kg - R$ 1.500; Creme De Leite 10% Itb Cx12Un1,01 Kg Pdm - R$1.500; Doce De Leite Tradicional Bag 2,5 Kg - R$ 1.500;  Doce De Leite Tradicional Lata 5Kg - R$ 1.300		
</t>
  </si>
  <si>
    <t xml:space="preserve">Investimento de Sell Out em: Creme De Leite 17% Cartonado 1,01Kg - R$ 2.200			
</t>
  </si>
  <si>
    <t xml:space="preserve">Investimento de Sell Out Creme De Leite 17% Cartonado 1,01Kg 				</t>
  </si>
  <si>
    <t>FRUTT CENTER DDE P DE FRUTAS E F LT</t>
  </si>
  <si>
    <t xml:space="preserve">Investimento de  Sell in em:  Manteiga Com Sal Itambe 192X10G			</t>
  </si>
  <si>
    <t xml:space="preserve">Investimento de Rebate 4% (Pedido Abril/2026) em: Doce De Leite R$ 9.793,97; Leite Condensado R$ 16.090,09; Creme De Leite R$ 5.596,55; Manteiga R$ 1.399,14;LPI R$ 2.098,71
</t>
  </si>
  <si>
    <t>Investimento de Sell out em: Leite Condensado bag 5kg</t>
  </si>
  <si>
    <t xml:space="preserve">Investimento de Sell In -  Introdução Doce De Leite Itambe 12X350G
</t>
  </si>
  <si>
    <t xml:space="preserve">Investimento de Sell Out em: Manteiga Blister R$ 300; Beb Lac Polp Mor/Coc Itambe Cx12 540G - R$ 100; Beb Lac Polp Mor/Coc Itambe Cx12 540G - R$100
</t>
  </si>
  <si>
    <t>Investimento de sell in Leite Condensado Semidesnat Itambé Cartonado 395G - R$ 1.000,00</t>
  </si>
  <si>
    <t>Investimento de Sell Out em Creme de Leite 25% - R$1.215,88; Doce de Leite Lata 5Kg - R$500,00; Leite condensado Lata 5KG - R$300,00; Leite Condensado Lata 1,01KG - R$ 300,00</t>
  </si>
  <si>
    <t>Investimento de Sell Out em Leite Condensado Bag 5,0KG - R$2.000,00; Doce de Leite Lata 5kg - R$800,00; Creme de Leite 17% - R$800,00; Composto profissional 1KG - R$400,00</t>
  </si>
  <si>
    <t>Investimento de Sell Out em: Leite Condensado Bag 5Kg - R$ 800; Leite Condesado Lata 5Kg - R$ 400; Creme De Leite 17% - R$ 400; Composto Profissional 1Kg - R$ 400</t>
  </si>
  <si>
    <t>0619</t>
  </si>
  <si>
    <t xml:space="preserve">Investimento de Sell Out Leite Condensado Itambé Bag 5KG 1,5% 5KG- R$ 10.000,00;  Leite Condensado Bag 5KG - R$ 3.000,00;  Doce de Leite Tradicional Lata 5KG - R$ 2.000,00; </t>
  </si>
  <si>
    <t>Investimento em Parmesão - R$ 5 reais por Kg - Sell In Março</t>
  </si>
  <si>
    <t>Investimento de Sell In 3% (Pedido Ref - Março de 2026) - Blister R$ 17.515,12; Iogurtes R$ 3.079,16; Manteiga 5Kg R$ 15.414,90; ParmesãoR$ 8.693,23; Queijos R$ 1.086,75; Spreads R$1052,14</t>
  </si>
  <si>
    <t>Investimento de Sell In 3% (Pedido Ref - Março de 2026) - Blister R$ 328,40; Creme Uht R$ 3.606,44; Doce de Leite R$ 4.089,81; Leite Condensado R$ 14.977,91; Leite em pó R$ 1.857,42; Manteiga 5Kg R$ 1.335,69;  Spreads R$ 24,97</t>
  </si>
  <si>
    <t>Item a Bonificar: Manteiga Blister 10 G C Sal 584Cxs - Pagamento De Campanha Astro Do Food R$25.300; Gerador Demanda - R$ 5.000; Pacote Marketing-R$ 8.000;Ação Sellout Condensado Integral 5Kg - R$ 12.700</t>
  </si>
  <si>
    <t>Maio</t>
  </si>
  <si>
    <t>Investimento de Sell in em Leite Condensado Bag 5kg R$ 2.500,00; Leite Condensado Lata 5kg R$1.163,00.</t>
  </si>
  <si>
    <t>Investimento na campanha anual Oesa - Cota Bronze (parcela 03/09) valor total do acordo R$ 20.000,00</t>
  </si>
  <si>
    <t>Investimento de Sell in em Leite Condensado Bag 5kg R$ 2.000,00, Leite Condensado Lata 5kg R$ 1.000,00.</t>
  </si>
  <si>
    <t>Investimento de Sell out condensado bag 5Kg R$ 1.500,00</t>
  </si>
  <si>
    <t xml:space="preserve">Investimento de Sell In 3% (Pedido Ref - Abril de 2026) - Blister  R$ 5.333,62; Spreads  R$ 1.022,16; Iogurtes  R$ 1.885,68;  Manteiga 5Kg  R$ 9.911,75;  Mercearia  R$ 75,13 </t>
  </si>
  <si>
    <t>'Investimento de Sell In em Parmesão - R$ 3 reais por Kg - Sell In Abril.26</t>
  </si>
  <si>
    <t>Investimento de Sell In em Creme UHT R$ 3.469,94; Leite Condensado  R$ 5.615,36; Leite em pó  R$ 4.757,60; Doce de Leite R$ 206,81.</t>
  </si>
  <si>
    <t>Investimento de Sell In em FIFO Manteiga Bloco Itambé 5kg - Parcela (3/3)</t>
  </si>
  <si>
    <t>Investimento de Rebate 4%, Doce de Leite R$ 3.609,65; Leite Condensado R$ 5.930,14; Creme de Leite R$ 2.062,66; Manteiga R$515,66; LPI R$ 773,50</t>
  </si>
  <si>
    <t>Rebate</t>
  </si>
  <si>
    <t>CENTRAL OSASCO DIST ALIM E BEBIDAS</t>
  </si>
  <si>
    <t>Pendências financeiras acordadas 03/2026: Avarias, rebaixa de preço de produtos em estoque e trocas de leite condensado.</t>
  </si>
  <si>
    <t>SOLMAR DIST DE ALIMENTOS LTDA</t>
  </si>
  <si>
    <t>Investimento de Sell Out em Leite Condensado Bag 5kg R$ 2.000,00</t>
  </si>
  <si>
    <t>RODRIGO FITZGERALD LUPIANHES LTDA</t>
  </si>
  <si>
    <t>Investimento em Sell Out / ação de rebaixa de preço promocional SKU 600651058; 600608030.</t>
  </si>
  <si>
    <t>Investimento em Sell Out em campo, disponibilizando o valor de R$ 2.500,00 ao Supervisor Food Augusto, do Atacado Diniz.</t>
  </si>
  <si>
    <t>Investimento de Sell In em  Doce de Leite R$ 4.906,78; Leite Condensado R$ 8.061,14; Creme de Leite R$ 2.803,87; Manteiga R$ 700,97; LPI R$ 1.051,45.</t>
  </si>
  <si>
    <t>Investimento de Sell Out em Leite Condensado Bag 5KG - R$ 4.778,00; Doce de leite lata 5KG - R$ 2.014,00; Creme de leite 1,01KG - R$900,00</t>
  </si>
  <si>
    <t>Investimento de Sell Out em Leite Condensado Bag 5KG - R$3.000,00; Doce de Leite Lata 5KG - R$1.000,00</t>
  </si>
  <si>
    <t>Investimento em ação de aniversário Dorivali, R$2,50 a cada kg do Doce de Leite Itambé 5kg/ 236 und - R$ 2.950,00</t>
  </si>
  <si>
    <t>Investimento de Sell In em Manteiga Extra Sem Sal Caixa 5Kg - R$ 300,00; Doce de Leite Tradicional Bag 2,5kg - R$ 678,88 ; Leite Condensado Bag 2,5kg - R$ 900,00 ; Creme de Leite 25% Cartonado 1,01Kg - R$ 1.000,00.</t>
  </si>
  <si>
    <t>ORGANIZAC BRAZAL C DE PROD AL LTDA</t>
  </si>
  <si>
    <t xml:space="preserve">Investimento de Sell In em CREME DE LEITE 25% CARTONADO 1,01KG - R$ 500,00; LEITE EM PO INTEGRAL PC 1KG - R$500,00; LEITE COND SEMIDESNAT ITAMBE CART 395G - R$500,00.
</t>
  </si>
  <si>
    <t>Investimento de Sell out em LEITE CONDENSADO BAG 2,5KG - R$ 740,00; MANTEIGA COM SAL ITAMBE 192X10G - R$ 460,00</t>
  </si>
  <si>
    <t>Investimento de Sell In em Manteiga com sal Itambé 192X10G - R$ 500,00</t>
  </si>
  <si>
    <t xml:space="preserve">Investimento de Sell In em MANTEIGA EXTRA S/SAL CAIXA 5KG - R$ 900,00; LEITE EM PO INTEGRAL PC 1KG - R$ 800,00; COMPOSTO CULINARIO BP SACH10X1KG ITB GO - R$700,00; CREME DE LEITE 25% CARTONADO 1,01KG
- R$ 1.100,00
</t>
  </si>
  <si>
    <t>Investimento de Sell In  em Leite pó integral 200g SC c/50pc - R$ 100,00; Doce de Leite Tradicional Lata 395g - R$ 100,00; Composto Todo Dia Sachê 400g ITB GO - R$ 100,00;</t>
  </si>
  <si>
    <t>Investimento em campanha anual Oesa - cota Prata - contrato 04/10</t>
  </si>
  <si>
    <t>Investimento da participação na Feira confeitar - contrato  03/05</t>
  </si>
  <si>
    <t>Investimento de Sell Out em Doce de Leite Lata 5kg - R$500,00.</t>
  </si>
  <si>
    <t>Investimento de Sell Out  em Composto Culinário R$ 600,00, equivalente a R$1/Kgn e Composto Profissional R$ 400,00.</t>
  </si>
  <si>
    <t>INTERFRIOS COM FRIOS LATCINIOS LTDA</t>
  </si>
  <si>
    <t>Investimento de Sell Out em Leite Condensado Bag 2,5kg - R$ 523,80</t>
  </si>
  <si>
    <t>Investimento de Sell Out  Introdução do SKU 600651302 no operador final - R$ 400,00.</t>
  </si>
  <si>
    <t>Investimento na Convenção do Parceiro - Parcela 4/6</t>
  </si>
  <si>
    <t xml:space="preserve">Investimento de Sell Out em Creme de Leite 17% Cartonado 1,01Kg - R$ 3.000,00
</t>
  </si>
  <si>
    <t xml:space="preserve">Investimento de Sell Out em Leite Condensado Bag 5,0 Kg - R$ 1.800,00
</t>
  </si>
  <si>
    <t xml:space="preserve">Investimento de Sell Out em Leite Condensado Bag 2,5Kg -R$ 2.193,85
</t>
  </si>
  <si>
    <t>FORCA TOTAL DIST DE GENE ALIM LTDA</t>
  </si>
  <si>
    <t>Investimento de Sell Out em Leite Condensado Bag 5kg- R$ 1.500,00</t>
  </si>
  <si>
    <t>Investimento de Sell Out em Leite Condensado Semi Bag- R$ 20.000,00</t>
  </si>
  <si>
    <t>Investimento de Sell Out em Leite Condensado Bag 5kg- R$ 5.000,00; Composto Profissional -R$ 3.000,00; Creme de Leite 17%- R$ 2.000,00</t>
  </si>
  <si>
    <t>Investimento de Sell Out em Leite Condensado Bag 5kg- R$ 6.000,00; Leite Condensado Semi 5Kg- R$ 4.000,00</t>
  </si>
  <si>
    <t>Investimento de Sell Out em Leite Condensado Semi 5Kg- R$ 6.000,00; Leite Condensado Bag -R$ 2.000,00; Doce de Leite Bag 2,5Kg - R$ 2.000,00</t>
  </si>
  <si>
    <t>UNIPAN COMERCIO DE PROD ALIM LTDA</t>
  </si>
  <si>
    <t>Investimento de Sell Out em Leite Condensado Bag 5,0 KG - R$ 5.000,00</t>
  </si>
  <si>
    <t>Investimento de Sell Out em Leite Condensado Bag 5Kg - R$ 20.000,00</t>
  </si>
  <si>
    <t>Investimento de Sell Out em Leite Condensado Bag 5Kg - R$ 30.000,00</t>
  </si>
  <si>
    <t>Investimento de Sell Out em Leite Condensado Bag 5Kg - R$ 15.000,00</t>
  </si>
  <si>
    <t>Investimento de Sell Out em COMPOSTO CULINÁRIO BP SACH10X1KG ITB GO R$ 2.500,00; CREME DE LEITE 17% CARTONADO 1,01KG R$ 2.500,00; DOCE DE LEITE TRADICIONAL LATA 5KG R$  2.500,00; LEITE CONDENSADO BAG 5,0 KG R$ 2.500,00; DOCE DE LEITE ITAMBE 1,5KG  R$ 2.000,00</t>
  </si>
  <si>
    <t>Investimento de Sell Out em Leite Condensado Bag 5Kg - R$ 5.000,00</t>
  </si>
  <si>
    <t>Investimento de Sell Out em Creme de Leite 25% Cartonado 1,01Kg R$ 4.000,00; Doce de Leite Tradicional Lata 5Kg R$ 4.000,00</t>
  </si>
  <si>
    <t>Itens a Bonificar: Manteiga Bloco com sal 5KG - 196 blocos; Manteiga Blister com sal 10g - 182 caixas. O investimento cobre as seguintes ações: Pacote de Marketing R$ 8.000; Gerador de Demanda - R$ 5.000; Campanha Astro - R$ 26.000; Sell Out Leite Condensado - R$ 11.000</t>
  </si>
  <si>
    <t xml:space="preserve">Investimento de Sell Out em: Leite Condensado Bag 5Kg </t>
  </si>
  <si>
    <t xml:space="preserve">VUPI ALIMENTOS LTDA
</t>
  </si>
  <si>
    <t>Investimento de Sell Out em: Doce Leite LaTa 5Kg.</t>
  </si>
  <si>
    <t xml:space="preserve">ROCHA PAN INDUSTRIA E COMERCIO LTDA
</t>
  </si>
  <si>
    <t>Investimento de Sell Out em: Creme De Leite 17%</t>
  </si>
  <si>
    <t>Investimento de Sell In em: Leite Condensado bag 5kg. (Maio)</t>
  </si>
  <si>
    <t>Investimento de Rebate 4% em: Doce de Leite R$ 1.120,00; Leite Condensado R$ 1.840,00; Creme de Leite R$ 640,00; Manteiga R$ 160,00; LPI R$ 240,00</t>
  </si>
  <si>
    <t>CBX CG COMERCIO DE ALIMENTOS LTDA</t>
  </si>
  <si>
    <t>6123</t>
  </si>
  <si>
    <t>675</t>
  </si>
  <si>
    <t>Acerto de preço digitado incorretamente, SKU: 600400303; 600405303</t>
  </si>
  <si>
    <t>Erro faturamento</t>
  </si>
  <si>
    <t>CAFE PACIFICO LTDA</t>
  </si>
  <si>
    <t>Pagamento de acordo devido a erro comercial na digitação do pedido. sku 630011007-LEITE UHT PARMALAT DESNATADO EDGE CQC - R$25.070,88 ; sku 630019007-LEITE UHT PARMALAT INTEGRAL EDGE CQC - R$13.663,20 ; sku 610048007-LEITE UHT PARM ZYMIL DESNAT EDGE 1L TEU - R$5.079,60 ; sku 610405337-MANTEIGA C/SAL BLISTER 10G PRESIDENT TEU - R$729,22 ; sku 610505412-QUEIJO MUSSA FATIA PRESIDENT 16X300G RAV - R$1.747,20</t>
  </si>
  <si>
    <t>Coordenador</t>
  </si>
  <si>
    <t>RODRIGO</t>
  </si>
  <si>
    <t>LUCAS ANDRADE</t>
  </si>
  <si>
    <t>GUILHERME NASCIMENTO</t>
  </si>
  <si>
    <t>CLAUDIO JORGE/MARIA LAURA</t>
  </si>
  <si>
    <t>ALEXANDRO RODRIGUES</t>
  </si>
  <si>
    <t>Junho</t>
  </si>
  <si>
    <t>Investimento de 4% de Rebate em : Doce de Leite R$ 3.199,63; Leite Condensado R$ 5.256,54; Creme de Leite R$ 1.828,36; Manteiga R$ 457,09; LPI R$ 685,64</t>
  </si>
  <si>
    <t xml:space="preserve">Investimento de Sell Out em:  Creme De Leite 17% Cartonado 1,01Kg - R$ 400 - Sell Out Doce De Leite Tradicional Bag 2,5 Kg - R$ 400 - Sell Out Leite Condensado Bag 5,0 Kg - R$400
</t>
  </si>
  <si>
    <t>Investimento de Sell Out em: Leite Condensado Bag 5 Kg</t>
  </si>
  <si>
    <t xml:space="preserve">Investimento de Sell In - 3% sob faturamento de Maio: Leite Em Pó  R$ 1.491,63 / Creme Uht  R$ 3.551,89;Leite Condensado R$ 9.796,17; Doce De Leite R$ 914,25 
</t>
  </si>
  <si>
    <t xml:space="preserve">Investimento de Sell In - 3% sob faturamento de Maio: Merc + Arom  R$ 38,81;Iogurtes  R$ 1.851,11 /Manteiga 5Kg  R$ 16.577,88; Spreads  R$ 1.803,55; Blister  R$ 5.951,07;Parmesão R$ 7.120,09 
</t>
  </si>
  <si>
    <t>Investimento Comercial de Parmesão - Pedido referenteao mês de Maio/2026 R$ 3,00Kg</t>
  </si>
  <si>
    <t xml:space="preserve">HIPER PAN DISTDE PROD DE PAN LT
</t>
  </si>
  <si>
    <t>Investimento de Sell out em: Composto lacteo 25 KG</t>
  </si>
  <si>
    <t>Investimento de Rebate 4% em: Doce de Leite R$ 5.603,37; Leite Condensado R$ 9.205,53; Creme de Leite R$ 3.201,92; Manteiga R$ 800,48; LPI R$ 1.200,72</t>
  </si>
  <si>
    <t>Feira Super Bahia Parcela 1/3  Valor  6666</t>
  </si>
  <si>
    <t>Investimento de Rebate de 4% - Doce de LeiteR $ 4.184,94; Leite Condensado R$ 6.875,26; Creme de Leite R$ 2.391,40; Manteiga R$ 597,85; LPI R$ 896,77</t>
  </si>
  <si>
    <t>Investimento na Campanha Anual Oesa - Cota Bronze (Parcela 04/09) Valor Total Do Acordo R$20.000.</t>
  </si>
  <si>
    <t>Investimento de  Sell out em:  Doce De Leite Lata 5Kg - R$ 1.800; Leite Condensado Lata 5Kg - R$ 540; Leite Condensado Bag 5Kg - R$ 2.435</t>
  </si>
  <si>
    <t>Investimento de Sell out em: Doce De Leite Lata 5Kg - R$ 145; Sellout Leite Condensado Bag 2,5Kg - R$ 200</t>
  </si>
  <si>
    <t>RIBERFOODS IMP E DIST DE PROD A</t>
  </si>
  <si>
    <t>Investimento de Sell out para retomada do Composto 600812104 - Composto Lacteo Cl 8080S 25 Kg</t>
  </si>
  <si>
    <t>VAGO SP - INTERIOR</t>
  </si>
  <si>
    <t>Ação De Sellout Leite Condensado Lata 395G - 3456; Sellout Doce De Leite Lata 5Kg - 1440; Sellout Doce De Leite Bag 2,5Kg - 1000; Sellout Doce De Leite Lata 800G - 704</t>
  </si>
  <si>
    <t>Investimento de Sell out em: Doce De Leite Tradicional Bag 2,5 Kg R$ 2.500;Creme De Leite 25% Cartonado 1,01Kg R$ 2.500;Manteiga Sem Sal Itambe 192X10G R$ 2.500;Composto Culinário Bp Sach10X1Kg Itb Go R$ 2.500;Leite Condensado Itambe Bag 5Kg 1,5% R$ 2.000</t>
  </si>
  <si>
    <t>JESSICA</t>
  </si>
  <si>
    <t>MARCELO DUARTE</t>
  </si>
  <si>
    <t>JESSICA CARLA</t>
  </si>
  <si>
    <t>CLAUDIO JORGE/AMANDA SANDS</t>
  </si>
  <si>
    <t>CLAUDIO JORGE</t>
  </si>
  <si>
    <t>CELIO MARTINS</t>
  </si>
  <si>
    <t>SP ITB FS FLAC REP.E COMERCIO</t>
  </si>
  <si>
    <t>MARCELO SILVA</t>
  </si>
  <si>
    <t>CELIO/MARANATHA</t>
  </si>
  <si>
    <t>LUCIANA MARTINS</t>
  </si>
  <si>
    <t>WH FOOD SERVICE CE</t>
  </si>
  <si>
    <t>PEDRO</t>
  </si>
  <si>
    <t>VAGO QSR</t>
  </si>
  <si>
    <t>4000168212 </t>
  </si>
  <si>
    <t>Investimento em campanha anual Oesa - cota Prata - contrato 05/10</t>
  </si>
  <si>
    <t>Investimento na Feira Confeitar - Contrato 04/05</t>
  </si>
  <si>
    <t>Investimento na campanha - Bora Vender Lacteos (Junho 2026).</t>
  </si>
  <si>
    <t>Investimento de Sell out encarte  em: Creme 25% - R$ 500; Creme 17% - R$ 500; Leite Condensado 1kg - R$ 500; Doce de Leite Bag 2,5Kg - R$ 500;</t>
  </si>
  <si>
    <t xml:space="preserve">Investimento De Sell In - (Pedido Maio/2026) em: Creme De Leite 25% Cartonado 1,01Kg - R$ 500,00; Leite Em Po Integral Pc 1Kg - R$ 500,00; Leite Cond Semidesnat Itambe Cart 395G - R$500,00; Doce De Leite 800G - R$ 624,75.
</t>
  </si>
  <si>
    <t>Investimento na Convenção do Parceiro - Parcela 5/6</t>
  </si>
  <si>
    <t>Investimento de Sell Out em: Leite Condensaso Bag 5Kg</t>
  </si>
  <si>
    <t xml:space="preserve">Investimenton de Sell Out em: Leite Condensado Bag 5K - R$ 2.000;  Creme De Leite 17% Cartonado 1,01Kg - R$ 1.000
</t>
  </si>
  <si>
    <t xml:space="preserve">Investimento de  Sell Out em: Leite Condensado Bag 5,0 Kg
</t>
  </si>
  <si>
    <t>Investimento de Sell Out em: Leite Condensado Bag 5K</t>
  </si>
  <si>
    <t xml:space="preserve">Investimento de Sell Out em: Manteiga Com Sal Itambe 192X10G
</t>
  </si>
  <si>
    <t>Investimento de Sell out em: Leite Condensado Int 5Kg - R$ 8.000; Creme de leite 1Kg - R$ 2.000</t>
  </si>
  <si>
    <t>Investimento de Sell out em: Leite Condensado Semi 5Kg- R$ 24.000; Leite Condensado Integral - R$ 4.000; Creme 1Kg 17% - R$ 5.000; Creme 10% - R$ 2.000;Doce De Leite 5Kg- R$ 5.000; Manteiga Bloco - R$ 3.000; Doce de Leite 2,5 - R$ 2.000</t>
  </si>
  <si>
    <t>Investimento de Sell out em: Leite Condensado Semi 5Kg - R$ 8.000; Creme 17% Kg - R$ 2.000</t>
  </si>
  <si>
    <t>Investimento na Campanha Anual - Cota Ouro R$ 60.000 (Parcela 1/6)</t>
  </si>
  <si>
    <t>Investimento de Sell out em: Leite Condensado Integral - R$ 5.000; Doce 2,5 - R$ 2.000; Creme 17% - R$ 2.000</t>
  </si>
  <si>
    <t>Investimento de  Sell out em: Creme 17% - R$ 500; Blister Itambé - R$ 1.000</t>
  </si>
  <si>
    <t>Investimento de  Sell out em: Leite Condensado Bag 5Kg - R$ 5.000; Creme De Leite 25% - R$ 4.000; Composto Profissional - R$ 1.036; Doce De Leite 5Kg - R$ 2.000; Leite Condensado Lata 5Kg - R$ 3.000</t>
  </si>
  <si>
    <t>Investimento na participação da Fipan 2026 - Parcela 1/3</t>
  </si>
  <si>
    <t>Investimento de Sell out em: Leite Condensado Bag 5Kg - R$ 2.000; Leite Condensado Lata 5Kg - R$ 2.000; Creme De Leite 17% - R$ 1.000; Composto Profissional 1Kg - R$ 500; Creme De Leite 25% -R$ 500</t>
  </si>
  <si>
    <t>Investimento de Sell Out em: Leite Condensado Bag 2,5Kg - R$ 600; Manteiga Com Sal Itambe 192X10G -R$ 500;Creme De Leite 17% Cartonado 1,01Kg - R$400</t>
  </si>
  <si>
    <t>Investimento de  Sell Out em: Manteiga Com Sal Itambe 192X10G</t>
  </si>
  <si>
    <t xml:space="preserve">Investimento de  Sell Out em: Creme Lei Levis 10% Itmb Cx27Cx200G Pdm
</t>
  </si>
  <si>
    <t>Investimento de Sell Out em: Creme De Leite 25% Cartonado 1,01Kg - R$ 600; Creme De Leite Cartonado 200G - R$ 600; Creme Lei Levis 10% Itmb Cx27Cx200G Pdm - R$ 600</t>
  </si>
  <si>
    <t>R S TOLEDO MIX</t>
  </si>
  <si>
    <t xml:space="preserve">Investimento de Selll Out em Composto Lácteo Cl 8080S 25 Kg - R$ 600; Composto Culinário Bp 25Kg Itb Go - R$ 400
</t>
  </si>
  <si>
    <t>Investimento de Sell Out em: Manteiga Com Sal Itambe 192X10G - R$ 600; Manteiga Extra S/Sal Caixa 5Kg - R$ 800; Leite Em Po Integral Pc 1Kg - R$ 1.000; Composto Culinário Bp Sach10X1Kg Itb Go - R$ 600</t>
  </si>
  <si>
    <t>Investimento de 7% de Rebate -Doce de Leite R$ 7.520,83; Leite Condensado R$ 12.355,66; Creme de Leite R$ 4.297,62; Manteiga R$ 1.074,40; LPI R$ 1.611,61</t>
  </si>
  <si>
    <t>A pagar</t>
  </si>
  <si>
    <t>Itens a bonificar: Manteiga Bloco 5Kg S Sal -196 Blocos ; Manteiga Blister C Sal 10G-182 Cxs O investimento cobre as seguintes ações: Pacote de Markting R$ 8.000; Gerador demanada - R$ 5.000; Sell out Leite Condendado Semi 5Kg - R$ 26.000; Sell out Leite Condensado Integral R$ 11.000</t>
  </si>
  <si>
    <t>Investimento de Sell Out em:  Leite Condensado Bag 2,5K</t>
  </si>
  <si>
    <t>Investimento de Sell Out nem: Leite Condensado Bag 5K</t>
  </si>
  <si>
    <t xml:space="preserve">Investimento de Sell out em: Leite Condensado Bag 5Kg </t>
  </si>
  <si>
    <t>Julho</t>
  </si>
  <si>
    <t>MARIA LOURDES</t>
  </si>
  <si>
    <t>Investimento de Sell In em : Parmesão R$ 4,00 por Kg</t>
  </si>
  <si>
    <t xml:space="preserve">Investimento de Sell In Junho de 2026 em: Creme Uht R$ 3.832,50; Doce De Leite R$ 4.118,01; Leite Condensado R$ 9.869,07; Leite Em Pó R$ 1.695,48
</t>
  </si>
  <si>
    <t xml:space="preserve">Investimento de Sell In Junho de 2026 em: Blister R$ 10.942,95; Manteiga 5Kg R$ 16.576,59; Merc + Arom R$ 77,61; Spreads R$ 731,37; Iogurtes R$ 3.595,35
</t>
  </si>
  <si>
    <t>Investimento de Sell out (Negociação com o Supervisor Denis) em: Doce De Leite R$ 2.000</t>
  </si>
  <si>
    <t>Investimento Na Campanha Anual Oesa - Cota Bronze (Parcela 05/09) Valor Total Do Acordo R$ 20.000.</t>
  </si>
  <si>
    <t>Investimento de Rebate 4% em:  Doce De Leite R$ 1.731,38; Leite Condensado R$ 2.844,41; Creme De Leite R$ 989,36; Manteiga R$ 247,34; Lpi R$ 371,01</t>
  </si>
  <si>
    <t xml:space="preserve">Feira Super Bahia Parcela 2/3 </t>
  </si>
  <si>
    <t>CAMARADA ADM DE RESTAURANTES</t>
  </si>
  <si>
    <t>Investimento Cardapio Manteiga Sem Sal 5Kg President - R$ 7.500; Investimento Cardapio Queijo Parmesao President Forma Imp - R$ 7.500</t>
  </si>
  <si>
    <t>Investimento de  Sell Out em: Manteiga 5kg Itambé</t>
  </si>
  <si>
    <t xml:space="preserve">CUNHAPAN DIST DE PROD P PANIF LTDA 
 </t>
  </si>
  <si>
    <t>SC</t>
  </si>
  <si>
    <t>Investimento de Sell Out em: Leite Condensado Bag 5Kg (Garantir escoamento do volume negociado com o cliente)</t>
  </si>
  <si>
    <t>ANGELICA BATISTELA</t>
  </si>
  <si>
    <t xml:space="preserve"> Amostra -  Manteiga Bloco 5 Kg $ 467,10</t>
  </si>
  <si>
    <t>Amostra</t>
  </si>
  <si>
    <t>Pagamento referente a diferença de Preço Liberada entre Junho e Julho de 2026</t>
  </si>
  <si>
    <t xml:space="preserve">CONFESPAN COMERCIO E DISTRIBUICAO L
</t>
  </si>
  <si>
    <t>Investimento de Sell Out em: Leite Condensado Bag 5Kg R$1.630; Doce De Leite 5Kg R$2.700.</t>
  </si>
  <si>
    <t>Investimento de Sell out em: Leite Condensado Itambe Bag 5Kg 1,5% R$ 2.668; Doce de Leite Tradicional Bag 2,5 Kg R$ 2.000; Doce De Leite Tradicional Lata 5Kg R$ 2.000; Composto Culinário Bp Sach10X1Kg Itb Go R$ 4.000; Manteiga Sem Sal Itambe 192X10G R$ 4.000; Manteiga Com Sal Itambe 192X10G R$ 4.000; Creme De Leite 25% Cartonado 1,01Kg R$ 2.000</t>
  </si>
  <si>
    <t>Investimento de Sell Out em: Leite Condensado Semi 5Kg</t>
  </si>
  <si>
    <t>COMERCIAL DISKPAN</t>
  </si>
  <si>
    <t>Investimento na Campanha Anual - Cota Ouro R$ 60.000 (Parcela 2/6)</t>
  </si>
  <si>
    <t>Investimento de Sell out em: Leite Condensado Bag 5Kg- R$ 5.000; Creme 17% - R$ 2.000; Manteiga Blister - R$ 3.000</t>
  </si>
  <si>
    <t>Investimento de Sell out em: Leite Condensado Semi 5Kg - R$ 20.000; Leite Condensado Integral 5Kg - R$ 10.000</t>
  </si>
  <si>
    <t>FORÇA TOTAL DIST</t>
  </si>
  <si>
    <t>Investimento de Sell out em: Manteiga Blister - R$ 2.000</t>
  </si>
  <si>
    <t>NECHIO COMERCIO DISTRIB DE ALIMENT</t>
  </si>
  <si>
    <t xml:space="preserve">Investimento de Sell out em: Composto Profissional </t>
  </si>
  <si>
    <t>ATOS PAN COM DE PROD ALIM LTDA</t>
  </si>
  <si>
    <t>Investimento de  Sell Out em: Leite Condensado Bag 5Kg</t>
  </si>
  <si>
    <t xml:space="preserve">FERPEREZ COMERCIO DE ALIMENTOS
</t>
  </si>
  <si>
    <t>Investimento Acordo Trimestral: R$ 4.000 +  ação de Sell-In em: Leite Condensado Bag 5Kg R$ 4.000</t>
  </si>
  <si>
    <t xml:space="preserve">OESA COMERCIO E REPRESENTACOES SA
</t>
  </si>
  <si>
    <t>Investimento de Sell Out em: Blister R$ 400; Manteiga 5Kg R$ 2.000; Leite Em Po 1Kg R$ 600</t>
  </si>
  <si>
    <t>Investimento na Campanha Anual Oesa - Cota Prata - Parcela 06/10</t>
  </si>
  <si>
    <t>Investimento na Feira Confeitar - Parcela 05/05</t>
  </si>
  <si>
    <t xml:space="preserve">Investimento de  Sell Out em: Creme De Leite 17% Cartonado 1,01Kg - R$ 1.000; Leite Condensado Bag 5,0 Kg - R$ 1.000
</t>
  </si>
  <si>
    <t>Investimento de Sell Out em:  Leite Condensado Bag 2,5Kg - R$ 500; Manteiga Com Sal Itambe 192X10G - R$ 500</t>
  </si>
  <si>
    <t xml:space="preserve">Investimento de Sell Outem:  Creme Lei Levis 10% Itmb Cx27Cx200G Pdm - R$ 1.400;Leite Cond Semidesnat Cartonado 395G - R$ 2.000
</t>
  </si>
  <si>
    <t>Participação Feira Fipan 2026 - Parcela 2/3</t>
  </si>
  <si>
    <t>Investimento de Sell out em: Leite Condensado Bag - R$ 3.000;Leite Condensado Lata 395 - R$ 4.500;Composto Culinario - 1400; Doce De Leite Lata 5Kg - R$ 1.100; Doce De Leite Bag 2,5Kg - R$ 1.400</t>
  </si>
  <si>
    <t>Investimento de Sell out em: Composto Profissional 1Kg - R$ 2.000; Doce De Leite Lata 5Kg - R$ 2.080;Leite Condensado Bag 5Kg - R$ 5.000; Leite Condensado Lata 5Kg -R$ 3.000; Creme De Leite 25% - R$ 2.438; Creme De Leite 17% - R$ 2.000</t>
  </si>
  <si>
    <t>Itens A Bonificar: Manteiga Bloco C Sal 196 Cxs; Manteiga Bloco Sem Sal 147 Cxs. O investimento cobre as seguintes ações: Pacote De Markting R$ 8.000; Gerador Demanda - R$ 5.000; Pagamento Campanha Astro R$ 28.288; Sell in Manteiga Bloco R$15.000; Sell out Leite Condensado Semi R$ 8.712</t>
  </si>
  <si>
    <t xml:space="preserve">STA DISTRIBUIDORA DE ALIMENTOS LTDA
</t>
  </si>
  <si>
    <t xml:space="preserve">Investimento na Convenção do Parceiro - Parcela 6/6
</t>
  </si>
  <si>
    <t>Investimento na Campanha  - Equipe Tecnica Parceiro S.A Alimentos - 1/1</t>
  </si>
  <si>
    <t xml:space="preserve">Investimento de Sell Out em: Creme De Leite 17% Cartonado 1,01Kg - R$ 15.000
</t>
  </si>
  <si>
    <t xml:space="preserve">Investimento de Sell out em: Composto Profissional 1Kg - R$ 1.418; Leite Condensado Lata 5Kg - R$ 2.000; Leite Condensado Bag 5Kg - R$ 2.000; Creme De Leite 17% - R$ 1.000
</t>
  </si>
  <si>
    <t xml:space="preserve">Investimento de Sell Out Leite Condensado Bag 5,0 Kg </t>
  </si>
  <si>
    <t xml:space="preserve">Investimento de Sell Out em: Creme De Leite 25% Cartonado 1,01Kg 
</t>
  </si>
  <si>
    <t xml:space="preserve">Investimento de Sell Out em: Leite Condensado Bag 5,0 Kg </t>
  </si>
  <si>
    <t>Investimento de Sell Out em:  Manteiga Com Sal Itambe 192X10G</t>
  </si>
  <si>
    <t xml:space="preserve">CASA DO SACHET LTDA
</t>
  </si>
  <si>
    <t>MARTINS E SILVA COMERCIO LTDA</t>
  </si>
  <si>
    <t>RR</t>
  </si>
  <si>
    <t>Investimento de Sell out em: Doce de Leite Itambé  5kg</t>
  </si>
  <si>
    <t>ATRIA PRODUTOS ALIMENTICIOS LTDA</t>
  </si>
  <si>
    <t>Investimento de  Sell out em: Doce De Leite Lata 5Kg - R$ 938; Doce De Leite Lata Chocolate 800G - R$ 130; Doce De Leita Chocolate Lata 5Kg - R$ 130; Manteiga Blister Itambé - R$ 260</t>
  </si>
  <si>
    <t>MERCADINHO LESSA LTDA</t>
  </si>
  <si>
    <t>Investimento de Sell out em: Manteiga Blister Itambe - R$ 3.000; Composto Profisional 1Kg - R$ 500; Composto Culinario 1Kg -R$ 500</t>
  </si>
  <si>
    <t>Investimento de Sell In em: Manteiga Com Sal Itambe 192X10G</t>
  </si>
  <si>
    <t>Investimento de Sell Out em: Leite Condensado Bag 5kg</t>
  </si>
  <si>
    <t>ALEXANDRE BONANI</t>
  </si>
  <si>
    <t>0531</t>
  </si>
  <si>
    <t>Agosto</t>
  </si>
  <si>
    <t>Investimento de Rebate 4% em: Doce de Leite R$ 4.041,32; Leite Condensado R$ 6.639,31; Creme de Leite R$ 2.309,33; Manteiga R$ 577,33; LPI R$ 866,00</t>
  </si>
  <si>
    <t xml:space="preserve">Investimento de Sell Out em: Creme De Leite 17% Cartonado 1,01Kg R$ 5.000; Leite Condensado Bag 5,0 Kg R$ 5.000
</t>
  </si>
  <si>
    <t>Investimento de Sell Out e Rebaixa de Preço em: Leite Condensado</t>
  </si>
  <si>
    <t xml:space="preserve">JCA FOODS COM DE PROD ALIM LTDA
</t>
  </si>
  <si>
    <t>Investimento Sell In Doce De Leite De 2,5Kg -  R$ 571; Investimento de Sell Out em: Doce De Leite Lata 800G  R$ 571.</t>
  </si>
  <si>
    <t>Item a bonificar: Parmesão peça 52kg. Compesação de preço.</t>
  </si>
  <si>
    <t>GOLD INDUSTRIA E COMERCIO LTDA</t>
  </si>
  <si>
    <t>Investimento de Sell out em: Leite condensado lata 1,01 kg</t>
  </si>
  <si>
    <t xml:space="preserve">Participação na Convenção de Vendas do cliente em: 20 e 22 de Agosto na cidade Águas de Lindóia – SP (com a participação de aproximadamente  200 vendedores)
A Lactalis participará do evento por meio da confecção de tábuas de queijos personalizadas com nossa marca, proporcionando maior visibilidade e fortalecendo orelacionamento comercial com o cliente e sua equipe de vendas. 
</t>
  </si>
  <si>
    <t>STAMPA PET E FOOD LTDA</t>
  </si>
  <si>
    <t xml:space="preserve">Investimento para cobertura da diferença de preço: A solicitação se deve a uma divergência identificada entre o preço apresentado no simulador da Tabela VIP e o preço parametrizado no sistema para o blister Cream Cheese 18g President
</t>
  </si>
  <si>
    <t>Erro de faturamento</t>
  </si>
  <si>
    <t>Investimento de Rebate 4% em: Doce de Leite R$ 2.769,63; Leite Condensado R$ 4.550,10; Creme de Leite R$ 1.582,64; Manteiga R$ 395,66; LPI R$ 593,49</t>
  </si>
  <si>
    <t xml:space="preserve">Investimento de Sell Out em: Manteiga Sem Sal Itambe 192X10G R$ 5.000; Manteiga Com Sal Itambe 192X10G Sellout R$ 4.672
</t>
  </si>
  <si>
    <t>Investimento de  Sell In (Julho/2026) Para serem aplicados proporcionalmente nas Manteigas Bloco e Blisters President</t>
  </si>
  <si>
    <t xml:space="preserve">Investimento de Sell in em: Creme Uht  R$ 3.341,00; Doce De Leite R$ 1.091,25; Leite Condensado R$ 6.574,83; Leite Em Pó R$ 2.789,4
</t>
  </si>
  <si>
    <t xml:space="preserve">Investimento de Sell In 3% (Julho 2026) em:  Iogurtes R$ 1.845,24; Manteiga 5Kg  R$ 10.648,59; Merc + Arom  R$ 38,82; Parmesão  R$ 11.353,95;  Spreads  R$ 2.466,03; Blister R$ 7.484,88 
</t>
  </si>
  <si>
    <t>Investimento de Sell In - Acordo Comercial Julho 2026</t>
  </si>
  <si>
    <t xml:space="preserve">Feira Super Bahia Parcela 3/3 </t>
  </si>
  <si>
    <t xml:space="preserve">Investimento de Sel lout em: Leite Condensado bag 5 kg no Sup. São Roque
</t>
  </si>
  <si>
    <t>Investimento de Sell out em produtos em estoque Itambé</t>
  </si>
  <si>
    <t>CESTA BASICA BRASIL COMERCIO AL</t>
  </si>
  <si>
    <t>0749</t>
  </si>
  <si>
    <t>Investimento para quitar pendência Comercial no Doce de leite elegê</t>
  </si>
  <si>
    <t>FLAC 7</t>
  </si>
  <si>
    <t>Pendencia comercial</t>
  </si>
  <si>
    <t>T T F ALIMENTOS SOROCABA LTDA</t>
  </si>
  <si>
    <t>Investimento Sell in em: Leite condensado e Creme de leite</t>
  </si>
  <si>
    <t xml:space="preserve">Investimento de Rebate de 4%  - Doce de Leite R$ 5.387,03; Leite Condensado R$ 8.850,12, Creme de Leite R$ 3.078,30, Manteiga R$ 769,58, LPI R$ 1.154,36
</t>
  </si>
  <si>
    <t>Investimento em Sell In (Pedido Agosto) em : Composto R$ 334,50; Creme de Leite R$ 187,27; Leite Condensado R$ 840,78; Leite em Pó R$ 337,50; Manteiga R$ 100</t>
  </si>
  <si>
    <t xml:space="preserve">Investimento de Sell out em: Composto Culinário Bp Sach10X1Kg Itb GoR$ 5.000; Creme De Leite 25% Cartonado 1,01Kg Sellout R$ 5.000; Doce De Leite Chocolate Lata 5Kg R$ 5.000
</t>
  </si>
  <si>
    <t xml:space="preserve">Investimento de Sell out em:  Composto Culinário Bp 25Kg Itb Go
</t>
  </si>
  <si>
    <t xml:space="preserve">Investimento de Sell Out em: Leite Pó 1Kg - R$ 600; Manteiga Blister R$ 500; Manteiga Bloco 5Kg R$ 1.400
</t>
  </si>
  <si>
    <t xml:space="preserve">Investimento de Sell Out em: Creme 25% - R$ 700;Creme 17% - R$ 500 ;Leite Condensado Bag 5 Kg - R$ 800;Doce De Leite Bag 2,5Kg - R$500
</t>
  </si>
  <si>
    <t>Investimento na Campanha Anual Oesa - Cota Prata - Parcela 07/10</t>
  </si>
  <si>
    <t xml:space="preserve">Investimento de Sell Out em: Manteiga Bloco 5Kg - R$ 560,00; Manteiga Blister - R$ 510,00; Leite Condensado Bag 2,5 - R$ 430; Creme De Leite 17% - R$ 300
</t>
  </si>
  <si>
    <t>Participação Feira Fipan 2026 - Parcela 3/3</t>
  </si>
  <si>
    <t>Investimento de Sell out em: Composto Profissional 1Kg - R$ 1.400; Doce De Leite Lata 5Kg - R$ 1.340; Leite Condensado Lata 5Kg - R$ 1.000</t>
  </si>
  <si>
    <t>Investimento de Sell out em: Doce De Leite Lata 5 Kg - R$ 1.000; Creme De Leite 25% 1Kg - R$ 841</t>
  </si>
  <si>
    <t>Investimento de Sell out em: Composto Profissional 1Kg - R$ 969,68;Composto Culinario R$ 200; Manteiga Blister Itambé Com E Sem Sal - R$ 2.800</t>
  </si>
  <si>
    <t>Investimento de Sell out em: Leite Condensado Lata 1,01Kg - R$ 1.322,50;Leite Condensado Lata 395G - R$ 2.000</t>
  </si>
  <si>
    <t>Investimento Na Campanha Anual - Cota Ouro R$ 60.000 (Parcela 3/6)</t>
  </si>
  <si>
    <t>Investimento de Sell Out em:  Leite Condensado Bag 5Kg- R$ 4.000; Creme 17% - R$ 4.000; Blister- R$ 2.000</t>
  </si>
  <si>
    <t>Investimento de Sell Out em: Manteiga Blister R$ 2.000</t>
  </si>
  <si>
    <t>Investimento de Sell out em: Leite Condensado Bag Int 5Kg- R$ 7.000; Leite Condensado Semi 5Kg- R$ 5.000;Creme 17%-R$ 3.000</t>
  </si>
  <si>
    <t>Investimento de Sell out em: Leite  Condensado Integral 5Kg -R$ 10.000; Sell in em: Leite Condensado Semi -R$ 20.000; + 1° Parcela Jota Já -R$ 7.500</t>
  </si>
  <si>
    <t>Investimento de Sell Out em:  Manteiga Bloco 5Kg</t>
  </si>
  <si>
    <t xml:space="preserve">Invetsimento de Sell Out em: Composto Culinario Bp Sach10X1Kg Itb Go - 800;
</t>
  </si>
  <si>
    <t xml:space="preserve">Investimento de  Sell Out em: Leite Condensado Bag - 5500;
</t>
  </si>
  <si>
    <t xml:space="preserve">Investimento de Sell Out em:  Com Sal Itambe 192X10G
</t>
  </si>
  <si>
    <t>Investimento de Sell out em:  Composto culinário 1kg - R$ 700; Creme de leite 200g - R$ 500</t>
  </si>
  <si>
    <t>NT IND E COM DE PANIFICACAO LTDA</t>
  </si>
  <si>
    <t>Investimento de Sell Out em: Doce De Leite Tradicional Lata 5Kg</t>
  </si>
  <si>
    <t>Investimento de Sell Out em:  Creme De Leite 17% - R$ 2.400; Creme De Leite 25% - R$ 2.400</t>
  </si>
  <si>
    <t xml:space="preserve">Investimento de Sell out em: Manteiga Extra C/Sal Caixa 5Kg - R$ 4.000; Leite Condensado Bag 5,0 Kg - R$16.000
</t>
  </si>
  <si>
    <t>Investimento de Sell Out em: Leite Condensado Bag 5Kg - R$ 10.000</t>
  </si>
  <si>
    <t>Itens a Bonificar: Composto Profissional -53 Fardos; Leite Em Po 400G-140 Fardos. Cobertura da ação: Pacote De Markting R$ 8.000; Gerador Demanda - R$ 5.000;  Sell Out Leite Condensado Semi 5Kg R$ 24.000; Sel lout Condensado Semi Tp R$ 15.000; Sell out Blister -R$ 3.000</t>
  </si>
  <si>
    <t>4000174483 </t>
  </si>
  <si>
    <t>0755</t>
  </si>
  <si>
    <t xml:space="preserve">Investimento De Sell Out Em: Manteiga Com Sal Itambe 192X10G
</t>
  </si>
  <si>
    <t xml:space="preserve">Investimento de Sell Out em: Leite Condensado Semidesnat Cartonado 395G
</t>
  </si>
  <si>
    <t>Investimento de Sell out em: Leite Condensado Lata 5Kg</t>
  </si>
  <si>
    <t>Investimento de Sell out em: Leite Condensado Semi 5Kg</t>
  </si>
  <si>
    <t xml:space="preserve">Investimento de  Sell In Agost.26 em: Creme R$ 598,96 / Doce  R$ 600,00 /Condensado  R$ 4.530,23 
</t>
  </si>
  <si>
    <t>Setembro</t>
  </si>
  <si>
    <t>Investimento de  Sell In (Julho/2026) Para serem aplicados proporcionalmente nas Manteigas Bloco e Blisters President (Valor restante invetsimento de Julho)</t>
  </si>
  <si>
    <t>Investimento de Sell in (Agosto) em: Blister Lactalis</t>
  </si>
  <si>
    <t>Investimento de Sell out em: SKU 600405303 Manteiga Extra S/Sal Caixa 5K - Mix De Produtos Lojas De Festas.</t>
  </si>
  <si>
    <t>Investimento de Sell out em: Leite condensado bag 5kg - 2% sobre faturamento (6 paletes) de Setembro</t>
  </si>
  <si>
    <t>VAGO SP</t>
  </si>
  <si>
    <t xml:space="preserve">Investimento de Sell out em: Leite condensado bag 5kg </t>
  </si>
  <si>
    <t>Investimento em ação de trade marketing - aula show / degustação em loja - Leite condensado R$ 350/ Creme de leite R$ 350 / Doce de leite R$ 350 / Leite em pó R$ 350</t>
  </si>
  <si>
    <t>Ação Marketing</t>
  </si>
  <si>
    <t>Investimento de Rebate de 4% em:  Doce de Leite R$ 6.627,80; Leite Condensado R$ 10.888,54; Creme de Leite R$ 3.787,32; Manteiga R$ 946,83; LPI R$ 1.420,24</t>
  </si>
  <si>
    <t>Investimento na Campanha Anual Oesa - Cota Bronze (Parcela 05/09) Valor Total Do Acordo R$20.000.</t>
  </si>
  <si>
    <t>CLAUDIO JORGE/LUIZ</t>
  </si>
  <si>
    <t xml:space="preserve">DINIZ COM ATAC DE PROD ALIM LTDA				
</t>
  </si>
  <si>
    <t xml:space="preserve">Investimento de Sell para ações da marca nos seguinte SKUs: 600608249, 600651302, 600666313
</t>
  </si>
  <si>
    <t>FUNCHAL IND E COM DE PAPEIS LTDA</t>
  </si>
  <si>
    <t>AROUMAR DISTRIB DE PRODUTOS ALIM LTDA</t>
  </si>
  <si>
    <t>0125</t>
  </si>
  <si>
    <t xml:space="preserve">Investimento de Rebaixa de preço em: Doce de leite 2,5kg + pagamento de erro logisitco - Entrega de 10 caixas do produto em fifo </t>
  </si>
  <si>
    <t>Sell out e Rebaixa</t>
  </si>
  <si>
    <t xml:space="preserve">DORIVALI COM DIST DE PROD ALIM LTDA 
</t>
  </si>
  <si>
    <t>OESA COMERCIO E REPRESENTACOES AS</t>
  </si>
  <si>
    <t>CUNHAPAN DIST DE PROD P PANIF LTDA</t>
  </si>
  <si>
    <t xml:space="preserve">T T F ALIMENTOS SOROCABA LTDA 
</t>
  </si>
  <si>
    <t xml:space="preserve">ORGANIZAC BRAZAL C DE PROD AL LTDA
</t>
  </si>
  <si>
    <t xml:space="preserve">DISPROPAN LTDA
</t>
  </si>
  <si>
    <t xml:space="preserve">COMERCIAL AZEVEDO LTDA
</t>
  </si>
  <si>
    <t xml:space="preserve">NUTRIFAZ CESTA LTDA EPP
</t>
  </si>
  <si>
    <t>MACPAN COM E DIST DE PROD ALIM LTDA</t>
  </si>
  <si>
    <t xml:space="preserve">CONCORDE LOGISTICA E DISTRIBUICAO				
</t>
  </si>
  <si>
    <t xml:space="preserve">GARRA COMERCIO ATACADISTA DE ALIM LTDA
</t>
  </si>
  <si>
    <t xml:space="preserve">AMORIX ALIMENTOS LTDA
</t>
  </si>
  <si>
    <t xml:space="preserve">GP EMBALAGENS
</t>
  </si>
  <si>
    <t xml:space="preserve">UNIPAN COMERCIO DE PROD ALIM LTDA
</t>
  </si>
  <si>
    <t>Investimento de Sell out e Rebaixa de preço em: Leite Condensado Bag 5Kg - R$ 728; Doce De Leite Lata 5Kg - R$ 520; Leite Condensado Lata 5Kg - R$ 208</t>
  </si>
  <si>
    <t xml:space="preserve">Investimento de Sell in (Setembro 2026) em: Creme Uht R$ 1.588,40; Doce de leite R$ 590,49; Leite condensado  R$ 1.721,11 
</t>
  </si>
  <si>
    <t>Investimento na Campanha Anual Oesa - Cota Prata - Parcela 08/10</t>
  </si>
  <si>
    <t xml:space="preserve"> Investimento de Sell Out em: Leite Condensado Bag 5Kg </t>
  </si>
  <si>
    <t>Investimento de Sell In (Setembro/2026) em:  Leite Condensado R$ 1.500; Doce de Leite R$ 100</t>
  </si>
  <si>
    <t>Investimento de  Sell Out em: Manteiga Blister - R$ 800; Manteiga 5Kg - R$ 700; Leite Em Po 1Kg - R$ 500</t>
  </si>
  <si>
    <t>Investimento de Sell Out em: Creme 17% - R$ 600; Leite Condensado Bag 2,5 - R$ 700; Leite Condensado Bag 5Kg - R$ 700</t>
  </si>
  <si>
    <t>Investimento de Sell In (Pedido referente ao dia 22/09/2026) em:  Composto 1Kg - R$ 900 ; Creme De Leite 200Gr - R$ 700 , Doce De Leite 800Gr - R$ 400; Leite Em Po 1Kg-R$ 580</t>
  </si>
  <si>
    <t>Investimento de Sell Out em: Manteiga Blister - R$ 300; Manteiga Bloco 5Kg -R$ 300; Leite Condensado 5Kg Bag -R$ 300; Leite Condensado Bag 2,5Kg -R$ 300; Leite Em Po 1Kg -R$ 265,44</t>
  </si>
  <si>
    <t>Investimento de  Sell out em:  Leite em Pó 400Gr</t>
  </si>
  <si>
    <t>Investimento de Sell out em: Leite Condensado Bag 5Kg - R$ 3.368; Leite Condensado Lata 5Kg - R$ 900; Leite Condensado Lata 395G - R$ 4.357; Doce De Leite Bag 2,5Kg - R$ 2.080; Doce De Leite Lata 800G - R$ 1.000</t>
  </si>
  <si>
    <t xml:space="preserve">Investimento De Rebate 4% (Setembro/2026) em: Doce De Leite R$ 4.683,74, Leite Condensado R$ 7.694,72, Creme De Leite R$ 2.676,43, Manteiga R$ 669,11, Lpi R$ 1.003,66.
</t>
  </si>
  <si>
    <t>Investimento de Sell In em: Blister de Manteiga com e sem sal - Itambé</t>
  </si>
  <si>
    <t xml:space="preserve">Investimento de Sell Out em: Manteiga Extra S/Sal Caixa 5Kg
</t>
  </si>
  <si>
    <t xml:space="preserve">Investimento de Sell Out em:  Creme De Leite 17% Cartonado 1,01Kg - R$ 2.000; Sell Out Doce De Leite Tradicional Bag 2,5 Kg - R$ 2.000; Sell Out Leite Condensado Bag 5,0 Kg -R$ 3.000
</t>
  </si>
  <si>
    <t xml:space="preserve">Investimento de Sell Out em: Leite Condensado Bag 5,0 Kg - R% 5.000; Sell Out Creme De Leite 25% Cartonado 1,01Kg - R$ 5.000; 
</t>
  </si>
  <si>
    <t>Investimento de  Sell Out em: Leite Condensado Bag 5K</t>
  </si>
  <si>
    <t>SAPORE SA</t>
  </si>
  <si>
    <t>Abatimento de Negociação de Preço com o cliente</t>
  </si>
  <si>
    <t>NUTRI</t>
  </si>
  <si>
    <t>Abatimento</t>
  </si>
  <si>
    <t xml:space="preserve">CONFESPAN COMERCIO E DISTRIBUICAO L				
</t>
  </si>
  <si>
    <t xml:space="preserve">DIST NORD DE CONFEIT E PANIF LT
</t>
  </si>
  <si>
    <t xml:space="preserve">RIBERFOODS PRODUTOS ALIMENTICIOS LT 
</t>
  </si>
  <si>
    <t xml:space="preserve">DISPAN DISTRIBUIDORA DE ALIMENTOS L
</t>
  </si>
  <si>
    <t xml:space="preserve">FORTALI DIST DE ALIMENTOS LTDA
</t>
  </si>
  <si>
    <t xml:space="preserve">FRANCISCO C LIMA DISTRIB DE ALI
</t>
  </si>
  <si>
    <t xml:space="preserve">PADEIRAO COMERCIO PROD PARA PANI LT
</t>
  </si>
  <si>
    <t xml:space="preserve">ARMAZEM TOP ALTO LTDA
</t>
  </si>
  <si>
    <t xml:space="preserve">SOST IND E COM DE ALIMENTOS EIRELI
</t>
  </si>
  <si>
    <t xml:space="preserve">PAMA COM DE GENEROS ALIMENTICIOS </t>
  </si>
  <si>
    <t xml:space="preserve">SOS ALIMENTOS E TRANSPORTES LTDA
</t>
  </si>
  <si>
    <t>CCN COMERCIO</t>
  </si>
  <si>
    <t>J ARAUJO DIST IMP E EXP SA</t>
  </si>
  <si>
    <t xml:space="preserve">Investimento de Sell Out em: Leite Manteiga 5K - R$ 948; Sell Out Condensando Bag 2,5K- R$ 3.785 
</t>
  </si>
  <si>
    <t xml:space="preserve">Investimento de R$ 15.000,00 destinado á recuperação de volume e ganho de Share na Riberfoods. A Verba Está Sendo Utilizada Na Positivação Do Sku 600651301 – Leite Condensado Bag 2,5 Kg, com Início De Volume de 14 Toneladas, tendo como principal objetivo conquistar espaço da Nestlé e Fortalecer a presença da Itambé no Cliente.
</t>
  </si>
  <si>
    <t>Investimento de Sell Out Creme 17 - R$ 2.049; Sell Out Creme 25 - R$ 1.855; Sell Out Condensando Lata 5K - R$ 811; Sell Out Condensado Semi Bag 5K - R$ 626; Sell Out Doce De Leite Bag 2,5K - R$ 565; Sell Out Condensado Bag 2,5K - R$ 1.065; Sell Out Condensado Bag 5K - R$ 533; Sell Out Manteiga Bloco 5K - R$ 1.496</t>
  </si>
  <si>
    <t xml:space="preserve">Investimento de Sell Out Manteiga Sem Sal Itambe 192X10G - R$ 500; Sell Out Manteiga Com Sal Itambe 192X10G - R$ 3.500 
</t>
  </si>
  <si>
    <t>Investimento no Evento Exposorvetes, item: Composto - R$ 1.000; Leite Condensando Bag - R$ 3.000</t>
  </si>
  <si>
    <t>Investimento de Sell Out em: Leite Condensado Bag 5K (Ação Beach Park)</t>
  </si>
  <si>
    <t>Investimento de Sell Out em: MANTEIGA EXTRA S/SAL CAIXA 5KG</t>
  </si>
  <si>
    <t xml:space="preserve">Investimento de Sell Out em: Manteiga Com Sal Itambe 192X10G 
</t>
  </si>
  <si>
    <t>Investimento de Sell Out em: Composto Lácteo Culinário Sc 10 Pc 1Kg - R$ 487,28; Sell Out Composto Lacte Profissional Sc 10 Pc 1Kg - R$ 653,06; Sell Out Creme De Leite 17% Cartonado 1,01Kg - R$ 2.610,49; Sell Out Creme Lei Levis 10% Itmb Cx27Cx200G Pdm - R$ 313,64; Sell Out Doce De Leite Tradicional Bag 2,5 Kg - R$ 838,90; Sell Out Doce De Leite Tradicional Lata 5Kg - R$ 1.149,31; Sell Out Leite Condensado Bag 2,5Kg - R$ 1.186,53; Sell Out Leite Condensado Bag 5,0 Kg - R$ 3.954,54; Sell Out Leite Condensado Lata 5Kg - R$401,48; Sell Out Leite Condensado Itambe Bag 5Kg 1,5% - R$ 309,72; Sell Out Composto Culinário Bp 25Kg Itb Go - R$ 445,05</t>
  </si>
  <si>
    <t>Investimento de  Sell out em: Leite Condensado Lata 395G - R$ 2.974; Sell out Leite Condensado Lata 1,01Kg - R$ 2.000</t>
  </si>
  <si>
    <t>0756</t>
  </si>
  <si>
    <t xml:space="preserve">Investimento de Sell In em: Blister Manteiga President Com E Sem Sal para Aumento Volume </t>
  </si>
  <si>
    <t>Investimento de Sell Out em: Leite Condensado Semi 5Kg - R$ 8.000; Leite Condensado Int Bag 5Kg-R$ 7.000</t>
  </si>
  <si>
    <t xml:space="preserve">Investimento de Sell out em: Leite Condensado Bag 5Kg - R$ 1.020; Sell out Leite Condensado Lata 5Kg - R$ 1.000; Sell out Creme De Leite 25% -R$ 350 </t>
  </si>
  <si>
    <t>Investimento de Sell out em: Leite Condensado Semi 5Kg-R$ 18.000; Sell out Condensado Int 5Kg-R$ 7.000 +  2° Parcela Jotaja-R$ 7.500</t>
  </si>
  <si>
    <t>Investimento na Campanha de Aniversario - 1° Parcela-2000</t>
  </si>
  <si>
    <t>Investimento Na Campanha Anual - Cota Ouro R$ 60.000 (Parcela 4/6)+ Investimento de Sell Out Em: Leite Condensado Bag 5Kg- R$ 6.000; Doce De Leite-R$ 1. 000; Creme 17%- R$ 3.000; Blister Itambé R$ 1.091</t>
  </si>
  <si>
    <t>Campanha + Sell out</t>
  </si>
  <si>
    <t>Investimento de Sell out em: Leite Condensado Lata 5Kg - R$ 2.000; Sell out Creme De Leite 17% - R$ 500; Sell out Creme De Leite 25% - R$ 500; Sell out Doce De Leite Lata 5Kg - R$ 1.000</t>
  </si>
  <si>
    <t>Investimento de Sell out em: Leite Condensado Bag 5Kg - R$ 4.000; Sell out Doce De Leite Lata 5Kg R$ 1.200; Sell out Creme De Leite 25% - R$ 3.500; Sell out Creme 17% - R$ 2.500; Sell out Composto Profissional - R$ 2.500; Sell out Leite Condensado Lata 5Kg - R$ 3.500</t>
  </si>
  <si>
    <t>Investimento de Sell in em: Manteiga Itambe Com Sal10G-R$ 2.822; Manteiga Itambe Sem Sal10G - R$ 564</t>
  </si>
  <si>
    <t>Investimento de Sell out em: Doce De Leite Lata 5Kg - R$ 546; Sell out Leite Condensado 1,01Kg - R$ 226; Sell out Creme 25% - R$ 737</t>
  </si>
  <si>
    <t>Itens a Bonificar: Leite condensado 5kg lata - 45 caixas; Leite em po 400g-70 sacos; Manteiga itambe 10g sem sal - 311 caixas. O pagamento cobre as seguintes ações: Pacote De Markting - R$ 8.000; Gerador Demanda- R$ 5.000; Sell Out Leite Condensado Semi 5Kg-R$ 16.000; Sell out Condensado Integral5Kg- R$ 10.000; Sell out Condensado Semi Tp- R$ 6.000; Sell out Manteiga Bloco R$ 8.000; Sell out Doce 2,5-R$ 3.000;  Sell in Blister - R$ 6.773</t>
  </si>
  <si>
    <t xml:space="preserve">KARIS FOOD / LUIZ </t>
  </si>
  <si>
    <t xml:space="preserve">UP DIST DE PRODS DESCARTAVEIS L
</t>
  </si>
  <si>
    <t>Outubro</t>
  </si>
  <si>
    <t>HMF REPRESENTACAO DE ALIMENTOS LTDA</t>
  </si>
  <si>
    <t>JADE COM ATAC DE PROD EM SACHES LTD</t>
  </si>
  <si>
    <t xml:space="preserve">Investimento de Sell Out em:  Creme De Leite 17% Cartonado 1,01Kg- R$ 500; Sell Out Leite Condensado Bag 2,5Kg - R$ 500; Sell Out Doce De Leite Bag 2,5Kg - R$ 500; Sell Out Leite Condensado Lata 1,01Kg 8% Itambe - R$500
</t>
  </si>
  <si>
    <t>Investimento de Sell in em: Manteiga bloco 5kg</t>
  </si>
  <si>
    <t>Investimento de Sell in em: Manteiga blister com e sem sal -  Itambé</t>
  </si>
  <si>
    <t>Investimento de NF de Devolução referente ao ano de 2023</t>
  </si>
  <si>
    <t>Erro Operacional</t>
  </si>
  <si>
    <t>Rodrigo</t>
  </si>
  <si>
    <t>Verba</t>
  </si>
  <si>
    <t>Investimento na Campanha Anual Oesa - Cota Bronze (Parcela 06/09) Valor Total Do Acordo R$20.000.</t>
  </si>
  <si>
    <t>Investimento de Sell In, SKU: 610405337 - MANTEIGA C/SAL BLISTER 10G PRESIDENT TEU; 610402337 - MANTEIGA S/SAL BLISTER 10G PRESIDENT TEU</t>
  </si>
  <si>
    <t xml:space="preserve">Investimento em sell in referente às vendas de outubro 26 itambé, Categoria: Composto R$ 114,65, Creme R$ 36,72, Doce R$ 137,64, Leite Condensado R$ 507,90, ManteigaR$ 29,63 
</t>
  </si>
  <si>
    <t xml:space="preserve">Investimento de Sell In referente às vendas de setembro 26, Creme de Leite  R$ 1.110,47, Leite Condensado R$ 8.889,53 </t>
  </si>
  <si>
    <t xml:space="preserve">Investimennto em sell in referente às vendas de setembro 2026, Categorias: Creme de Leite  R$ 856,81, Doce de Leite R$ 393,30, Leite Condensado R$ 931,00 </t>
  </si>
  <si>
    <t>DIST DE ALIMENTOS DEQUECH LTDA</t>
  </si>
  <si>
    <t>Parcela 1 de investimento na Campanha de Verão Dequech 2026 - essa campanha tem por objetivo incentivar a marca no distribuidor para garantir o crescimento das seguintes categorias: Leite Condensado e Composto culinário, além de cadastro de novos Skus.</t>
  </si>
  <si>
    <t xml:space="preserve">Investimento em sell in venda outubro 2026, categoria: Creme  R$ 758,72 , Doce de Leite R$ 57,35, Leite Condensado R $296.34 </t>
  </si>
  <si>
    <t xml:space="preserve">Investimento em sell in venda outubro 2026, Categoria: Leite Condensado  R$ 1.785,82, Doce de Leite R$ 219,67 </t>
  </si>
  <si>
    <t>Investimento de Rebate 4% totalizando R$ 14.135,49; Doce de Leite R$ 3.957,94, Leite Condensado R$ 6.502,33, Creme de Leite R$ 2.261,68, Manteiga R$ 565,42, LPI R$ 848,13</t>
  </si>
  <si>
    <t>Pedro</t>
  </si>
  <si>
    <t>20625,26</t>
  </si>
  <si>
    <t xml:space="preserve">Investimento de Rebate 4% em: Doce de Leite R$ 3.428,12, Leite Condensado R$ 5.631,91, Creme de Leite R$ 1.958,92, Manteiga R$ 489,73, LPI R$ 734,60
</t>
  </si>
  <si>
    <t xml:space="preserve">5366274	</t>
  </si>
  <si>
    <t>INVESTIMENTO DE SELL IN EM LEITE COND SEMIDESNAT CARTONADO 395G - R$500; CREME DE LEITE 25% CARTONADO 1,01KG - R$200 ; DOCE DE LEITE TRADICIONAL LATA 800G - R$150; DOCE DE LEITE ITAMBE 12X350G -R$150 ; LEITE EM PO INTEGRAL PC 1KG - R$150 ; COMPOSTO CULINÁRIO BP SACH10X1KG ITB GO - R$350 ;</t>
  </si>
  <si>
    <t>Investimento em Sell out em Composto Culinário 1kg - R$657,82</t>
  </si>
  <si>
    <t>Investimento em Sell out em  Manteiga bloco 5kg - R$180; Leite Condensado bag 5kg -  R$560; creme de leite - R$720;</t>
  </si>
  <si>
    <t>FUNCHAL IND COM DE PAPEIS LTDA</t>
  </si>
  <si>
    <t>Investimento por rebaixa de preço  no SKU 600651249, Leite Condensado Lata 5kg , 65 latas em estoque próximo do vencimento R$420,00</t>
  </si>
  <si>
    <t>CASA DA PANI COM DE PROD PARA PANI</t>
  </si>
  <si>
    <t>Investimento para Aula Show para confeiteiras/clientes da loja com objetivo de divulgar produtos Itambé na região e garantir a retomada do mercado nas seguintes categorias - Leite Condensado, Doce de Leite e manteiga, além do cadastro de novos produtos</t>
  </si>
  <si>
    <t>KOB COMERCIAL LTDA</t>
  </si>
  <si>
    <t xml:space="preserve">Investimento em Sell In em blisters de manteiga President, SKU's 610405337; 610402337, R$1,00/ kg </t>
  </si>
  <si>
    <t>5127060</t>
  </si>
  <si>
    <t>5013871</t>
  </si>
  <si>
    <t>5160852</t>
  </si>
  <si>
    <t>5005427</t>
  </si>
  <si>
    <t>5226500</t>
  </si>
  <si>
    <t>5115189</t>
  </si>
  <si>
    <t>5178343</t>
  </si>
  <si>
    <t>5310560</t>
  </si>
  <si>
    <t>5019245</t>
  </si>
  <si>
    <t>5070522</t>
  </si>
  <si>
    <t>5228956</t>
  </si>
  <si>
    <t>5231303</t>
  </si>
  <si>
    <t>5178518</t>
  </si>
  <si>
    <t>5040108</t>
  </si>
  <si>
    <t>5223419</t>
  </si>
  <si>
    <t>5017576</t>
  </si>
  <si>
    <t>5348324</t>
  </si>
  <si>
    <t>5026768</t>
  </si>
  <si>
    <t>5133664</t>
  </si>
  <si>
    <t>5020319</t>
  </si>
  <si>
    <t>5128707</t>
  </si>
  <si>
    <t>5214453</t>
  </si>
  <si>
    <t>5308265</t>
  </si>
  <si>
    <t>5182828</t>
  </si>
  <si>
    <t>5107112</t>
  </si>
  <si>
    <t>5332247</t>
  </si>
  <si>
    <t>5020347</t>
  </si>
  <si>
    <t>5020352</t>
  </si>
  <si>
    <t>COMERCIAL AZEVEDO LTDA</t>
  </si>
  <si>
    <t>FRUTT CENTER DDE P DE FRUTAS E F LTDA</t>
  </si>
  <si>
    <t>DIST NORD DE CONFEIT E PANIF LTDA</t>
  </si>
  <si>
    <t>SOST IND E COM DE ALIMENTOS LTDA</t>
  </si>
  <si>
    <t>DIA DISTRIBUICAO E IMPORT AFOGADOS LTDA</t>
  </si>
  <si>
    <t>DISPAN DISTRIBUIDORA DE ALIMENTOS LTDA</t>
  </si>
  <si>
    <t>AMORIX ALIMENTOS LTDA</t>
  </si>
  <si>
    <t>AMIV COMERCIO DE PRODUTOS</t>
  </si>
  <si>
    <t>Contrato Anual Oesa 09/10</t>
  </si>
  <si>
    <t>Investimento de sell out em Blister - R$1.500; Manteiga Bloco 5kg - R$700; Leite em po 1kg - R$300.</t>
  </si>
  <si>
    <t>Investimento de Sell Out em Creme 25% 600665313 - R$700; Creme 17% 600666313 - R$700; Leite Condesado 395g 600606273 - R$600; Leite Condensado Bag 2,5kg 600651301 -R$500</t>
  </si>
  <si>
    <t>Investimento de sell out em Blister, SKU  610400337</t>
  </si>
  <si>
    <t>Invesgtimento em Sell in referente ao pedido do mês em MANTEIGA COM SAL ITAMBE 192X10G, SKU 610400337</t>
  </si>
  <si>
    <t>Investimento de sell out em Composto Culinário 1kg - R$1.000; Composto Culinario 25kg - R$1.000;</t>
  </si>
  <si>
    <t>Investimento em Sell out em Leite Condensado Bag 2,5 600651302  - R$668,00;</t>
  </si>
  <si>
    <t>Investimento em Sell Out DOCE DE LEITE TRADICIONAL BAG 2,5 KG - R$1.000,00</t>
  </si>
  <si>
    <t>Investimento em Sell Out MANTEIGA EXTRA C/SAL CAIXA 5KG - R$3.500,00</t>
  </si>
  <si>
    <t>Investimento de Sell Out CREME DE LEITE 17% CARTONADO 1,01KG - R$3.000,00; LEITE CONDENSADO BAG 5,0 KG - R$ 3.500,00</t>
  </si>
  <si>
    <t>Investimento de Sell Out em LEITE CONDENSADO BAG 5,0 KG - R$ 4.000.00</t>
  </si>
  <si>
    <t>Investimento em Sell Out COMPOSTO CULINARIO BP SACH10X1KG ITB GO - R$500</t>
  </si>
  <si>
    <t>Investimento de Sell Out em MANTEIGA COM SAL ITAMBE 192X10G - R$ 3.000,00</t>
  </si>
  <si>
    <t>INVESTIMENTO EM SELLOUT LEITE CONDENSADO BAG 5,0KG - R$460,08</t>
  </si>
  <si>
    <t>Investimento de Sell Out em CREME DE LEITE 25% CARTONADO 1,01KG - R$4.000,00; CREME DE LEITE 17% CARTONADO 1,01KG - R$4.000,00</t>
  </si>
  <si>
    <t>INVESTIMENTO DE SELLOUT EM LEITE CONDENSADO SEMI 5KG, SKU 600653302 - R$ 5.000,00</t>
  </si>
  <si>
    <t>INVESTIMENTO CAMPANHA DE ANIVERSARIO- 2° PARCELA-R$1.500,00</t>
  </si>
  <si>
    <t>INVESTIMENTO EM CAMPANHA FINAL DE ANO-R$ 4.000,00; SELLOUT EM LEITE CONDENSADO CONDENSADO INTEGRAL-R$ 5.000,00</t>
  </si>
  <si>
    <t>Investimento de Sell Out em LEITE CONDENSADO BAG 5,0 KG - R$2.700,00</t>
  </si>
  <si>
    <t>Investimento Na Campanha Anual - Cota Ouro R$ 60.000 (Parcela 5/6)</t>
  </si>
  <si>
    <t>INVESTIMENTO DE SELL OUT EM BLISTER, SKU 610400337  - R$ 1.813,00</t>
  </si>
  <si>
    <t xml:space="preserve">TIMENTO EM MÍDIA KIT NATAL E EM SELL OUT LEITE CONDENSANDO BAG 5K - R$2.500,00; CREME DE LEITE UHT - R$2.500,00; MANTEIGA 5KG - R$ 2.500,00; DOCE DE LEITE - R$ 2.500,00 </t>
  </si>
  <si>
    <t>Investimento de Sell Out em Leite Condensado Bag 5Kg- R$ 4.000,00; Blister-R$ 2.000,00; MANTEIGA BLOCO- R$ 2.000,00</t>
  </si>
  <si>
    <t>INVESTIMENTO EM AÇÃO BEACH PARK SELL OUT LEITE CONDENSANDO BAG 5KG - R$10.000,00</t>
  </si>
  <si>
    <t>INVESTIMENTO CAMPANHA ANUAL- COTA LENDA 100000(PARCELA 1/6)</t>
  </si>
  <si>
    <t>INVETIMENTO DE SELLOUT EM LEITE CONDENSADO SEMI 5KG- R$ 24.000,00; SELLOUT BLISTER- R$ 9.000,00; SELLOUT CONDENSADO INTEGRAL-R$7.000,00</t>
  </si>
  <si>
    <t>INVESTIMENTO DE SELL OUT EM LEITE CONDENSADO BAG 2,5KG - R$2083,00; SELL OUT CREME DE LEITE - R$2083,00; SELL OUT MANTEIGA 5KG - R$2083,00; DOCE DE LEITE BAG5KG - R$2083,00</t>
  </si>
  <si>
    <t>INVESTIMENTO DE SELL OUT EM LEITE CONDENSADO BAG 2,5KG - R$ 5.333,00</t>
  </si>
  <si>
    <t>INVESTIMENTO DE SELL OUT EM MANTEIGAS 5KG - R$ 5.000,00</t>
  </si>
  <si>
    <t xml:space="preserve">INVESTIMENTO DE SELL IN EM LEITE CONDENSADO BAG 2,5KG -R$ 2333,00; SELL IN DOCE DE LEITE 2,5KG - R$ 2333,00; SELL IN CREME DE LEITE - R$ 2333,00; </t>
  </si>
  <si>
    <t xml:space="preserve">INVESTIMENTO DE SELL IN LEITE CONDENSADO BAG 5,0 KG - R$ 5000,00; SELL IN CREME - R$ 5000,00; SELL IN DOCE DE LEITE - R$4000,00; </t>
  </si>
  <si>
    <t>INVESTIMENTO DE SELL IN EM LEITE CONDENDANDO BAG 5KG - R$500; SELL IN CREME DE LEITE - R$500; SELL IN DOCE DE LEITE TRADICIONAL LATA 5KG -R$ 623</t>
  </si>
  <si>
    <t>INVESTIMENTO DE SELL IN EM LEITE CONDENSADO BAG 2,5KG - R$1400,00; SELL IN CREME DE LEITE - R$1400,00; SELL IN DOCE DE LEITE - R$400,00</t>
  </si>
  <si>
    <t>INVESTIMENTO DE SELL IN EM LEITE CONDENSADO BAG LEITE CONDENSADO BAG 2,5KG - R$15.000,00; SELL IN CREME DE LEITE - R$15.000,00; SELL IN DOCE DE LEITE - R$ 10.000,00; SELL IN MANTEIGA 5KG - R$ 10.000,00</t>
  </si>
  <si>
    <t>HOSPITAL PORTUGUES SELL OUT BLISTER - R$ 5.000,00</t>
  </si>
  <si>
    <t>INVESTIMENTO DE SELL IN EM LEITE CONDENSADO 2,5KG - R$ 3.000,00; SELL IN CREME DE LEITE -  R$ 3.000,00; SELL IN MANTEIGA 5G - R$1.812,00</t>
  </si>
  <si>
    <t>INVESTIMENTO DE SELL IN EM LEITE CONDENSADO BAG  - R$10.000,00; SELL IN EM CREME DE LEITE - R$ 14.897,00</t>
  </si>
  <si>
    <t>Ação Sell Out: MANTEIGA EXTRA S/SAL CAIXA 5KG - R$3.000,00; MANTEIGA COM SAL ITAMBE 192X10G - R$3.000,00; CREME DE LEITE 25% CARTONADO 1,01KG - R$3.000,00; DOCE DE LEITE TRADICIONAL BAG 2,5 KG- R$3.000,00</t>
  </si>
  <si>
    <t>INVESTIMENTO DE SELL OUT EM CREME DE LEITE 17%-  R$6.936,00</t>
  </si>
  <si>
    <t>INVESTIMENTO DE SELL OUT EM MANTEIGAS 5KG - R$ 20.900,00</t>
  </si>
  <si>
    <t>Investimento comercial de sell in para compra de creme de leite 25%</t>
  </si>
  <si>
    <t>Investimento de Sell Out em MANTEIGA EXTRA S/SAL CAIXA 5KG - R$ 4200,00</t>
  </si>
  <si>
    <t>INVESTIMENTO DE SELL OUT EM LEITE CONDENSADO BAG 5KG - R$2912,00; SELL OUT DOCE DE LEITE BAG 2,5KG - R$2554,25; SELL OUT DOCE DE LEITE LATA CHOCOLATE 800G - R$1798,00;</t>
  </si>
  <si>
    <t>Investimento de Sell Out em Leite Condensado Bag 5kg - R$16.026,00; sell out semi 5kg - R$1.040,00</t>
  </si>
  <si>
    <t>INVESTIMENTO DE SELLOUT EM LEITE CONDENSADO BAG 5KG - R$2.104,00; SELLOUT CREME DE LEITE 25% - R$ 2.282,00; SELLOUT CREME DE LEITE 17% - R$892,00; SELL OUT LEITE CONDENSADO LATA 5KG - R$ 2.619,00</t>
  </si>
  <si>
    <t>INVESTIMENTO DE SELLOUT EM LEITE CONDENSADO BAG 5KG - R$2605,00; SELLOUT LEITE CONDENSADO LATA 5KG - R$ 446,00; SELL OUT CREME 25% - R$ 445,00; SELLOUT DOCE DE LEITE LATA 5KG - R$ 896,00</t>
  </si>
  <si>
    <t>INVESTIMENTO DE SELLOUT EM LEITE CONDENSADO LATA 395G - R$ 1.000,00; SELLOUT LEITE CONDENSADO LATA 1,01KG - R$ 447,50</t>
  </si>
  <si>
    <t>INVESTIMENTO DE SELLOUT CREME 25% - R$ 2.000,00; AÇÃO DE SELLOUT DOCE DE LEITE - R$ 900,00; AÇÃO DE SELLOUT BLISTER - R$ 100,00</t>
  </si>
  <si>
    <t>INVESTIMENTO DE SELL IN EM BLISTER COM E SEM SAL, 610401337;610400337 - R$ 14.000,00</t>
  </si>
  <si>
    <t>DIGMA REPR LTDA</t>
  </si>
  <si>
    <t>MARCO CRUZ</t>
  </si>
  <si>
    <t>MARIA LAURA</t>
  </si>
  <si>
    <t>GUILHERME</t>
  </si>
  <si>
    <t>Contrato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</si>
</sst>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0_ ;[Red]\-#,##0.00\ 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quotePrefix="1" applyNumberFormat="1" applyFont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44" fontId="2" fillId="0" borderId="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8" fontId="2" fillId="0" borderId="1" xfId="0" quotePrefix="1" applyNumberFormat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8" fontId="3" fillId="3" borderId="1" xfId="0" quotePrefix="1" applyNumberFormat="1" applyFont="1" applyFill="1" applyBorder="1" applyAlignment="1">
      <alignment horizontal="center" vertical="center" wrapText="1"/>
    </xf>
    <xf numFmtId="14" fontId="3" fillId="3" borderId="1" xfId="0" quotePrefix="1" applyNumberFormat="1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44" fontId="3" fillId="3" borderId="1" xfId="2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165" fontId="2" fillId="0" borderId="1" xfId="1" applyNumberFormat="1" applyFont="1" applyBorder="1" applyAlignment="1">
      <alignment vertical="center" wrapText="1"/>
    </xf>
    <xf numFmtId="8" fontId="2" fillId="0" borderId="1" xfId="0" quotePrefix="1" applyNumberFormat="1" applyFont="1" applyBorder="1" applyAlignment="1">
      <alignment vertical="center" wrapText="1"/>
    </xf>
    <xf numFmtId="14" fontId="2" fillId="0" borderId="1" xfId="0" quotePrefix="1" applyNumberFormat="1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64" fontId="2" fillId="0" borderId="1" xfId="1" applyNumberFormat="1" applyFont="1" applyFill="1" applyBorder="1" applyAlignment="1">
      <alignment vertical="center"/>
    </xf>
    <xf numFmtId="44" fontId="2" fillId="0" borderId="1" xfId="2" applyFont="1" applyBorder="1" applyAlignment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14" fontId="2" fillId="0" borderId="1" xfId="1" applyNumberFormat="1" applyFont="1" applyFill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165" fontId="2" fillId="0" borderId="1" xfId="1" applyNumberFormat="1" applyFont="1" applyBorder="1" applyAlignment="1">
      <alignment vertical="center"/>
    </xf>
    <xf numFmtId="165" fontId="2" fillId="0" borderId="1" xfId="1" quotePrefix="1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1" applyNumberFormat="1" applyFont="1" applyFill="1" applyBorder="1" applyAlignment="1">
      <alignment vertical="center"/>
    </xf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13.%20Acordos%20Comerciais/Acordos%20Indiretos/Controle%20de%20Acordos.xlsx" TargetMode="External"/><Relationship Id="rId2" Type="http://schemas.openxmlformats.org/officeDocument/2006/relationships/externalLinkPath" Target="file:///\\urano\Setor_Area\Exporta&#231;&#227;o\Institucional%20e%20Food%20Service\INTELIG&#202;NCIA%20COMERCIAL\13.%20Acordos%20Comerciais\Acordos%20Indiretos\Controle%20de%20Acordos.xlsx" TargetMode="External"/><Relationship Id="rId1" Type="http://schemas.openxmlformats.org/officeDocument/2006/relationships/externalLinkPath" Target="/Exporta&#231;&#227;o/Institucional%20e%20Food%20Service/INTELIG&#202;NCIA%20COMERCIAL/13.%20Acordos%20Comerciais/Acordos%20Indiretos/Controle%20de%20Acor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MO"/>
      <sheetName val="BASE ACORDOS"/>
      <sheetName val="CLIENTES"/>
      <sheetName val="JANEIRO"/>
      <sheetName val="FEVEREIRO"/>
      <sheetName val="MARÇ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</sheetNames>
    <sheetDataSet>
      <sheetData sheetId="0"/>
      <sheetData sheetId="1"/>
      <sheetData sheetId="2">
        <row r="1">
          <cell r="B1" t="str">
            <v>Cliente</v>
          </cell>
          <cell r="C1" t="str">
            <v>Cliente_Descr</v>
          </cell>
          <cell r="D1" t="str">
            <v>OrgV</v>
          </cell>
          <cell r="E1" t="str">
            <v>EscrV</v>
          </cell>
          <cell r="F1" t="str">
            <v>IdCanalDistribuição</v>
          </cell>
          <cell r="G1" t="str">
            <v>UF</v>
          </cell>
          <cell r="H1" t="str">
            <v>Segmento antigo</v>
          </cell>
          <cell r="I1" t="str">
            <v>Segmento</v>
          </cell>
          <cell r="J1" t="str">
            <v>Vendedor</v>
          </cell>
          <cell r="K1" t="str">
            <v>Empresa</v>
          </cell>
          <cell r="L1" t="str">
            <v>GERENTE</v>
          </cell>
          <cell r="M1" t="str">
            <v>COORDENAÇÃO</v>
          </cell>
        </row>
        <row r="2">
          <cell r="B2">
            <v>5099014</v>
          </cell>
          <cell r="C2" t="str">
            <v>20641272 LUCIANA GABRIEL DA SILVA DAMASC</v>
          </cell>
          <cell r="D2">
            <v>4001</v>
          </cell>
          <cell r="E2" t="str">
            <v>0455</v>
          </cell>
          <cell r="F2" t="str">
            <v>C1</v>
          </cell>
          <cell r="G2" t="str">
            <v>PR</v>
          </cell>
          <cell r="H2" t="str">
            <v>INGREDIENTS</v>
          </cell>
          <cell r="I2" t="str">
            <v>INGREDIENTS</v>
          </cell>
          <cell r="J2" t="str">
            <v>MARCELO RODRIGUES</v>
          </cell>
          <cell r="K2" t="str">
            <v>LACTALIS</v>
          </cell>
          <cell r="L2" t="str">
            <v>MAURICIO</v>
          </cell>
          <cell r="M2" t="str">
            <v>MARCELO</v>
          </cell>
        </row>
        <row r="3">
          <cell r="B3">
            <v>5332205</v>
          </cell>
          <cell r="C3" t="str">
            <v>22998481 GISLAINE APARECIDA SIL</v>
          </cell>
          <cell r="D3">
            <v>7001</v>
          </cell>
          <cell r="E3" t="str">
            <v>0749</v>
          </cell>
          <cell r="F3" t="str">
            <v>C5</v>
          </cell>
          <cell r="G3" t="str">
            <v>SP</v>
          </cell>
          <cell r="H3" t="str">
            <v>DISTRIBUIÇÃO</v>
          </cell>
          <cell r="I3" t="str">
            <v>FOOD SERVICE</v>
          </cell>
          <cell r="J3" t="str">
            <v>FLAC 4</v>
          </cell>
          <cell r="K3" t="str">
            <v>LACTALIS</v>
          </cell>
          <cell r="L3" t="str">
            <v>RODRIGO</v>
          </cell>
          <cell r="M3" t="str">
            <v>RAQUEL BARBOSA</v>
          </cell>
        </row>
        <row r="4">
          <cell r="B4">
            <v>5333365</v>
          </cell>
          <cell r="C4" t="str">
            <v>28765412 ANA PAULA DAL BELLO</v>
          </cell>
          <cell r="D4">
            <v>7001</v>
          </cell>
          <cell r="E4" t="str">
            <v>0749</v>
          </cell>
          <cell r="F4" t="str">
            <v>C5</v>
          </cell>
          <cell r="G4" t="str">
            <v>SP</v>
          </cell>
          <cell r="H4" t="str">
            <v>DISTRIBUIÇÃO</v>
          </cell>
          <cell r="I4" t="str">
            <v>FOOD SERVICE</v>
          </cell>
          <cell r="J4" t="str">
            <v>FLAC 4</v>
          </cell>
          <cell r="K4" t="str">
            <v>LACTALIS</v>
          </cell>
          <cell r="L4" t="str">
            <v>RODRIGO</v>
          </cell>
          <cell r="M4" t="str">
            <v>RAQUEL BARBOSA</v>
          </cell>
        </row>
        <row r="5">
          <cell r="B5">
            <v>5307383</v>
          </cell>
          <cell r="C5" t="str">
            <v>2MAR IND COM DE GELADOS AFINS LT ME</v>
          </cell>
          <cell r="D5">
            <v>7001</v>
          </cell>
          <cell r="E5" t="str">
            <v>0749</v>
          </cell>
          <cell r="F5" t="str">
            <v>C5</v>
          </cell>
          <cell r="G5" t="str">
            <v>SP</v>
          </cell>
          <cell r="H5" t="str">
            <v>DISTRIBUIÇÃO</v>
          </cell>
          <cell r="I5" t="str">
            <v>FOOD SERVICE</v>
          </cell>
          <cell r="J5" t="str">
            <v>FLAC 5</v>
          </cell>
          <cell r="K5" t="str">
            <v>LACTALIS</v>
          </cell>
          <cell r="L5" t="str">
            <v>RODRIGO</v>
          </cell>
          <cell r="M5" t="str">
            <v>RAQUEL BARBOSA</v>
          </cell>
        </row>
        <row r="6">
          <cell r="B6">
            <v>5320712</v>
          </cell>
          <cell r="C6" t="str">
            <v>3 BRASSEURS RESET CERV ARTESANAL LT</v>
          </cell>
          <cell r="D6">
            <v>7001</v>
          </cell>
          <cell r="E6" t="str">
            <v>0749</v>
          </cell>
          <cell r="F6" t="str">
            <v>C5</v>
          </cell>
          <cell r="G6" t="str">
            <v>SP</v>
          </cell>
          <cell r="H6" t="str">
            <v>DISTRIBUIÇÃO</v>
          </cell>
          <cell r="I6" t="str">
            <v>FOOD SERVICE</v>
          </cell>
          <cell r="J6" t="str">
            <v>FLAC 4</v>
          </cell>
          <cell r="K6" t="str">
            <v>LACTALIS</v>
          </cell>
          <cell r="L6" t="str">
            <v>RODRIGO</v>
          </cell>
          <cell r="M6" t="str">
            <v>RAQUEL BARBOSA</v>
          </cell>
        </row>
        <row r="7">
          <cell r="B7">
            <v>5320715</v>
          </cell>
          <cell r="C7" t="str">
            <v>3 BRASSEURS RESTAURANTE E CERVEJARI</v>
          </cell>
          <cell r="D7">
            <v>7001</v>
          </cell>
          <cell r="E7" t="str">
            <v>0749</v>
          </cell>
          <cell r="F7" t="str">
            <v>C5</v>
          </cell>
          <cell r="G7" t="str">
            <v>SP</v>
          </cell>
          <cell r="H7" t="str">
            <v>DISTRIBUIÇÃO</v>
          </cell>
          <cell r="I7" t="str">
            <v>FOOD SERVICE</v>
          </cell>
          <cell r="J7" t="str">
            <v>FLAC 4</v>
          </cell>
          <cell r="K7" t="str">
            <v>LACTALIS</v>
          </cell>
          <cell r="L7" t="str">
            <v>RODRIGO</v>
          </cell>
          <cell r="M7" t="str">
            <v>RAQUEL BARBOSA</v>
          </cell>
        </row>
        <row r="8">
          <cell r="B8">
            <v>5334262</v>
          </cell>
          <cell r="C8" t="str">
            <v>30899034 MARCUS VINICIUS SINHOR</v>
          </cell>
          <cell r="D8">
            <v>7001</v>
          </cell>
          <cell r="E8" t="str">
            <v>0749</v>
          </cell>
          <cell r="F8" t="str">
            <v>C5</v>
          </cell>
          <cell r="G8" t="str">
            <v>SP</v>
          </cell>
          <cell r="H8" t="str">
            <v>DISTRIBUIÇÃO</v>
          </cell>
          <cell r="I8" t="str">
            <v>FOOD SERVICE</v>
          </cell>
          <cell r="J8" t="str">
            <v>FLAC 6</v>
          </cell>
          <cell r="K8" t="str">
            <v>LACTALIS</v>
          </cell>
          <cell r="L8" t="str">
            <v>RODRIGO</v>
          </cell>
          <cell r="M8" t="str">
            <v>RAQUEL BARBOSA</v>
          </cell>
        </row>
        <row r="9">
          <cell r="B9">
            <v>5227730</v>
          </cell>
          <cell r="C9" t="str">
            <v>37682711 FILIPE DE VILHENA OLIV</v>
          </cell>
          <cell r="D9">
            <v>7001</v>
          </cell>
          <cell r="E9" t="str">
            <v>0749</v>
          </cell>
          <cell r="F9" t="str">
            <v>C5</v>
          </cell>
          <cell r="G9" t="str">
            <v>SP</v>
          </cell>
          <cell r="H9" t="str">
            <v>DISTRIBUIÇÃO</v>
          </cell>
          <cell r="I9" t="str">
            <v>FOOD SERVICE</v>
          </cell>
          <cell r="J9" t="str">
            <v>FLAC 8</v>
          </cell>
          <cell r="K9" t="str">
            <v>LACTALIS</v>
          </cell>
          <cell r="L9" t="str">
            <v>RODRIGO</v>
          </cell>
          <cell r="M9" t="str">
            <v>RAQUEL BARBOSA</v>
          </cell>
        </row>
        <row r="10">
          <cell r="B10">
            <v>5336804</v>
          </cell>
          <cell r="C10" t="str">
            <v>3GX COMERCIO DE ALIMENTOS LTDA</v>
          </cell>
          <cell r="D10">
            <v>7001</v>
          </cell>
          <cell r="E10" t="str">
            <v>0722</v>
          </cell>
          <cell r="F10" t="str">
            <v>C1</v>
          </cell>
          <cell r="G10" t="str">
            <v>SP</v>
          </cell>
          <cell r="H10" t="str">
            <v>DISTRIBUIÇÃO</v>
          </cell>
          <cell r="I10" t="str">
            <v>FOOD SERVICE</v>
          </cell>
          <cell r="J10" t="str">
            <v>VAGO SP</v>
          </cell>
          <cell r="K10" t="str">
            <v>LACTALIS</v>
          </cell>
          <cell r="L10" t="str">
            <v>RODRIGO</v>
          </cell>
          <cell r="M10" t="str">
            <v>RAQUEL BARBOSA</v>
          </cell>
        </row>
        <row r="11">
          <cell r="B11">
            <v>5262129</v>
          </cell>
          <cell r="C11" t="str">
            <v>3MS JL CAFE BISTRO LTDA</v>
          </cell>
          <cell r="D11">
            <v>7001</v>
          </cell>
          <cell r="E11" t="str">
            <v>0749</v>
          </cell>
          <cell r="F11" t="str">
            <v>C5</v>
          </cell>
          <cell r="G11" t="str">
            <v>SP</v>
          </cell>
          <cell r="H11" t="str">
            <v>DISTRIBUIÇÃO</v>
          </cell>
          <cell r="I11" t="str">
            <v>FOOD SERVICE</v>
          </cell>
          <cell r="J11" t="str">
            <v>FLAC 6</v>
          </cell>
          <cell r="K11" t="str">
            <v>LACTALIS</v>
          </cell>
          <cell r="L11" t="str">
            <v>RODRIGO</v>
          </cell>
          <cell r="M11" t="str">
            <v>RAQUEL BARBOSA</v>
          </cell>
        </row>
        <row r="12">
          <cell r="B12">
            <v>5331644</v>
          </cell>
          <cell r="C12" t="str">
            <v>3MS JL CAFE BISTRO LTDA</v>
          </cell>
          <cell r="D12">
            <v>7001</v>
          </cell>
          <cell r="E12" t="str">
            <v>0749</v>
          </cell>
          <cell r="F12" t="str">
            <v>C5</v>
          </cell>
          <cell r="G12" t="str">
            <v>SP</v>
          </cell>
          <cell r="H12" t="str">
            <v>DISTRIBUIÇÃO</v>
          </cell>
          <cell r="I12" t="str">
            <v>FOOD SERVICE</v>
          </cell>
          <cell r="J12" t="str">
            <v>FLAC 5</v>
          </cell>
          <cell r="K12" t="str">
            <v>LACTALIS</v>
          </cell>
          <cell r="L12" t="str">
            <v>RODRIGO</v>
          </cell>
          <cell r="M12" t="str">
            <v>RAQUEL BARBOSA</v>
          </cell>
        </row>
        <row r="13">
          <cell r="B13">
            <v>5335359</v>
          </cell>
          <cell r="C13" t="str">
            <v>40037382 VALTER KAORU SATO</v>
          </cell>
          <cell r="D13">
            <v>7001</v>
          </cell>
          <cell r="E13" t="str">
            <v>0749</v>
          </cell>
          <cell r="F13" t="str">
            <v>C5</v>
          </cell>
          <cell r="G13" t="str">
            <v>SP</v>
          </cell>
          <cell r="H13" t="str">
            <v>DISTRIBUIÇÃO</v>
          </cell>
          <cell r="I13" t="str">
            <v>FOOD SERVICE</v>
          </cell>
          <cell r="J13" t="str">
            <v>FLAC 2</v>
          </cell>
          <cell r="K13" t="str">
            <v>LACTALIS</v>
          </cell>
          <cell r="L13" t="str">
            <v>RODRIGO</v>
          </cell>
          <cell r="M13" t="str">
            <v>RAQUEL BARBOSA</v>
          </cell>
        </row>
        <row r="14">
          <cell r="B14">
            <v>5332357</v>
          </cell>
          <cell r="C14" t="str">
            <v>40578980 THAIS ROMANO AZEVEDO R</v>
          </cell>
          <cell r="D14">
            <v>7001</v>
          </cell>
          <cell r="E14" t="str">
            <v>0749</v>
          </cell>
          <cell r="F14" t="str">
            <v>C5</v>
          </cell>
          <cell r="G14" t="str">
            <v>SP</v>
          </cell>
          <cell r="H14" t="str">
            <v>DISTRIBUIÇÃO</v>
          </cell>
          <cell r="I14" t="str">
            <v>FOOD SERVICE</v>
          </cell>
          <cell r="J14" t="str">
            <v>FLAC 2</v>
          </cell>
          <cell r="K14" t="str">
            <v>LACTALIS</v>
          </cell>
          <cell r="L14" t="str">
            <v>RODRIGO</v>
          </cell>
          <cell r="M14" t="str">
            <v>RAQUEL BARBOSA</v>
          </cell>
        </row>
        <row r="15">
          <cell r="B15">
            <v>5222492</v>
          </cell>
          <cell r="C15" t="str">
            <v>40921299 JEANE DIAS DA SILVA</v>
          </cell>
          <cell r="D15">
            <v>7001</v>
          </cell>
          <cell r="E15" t="str">
            <v>0749</v>
          </cell>
          <cell r="F15" t="str">
            <v>C5</v>
          </cell>
          <cell r="G15" t="str">
            <v>SP</v>
          </cell>
          <cell r="H15" t="str">
            <v>DISTRIBUIÇÃO</v>
          </cell>
          <cell r="I15" t="str">
            <v>FOOD SERVICE</v>
          </cell>
          <cell r="J15" t="str">
            <v>FLAC 6</v>
          </cell>
          <cell r="K15" t="str">
            <v>LACTALIS</v>
          </cell>
          <cell r="L15" t="str">
            <v>RODRIGO</v>
          </cell>
          <cell r="M15" t="str">
            <v>RAQUEL BARBOSA</v>
          </cell>
        </row>
        <row r="16">
          <cell r="B16">
            <v>5099047</v>
          </cell>
          <cell r="C16" t="str">
            <v>41043363 THAINARA ROSCAMP KAMIN</v>
          </cell>
          <cell r="D16">
            <v>4001</v>
          </cell>
          <cell r="E16" t="str">
            <v>0455</v>
          </cell>
          <cell r="F16" t="str">
            <v>C1</v>
          </cell>
          <cell r="G16" t="str">
            <v>PR</v>
          </cell>
          <cell r="H16" t="str">
            <v>INGREDIENTS</v>
          </cell>
          <cell r="I16" t="str">
            <v>INGREDIENTS</v>
          </cell>
          <cell r="J16" t="str">
            <v>MARCELO RODRIGUES</v>
          </cell>
          <cell r="K16" t="str">
            <v>LACTALIS</v>
          </cell>
          <cell r="L16" t="str">
            <v>MAURICIO</v>
          </cell>
          <cell r="M16" t="str">
            <v>MARCELO</v>
          </cell>
        </row>
        <row r="17">
          <cell r="B17">
            <v>5292947</v>
          </cell>
          <cell r="C17" t="str">
            <v>42210730 CRISTINE CARVALHO LUST</v>
          </cell>
          <cell r="D17">
            <v>7001</v>
          </cell>
          <cell r="E17" t="str">
            <v>0749</v>
          </cell>
          <cell r="F17" t="str">
            <v>C5</v>
          </cell>
          <cell r="G17" t="str">
            <v>SP</v>
          </cell>
          <cell r="H17" t="str">
            <v>DISTRIBUIÇÃO</v>
          </cell>
          <cell r="I17" t="str">
            <v>FOOD SERVICE</v>
          </cell>
          <cell r="J17" t="str">
            <v>FLAC 2</v>
          </cell>
          <cell r="K17" t="str">
            <v>LACTALIS</v>
          </cell>
          <cell r="L17" t="str">
            <v>RODRIGO</v>
          </cell>
          <cell r="M17" t="str">
            <v>RAQUEL BARBOSA</v>
          </cell>
        </row>
        <row r="18">
          <cell r="B18">
            <v>5326812</v>
          </cell>
          <cell r="C18" t="str">
            <v>47068565 DANIEL SALVATTE DE OLI</v>
          </cell>
          <cell r="D18">
            <v>7001</v>
          </cell>
          <cell r="E18" t="str">
            <v>0749</v>
          </cell>
          <cell r="F18" t="str">
            <v>C5</v>
          </cell>
          <cell r="G18" t="str">
            <v>SP</v>
          </cell>
          <cell r="H18" t="str">
            <v>DISTRIBUIÇÃO</v>
          </cell>
          <cell r="I18" t="str">
            <v>FOOD SERVICE</v>
          </cell>
          <cell r="J18" t="str">
            <v>FLAC 6</v>
          </cell>
          <cell r="K18" t="str">
            <v>LACTALIS</v>
          </cell>
          <cell r="L18" t="str">
            <v>RODRIGO</v>
          </cell>
          <cell r="M18" t="str">
            <v>RAQUEL BARBOSA</v>
          </cell>
        </row>
        <row r="19">
          <cell r="B19">
            <v>5320669</v>
          </cell>
          <cell r="C19" t="str">
            <v>48622073 PAULO BRANDAO WHITAKER</v>
          </cell>
          <cell r="D19">
            <v>7001</v>
          </cell>
          <cell r="E19" t="str">
            <v>0749</v>
          </cell>
          <cell r="F19" t="str">
            <v>C5</v>
          </cell>
          <cell r="G19" t="str">
            <v>SP</v>
          </cell>
          <cell r="H19" t="str">
            <v>DISTRIBUIÇÃO</v>
          </cell>
          <cell r="I19" t="str">
            <v>FOOD SERVICE</v>
          </cell>
          <cell r="J19" t="str">
            <v>FLAC 2</v>
          </cell>
          <cell r="K19" t="str">
            <v>LACTALIS</v>
          </cell>
          <cell r="L19" t="str">
            <v>RODRIGO</v>
          </cell>
          <cell r="M19" t="str">
            <v>RAQUEL BARBOSA</v>
          </cell>
        </row>
        <row r="20">
          <cell r="B20">
            <v>5311652</v>
          </cell>
          <cell r="C20" t="str">
            <v>49021054 DEBORA S DE ALCANTARA OKAM</v>
          </cell>
          <cell r="D20">
            <v>7001</v>
          </cell>
          <cell r="E20" t="str">
            <v>0749</v>
          </cell>
          <cell r="F20" t="str">
            <v>C5</v>
          </cell>
          <cell r="G20" t="str">
            <v>SP</v>
          </cell>
          <cell r="H20" t="str">
            <v>DISTRIBUIÇÃO</v>
          </cell>
          <cell r="I20" t="str">
            <v>FOOD SERVICE</v>
          </cell>
          <cell r="J20" t="str">
            <v>FLAC 6</v>
          </cell>
          <cell r="K20" t="str">
            <v>LACTALIS</v>
          </cell>
          <cell r="L20" t="str">
            <v>RODRIGO</v>
          </cell>
          <cell r="M20" t="str">
            <v>RAQUEL BARBOSA</v>
          </cell>
        </row>
        <row r="21">
          <cell r="B21">
            <v>5336119</v>
          </cell>
          <cell r="C21" t="str">
            <v>49336873 ANDRESSA MARQUES CORTO</v>
          </cell>
          <cell r="D21">
            <v>7001</v>
          </cell>
          <cell r="E21" t="str">
            <v>0749</v>
          </cell>
          <cell r="F21" t="str">
            <v>C5</v>
          </cell>
          <cell r="G21" t="str">
            <v>SP</v>
          </cell>
          <cell r="H21" t="str">
            <v>DISTRIBUIÇÃO</v>
          </cell>
          <cell r="I21" t="str">
            <v>FOOD SERVICE</v>
          </cell>
          <cell r="J21" t="str">
            <v>FLAC 6</v>
          </cell>
          <cell r="K21" t="str">
            <v>LACTALIS</v>
          </cell>
          <cell r="L21" t="str">
            <v>RODRIGO</v>
          </cell>
          <cell r="M21" t="str">
            <v>RAQUEL BARBOSA</v>
          </cell>
        </row>
        <row r="22">
          <cell r="B22">
            <v>5322020</v>
          </cell>
          <cell r="C22" t="str">
            <v>49970761 RODRIGO MELO CRUZ</v>
          </cell>
          <cell r="D22">
            <v>7001</v>
          </cell>
          <cell r="E22" t="str">
            <v>0749</v>
          </cell>
          <cell r="F22" t="str">
            <v>C5</v>
          </cell>
          <cell r="G22" t="str">
            <v>SP</v>
          </cell>
          <cell r="H22" t="str">
            <v>DISTRIBUIÇÃO</v>
          </cell>
          <cell r="I22" t="str">
            <v>FOOD SERVICE</v>
          </cell>
          <cell r="J22" t="str">
            <v>FLAC 2</v>
          </cell>
          <cell r="K22" t="str">
            <v>LACTALIS</v>
          </cell>
          <cell r="L22" t="str">
            <v>RODRIGO</v>
          </cell>
          <cell r="M22" t="str">
            <v>RAQUEL BARBOSA</v>
          </cell>
        </row>
        <row r="23">
          <cell r="B23">
            <v>5272234</v>
          </cell>
          <cell r="C23" t="str">
            <v>4F DISTRIBUIDORA DE ALIM EIRELI</v>
          </cell>
          <cell r="D23">
            <v>7001</v>
          </cell>
          <cell r="E23" t="str">
            <v>0749</v>
          </cell>
          <cell r="F23" t="str">
            <v>C5</v>
          </cell>
          <cell r="G23" t="str">
            <v>SP</v>
          </cell>
          <cell r="H23" t="str">
            <v>DISTRIBUIÇÃO</v>
          </cell>
          <cell r="I23" t="str">
            <v>FOOD SERVICE</v>
          </cell>
          <cell r="J23" t="str">
            <v>FLAC 1</v>
          </cell>
          <cell r="K23" t="str">
            <v>LACTALIS</v>
          </cell>
          <cell r="L23" t="str">
            <v>RODRIGO</v>
          </cell>
          <cell r="M23" t="str">
            <v>RAQUEL BARBOSA</v>
          </cell>
        </row>
        <row r="24">
          <cell r="B24">
            <v>5320667</v>
          </cell>
          <cell r="C24" t="str">
            <v>50756346 ANDRE DE SOUZA GUERRA</v>
          </cell>
          <cell r="D24">
            <v>7001</v>
          </cell>
          <cell r="E24" t="str">
            <v>0749</v>
          </cell>
          <cell r="F24" t="str">
            <v>C5</v>
          </cell>
          <cell r="G24" t="str">
            <v>SP</v>
          </cell>
          <cell r="H24" t="str">
            <v>DISTRIBUIÇÃO</v>
          </cell>
          <cell r="I24" t="str">
            <v>FOOD SERVICE</v>
          </cell>
          <cell r="J24" t="str">
            <v>FLAC 2</v>
          </cell>
          <cell r="K24" t="str">
            <v>LACTALIS</v>
          </cell>
          <cell r="L24" t="str">
            <v>RODRIGO</v>
          </cell>
          <cell r="M24" t="str">
            <v>RAQUEL BARBOSA</v>
          </cell>
        </row>
        <row r="25">
          <cell r="B25">
            <v>5316163</v>
          </cell>
          <cell r="C25" t="str">
            <v>50866262 MARIA CAROLINA TOBAR MARIU</v>
          </cell>
          <cell r="D25">
            <v>7001</v>
          </cell>
          <cell r="E25" t="str">
            <v>0749</v>
          </cell>
          <cell r="F25" t="str">
            <v>C5</v>
          </cell>
          <cell r="G25" t="str">
            <v>SP</v>
          </cell>
          <cell r="H25" t="str">
            <v>DISTRIBUIÇÃO</v>
          </cell>
          <cell r="I25" t="str">
            <v>FOOD SERVICE</v>
          </cell>
          <cell r="J25" t="str">
            <v>FLAC 6</v>
          </cell>
          <cell r="K25" t="str">
            <v>LACTALIS</v>
          </cell>
          <cell r="L25" t="str">
            <v>RODRIGO</v>
          </cell>
          <cell r="M25" t="str">
            <v>RAQUEL BARBOSA</v>
          </cell>
        </row>
        <row r="26">
          <cell r="B26">
            <v>5318638</v>
          </cell>
          <cell r="C26" t="str">
            <v>51065160 TIAGO DOS SANTOS PAFUME</v>
          </cell>
          <cell r="D26">
            <v>7001</v>
          </cell>
          <cell r="E26" t="str">
            <v>0749</v>
          </cell>
          <cell r="F26" t="str">
            <v>C5</v>
          </cell>
          <cell r="G26" t="str">
            <v>SP</v>
          </cell>
          <cell r="H26" t="str">
            <v>DISTRIBUIÇÃO</v>
          </cell>
          <cell r="I26" t="str">
            <v>FOOD SERVICE</v>
          </cell>
          <cell r="J26" t="str">
            <v>FLAC 2</v>
          </cell>
          <cell r="K26" t="str">
            <v>LACTALIS</v>
          </cell>
          <cell r="L26" t="str">
            <v>RODRIGO</v>
          </cell>
          <cell r="M26" t="str">
            <v>RAQUEL BARBOSA</v>
          </cell>
        </row>
        <row r="27">
          <cell r="B27">
            <v>5319061</v>
          </cell>
          <cell r="C27" t="str">
            <v>51219832 SHARON FRIZAO GUARDIA SAND</v>
          </cell>
          <cell r="D27">
            <v>7001</v>
          </cell>
          <cell r="E27" t="str">
            <v>0749</v>
          </cell>
          <cell r="F27" t="str">
            <v>C5</v>
          </cell>
          <cell r="G27" t="str">
            <v>SP</v>
          </cell>
          <cell r="H27" t="str">
            <v>DISTRIBUIÇÃO</v>
          </cell>
          <cell r="I27" t="str">
            <v>FOOD SERVICE</v>
          </cell>
          <cell r="J27" t="str">
            <v>FLAC 2</v>
          </cell>
          <cell r="K27" t="str">
            <v>LACTALIS</v>
          </cell>
          <cell r="L27" t="str">
            <v>RODRIGO</v>
          </cell>
          <cell r="M27" t="str">
            <v>RAQUEL BARBOSA</v>
          </cell>
        </row>
        <row r="28">
          <cell r="B28">
            <v>5334780</v>
          </cell>
          <cell r="C28" t="str">
            <v>51278787 ERIC FERNANDO MEIER</v>
          </cell>
          <cell r="D28">
            <v>7001</v>
          </cell>
          <cell r="E28" t="str">
            <v>0749</v>
          </cell>
          <cell r="F28" t="str">
            <v>C5</v>
          </cell>
          <cell r="G28" t="str">
            <v>SP</v>
          </cell>
          <cell r="H28" t="str">
            <v>DISTRIBUIÇÃO</v>
          </cell>
          <cell r="I28" t="str">
            <v>FOOD SERVICE</v>
          </cell>
          <cell r="J28" t="str">
            <v>FLAC 2</v>
          </cell>
          <cell r="K28" t="str">
            <v>LACTALIS</v>
          </cell>
          <cell r="L28" t="str">
            <v>RODRIGO</v>
          </cell>
          <cell r="M28" t="str">
            <v>RAQUEL BARBOSA</v>
          </cell>
        </row>
        <row r="29">
          <cell r="B29">
            <v>5320963</v>
          </cell>
          <cell r="C29" t="str">
            <v>51745868 RITA DE C FERNANDINO GARCI</v>
          </cell>
          <cell r="D29">
            <v>7001</v>
          </cell>
          <cell r="E29" t="str">
            <v>0749</v>
          </cell>
          <cell r="F29" t="str">
            <v>C5</v>
          </cell>
          <cell r="G29" t="str">
            <v>SP</v>
          </cell>
          <cell r="H29" t="str">
            <v>DISTRIBUIÇÃO</v>
          </cell>
          <cell r="I29" t="str">
            <v>FOOD SERVICE</v>
          </cell>
          <cell r="J29" t="str">
            <v>FLAC 3</v>
          </cell>
          <cell r="K29" t="str">
            <v>LACTALIS</v>
          </cell>
          <cell r="L29" t="str">
            <v>RODRIGO</v>
          </cell>
          <cell r="M29" t="str">
            <v>RAQUEL BARBOSA</v>
          </cell>
        </row>
        <row r="30">
          <cell r="B30">
            <v>5184940</v>
          </cell>
          <cell r="C30" t="str">
            <v>A A FRUTOS DO BRASIL LTDA ME</v>
          </cell>
          <cell r="D30">
            <v>3001</v>
          </cell>
          <cell r="E30" t="str">
            <v>0127</v>
          </cell>
          <cell r="F30" t="str">
            <v>C1</v>
          </cell>
          <cell r="G30" t="str">
            <v>PE</v>
          </cell>
          <cell r="H30" t="str">
            <v>DISTRIBUIÇÃO</v>
          </cell>
          <cell r="I30" t="str">
            <v>FOOD SERVICE</v>
          </cell>
          <cell r="J30" t="str">
            <v>CLAUDIO JORGE</v>
          </cell>
          <cell r="K30" t="str">
            <v>ITAMBÉ</v>
          </cell>
          <cell r="L30" t="str">
            <v>RODRIGO</v>
          </cell>
          <cell r="M30" t="str">
            <v>MARIA LOURDES</v>
          </cell>
        </row>
        <row r="31">
          <cell r="B31">
            <v>5118035</v>
          </cell>
          <cell r="C31" t="str">
            <v>A B GUIMARAES BRANDAO VILAR</v>
          </cell>
          <cell r="D31">
            <v>3001</v>
          </cell>
          <cell r="E31" t="str">
            <v>0127</v>
          </cell>
          <cell r="F31" t="str">
            <v>C1</v>
          </cell>
          <cell r="G31" t="str">
            <v>BA</v>
          </cell>
          <cell r="H31" t="str">
            <v>DISTRIBUIÇÃO</v>
          </cell>
          <cell r="I31" t="str">
            <v>FOOD SERVICE</v>
          </cell>
          <cell r="J31" t="str">
            <v>CLAUDIO JORGE/LUIZ</v>
          </cell>
          <cell r="K31" t="str">
            <v>ITAMBÉ</v>
          </cell>
          <cell r="L31" t="str">
            <v>RODRIGO</v>
          </cell>
          <cell r="M31" t="str">
            <v>MARIA LOURDES</v>
          </cell>
        </row>
        <row r="32">
          <cell r="B32">
            <v>5327252</v>
          </cell>
          <cell r="C32" t="str">
            <v>A C SILVEIRA CONSULTORIA E REPR</v>
          </cell>
          <cell r="D32">
            <v>7001</v>
          </cell>
          <cell r="E32" t="str">
            <v>0749</v>
          </cell>
          <cell r="F32" t="str">
            <v>C5</v>
          </cell>
          <cell r="G32" t="str">
            <v>SP</v>
          </cell>
          <cell r="H32" t="str">
            <v>DISTRIBUIÇÃO</v>
          </cell>
          <cell r="I32" t="str">
            <v>FOOD SERVICE</v>
          </cell>
          <cell r="J32" t="str">
            <v>FLAC 5</v>
          </cell>
          <cell r="K32" t="str">
            <v>LACTALIS</v>
          </cell>
          <cell r="L32" t="str">
            <v>RODRIGO</v>
          </cell>
          <cell r="M32" t="str">
            <v>RAQUEL BARBOSA</v>
          </cell>
        </row>
        <row r="33">
          <cell r="B33">
            <v>5320673</v>
          </cell>
          <cell r="C33" t="str">
            <v>A CASA DE ANTONIA COM DE ALIM E BEB</v>
          </cell>
          <cell r="D33">
            <v>7001</v>
          </cell>
          <cell r="E33" t="str">
            <v>0749</v>
          </cell>
          <cell r="F33" t="str">
            <v>C5</v>
          </cell>
          <cell r="G33" t="str">
            <v>SP</v>
          </cell>
          <cell r="H33" t="str">
            <v>DISTRIBUIÇÃO</v>
          </cell>
          <cell r="I33" t="str">
            <v>FOOD SERVICE</v>
          </cell>
          <cell r="J33" t="str">
            <v>FLAC 6</v>
          </cell>
          <cell r="K33" t="str">
            <v>LACTALIS</v>
          </cell>
          <cell r="L33" t="str">
            <v>RODRIGO</v>
          </cell>
          <cell r="M33" t="str">
            <v>RAQUEL BARBOSA</v>
          </cell>
        </row>
        <row r="34">
          <cell r="B34">
            <v>5166366</v>
          </cell>
          <cell r="C34" t="str">
            <v>A CONFITERIA IND E COM DE ALIM LTDA</v>
          </cell>
          <cell r="D34">
            <v>7001</v>
          </cell>
          <cell r="E34" t="str">
            <v>0749</v>
          </cell>
          <cell r="F34" t="str">
            <v>C5</v>
          </cell>
          <cell r="G34" t="str">
            <v>SP</v>
          </cell>
          <cell r="H34" t="str">
            <v>DISTRIBUIÇÃO</v>
          </cell>
          <cell r="I34" t="str">
            <v>FOOD SERVICE</v>
          </cell>
          <cell r="J34" t="str">
            <v>FLAC 6</v>
          </cell>
          <cell r="K34" t="str">
            <v>LACTALIS</v>
          </cell>
          <cell r="L34" t="str">
            <v>RODRIGO</v>
          </cell>
          <cell r="M34" t="str">
            <v>RAQUEL BARBOSA</v>
          </cell>
        </row>
        <row r="35">
          <cell r="B35">
            <v>5261915</v>
          </cell>
          <cell r="C35" t="str">
            <v>A J DULLER COM DE FRIOS E DER L</v>
          </cell>
          <cell r="D35">
            <v>7001</v>
          </cell>
          <cell r="E35" t="str">
            <v>0749</v>
          </cell>
          <cell r="F35" t="str">
            <v>C5</v>
          </cell>
          <cell r="G35" t="str">
            <v>SP</v>
          </cell>
          <cell r="H35" t="str">
            <v>DISTRIBUIÇÃO</v>
          </cell>
          <cell r="I35" t="str">
            <v>FOOD SERVICE</v>
          </cell>
          <cell r="J35" t="str">
            <v>FLAC 2</v>
          </cell>
          <cell r="K35" t="str">
            <v>LACTALIS</v>
          </cell>
          <cell r="L35" t="str">
            <v>RODRIGO</v>
          </cell>
          <cell r="M35" t="str">
            <v>RAQUEL BARBOSA</v>
          </cell>
        </row>
        <row r="36">
          <cell r="B36">
            <v>5040718</v>
          </cell>
          <cell r="C36" t="str">
            <v>A K GOIA DOCERIA LTDA</v>
          </cell>
          <cell r="D36">
            <v>7001</v>
          </cell>
          <cell r="E36" t="str">
            <v>0749</v>
          </cell>
          <cell r="F36" t="str">
            <v>C5</v>
          </cell>
          <cell r="G36" t="str">
            <v>SP</v>
          </cell>
          <cell r="H36" t="str">
            <v>DISTRIBUIÇÃO</v>
          </cell>
          <cell r="I36" t="str">
            <v>FOOD SERVICE</v>
          </cell>
          <cell r="J36" t="str">
            <v>FLAC 6</v>
          </cell>
          <cell r="K36" t="str">
            <v>LACTALIS</v>
          </cell>
          <cell r="L36" t="str">
            <v>RODRIGO</v>
          </cell>
          <cell r="M36" t="str">
            <v>RAQUEL BARBOSA</v>
          </cell>
        </row>
        <row r="37">
          <cell r="B37">
            <v>5323543</v>
          </cell>
          <cell r="C37" t="str">
            <v>A M E O COMERCIO DE PRODUTOS ALIMENTICIO</v>
          </cell>
          <cell r="D37">
            <v>3001</v>
          </cell>
          <cell r="E37" t="str">
            <v>0127</v>
          </cell>
          <cell r="F37" t="str">
            <v>C1</v>
          </cell>
          <cell r="G37" t="str">
            <v>BA</v>
          </cell>
          <cell r="H37" t="str">
            <v>DISTRIBUIÇÃO</v>
          </cell>
          <cell r="I37" t="str">
            <v>FOOD SERVICE</v>
          </cell>
          <cell r="J37" t="str">
            <v>CLAUDIO JORGE/LUIZ</v>
          </cell>
          <cell r="K37" t="str">
            <v>ITAMBÉ</v>
          </cell>
          <cell r="L37" t="str">
            <v>RODRIGO</v>
          </cell>
          <cell r="M37" t="str">
            <v>MARIA LOURDES</v>
          </cell>
        </row>
        <row r="38">
          <cell r="B38">
            <v>5172394</v>
          </cell>
          <cell r="C38" t="str">
            <v>A REFINARIA GOURMET LTDA</v>
          </cell>
          <cell r="D38">
            <v>7001</v>
          </cell>
          <cell r="E38" t="str">
            <v>0749</v>
          </cell>
          <cell r="F38" t="str">
            <v>C5</v>
          </cell>
          <cell r="G38" t="str">
            <v>SP</v>
          </cell>
          <cell r="H38" t="str">
            <v>DISTRIBUIÇÃO</v>
          </cell>
          <cell r="I38" t="str">
            <v>FOOD SERVICE</v>
          </cell>
          <cell r="J38" t="str">
            <v>FLAC 3</v>
          </cell>
          <cell r="K38" t="str">
            <v>LACTALIS</v>
          </cell>
          <cell r="L38" t="str">
            <v>RODRIGO</v>
          </cell>
          <cell r="M38" t="str">
            <v>RAQUEL BARBOSA</v>
          </cell>
        </row>
        <row r="39">
          <cell r="B39">
            <v>5273270</v>
          </cell>
          <cell r="C39" t="str">
            <v>AAP CASTRO E FERNANDES LTDA</v>
          </cell>
          <cell r="D39">
            <v>7001</v>
          </cell>
          <cell r="E39" t="str">
            <v>0749</v>
          </cell>
          <cell r="F39" t="str">
            <v>C5</v>
          </cell>
          <cell r="G39" t="str">
            <v>SP</v>
          </cell>
          <cell r="H39" t="str">
            <v>DISTRIBUIÇÃO</v>
          </cell>
          <cell r="I39" t="str">
            <v>FOOD SERVICE</v>
          </cell>
          <cell r="J39" t="str">
            <v>FLAC 6</v>
          </cell>
          <cell r="K39" t="str">
            <v>LACTALIS</v>
          </cell>
          <cell r="L39" t="str">
            <v>RODRIGO</v>
          </cell>
          <cell r="M39" t="str">
            <v>RAQUEL BARBOSA</v>
          </cell>
        </row>
        <row r="40">
          <cell r="B40">
            <v>5313368</v>
          </cell>
          <cell r="C40" t="str">
            <v>AC FOODS COMPANY LLC</v>
          </cell>
          <cell r="D40">
            <v>3001</v>
          </cell>
          <cell r="E40" t="str">
            <v>0062</v>
          </cell>
          <cell r="F40" t="str">
            <v>C1</v>
          </cell>
          <cell r="G40" t="str">
            <v>FL</v>
          </cell>
          <cell r="H40" t="str">
            <v>OUTROS</v>
          </cell>
          <cell r="I40" t="str">
            <v>OUTROS</v>
          </cell>
          <cell r="J40" t="str">
            <v>ITAMBE - EXPORTACAO</v>
          </cell>
          <cell r="K40" t="str">
            <v>OUTROS</v>
          </cell>
          <cell r="L40" t="str">
            <v>OUTROS</v>
          </cell>
          <cell r="M40" t="str">
            <v>EXPORTAÇÃO</v>
          </cell>
        </row>
        <row r="41">
          <cell r="B41">
            <v>5264241</v>
          </cell>
          <cell r="C41" t="str">
            <v>ACADEMIA DO PAO EIRELI</v>
          </cell>
          <cell r="D41">
            <v>7001</v>
          </cell>
          <cell r="E41" t="str">
            <v>0749</v>
          </cell>
          <cell r="F41" t="str">
            <v>C5</v>
          </cell>
          <cell r="G41" t="str">
            <v>SP</v>
          </cell>
          <cell r="H41" t="str">
            <v>DISTRIBUIÇÃO</v>
          </cell>
          <cell r="I41" t="str">
            <v>FOOD SERVICE</v>
          </cell>
          <cell r="J41" t="str">
            <v>FLAC 2</v>
          </cell>
          <cell r="K41" t="str">
            <v>LACTALIS</v>
          </cell>
          <cell r="L41" t="str">
            <v>RODRIGO</v>
          </cell>
          <cell r="M41" t="str">
            <v>RAQUEL BARBOSA</v>
          </cell>
        </row>
        <row r="42">
          <cell r="B42">
            <v>5317846</v>
          </cell>
          <cell r="C42" t="str">
            <v>ACAI GRUMARI AVARE LTDA</v>
          </cell>
          <cell r="D42">
            <v>3001</v>
          </cell>
          <cell r="E42" t="str">
            <v>0028</v>
          </cell>
          <cell r="F42" t="str">
            <v>C1</v>
          </cell>
          <cell r="G42" t="str">
            <v>RJ</v>
          </cell>
          <cell r="H42" t="str">
            <v>INGREDIENTS</v>
          </cell>
          <cell r="I42" t="str">
            <v>INGREDIENTS</v>
          </cell>
          <cell r="J42" t="str">
            <v>RJ ITB FS CDR REPRESENTAÇÕES</v>
          </cell>
          <cell r="K42" t="str">
            <v>ITAMBÉ</v>
          </cell>
          <cell r="L42" t="str">
            <v>MAURICIO</v>
          </cell>
          <cell r="M42" t="str">
            <v>TATIANA NITTA</v>
          </cell>
        </row>
        <row r="43">
          <cell r="B43">
            <v>5314201</v>
          </cell>
          <cell r="C43" t="str">
            <v>ACAI MAIS INDUSTRIA E COMERCIO LTDA</v>
          </cell>
          <cell r="D43">
            <v>3001</v>
          </cell>
          <cell r="E43" t="str">
            <v>0127</v>
          </cell>
          <cell r="F43" t="str">
            <v>C1</v>
          </cell>
          <cell r="G43" t="str">
            <v>BA</v>
          </cell>
          <cell r="H43" t="str">
            <v>DISTRIBUIÇÃO</v>
          </cell>
          <cell r="I43" t="str">
            <v>FOOD SERVICE</v>
          </cell>
          <cell r="J43" t="str">
            <v>CLAUDIO JORGE/LUIZ</v>
          </cell>
          <cell r="K43" t="str">
            <v>ITAMBÉ</v>
          </cell>
          <cell r="L43" t="str">
            <v>RODRIGO</v>
          </cell>
          <cell r="M43" t="str">
            <v>MARIA LOURDES</v>
          </cell>
        </row>
        <row r="44">
          <cell r="B44">
            <v>5227283</v>
          </cell>
          <cell r="C44" t="str">
            <v>ACAITERIA EXPRESS LTDA</v>
          </cell>
          <cell r="D44">
            <v>3001</v>
          </cell>
          <cell r="E44" t="str">
            <v>0122</v>
          </cell>
          <cell r="F44" t="str">
            <v>C1</v>
          </cell>
          <cell r="G44" t="str">
            <v>MG</v>
          </cell>
          <cell r="H44" t="str">
            <v>INGREDIENTS</v>
          </cell>
          <cell r="I44" t="str">
            <v>INGREDIENTS</v>
          </cell>
          <cell r="J44" t="str">
            <v>HENRIQUE FERREIRA</v>
          </cell>
          <cell r="K44" t="str">
            <v>ITAMBÉ</v>
          </cell>
          <cell r="L44" t="str">
            <v>MAURICIO</v>
          </cell>
          <cell r="M44" t="str">
            <v>JOEL</v>
          </cell>
        </row>
        <row r="45">
          <cell r="B45">
            <v>5314126</v>
          </cell>
          <cell r="C45" t="str">
            <v>ACZ CAFE EXPRESSO LTDA</v>
          </cell>
          <cell r="D45">
            <v>7001</v>
          </cell>
          <cell r="E45" t="str">
            <v>0749</v>
          </cell>
          <cell r="F45" t="str">
            <v>C5</v>
          </cell>
          <cell r="G45" t="str">
            <v>SP</v>
          </cell>
          <cell r="H45" t="str">
            <v>DISTRIBUIÇÃO</v>
          </cell>
          <cell r="I45" t="str">
            <v>FOOD SERVICE</v>
          </cell>
          <cell r="J45" t="str">
            <v>FLAC 5</v>
          </cell>
          <cell r="K45" t="str">
            <v>LACTALIS</v>
          </cell>
          <cell r="L45" t="str">
            <v>RODRIGO</v>
          </cell>
          <cell r="M45" t="str">
            <v>RAQUEL BARBOSA</v>
          </cell>
        </row>
        <row r="46">
          <cell r="B46">
            <v>5314523</v>
          </cell>
          <cell r="C46" t="str">
            <v>ACZ CAFE EXPRESSO LTDA</v>
          </cell>
          <cell r="D46">
            <v>7001</v>
          </cell>
          <cell r="E46" t="str">
            <v>0749</v>
          </cell>
          <cell r="F46" t="str">
            <v>C5</v>
          </cell>
          <cell r="G46" t="str">
            <v>SP</v>
          </cell>
          <cell r="H46" t="str">
            <v>DISTRIBUIÇÃO</v>
          </cell>
          <cell r="I46" t="str">
            <v>FOOD SERVICE</v>
          </cell>
          <cell r="J46" t="str">
            <v>FLAC 4</v>
          </cell>
          <cell r="K46" t="str">
            <v>LACTALIS</v>
          </cell>
          <cell r="L46" t="str">
            <v>RODRIGO</v>
          </cell>
          <cell r="M46" t="str">
            <v>RAQUEL BARBOSA</v>
          </cell>
        </row>
        <row r="47">
          <cell r="B47">
            <v>5083008</v>
          </cell>
          <cell r="C47" t="str">
            <v>ADRIPAN PRODUTOS PARA PANIFICACAO L</v>
          </cell>
          <cell r="D47">
            <v>6001</v>
          </cell>
          <cell r="E47" t="str">
            <v>6125</v>
          </cell>
          <cell r="F47" t="str">
            <v>C1</v>
          </cell>
          <cell r="G47" t="str">
            <v>SP</v>
          </cell>
          <cell r="H47" t="str">
            <v>DISTRIBUIÇÃO</v>
          </cell>
          <cell r="I47" t="str">
            <v>FOOD SERVICE</v>
          </cell>
          <cell r="J47" t="str">
            <v>ALEXANDRE BONANI</v>
          </cell>
          <cell r="K47" t="str">
            <v>ITAMBÉ</v>
          </cell>
          <cell r="L47" t="str">
            <v>RODRIGO</v>
          </cell>
          <cell r="M47" t="str">
            <v>ALEXANDRE BONANI</v>
          </cell>
        </row>
        <row r="48">
          <cell r="B48">
            <v>5311596</v>
          </cell>
          <cell r="C48" t="str">
            <v>AEROMATE 1 LANCHES LTDA</v>
          </cell>
          <cell r="D48">
            <v>7001</v>
          </cell>
          <cell r="E48" t="str">
            <v>0749</v>
          </cell>
          <cell r="F48" t="str">
            <v>C5</v>
          </cell>
          <cell r="G48" t="str">
            <v>SP</v>
          </cell>
          <cell r="H48" t="str">
            <v>DISTRIBUIÇÃO</v>
          </cell>
          <cell r="I48" t="str">
            <v>FOOD SERVICE</v>
          </cell>
          <cell r="J48" t="str">
            <v>FLAC 3</v>
          </cell>
          <cell r="K48" t="str">
            <v>LACTALIS</v>
          </cell>
          <cell r="L48" t="str">
            <v>RODRIGO</v>
          </cell>
          <cell r="M48" t="str">
            <v>RAQUEL BARBOSA</v>
          </cell>
        </row>
        <row r="49">
          <cell r="B49">
            <v>5262339</v>
          </cell>
          <cell r="C49" t="str">
            <v>AEROMATE 1 LANCHES LTDA</v>
          </cell>
          <cell r="D49">
            <v>7001</v>
          </cell>
          <cell r="E49" t="str">
            <v>0749</v>
          </cell>
          <cell r="F49" t="str">
            <v>C5</v>
          </cell>
          <cell r="G49" t="str">
            <v>SP</v>
          </cell>
          <cell r="H49" t="str">
            <v>DISTRIBUIÇÃO</v>
          </cell>
          <cell r="I49" t="str">
            <v>FOOD SERVICE</v>
          </cell>
          <cell r="J49" t="str">
            <v>FLAC 3</v>
          </cell>
          <cell r="K49" t="str">
            <v>LACTALIS</v>
          </cell>
          <cell r="L49" t="str">
            <v>RODRIGO</v>
          </cell>
          <cell r="M49" t="str">
            <v>RAQUEL BARBOSA</v>
          </cell>
        </row>
        <row r="50">
          <cell r="B50">
            <v>5311594</v>
          </cell>
          <cell r="C50" t="str">
            <v>AEROMATE 1 LANCHES LTDA</v>
          </cell>
          <cell r="D50">
            <v>7001</v>
          </cell>
          <cell r="E50" t="str">
            <v>0749</v>
          </cell>
          <cell r="F50" t="str">
            <v>C5</v>
          </cell>
          <cell r="G50" t="str">
            <v>SP</v>
          </cell>
          <cell r="H50" t="str">
            <v>DISTRIBUIÇÃO</v>
          </cell>
          <cell r="I50" t="str">
            <v>FOOD SERVICE</v>
          </cell>
          <cell r="J50" t="str">
            <v>FLAC 3</v>
          </cell>
          <cell r="K50" t="str">
            <v>LACTALIS</v>
          </cell>
          <cell r="L50" t="str">
            <v>RODRIGO</v>
          </cell>
          <cell r="M50" t="str">
            <v>RAQUEL BARBOSA</v>
          </cell>
        </row>
        <row r="51">
          <cell r="B51">
            <v>5311595</v>
          </cell>
          <cell r="C51" t="str">
            <v>AEROMATE 1 LANCHES LTDA</v>
          </cell>
          <cell r="D51">
            <v>7001</v>
          </cell>
          <cell r="E51" t="str">
            <v>0749</v>
          </cell>
          <cell r="F51" t="str">
            <v>C5</v>
          </cell>
          <cell r="G51" t="str">
            <v>SP</v>
          </cell>
          <cell r="H51" t="str">
            <v>DISTRIBUIÇÃO</v>
          </cell>
          <cell r="I51" t="str">
            <v>FOOD SERVICE</v>
          </cell>
          <cell r="J51" t="str">
            <v>FLAC 3</v>
          </cell>
          <cell r="K51" t="str">
            <v>LACTALIS</v>
          </cell>
          <cell r="L51" t="str">
            <v>RODRIGO</v>
          </cell>
          <cell r="M51" t="str">
            <v>RAQUEL BARBOSA</v>
          </cell>
        </row>
        <row r="52">
          <cell r="B52">
            <v>5185313</v>
          </cell>
          <cell r="C52" t="str">
            <v>AGATA RESTAURANTE LTDA</v>
          </cell>
          <cell r="D52">
            <v>3001</v>
          </cell>
          <cell r="E52" t="str">
            <v>0122</v>
          </cell>
          <cell r="F52" t="str">
            <v>C1</v>
          </cell>
          <cell r="G52" t="str">
            <v>MG</v>
          </cell>
          <cell r="H52" t="str">
            <v>DISTRIBUIÇÃO</v>
          </cell>
          <cell r="I52" t="str">
            <v>FOOD SERVICE</v>
          </cell>
          <cell r="J52" t="str">
            <v>MARCELO SILVA</v>
          </cell>
          <cell r="K52" t="str">
            <v>ITAMBÉ</v>
          </cell>
          <cell r="L52" t="str">
            <v>RODRIGO</v>
          </cell>
          <cell r="M52" t="str">
            <v>CELIO MARTINS</v>
          </cell>
        </row>
        <row r="53">
          <cell r="B53">
            <v>5315586</v>
          </cell>
          <cell r="C53" t="str">
            <v xml:space="preserve">AGR FOODS COMERCIO DE ALIMENTOS </v>
          </cell>
          <cell r="D53">
            <v>7001</v>
          </cell>
          <cell r="E53" t="str">
            <v>0722</v>
          </cell>
          <cell r="F53" t="str">
            <v>C1</v>
          </cell>
          <cell r="G53" t="str">
            <v>SP</v>
          </cell>
          <cell r="H53" t="str">
            <v>DISTRIBUIÇÃO</v>
          </cell>
          <cell r="I53" t="str">
            <v>FOOD SERVICE</v>
          </cell>
          <cell r="J53" t="str">
            <v>SP ITB FS FLAC REP.E COMERCIO</v>
          </cell>
          <cell r="K53" t="str">
            <v>LACTALIS</v>
          </cell>
          <cell r="L53" t="str">
            <v>RODRIGO</v>
          </cell>
          <cell r="M53" t="str">
            <v>RAQUEL BARBOSA</v>
          </cell>
        </row>
        <row r="54">
          <cell r="B54">
            <v>5166253</v>
          </cell>
          <cell r="C54" t="str">
            <v>AGRANA FRUIT BRASIL IND COM IMP</v>
          </cell>
          <cell r="D54">
            <v>6001</v>
          </cell>
          <cell r="E54" t="str">
            <v>6125</v>
          </cell>
          <cell r="F54" t="str">
            <v>C1</v>
          </cell>
          <cell r="G54" t="str">
            <v>SP</v>
          </cell>
          <cell r="H54" t="str">
            <v>INGREDIENTS</v>
          </cell>
          <cell r="I54" t="str">
            <v>INGREDIENTS</v>
          </cell>
          <cell r="J54" t="str">
            <v>HENRIQUE FERREIRA</v>
          </cell>
          <cell r="K54" t="str">
            <v>ITAMBÉ</v>
          </cell>
          <cell r="L54" t="str">
            <v>MAURICIO</v>
          </cell>
          <cell r="M54" t="str">
            <v>JOEL</v>
          </cell>
        </row>
        <row r="55">
          <cell r="B55">
            <v>5262779</v>
          </cell>
          <cell r="C55" t="str">
            <v>AILSON COSTA AGUIAR ME</v>
          </cell>
          <cell r="D55">
            <v>7001</v>
          </cell>
          <cell r="E55" t="str">
            <v>0749</v>
          </cell>
          <cell r="F55" t="str">
            <v>C5</v>
          </cell>
          <cell r="G55" t="str">
            <v>SP</v>
          </cell>
          <cell r="H55" t="str">
            <v>DISTRIBUIÇÃO</v>
          </cell>
          <cell r="I55" t="str">
            <v>FOOD SERVICE</v>
          </cell>
          <cell r="J55" t="str">
            <v>FLAC 3</v>
          </cell>
          <cell r="K55" t="str">
            <v>LACTALIS</v>
          </cell>
          <cell r="L55" t="str">
            <v>RODRIGO</v>
          </cell>
          <cell r="M55" t="str">
            <v>RAQUEL BARBOSA</v>
          </cell>
        </row>
        <row r="56">
          <cell r="B56">
            <v>5261641</v>
          </cell>
          <cell r="C56" t="str">
            <v>AILTON SANTOS LEITE REST EIRELI ME</v>
          </cell>
          <cell r="D56">
            <v>7001</v>
          </cell>
          <cell r="E56" t="str">
            <v>0749</v>
          </cell>
          <cell r="F56" t="str">
            <v>C5</v>
          </cell>
          <cell r="G56" t="str">
            <v>SP</v>
          </cell>
          <cell r="H56" t="str">
            <v>DISTRIBUIÇÃO</v>
          </cell>
          <cell r="I56" t="str">
            <v>FOOD SERVICE</v>
          </cell>
          <cell r="J56" t="str">
            <v>FLAC 6</v>
          </cell>
          <cell r="K56" t="str">
            <v>LACTALIS</v>
          </cell>
          <cell r="L56" t="str">
            <v>RODRIGO</v>
          </cell>
          <cell r="M56" t="str">
            <v>RAQUEL BARBOSA</v>
          </cell>
        </row>
        <row r="57">
          <cell r="B57">
            <v>5179089</v>
          </cell>
          <cell r="C57" t="str">
            <v>AJR IND E COMERCIO DE SORVETES LTDA</v>
          </cell>
          <cell r="D57">
            <v>3001</v>
          </cell>
          <cell r="E57" t="str">
            <v>0127</v>
          </cell>
          <cell r="F57" t="str">
            <v>C1</v>
          </cell>
          <cell r="G57" t="str">
            <v>PE</v>
          </cell>
          <cell r="H57" t="str">
            <v>DISTRIBUIÇÃO</v>
          </cell>
          <cell r="I57" t="str">
            <v>FOOD SERVICE</v>
          </cell>
          <cell r="J57" t="str">
            <v>CLAUDIO JORGE</v>
          </cell>
          <cell r="K57" t="str">
            <v>ITAMBÉ</v>
          </cell>
          <cell r="L57" t="str">
            <v>RODRIGO</v>
          </cell>
          <cell r="M57" t="str">
            <v>MARIA LOURDES</v>
          </cell>
        </row>
        <row r="58">
          <cell r="B58">
            <v>5330353</v>
          </cell>
          <cell r="C58" t="str">
            <v>ALBIERI E CURSI CONFEITARIA CAF</v>
          </cell>
          <cell r="D58">
            <v>7001</v>
          </cell>
          <cell r="E58" t="str">
            <v>0749</v>
          </cell>
          <cell r="F58" t="str">
            <v>C5</v>
          </cell>
          <cell r="G58" t="str">
            <v>SP</v>
          </cell>
          <cell r="H58" t="str">
            <v>DISTRIBUIÇÃO</v>
          </cell>
          <cell r="I58" t="str">
            <v>FOOD SERVICE</v>
          </cell>
          <cell r="J58" t="str">
            <v>FLAC 2</v>
          </cell>
          <cell r="K58" t="str">
            <v>LACTALIS</v>
          </cell>
          <cell r="L58" t="str">
            <v>RODRIGO</v>
          </cell>
          <cell r="M58" t="str">
            <v>RAQUEL BARBOSA</v>
          </cell>
        </row>
        <row r="59">
          <cell r="B59">
            <v>5194510</v>
          </cell>
          <cell r="C59" t="str">
            <v>ALEGRO ALIMENTOS LTDA EPP</v>
          </cell>
          <cell r="D59">
            <v>3001</v>
          </cell>
          <cell r="E59" t="str">
            <v>0127</v>
          </cell>
          <cell r="F59" t="str">
            <v>C1</v>
          </cell>
          <cell r="G59" t="str">
            <v>BA</v>
          </cell>
          <cell r="H59" t="str">
            <v>DISTRIBUIÇÃO</v>
          </cell>
          <cell r="I59" t="str">
            <v>FOOD SERVICE</v>
          </cell>
          <cell r="J59" t="str">
            <v>CLAUDIO JORGE/LUIZ</v>
          </cell>
          <cell r="K59" t="str">
            <v>ITAMBÉ</v>
          </cell>
          <cell r="L59" t="str">
            <v>RODRIGO</v>
          </cell>
          <cell r="M59" t="str">
            <v>MARIA LOURDES</v>
          </cell>
        </row>
        <row r="60">
          <cell r="B60">
            <v>5286570</v>
          </cell>
          <cell r="C60" t="str">
            <v>ALEXANDRE ANSELMO ME</v>
          </cell>
          <cell r="D60">
            <v>7001</v>
          </cell>
          <cell r="E60" t="str">
            <v>0749</v>
          </cell>
          <cell r="F60" t="str">
            <v>C5</v>
          </cell>
          <cell r="G60" t="str">
            <v>SP</v>
          </cell>
          <cell r="H60" t="str">
            <v>DISTRIBUIÇÃO</v>
          </cell>
          <cell r="I60" t="str">
            <v>FOOD SERVICE</v>
          </cell>
          <cell r="J60" t="str">
            <v>FLAC 6</v>
          </cell>
          <cell r="K60" t="str">
            <v>LACTALIS</v>
          </cell>
          <cell r="L60" t="str">
            <v>RODRIGO</v>
          </cell>
          <cell r="M60" t="str">
            <v>RAQUEL BARBOSA</v>
          </cell>
        </row>
        <row r="61">
          <cell r="B61">
            <v>5269815</v>
          </cell>
          <cell r="C61" t="str">
            <v>ALEXANDRE BEM MARIOTTO 27922579</v>
          </cell>
          <cell r="D61">
            <v>7001</v>
          </cell>
          <cell r="E61" t="str">
            <v>0749</v>
          </cell>
          <cell r="F61" t="str">
            <v>C5</v>
          </cell>
          <cell r="G61" t="str">
            <v>SP</v>
          </cell>
          <cell r="H61" t="str">
            <v>DISTRIBUIÇÃO</v>
          </cell>
          <cell r="I61" t="str">
            <v>FOOD SERVICE</v>
          </cell>
          <cell r="J61" t="str">
            <v>FLAC 6</v>
          </cell>
          <cell r="K61" t="str">
            <v>LACTALIS</v>
          </cell>
          <cell r="L61" t="str">
            <v>RODRIGO</v>
          </cell>
          <cell r="M61" t="str">
            <v>RAQUEL BARBOSA</v>
          </cell>
        </row>
        <row r="62">
          <cell r="B62">
            <v>5320686</v>
          </cell>
          <cell r="C62" t="str">
            <v>ALF BOUTIQUE DE ALIMENTOS E BEBIDAS</v>
          </cell>
          <cell r="D62">
            <v>7001</v>
          </cell>
          <cell r="E62" t="str">
            <v>0749</v>
          </cell>
          <cell r="F62" t="str">
            <v>C5</v>
          </cell>
          <cell r="G62" t="str">
            <v>SP</v>
          </cell>
          <cell r="H62" t="str">
            <v>DISTRIBUIÇÃO</v>
          </cell>
          <cell r="I62" t="str">
            <v>FOOD SERVICE</v>
          </cell>
          <cell r="J62" t="str">
            <v>FLAC 3</v>
          </cell>
          <cell r="K62" t="str">
            <v>LACTALIS</v>
          </cell>
          <cell r="L62" t="str">
            <v>RODRIGO</v>
          </cell>
          <cell r="M62" t="str">
            <v>RAQUEL BARBOSA</v>
          </cell>
        </row>
        <row r="63">
          <cell r="B63">
            <v>5099074</v>
          </cell>
          <cell r="C63" t="str">
            <v>ALIBEY INDUSTRIA COM ALIMENTOS ESPECI LTDA</v>
          </cell>
          <cell r="D63">
            <v>7001</v>
          </cell>
          <cell r="E63" t="str">
            <v>0737</v>
          </cell>
          <cell r="F63" t="str">
            <v>C1</v>
          </cell>
          <cell r="G63" t="str">
            <v>SP</v>
          </cell>
          <cell r="H63" t="str">
            <v>INGREDIENTS</v>
          </cell>
          <cell r="I63" t="str">
            <v>INGREDIENTS</v>
          </cell>
          <cell r="J63" t="str">
            <v>TATIANA NITTA</v>
          </cell>
          <cell r="K63" t="str">
            <v>LACTALIS</v>
          </cell>
          <cell r="L63" t="str">
            <v>MAURICIO</v>
          </cell>
          <cell r="M63" t="str">
            <v>TATIANA NITTA</v>
          </cell>
        </row>
        <row r="64">
          <cell r="B64">
            <v>5099074</v>
          </cell>
          <cell r="C64" t="str">
            <v>ALIBEY INDUSTRIA COM ALIMENTOS ESPECI LTDA</v>
          </cell>
          <cell r="D64">
            <v>4001</v>
          </cell>
          <cell r="E64" t="str">
            <v>0445</v>
          </cell>
          <cell r="F64" t="str">
            <v>C7</v>
          </cell>
          <cell r="G64" t="str">
            <v>SP</v>
          </cell>
          <cell r="H64" t="str">
            <v>INGREDIENTS</v>
          </cell>
          <cell r="I64" t="str">
            <v>INGREDIENTS</v>
          </cell>
          <cell r="J64" t="str">
            <v>TATIANA NITTA</v>
          </cell>
          <cell r="K64" t="str">
            <v>LACTALIS</v>
          </cell>
          <cell r="L64" t="str">
            <v>MAURICIO</v>
          </cell>
          <cell r="M64" t="str">
            <v>TATIANA NITTA</v>
          </cell>
        </row>
        <row r="65">
          <cell r="B65">
            <v>5227311</v>
          </cell>
          <cell r="C65" t="str">
            <v>ALIMENTOS JANDAIA LTDA</v>
          </cell>
          <cell r="D65">
            <v>4001</v>
          </cell>
          <cell r="E65" t="str">
            <v>0455</v>
          </cell>
          <cell r="F65" t="str">
            <v>C1</v>
          </cell>
          <cell r="G65" t="str">
            <v>PR</v>
          </cell>
          <cell r="H65" t="str">
            <v>INGREDIENTS</v>
          </cell>
          <cell r="I65" t="str">
            <v>INGREDIENTS</v>
          </cell>
          <cell r="J65" t="str">
            <v>MARCELO RODRIGUES</v>
          </cell>
          <cell r="K65" t="str">
            <v>LACTALIS</v>
          </cell>
          <cell r="L65" t="str">
            <v>MAURICIO</v>
          </cell>
          <cell r="M65" t="str">
            <v>MARCELO</v>
          </cell>
        </row>
        <row r="66">
          <cell r="B66">
            <v>5173776</v>
          </cell>
          <cell r="C66" t="str">
            <v>ALIMENTOS N BONN LTDA</v>
          </cell>
          <cell r="D66">
            <v>3001</v>
          </cell>
          <cell r="E66" t="str">
            <v>0126</v>
          </cell>
          <cell r="F66" t="str">
            <v>C1</v>
          </cell>
          <cell r="G66" t="str">
            <v>PR</v>
          </cell>
          <cell r="H66" t="str">
            <v>INGREDIENTS</v>
          </cell>
          <cell r="I66" t="str">
            <v>INGREDIENTS</v>
          </cell>
          <cell r="J66" t="str">
            <v>DUAS RODAS</v>
          </cell>
          <cell r="K66" t="str">
            <v>ITAMBÉ</v>
          </cell>
          <cell r="L66" t="str">
            <v>MAURICIO</v>
          </cell>
          <cell r="M66" t="str">
            <v>MARCELO</v>
          </cell>
        </row>
        <row r="67">
          <cell r="B67">
            <v>5184851</v>
          </cell>
          <cell r="C67" t="str">
            <v>ALLPAN COM DE PROD ALIMENTICIOS LTD</v>
          </cell>
          <cell r="D67">
            <v>6001</v>
          </cell>
          <cell r="E67" t="str">
            <v>6125</v>
          </cell>
          <cell r="F67" t="str">
            <v>C1</v>
          </cell>
          <cell r="G67" t="str">
            <v>SP</v>
          </cell>
          <cell r="H67" t="str">
            <v>DISTRIBUIÇÃO</v>
          </cell>
          <cell r="I67" t="str">
            <v>FOOD SERVICE</v>
          </cell>
          <cell r="J67" t="str">
            <v>ALEXANDRE BONANI</v>
          </cell>
          <cell r="K67" t="str">
            <v>ITAMBÉ</v>
          </cell>
          <cell r="L67" t="str">
            <v>RODRIGO</v>
          </cell>
          <cell r="M67" t="str">
            <v>ALEXANDRE BONANI</v>
          </cell>
        </row>
        <row r="68">
          <cell r="B68">
            <v>5303461</v>
          </cell>
          <cell r="C68" t="str">
            <v>ALME NUTRICAO PERSONALIZADA LTDA</v>
          </cell>
          <cell r="D68">
            <v>7001</v>
          </cell>
          <cell r="E68" t="str">
            <v>0749</v>
          </cell>
          <cell r="F68" t="str">
            <v>C5</v>
          </cell>
          <cell r="G68" t="str">
            <v>SP</v>
          </cell>
          <cell r="H68" t="str">
            <v>DISTRIBUIÇÃO</v>
          </cell>
          <cell r="I68" t="str">
            <v>FOOD SERVICE</v>
          </cell>
          <cell r="J68" t="str">
            <v>FLAC 6</v>
          </cell>
          <cell r="K68" t="str">
            <v>LACTALIS</v>
          </cell>
          <cell r="L68" t="str">
            <v>RODRIGO</v>
          </cell>
          <cell r="M68" t="str">
            <v>RAQUEL BARBOSA</v>
          </cell>
        </row>
        <row r="69">
          <cell r="B69">
            <v>5247513</v>
          </cell>
          <cell r="C69" t="str">
            <v>ALMENAT EXTENSAO CORPORATIVA LTDA</v>
          </cell>
          <cell r="D69">
            <v>7001</v>
          </cell>
          <cell r="E69" t="str">
            <v>0749</v>
          </cell>
          <cell r="F69" t="str">
            <v>C5</v>
          </cell>
          <cell r="G69" t="str">
            <v>SP</v>
          </cell>
          <cell r="H69" t="str">
            <v>DISTRIBUIÇÃO</v>
          </cell>
          <cell r="I69" t="str">
            <v>FOOD SERVICE</v>
          </cell>
          <cell r="J69" t="str">
            <v>FLAC 6</v>
          </cell>
          <cell r="K69" t="str">
            <v>LACTALIS</v>
          </cell>
          <cell r="L69" t="str">
            <v>RODRIGO</v>
          </cell>
          <cell r="M69" t="str">
            <v>RAQUEL BARBOSA</v>
          </cell>
        </row>
        <row r="70">
          <cell r="B70">
            <v>5248591</v>
          </cell>
          <cell r="C70" t="str">
            <v>AMARAL E NICOLAU HOT E CONS ADM</v>
          </cell>
          <cell r="D70">
            <v>7001</v>
          </cell>
          <cell r="E70" t="str">
            <v>0749</v>
          </cell>
          <cell r="F70" t="str">
            <v>C5</v>
          </cell>
          <cell r="G70" t="str">
            <v>SP</v>
          </cell>
          <cell r="H70" t="str">
            <v>DISTRIBUIÇÃO</v>
          </cell>
          <cell r="I70" t="str">
            <v>FOOD SERVICE</v>
          </cell>
          <cell r="J70" t="str">
            <v>FLAC 5</v>
          </cell>
          <cell r="K70" t="str">
            <v>LACTALIS</v>
          </cell>
          <cell r="L70" t="str">
            <v>RODRIGO</v>
          </cell>
          <cell r="M70" t="str">
            <v>RAQUEL BARBOSA</v>
          </cell>
        </row>
        <row r="71">
          <cell r="B71">
            <v>5068929</v>
          </cell>
          <cell r="C71" t="str">
            <v>AMERIPAN PROD P A PANIFICACAO LTDA</v>
          </cell>
          <cell r="D71">
            <v>6001</v>
          </cell>
          <cell r="E71" t="str">
            <v>6125</v>
          </cell>
          <cell r="F71" t="str">
            <v>C1</v>
          </cell>
          <cell r="G71" t="str">
            <v>SP</v>
          </cell>
          <cell r="H71" t="str">
            <v>DISTRIBUIÇÃO</v>
          </cell>
          <cell r="I71" t="str">
            <v>FOOD SERVICE</v>
          </cell>
          <cell r="J71" t="str">
            <v>VAGO SP</v>
          </cell>
          <cell r="K71" t="str">
            <v>ITAMBÉ</v>
          </cell>
          <cell r="L71" t="str">
            <v>RODRIGO</v>
          </cell>
          <cell r="M71" t="str">
            <v>RAQUEL BARBOSA</v>
          </cell>
        </row>
        <row r="72">
          <cell r="B72">
            <v>5332247</v>
          </cell>
          <cell r="C72" t="str">
            <v>AMIV COMERCIO DE PRODUTOS</v>
          </cell>
          <cell r="D72">
            <v>3001</v>
          </cell>
          <cell r="E72" t="str">
            <v>0127</v>
          </cell>
          <cell r="F72" t="str">
            <v>C1</v>
          </cell>
          <cell r="G72" t="str">
            <v>CE</v>
          </cell>
          <cell r="H72" t="str">
            <v>DISTRIBUIÇÃO</v>
          </cell>
          <cell r="I72" t="str">
            <v>FOOD SERVICE</v>
          </cell>
          <cell r="J72" t="str">
            <v>WH FOOD SERVICE CE</v>
          </cell>
          <cell r="K72" t="str">
            <v>ITAMBÉ</v>
          </cell>
          <cell r="L72" t="str">
            <v>RODRIGO</v>
          </cell>
          <cell r="M72" t="str">
            <v>MARIA LOURDES</v>
          </cell>
        </row>
        <row r="73">
          <cell r="B73">
            <v>5206921</v>
          </cell>
          <cell r="C73" t="str">
            <v>AMOR GOURMET CONFEITARIA LTDA</v>
          </cell>
          <cell r="D73">
            <v>6001</v>
          </cell>
          <cell r="E73" t="str">
            <v>6125</v>
          </cell>
          <cell r="F73" t="str">
            <v>C1</v>
          </cell>
          <cell r="G73" t="str">
            <v>SP</v>
          </cell>
          <cell r="H73" t="str">
            <v>DISTRIBUIÇÃO</v>
          </cell>
          <cell r="I73" t="str">
            <v>FOOD SERVICE</v>
          </cell>
          <cell r="J73" t="str">
            <v>ALEXANDRO RODRIGUES</v>
          </cell>
          <cell r="K73" t="str">
            <v>ITAMBÉ</v>
          </cell>
          <cell r="L73" t="str">
            <v>RODRIGO</v>
          </cell>
          <cell r="M73" t="str">
            <v>ALEXANDRO</v>
          </cell>
        </row>
        <row r="74">
          <cell r="B74">
            <v>5182828</v>
          </cell>
          <cell r="C74" t="str">
            <v>AMORIX ALIMENTOS EIRELI</v>
          </cell>
          <cell r="D74">
            <v>3001</v>
          </cell>
          <cell r="E74" t="str">
            <v>0123</v>
          </cell>
          <cell r="F74" t="str">
            <v>C1</v>
          </cell>
          <cell r="G74" t="str">
            <v>GO</v>
          </cell>
          <cell r="H74" t="str">
            <v>DISTRIBUIÇÃO</v>
          </cell>
          <cell r="I74" t="str">
            <v>FOOD SERVICE</v>
          </cell>
          <cell r="J74" t="str">
            <v>CLAUDIO JORGE</v>
          </cell>
          <cell r="K74" t="str">
            <v>ITAMBÉ</v>
          </cell>
          <cell r="L74" t="str">
            <v>RODRIGO</v>
          </cell>
          <cell r="M74" t="str">
            <v>MARCO AURELIO</v>
          </cell>
        </row>
        <row r="75">
          <cell r="B75">
            <v>5328479</v>
          </cell>
          <cell r="C75" t="str">
            <v>ANA LUCIA MEDEIROS DE SOUZA 054</v>
          </cell>
          <cell r="D75">
            <v>7001</v>
          </cell>
          <cell r="E75" t="str">
            <v>0749</v>
          </cell>
          <cell r="F75" t="str">
            <v>C5</v>
          </cell>
          <cell r="G75" t="str">
            <v>SP</v>
          </cell>
          <cell r="H75" t="str">
            <v>DISTRIBUIÇÃO</v>
          </cell>
          <cell r="I75" t="str">
            <v>FOOD SERVICE</v>
          </cell>
          <cell r="J75" t="str">
            <v>FLAC 2</v>
          </cell>
          <cell r="K75" t="str">
            <v>LACTALIS</v>
          </cell>
          <cell r="L75" t="str">
            <v>RODRIGO</v>
          </cell>
          <cell r="M75" t="str">
            <v>RAQUEL BARBOSA</v>
          </cell>
        </row>
        <row r="76">
          <cell r="B76">
            <v>5291285</v>
          </cell>
          <cell r="C76" t="str">
            <v>ANA P MESSORE CARPINELLI 1764832981</v>
          </cell>
          <cell r="D76">
            <v>7001</v>
          </cell>
          <cell r="E76" t="str">
            <v>0749</v>
          </cell>
          <cell r="F76" t="str">
            <v>C5</v>
          </cell>
          <cell r="G76" t="str">
            <v>SP</v>
          </cell>
          <cell r="H76" t="str">
            <v>DISTRIBUIÇÃO</v>
          </cell>
          <cell r="I76" t="str">
            <v>FOOD SERVICE</v>
          </cell>
          <cell r="J76" t="str">
            <v>FLAC 2</v>
          </cell>
          <cell r="K76" t="str">
            <v>LACTALIS</v>
          </cell>
          <cell r="L76" t="str">
            <v>RODRIGO</v>
          </cell>
          <cell r="M76" t="str">
            <v>RAQUEL BARBOSA</v>
          </cell>
        </row>
        <row r="77">
          <cell r="B77">
            <v>5183692</v>
          </cell>
          <cell r="C77" t="str">
            <v>ANAP DISTRIBUIDORA LTDA</v>
          </cell>
          <cell r="D77">
            <v>3001</v>
          </cell>
          <cell r="E77" t="str">
            <v>0126</v>
          </cell>
          <cell r="F77" t="str">
            <v>C1</v>
          </cell>
          <cell r="G77" t="str">
            <v>PR</v>
          </cell>
          <cell r="H77" t="str">
            <v>DISTRIBUIÇÃO</v>
          </cell>
          <cell r="I77" t="str">
            <v>FOOD SERVICE</v>
          </cell>
          <cell r="J77" t="str">
            <v>ANGELICA BATISTELA</v>
          </cell>
          <cell r="K77" t="str">
            <v>ITAMBÉ</v>
          </cell>
          <cell r="L77" t="str">
            <v>RODRIGO</v>
          </cell>
          <cell r="M77" t="str">
            <v>ANGELICA BATISTELA</v>
          </cell>
        </row>
        <row r="78">
          <cell r="B78">
            <v>5262771</v>
          </cell>
          <cell r="C78" t="str">
            <v>ANATOLIE SOROKO ME</v>
          </cell>
          <cell r="D78">
            <v>7001</v>
          </cell>
          <cell r="E78" t="str">
            <v>0749</v>
          </cell>
          <cell r="F78" t="str">
            <v>C5</v>
          </cell>
          <cell r="G78" t="str">
            <v>SP</v>
          </cell>
          <cell r="H78" t="str">
            <v>DISTRIBUIÇÃO</v>
          </cell>
          <cell r="I78" t="str">
            <v>FOOD SERVICE</v>
          </cell>
          <cell r="J78" t="str">
            <v>FLAC 4</v>
          </cell>
          <cell r="K78" t="str">
            <v>LACTALIS</v>
          </cell>
          <cell r="L78" t="str">
            <v>RODRIGO</v>
          </cell>
          <cell r="M78" t="str">
            <v>RAQUEL BARBOSA</v>
          </cell>
        </row>
        <row r="79">
          <cell r="B79">
            <v>5333626</v>
          </cell>
          <cell r="C79" t="str">
            <v>ANCAIS2 REFEICOES LTDA</v>
          </cell>
          <cell r="D79">
            <v>7001</v>
          </cell>
          <cell r="E79" t="str">
            <v>0749</v>
          </cell>
          <cell r="F79" t="str">
            <v>C5</v>
          </cell>
          <cell r="G79" t="str">
            <v>SP</v>
          </cell>
          <cell r="H79" t="str">
            <v>DISTRIBUIÇÃO</v>
          </cell>
          <cell r="I79" t="str">
            <v>FOOD SERVICE</v>
          </cell>
          <cell r="J79" t="str">
            <v>FLAC 2</v>
          </cell>
          <cell r="K79" t="str">
            <v>LACTALIS</v>
          </cell>
          <cell r="L79" t="str">
            <v>RODRIGO</v>
          </cell>
          <cell r="M79" t="str">
            <v>RAQUEL BARBOSA</v>
          </cell>
        </row>
        <row r="80">
          <cell r="B80">
            <v>5252873</v>
          </cell>
          <cell r="C80" t="str">
            <v>ANDALUZA COM DE SOBREMESAS FINAS</v>
          </cell>
          <cell r="D80">
            <v>7001</v>
          </cell>
          <cell r="E80" t="str">
            <v>0749</v>
          </cell>
          <cell r="F80" t="str">
            <v>C5</v>
          </cell>
          <cell r="G80" t="str">
            <v>SP</v>
          </cell>
          <cell r="H80" t="str">
            <v>DISTRIBUIÇÃO</v>
          </cell>
          <cell r="I80" t="str">
            <v>FOOD SERVICE</v>
          </cell>
          <cell r="J80" t="str">
            <v>FLAC 2</v>
          </cell>
          <cell r="K80" t="str">
            <v>LACTALIS</v>
          </cell>
          <cell r="L80" t="str">
            <v>RODRIGO</v>
          </cell>
          <cell r="M80" t="str">
            <v>RAQUEL BARBOSA</v>
          </cell>
        </row>
        <row r="81">
          <cell r="B81">
            <v>5035780</v>
          </cell>
          <cell r="C81" t="str">
            <v>ANDRE CAVALCANTI CASA DE LANCHES</v>
          </cell>
          <cell r="D81">
            <v>3001</v>
          </cell>
          <cell r="E81" t="str">
            <v>0122</v>
          </cell>
          <cell r="F81" t="str">
            <v>C1</v>
          </cell>
          <cell r="G81" t="str">
            <v>MG</v>
          </cell>
          <cell r="H81" t="str">
            <v>DISTRIBUIÇÃO</v>
          </cell>
          <cell r="I81" t="str">
            <v>FOOD SERVICE</v>
          </cell>
          <cell r="J81" t="str">
            <v>MARCELO SILVA</v>
          </cell>
          <cell r="K81" t="str">
            <v>ITAMBÉ</v>
          </cell>
          <cell r="L81" t="str">
            <v>RODRIGO</v>
          </cell>
          <cell r="M81" t="str">
            <v>CELIO MARTINS</v>
          </cell>
        </row>
        <row r="82">
          <cell r="B82">
            <v>5290059</v>
          </cell>
          <cell r="C82" t="str">
            <v>ANDRE MEILER</v>
          </cell>
          <cell r="D82">
            <v>7001</v>
          </cell>
          <cell r="E82" t="str">
            <v>0749</v>
          </cell>
          <cell r="F82" t="str">
            <v>C5</v>
          </cell>
          <cell r="G82" t="str">
            <v>SP</v>
          </cell>
          <cell r="H82" t="str">
            <v>DISTRIBUIÇÃO</v>
          </cell>
          <cell r="I82" t="str">
            <v>FOOD SERVICE</v>
          </cell>
          <cell r="J82" t="str">
            <v>FLAC 2</v>
          </cell>
          <cell r="K82" t="str">
            <v>LACTALIS</v>
          </cell>
          <cell r="L82" t="str">
            <v>RODRIGO</v>
          </cell>
          <cell r="M82" t="str">
            <v>RAQUEL BARBOSA</v>
          </cell>
        </row>
        <row r="83">
          <cell r="B83">
            <v>5252403</v>
          </cell>
          <cell r="C83" t="str">
            <v>ANNA E DALVA PRODUTOS ALIMENTIC</v>
          </cell>
          <cell r="D83">
            <v>7001</v>
          </cell>
          <cell r="E83" t="str">
            <v>0749</v>
          </cell>
          <cell r="F83" t="str">
            <v>C5</v>
          </cell>
          <cell r="G83" t="str">
            <v>SP</v>
          </cell>
          <cell r="H83" t="str">
            <v>DISTRIBUIÇÃO</v>
          </cell>
          <cell r="I83" t="str">
            <v>FOOD SERVICE</v>
          </cell>
          <cell r="J83" t="str">
            <v>FLAC 2</v>
          </cell>
          <cell r="K83" t="str">
            <v>LACTALIS</v>
          </cell>
          <cell r="L83" t="str">
            <v>RODRIGO</v>
          </cell>
          <cell r="M83" t="str">
            <v>RAQUEL BARBOSA</v>
          </cell>
        </row>
        <row r="84">
          <cell r="B84">
            <v>5292048</v>
          </cell>
          <cell r="C84" t="str">
            <v>ANSC REFEICOES LTDA</v>
          </cell>
          <cell r="D84">
            <v>7001</v>
          </cell>
          <cell r="E84" t="str">
            <v>0749</v>
          </cell>
          <cell r="F84" t="str">
            <v>C5</v>
          </cell>
          <cell r="G84" t="str">
            <v>SP</v>
          </cell>
          <cell r="H84" t="str">
            <v>DISTRIBUIÇÃO</v>
          </cell>
          <cell r="I84" t="str">
            <v>FOOD SERVICE</v>
          </cell>
          <cell r="J84" t="str">
            <v>FLAC 2</v>
          </cell>
          <cell r="K84" t="str">
            <v>LACTALIS</v>
          </cell>
          <cell r="L84" t="str">
            <v>RODRIGO</v>
          </cell>
          <cell r="M84" t="str">
            <v>RAQUEL BARBOSA</v>
          </cell>
        </row>
        <row r="85">
          <cell r="B85">
            <v>5170056</v>
          </cell>
          <cell r="C85" t="str">
            <v>ANTONIO ROBERTO M DOS SANTOS ME</v>
          </cell>
          <cell r="D85">
            <v>4001</v>
          </cell>
          <cell r="E85" t="str">
            <v>0455</v>
          </cell>
          <cell r="F85" t="str">
            <v>C1</v>
          </cell>
          <cell r="G85" t="str">
            <v>SP</v>
          </cell>
          <cell r="H85" t="str">
            <v>INGREDIENTS</v>
          </cell>
          <cell r="I85" t="str">
            <v>INGREDIENTS</v>
          </cell>
          <cell r="J85" t="str">
            <v>MARCELO RODRIGUES</v>
          </cell>
          <cell r="K85" t="str">
            <v>LACTALIS</v>
          </cell>
          <cell r="L85" t="str">
            <v>MAURICIO</v>
          </cell>
          <cell r="M85" t="str">
            <v>MARCELO</v>
          </cell>
        </row>
        <row r="86">
          <cell r="B86">
            <v>5200026</v>
          </cell>
          <cell r="C86" t="str">
            <v>APETIT SERVICOS DE ALIMENTACAO</v>
          </cell>
          <cell r="D86">
            <v>3001</v>
          </cell>
          <cell r="E86" t="str">
            <v>0123</v>
          </cell>
          <cell r="F86" t="str">
            <v>C1</v>
          </cell>
          <cell r="G86" t="str">
            <v>MT</v>
          </cell>
          <cell r="H86" t="str">
            <v>QSR</v>
          </cell>
          <cell r="I86" t="str">
            <v>FOOD SERVICE</v>
          </cell>
          <cell r="J86" t="str">
            <v>NUTRI</v>
          </cell>
          <cell r="K86" t="str">
            <v>ITAMBÉ</v>
          </cell>
          <cell r="L86" t="str">
            <v>PEDRO</v>
          </cell>
          <cell r="M86" t="str">
            <v>VAGO QSR</v>
          </cell>
        </row>
        <row r="87">
          <cell r="B87">
            <v>5173434</v>
          </cell>
          <cell r="C87" t="str">
            <v>ARACAGY SORVETES LTDA ME</v>
          </cell>
          <cell r="D87">
            <v>3001</v>
          </cell>
          <cell r="E87" t="str">
            <v>0122</v>
          </cell>
          <cell r="F87" t="str">
            <v>C1</v>
          </cell>
          <cell r="G87" t="str">
            <v>MG</v>
          </cell>
          <cell r="H87" t="str">
            <v>INGREDIENTS</v>
          </cell>
          <cell r="I87" t="str">
            <v>INGREDIENTS</v>
          </cell>
          <cell r="J87" t="str">
            <v>HENRIQUE FERREIRA</v>
          </cell>
          <cell r="K87" t="str">
            <v>ITAMBÉ</v>
          </cell>
          <cell r="L87" t="str">
            <v>MAURICIO</v>
          </cell>
          <cell r="M87" t="str">
            <v>JOEL</v>
          </cell>
        </row>
        <row r="88">
          <cell r="B88">
            <v>5173305</v>
          </cell>
          <cell r="C88" t="str">
            <v>ARCOR DO BRASIL LTDA</v>
          </cell>
          <cell r="D88">
            <v>3001</v>
          </cell>
          <cell r="E88" t="str">
            <v>0028</v>
          </cell>
          <cell r="F88" t="str">
            <v>C1</v>
          </cell>
          <cell r="G88" t="str">
            <v>SP</v>
          </cell>
          <cell r="H88" t="str">
            <v>INGREDIENTS</v>
          </cell>
          <cell r="I88" t="str">
            <v>INGREDIENTS</v>
          </cell>
          <cell r="J88" t="str">
            <v>TATIANA NITTA</v>
          </cell>
          <cell r="K88" t="str">
            <v>ITAMBÉ</v>
          </cell>
          <cell r="L88" t="str">
            <v>MAURICIO</v>
          </cell>
          <cell r="M88" t="str">
            <v>TATIANA NITTA</v>
          </cell>
        </row>
        <row r="89">
          <cell r="B89">
            <v>5173305</v>
          </cell>
          <cell r="C89" t="str">
            <v>ARCOR DO BRASIL LTDA</v>
          </cell>
          <cell r="D89">
            <v>6001</v>
          </cell>
          <cell r="E89" t="str">
            <v>6125</v>
          </cell>
          <cell r="F89" t="str">
            <v>C1</v>
          </cell>
          <cell r="G89" t="str">
            <v>SP</v>
          </cell>
          <cell r="H89" t="str">
            <v>INGREDIENTS</v>
          </cell>
          <cell r="I89" t="str">
            <v>INGREDIENTS</v>
          </cell>
          <cell r="J89" t="str">
            <v>TATIANA NITTA</v>
          </cell>
          <cell r="K89" t="str">
            <v>ITAMBÉ</v>
          </cell>
          <cell r="L89" t="str">
            <v>MAURICIO</v>
          </cell>
          <cell r="M89" t="str">
            <v>TATIANA NITTA</v>
          </cell>
        </row>
        <row r="90">
          <cell r="B90">
            <v>5337583</v>
          </cell>
          <cell r="C90" t="str">
            <v>ARKEO FOODS ALIMENTOS LTDA</v>
          </cell>
          <cell r="D90">
            <v>3001</v>
          </cell>
          <cell r="E90" t="str">
            <v>0028</v>
          </cell>
          <cell r="F90" t="str">
            <v>C1</v>
          </cell>
          <cell r="G90" t="str">
            <v>MG</v>
          </cell>
          <cell r="H90" t="str">
            <v>INGREDIENTS</v>
          </cell>
          <cell r="I90" t="str">
            <v>INGREDIENTS</v>
          </cell>
          <cell r="J90" t="str">
            <v>HENRIQUE FERREIRA</v>
          </cell>
          <cell r="K90" t="str">
            <v>ITAMBÉ</v>
          </cell>
          <cell r="L90" t="str">
            <v>MAURICIO</v>
          </cell>
          <cell r="M90" t="str">
            <v>JOEL</v>
          </cell>
        </row>
        <row r="91">
          <cell r="B91">
            <v>5128707</v>
          </cell>
          <cell r="C91" t="str">
            <v>ARMAZEM TOP ALTO LTDA</v>
          </cell>
          <cell r="D91">
            <v>3001</v>
          </cell>
          <cell r="E91" t="str">
            <v>0127</v>
          </cell>
          <cell r="F91" t="str">
            <v>C1</v>
          </cell>
          <cell r="G91" t="str">
            <v>BA</v>
          </cell>
          <cell r="H91" t="str">
            <v>DISTRIBUIÇÃO</v>
          </cell>
          <cell r="I91" t="str">
            <v>FOOD SERVICE</v>
          </cell>
          <cell r="J91" t="str">
            <v>CLAUDIO JORGE/LUIZ</v>
          </cell>
          <cell r="K91" t="str">
            <v>ITAMBÉ</v>
          </cell>
          <cell r="L91" t="str">
            <v>RODRIGO</v>
          </cell>
          <cell r="M91" t="str">
            <v>MARIA LOURDES</v>
          </cell>
        </row>
        <row r="92">
          <cell r="B92">
            <v>5138292</v>
          </cell>
          <cell r="C92" t="str">
            <v>AROMITALIA DO BRASIL LTDA</v>
          </cell>
          <cell r="D92">
            <v>3001</v>
          </cell>
          <cell r="E92" t="str">
            <v>0126</v>
          </cell>
          <cell r="F92" t="str">
            <v>C1</v>
          </cell>
          <cell r="G92" t="str">
            <v>SC</v>
          </cell>
          <cell r="H92" t="str">
            <v>INGREDIENTS</v>
          </cell>
          <cell r="I92" t="str">
            <v>INGREDIENTS</v>
          </cell>
          <cell r="J92" t="str">
            <v>MARCELO RODRIGUES</v>
          </cell>
          <cell r="K92" t="str">
            <v>ITAMBÉ</v>
          </cell>
          <cell r="L92" t="str">
            <v>MAURICIO</v>
          </cell>
          <cell r="M92" t="str">
            <v>MARCELO</v>
          </cell>
        </row>
        <row r="93">
          <cell r="B93">
            <v>5149985</v>
          </cell>
          <cell r="C93" t="str">
            <v>AROUMAR DISTRIB DE PRODUTOS ALIM LT</v>
          </cell>
          <cell r="D93">
            <v>6001</v>
          </cell>
          <cell r="E93" t="str">
            <v>6125</v>
          </cell>
          <cell r="F93" t="str">
            <v>C1</v>
          </cell>
          <cell r="G93" t="str">
            <v>SP</v>
          </cell>
          <cell r="H93" t="str">
            <v>DISTRIBUIÇÃO</v>
          </cell>
          <cell r="I93" t="str">
            <v>FOOD SERVICE</v>
          </cell>
          <cell r="J93" t="str">
            <v>GUILHERME NASCIMENTO</v>
          </cell>
          <cell r="K93" t="str">
            <v>ITAMBÉ</v>
          </cell>
          <cell r="L93" t="str">
            <v>RODRIGO</v>
          </cell>
          <cell r="M93" t="str">
            <v>ALEXANDRO</v>
          </cell>
        </row>
        <row r="94">
          <cell r="B94">
            <v>5226225</v>
          </cell>
          <cell r="C94" t="str">
            <v>ARS REFEICOES E SERVICOS LTDA</v>
          </cell>
          <cell r="D94">
            <v>7001</v>
          </cell>
          <cell r="E94" t="str">
            <v>0749</v>
          </cell>
          <cell r="F94" t="str">
            <v>C5</v>
          </cell>
          <cell r="G94" t="str">
            <v>SP</v>
          </cell>
          <cell r="H94" t="str">
            <v>DISTRIBUIÇÃO</v>
          </cell>
          <cell r="I94" t="str">
            <v>FOOD SERVICE</v>
          </cell>
          <cell r="J94" t="str">
            <v>FLAC 3</v>
          </cell>
          <cell r="K94" t="str">
            <v>LACTALIS</v>
          </cell>
          <cell r="L94" t="str">
            <v>RODRIGO</v>
          </cell>
          <cell r="M94" t="str">
            <v>RAQUEL BARBOSA</v>
          </cell>
        </row>
        <row r="95">
          <cell r="B95">
            <v>5302316</v>
          </cell>
          <cell r="C95" t="str">
            <v>ART FINAL ALIMENTOS LTDA</v>
          </cell>
          <cell r="D95">
            <v>7001</v>
          </cell>
          <cell r="E95" t="str">
            <v>0749</v>
          </cell>
          <cell r="F95" t="str">
            <v>C5</v>
          </cell>
          <cell r="G95" t="str">
            <v>SP</v>
          </cell>
          <cell r="H95" t="str">
            <v>DISTRIBUIÇÃO</v>
          </cell>
          <cell r="I95" t="str">
            <v>FOOD SERVICE</v>
          </cell>
          <cell r="J95" t="str">
            <v>FLAC 6</v>
          </cell>
          <cell r="K95" t="str">
            <v>LACTALIS</v>
          </cell>
          <cell r="L95" t="str">
            <v>RODRIGO</v>
          </cell>
          <cell r="M95" t="str">
            <v>RAQUEL BARBOSA</v>
          </cell>
        </row>
        <row r="96">
          <cell r="B96">
            <v>5282224</v>
          </cell>
          <cell r="C96" t="str">
            <v>ART IMAGE IND E COM LTDA</v>
          </cell>
          <cell r="D96">
            <v>7001</v>
          </cell>
          <cell r="E96" t="str">
            <v>0749</v>
          </cell>
          <cell r="F96" t="str">
            <v>C5</v>
          </cell>
          <cell r="G96" t="str">
            <v>SP</v>
          </cell>
          <cell r="H96" t="str">
            <v>DISTRIBUIÇÃO</v>
          </cell>
          <cell r="I96" t="str">
            <v>FOOD SERVICE</v>
          </cell>
          <cell r="J96" t="str">
            <v>FLAC 6</v>
          </cell>
          <cell r="K96" t="str">
            <v>LACTALIS</v>
          </cell>
          <cell r="L96" t="str">
            <v>RODRIGO</v>
          </cell>
          <cell r="M96" t="str">
            <v>RAQUEL BARBOSA</v>
          </cell>
        </row>
        <row r="97">
          <cell r="B97">
            <v>5190715</v>
          </cell>
          <cell r="C97" t="str">
            <v>ARTE TRIGO INDUSTRIAL LTDA ME</v>
          </cell>
          <cell r="D97">
            <v>3001</v>
          </cell>
          <cell r="E97" t="str">
            <v>0123</v>
          </cell>
          <cell r="F97" t="str">
            <v>C1</v>
          </cell>
          <cell r="G97" t="str">
            <v>GO</v>
          </cell>
          <cell r="H97" t="str">
            <v>DISTRIBUIÇÃO</v>
          </cell>
          <cell r="I97" t="str">
            <v>FOOD SERVICE</v>
          </cell>
          <cell r="J97" t="str">
            <v>CLAUDIO JORGE</v>
          </cell>
          <cell r="K97" t="str">
            <v>ITAMBÉ</v>
          </cell>
          <cell r="L97" t="str">
            <v>RODRIGO</v>
          </cell>
          <cell r="M97" t="str">
            <v>MARCO AURELIO</v>
          </cell>
        </row>
        <row r="98">
          <cell r="B98">
            <v>5329327</v>
          </cell>
          <cell r="C98" t="str">
            <v>ARTENO COMERCIO DE PAES LTDA</v>
          </cell>
          <cell r="D98">
            <v>7001</v>
          </cell>
          <cell r="E98" t="str">
            <v>0749</v>
          </cell>
          <cell r="F98" t="str">
            <v>C5</v>
          </cell>
          <cell r="G98" t="str">
            <v>SP</v>
          </cell>
          <cell r="H98" t="str">
            <v>DISTRIBUIÇÃO</v>
          </cell>
          <cell r="I98" t="str">
            <v>FOOD SERVICE</v>
          </cell>
          <cell r="J98" t="str">
            <v>FLAC 6</v>
          </cell>
          <cell r="K98" t="str">
            <v>LACTALIS</v>
          </cell>
          <cell r="L98" t="str">
            <v>RODRIGO</v>
          </cell>
          <cell r="M98" t="str">
            <v>RAQUEL BARBOSA</v>
          </cell>
        </row>
        <row r="99">
          <cell r="B99">
            <v>5043238</v>
          </cell>
          <cell r="C99" t="str">
            <v>ARTPAN COMERCIO DE ALIMENTOS LT</v>
          </cell>
          <cell r="D99">
            <v>3001</v>
          </cell>
          <cell r="E99" t="str">
            <v>0123</v>
          </cell>
          <cell r="F99" t="str">
            <v>C1</v>
          </cell>
          <cell r="G99" t="str">
            <v>MS</v>
          </cell>
          <cell r="H99" t="str">
            <v>DISTRIBUIÇÃO</v>
          </cell>
          <cell r="I99" t="str">
            <v>FOOD SERVICE</v>
          </cell>
          <cell r="J99" t="str">
            <v>CLAUDIO JORGE</v>
          </cell>
          <cell r="K99" t="str">
            <v>ITAMBÉ</v>
          </cell>
          <cell r="L99" t="str">
            <v>RODRIGO</v>
          </cell>
          <cell r="M99" t="str">
            <v>MARCO AURELIO</v>
          </cell>
        </row>
        <row r="100">
          <cell r="B100">
            <v>5310560</v>
          </cell>
          <cell r="C100" t="str">
            <v>ARTPAN COMERCIO DE ALIMENTOS LTDA</v>
          </cell>
          <cell r="D100">
            <v>3001</v>
          </cell>
          <cell r="E100" t="str">
            <v>0123</v>
          </cell>
          <cell r="F100" t="str">
            <v>C1</v>
          </cell>
          <cell r="G100" t="str">
            <v>MS</v>
          </cell>
          <cell r="H100" t="str">
            <v>DISTRIBUIÇÃO</v>
          </cell>
          <cell r="I100" t="str">
            <v>FOOD SERVICE</v>
          </cell>
          <cell r="J100" t="str">
            <v>CLAUDIO JORGE</v>
          </cell>
          <cell r="K100" t="str">
            <v>ITAMBÉ</v>
          </cell>
          <cell r="L100" t="str">
            <v>RODRIGO</v>
          </cell>
          <cell r="M100" t="str">
            <v>MARCO AURELIO</v>
          </cell>
        </row>
        <row r="101">
          <cell r="B101">
            <v>5318912</v>
          </cell>
          <cell r="C101" t="str">
            <v>ASCENSAO COMERCIO DE BOLOS E DOCE</v>
          </cell>
          <cell r="D101">
            <v>7001</v>
          </cell>
          <cell r="E101" t="str">
            <v>0749</v>
          </cell>
          <cell r="F101" t="str">
            <v>C5</v>
          </cell>
          <cell r="G101" t="str">
            <v>SP</v>
          </cell>
          <cell r="H101" t="str">
            <v>DISTRIBUIÇÃO</v>
          </cell>
          <cell r="I101" t="str">
            <v>FOOD SERVICE</v>
          </cell>
          <cell r="J101" t="str">
            <v>FLAC 6</v>
          </cell>
          <cell r="K101" t="str">
            <v>LACTALIS</v>
          </cell>
          <cell r="L101" t="str">
            <v>RODRIGO</v>
          </cell>
          <cell r="M101" t="str">
            <v>RAQUEL BARBOSA</v>
          </cell>
        </row>
        <row r="102">
          <cell r="B102">
            <v>5111194</v>
          </cell>
          <cell r="C102" t="str">
            <v>ASSET ATIVIDADES HOTELEIRAS LT</v>
          </cell>
          <cell r="D102">
            <v>7001</v>
          </cell>
          <cell r="E102" t="str">
            <v>0749</v>
          </cell>
          <cell r="F102" t="str">
            <v>C5</v>
          </cell>
          <cell r="G102" t="str">
            <v>SP</v>
          </cell>
          <cell r="H102" t="str">
            <v>DISTRIBUIÇÃO</v>
          </cell>
          <cell r="I102" t="str">
            <v>FOOD SERVICE</v>
          </cell>
          <cell r="J102" t="str">
            <v>FLAC 4</v>
          </cell>
          <cell r="K102" t="str">
            <v>LACTALIS</v>
          </cell>
          <cell r="L102" t="str">
            <v>RODRIGO</v>
          </cell>
          <cell r="M102" t="str">
            <v>RAQUEL BARBOSA</v>
          </cell>
        </row>
        <row r="103">
          <cell r="B103">
            <v>5286846</v>
          </cell>
          <cell r="C103" t="str">
            <v>ASSOC FEMININA DE ESTUDOS SOC E UNI</v>
          </cell>
          <cell r="D103">
            <v>7001</v>
          </cell>
          <cell r="E103" t="str">
            <v>0749</v>
          </cell>
          <cell r="F103" t="str">
            <v>C5</v>
          </cell>
          <cell r="G103" t="str">
            <v>SP</v>
          </cell>
          <cell r="H103" t="str">
            <v>DISTRIBUIÇÃO</v>
          </cell>
          <cell r="I103" t="str">
            <v>FOOD SERVICE</v>
          </cell>
          <cell r="J103" t="str">
            <v>FLAC 6</v>
          </cell>
          <cell r="K103" t="str">
            <v>LACTALIS</v>
          </cell>
          <cell r="L103" t="str">
            <v>RODRIGO</v>
          </cell>
          <cell r="M103" t="str">
            <v>RAQUEL BARBOSA</v>
          </cell>
        </row>
        <row r="104">
          <cell r="B104">
            <v>5261531</v>
          </cell>
          <cell r="C104" t="str">
            <v>ASSOCIAC BENEF PROJETO POVO DA PERI</v>
          </cell>
          <cell r="D104">
            <v>7001</v>
          </cell>
          <cell r="E104" t="str">
            <v>0749</v>
          </cell>
          <cell r="F104" t="str">
            <v>C5</v>
          </cell>
          <cell r="G104" t="str">
            <v>SP</v>
          </cell>
          <cell r="H104" t="str">
            <v>DISTRIBUIÇÃO</v>
          </cell>
          <cell r="I104" t="str">
            <v>FOOD SERVICE</v>
          </cell>
          <cell r="J104" t="str">
            <v>FLAC 6</v>
          </cell>
          <cell r="K104" t="str">
            <v>LACTALIS</v>
          </cell>
          <cell r="L104" t="str">
            <v>RODRIGO</v>
          </cell>
          <cell r="M104" t="str">
            <v>RAQUEL BARBOSA</v>
          </cell>
        </row>
        <row r="105">
          <cell r="B105">
            <v>5127405</v>
          </cell>
          <cell r="C105" t="str">
            <v>ASSOCIACAO ESCOLA GRADUADA DE SP</v>
          </cell>
          <cell r="D105">
            <v>7001</v>
          </cell>
          <cell r="E105" t="str">
            <v>0749</v>
          </cell>
          <cell r="F105" t="str">
            <v>C5</v>
          </cell>
          <cell r="G105" t="str">
            <v>SP</v>
          </cell>
          <cell r="H105" t="str">
            <v>DISTRIBUIÇÃO</v>
          </cell>
          <cell r="I105" t="str">
            <v>FOOD SERVICE</v>
          </cell>
          <cell r="J105" t="str">
            <v>FLAC 6</v>
          </cell>
          <cell r="K105" t="str">
            <v>LACTALIS</v>
          </cell>
          <cell r="L105" t="str">
            <v>RODRIGO</v>
          </cell>
          <cell r="M105" t="str">
            <v>RAQUEL BARBOSA</v>
          </cell>
        </row>
        <row r="106">
          <cell r="B106">
            <v>5281095</v>
          </cell>
          <cell r="C106" t="str">
            <v>ASSOCIACAO MET DE ACAO SOCIAL AMAS</v>
          </cell>
          <cell r="D106">
            <v>7001</v>
          </cell>
          <cell r="E106" t="str">
            <v>0749</v>
          </cell>
          <cell r="F106" t="str">
            <v>C5</v>
          </cell>
          <cell r="G106" t="str">
            <v>SP</v>
          </cell>
          <cell r="H106" t="str">
            <v>DISTRIBUIÇÃO</v>
          </cell>
          <cell r="I106" t="str">
            <v>FOOD SERVICE</v>
          </cell>
          <cell r="J106" t="str">
            <v>FLAC 6</v>
          </cell>
          <cell r="K106" t="str">
            <v>LACTALIS</v>
          </cell>
          <cell r="L106" t="str">
            <v>RODRIGO</v>
          </cell>
          <cell r="M106" t="str">
            <v>RAQUEL BARBOSA</v>
          </cell>
        </row>
        <row r="107">
          <cell r="B107">
            <v>5217728</v>
          </cell>
          <cell r="C107" t="str">
            <v>ATACADISTA KINGFOOD PROD ALIM L</v>
          </cell>
          <cell r="D107">
            <v>7001</v>
          </cell>
          <cell r="E107" t="str">
            <v>0749</v>
          </cell>
          <cell r="F107" t="str">
            <v>C5</v>
          </cell>
          <cell r="G107" t="str">
            <v>SP</v>
          </cell>
          <cell r="H107" t="str">
            <v>DISTRIBUIÇÃO</v>
          </cell>
          <cell r="I107" t="str">
            <v>FOOD SERVICE</v>
          </cell>
          <cell r="J107" t="str">
            <v>FLAC 1</v>
          </cell>
          <cell r="K107" t="str">
            <v>LACTALIS</v>
          </cell>
          <cell r="L107" t="str">
            <v>RODRIGO</v>
          </cell>
          <cell r="M107" t="str">
            <v>RAQUEL BARBOSA</v>
          </cell>
        </row>
        <row r="108">
          <cell r="B108">
            <v>5012643</v>
          </cell>
          <cell r="C108" t="str">
            <v>ATACADISTA SAO PAULO COM E IMP LTDA</v>
          </cell>
          <cell r="D108">
            <v>7001</v>
          </cell>
          <cell r="E108" t="str">
            <v>0749</v>
          </cell>
          <cell r="F108" t="str">
            <v>C5</v>
          </cell>
          <cell r="G108" t="str">
            <v>SP</v>
          </cell>
          <cell r="H108" t="str">
            <v>DISTRIBUIÇÃO</v>
          </cell>
          <cell r="I108" t="str">
            <v>FOOD SERVICE</v>
          </cell>
          <cell r="J108" t="str">
            <v>FLAC 1</v>
          </cell>
          <cell r="K108" t="str">
            <v>LACTALIS</v>
          </cell>
          <cell r="L108" t="str">
            <v>RODRIGO</v>
          </cell>
          <cell r="M108" t="str">
            <v>RAQUEL BARBOSA</v>
          </cell>
        </row>
        <row r="109">
          <cell r="B109">
            <v>5020855</v>
          </cell>
          <cell r="C109" t="str">
            <v>ATACAMAX IMPORTADORA DE ALIMENTOS L</v>
          </cell>
          <cell r="D109">
            <v>3001</v>
          </cell>
          <cell r="E109" t="str">
            <v>0127</v>
          </cell>
          <cell r="F109" t="str">
            <v>C1</v>
          </cell>
          <cell r="G109" t="str">
            <v>PE</v>
          </cell>
          <cell r="H109" t="str">
            <v>DISTRIBUIÇÃO</v>
          </cell>
          <cell r="I109" t="str">
            <v>FOOD SERVICE</v>
          </cell>
          <cell r="J109" t="str">
            <v>CLAUDIO JORGE</v>
          </cell>
          <cell r="K109" t="str">
            <v>ITAMBÉ</v>
          </cell>
          <cell r="L109" t="str">
            <v>RODRIGO</v>
          </cell>
          <cell r="M109" t="str">
            <v>MARIA LOURDES</v>
          </cell>
        </row>
        <row r="110">
          <cell r="B110">
            <v>5301548</v>
          </cell>
          <cell r="C110" t="str">
            <v>ATIPICO BAR EIRELI</v>
          </cell>
          <cell r="D110">
            <v>7001</v>
          </cell>
          <cell r="E110" t="str">
            <v>0749</v>
          </cell>
          <cell r="F110" t="str">
            <v>C5</v>
          </cell>
          <cell r="G110" t="str">
            <v>SP</v>
          </cell>
          <cell r="H110" t="str">
            <v>DISTRIBUIÇÃO</v>
          </cell>
          <cell r="I110" t="str">
            <v>FOOD SERVICE</v>
          </cell>
          <cell r="J110" t="str">
            <v>FLAC 6</v>
          </cell>
          <cell r="K110" t="str">
            <v>LACTALIS</v>
          </cell>
          <cell r="L110" t="str">
            <v>RODRIGO</v>
          </cell>
          <cell r="M110" t="str">
            <v>RAQUEL BARBOSA</v>
          </cell>
        </row>
        <row r="111">
          <cell r="B111">
            <v>5191810</v>
          </cell>
          <cell r="C111" t="str">
            <v>ATLANTICA HOTELS INTER BRASIL LTDA</v>
          </cell>
          <cell r="D111">
            <v>7001</v>
          </cell>
          <cell r="E111" t="str">
            <v>0749</v>
          </cell>
          <cell r="F111" t="str">
            <v>C5</v>
          </cell>
          <cell r="G111" t="str">
            <v>SP</v>
          </cell>
          <cell r="H111" t="str">
            <v>DISTRIBUIÇÃO</v>
          </cell>
          <cell r="I111" t="str">
            <v>FOOD SERVICE</v>
          </cell>
          <cell r="J111" t="str">
            <v>FLAC 4</v>
          </cell>
          <cell r="K111" t="str">
            <v>LACTALIS</v>
          </cell>
          <cell r="L111" t="str">
            <v>RODRIGO</v>
          </cell>
          <cell r="M111" t="str">
            <v>RAQUEL BARBOSA</v>
          </cell>
        </row>
        <row r="112">
          <cell r="B112">
            <v>5325580</v>
          </cell>
          <cell r="C112" t="str">
            <v>ATLANTICA HOTELS INTER BRASIL LTDA</v>
          </cell>
          <cell r="D112">
            <v>7001</v>
          </cell>
          <cell r="E112" t="str">
            <v>0749</v>
          </cell>
          <cell r="F112" t="str">
            <v>C5</v>
          </cell>
          <cell r="G112" t="str">
            <v>SP</v>
          </cell>
          <cell r="H112" t="str">
            <v>DISTRIBUIÇÃO</v>
          </cell>
          <cell r="I112" t="str">
            <v>FOOD SERVICE</v>
          </cell>
          <cell r="J112" t="str">
            <v>FLAC 2</v>
          </cell>
          <cell r="K112" t="str">
            <v>LACTALIS</v>
          </cell>
          <cell r="L112" t="str">
            <v>RODRIGO</v>
          </cell>
          <cell r="M112" t="str">
            <v>RAQUEL BARBOSA</v>
          </cell>
        </row>
        <row r="113">
          <cell r="B113">
            <v>5123633</v>
          </cell>
          <cell r="C113" t="str">
            <v>ATLANTICA HOTELS INTERNATIONAL BRA</v>
          </cell>
          <cell r="D113">
            <v>3001</v>
          </cell>
          <cell r="E113" t="str">
            <v>0122</v>
          </cell>
          <cell r="F113" t="str">
            <v>C1</v>
          </cell>
          <cell r="G113" t="str">
            <v>MG</v>
          </cell>
          <cell r="H113" t="str">
            <v>DISTRIBUIÇÃO</v>
          </cell>
          <cell r="I113" t="str">
            <v>FOOD SERVICE</v>
          </cell>
          <cell r="J113" t="str">
            <v>MARCELO SILVA</v>
          </cell>
          <cell r="K113" t="str">
            <v>ITAMBÉ</v>
          </cell>
          <cell r="L113" t="str">
            <v>RODRIGO</v>
          </cell>
          <cell r="M113" t="str">
            <v>CELIO MARTINS</v>
          </cell>
        </row>
        <row r="114">
          <cell r="B114">
            <v>5185436</v>
          </cell>
          <cell r="C114" t="str">
            <v>ATLANTICO GOLDEN APART HOTEL LTDA</v>
          </cell>
          <cell r="D114">
            <v>7001</v>
          </cell>
          <cell r="E114" t="str">
            <v>0749</v>
          </cell>
          <cell r="F114" t="str">
            <v>C5</v>
          </cell>
          <cell r="G114" t="str">
            <v>SP</v>
          </cell>
          <cell r="H114" t="str">
            <v>DISTRIBUIÇÃO</v>
          </cell>
          <cell r="I114" t="str">
            <v>FOOD SERVICE</v>
          </cell>
          <cell r="J114" t="str">
            <v>FLAC 3</v>
          </cell>
          <cell r="K114" t="str">
            <v>LACTALIS</v>
          </cell>
          <cell r="L114" t="str">
            <v>RODRIGO</v>
          </cell>
          <cell r="M114" t="str">
            <v>RAQUEL BARBOSA</v>
          </cell>
        </row>
        <row r="115">
          <cell r="B115">
            <v>5249406</v>
          </cell>
          <cell r="C115" t="str">
            <v>ATLANTICO INN APART HOTEL</v>
          </cell>
          <cell r="D115">
            <v>7001</v>
          </cell>
          <cell r="E115" t="str">
            <v>0749</v>
          </cell>
          <cell r="F115" t="str">
            <v>C5</v>
          </cell>
          <cell r="G115" t="str">
            <v>SP</v>
          </cell>
          <cell r="H115" t="str">
            <v>DISTRIBUIÇÃO</v>
          </cell>
          <cell r="I115" t="str">
            <v>FOOD SERVICE</v>
          </cell>
          <cell r="J115" t="str">
            <v>FLAC 2</v>
          </cell>
          <cell r="K115" t="str">
            <v>LACTALIS</v>
          </cell>
          <cell r="L115" t="str">
            <v>RODRIGO</v>
          </cell>
          <cell r="M115" t="str">
            <v>RAQUEL BARBOSA</v>
          </cell>
        </row>
        <row r="116">
          <cell r="B116">
            <v>5172699</v>
          </cell>
          <cell r="C116" t="str">
            <v>ATOS PAN COM DE PROD ALIM EIRELI</v>
          </cell>
          <cell r="D116">
            <v>6001</v>
          </cell>
          <cell r="E116" t="str">
            <v>6125</v>
          </cell>
          <cell r="F116" t="str">
            <v>C1</v>
          </cell>
          <cell r="G116" t="str">
            <v>SP</v>
          </cell>
          <cell r="H116" t="str">
            <v>DISTRIBUIÇÃO</v>
          </cell>
          <cell r="I116" t="str">
            <v>FOOD SERVICE</v>
          </cell>
          <cell r="J116" t="str">
            <v>SP ITB FS FLAC REP.E COMERCIO</v>
          </cell>
          <cell r="K116" t="str">
            <v>ITAMBÉ</v>
          </cell>
          <cell r="L116" t="str">
            <v>RODRIGO</v>
          </cell>
          <cell r="M116" t="str">
            <v>RAQUEL BARBOSA</v>
          </cell>
        </row>
        <row r="117">
          <cell r="B117">
            <v>5340656</v>
          </cell>
          <cell r="C117" t="str">
            <v>ATRIA PRODUTOS ALIMENTICIOS LTD</v>
          </cell>
          <cell r="D117">
            <v>6001</v>
          </cell>
          <cell r="E117" t="str">
            <v>6125</v>
          </cell>
          <cell r="F117" t="str">
            <v>C1</v>
          </cell>
          <cell r="G117" t="str">
            <v>SP</v>
          </cell>
          <cell r="H117" t="str">
            <v>DISTRIBUIÇÃO</v>
          </cell>
          <cell r="I117" t="str">
            <v>FOOD SERVICE</v>
          </cell>
          <cell r="J117" t="str">
            <v>GUILHERME NASCIMENTO</v>
          </cell>
          <cell r="K117" t="str">
            <v>ITAMBÉ</v>
          </cell>
          <cell r="L117" t="str">
            <v>RODRIGO</v>
          </cell>
          <cell r="M117" t="str">
            <v>ALEXANDRO</v>
          </cell>
        </row>
        <row r="118">
          <cell r="B118">
            <v>5288963</v>
          </cell>
          <cell r="C118" t="str">
            <v>ATRIO HOTEIS SA</v>
          </cell>
          <cell r="D118">
            <v>7001</v>
          </cell>
          <cell r="E118" t="str">
            <v>0749</v>
          </cell>
          <cell r="F118" t="str">
            <v>C5</v>
          </cell>
          <cell r="G118" t="str">
            <v>SP</v>
          </cell>
          <cell r="H118" t="str">
            <v>DISTRIBUIÇÃO</v>
          </cell>
          <cell r="I118" t="str">
            <v>FOOD SERVICE</v>
          </cell>
          <cell r="J118" t="str">
            <v>FLAC 2</v>
          </cell>
          <cell r="K118" t="str">
            <v>LACTALIS</v>
          </cell>
          <cell r="L118" t="str">
            <v>RODRIGO</v>
          </cell>
          <cell r="M118" t="str">
            <v>RAQUEL BARBOSA</v>
          </cell>
        </row>
        <row r="119">
          <cell r="B119">
            <v>5221085</v>
          </cell>
          <cell r="C119" t="str">
            <v>AUGURI SORVETES EIRELI</v>
          </cell>
          <cell r="D119">
            <v>7001</v>
          </cell>
          <cell r="E119" t="str">
            <v>0749</v>
          </cell>
          <cell r="F119" t="str">
            <v>C5</v>
          </cell>
          <cell r="G119" t="str">
            <v>SP</v>
          </cell>
          <cell r="H119" t="str">
            <v>DISTRIBUIÇÃO</v>
          </cell>
          <cell r="I119" t="str">
            <v>FOOD SERVICE</v>
          </cell>
          <cell r="J119" t="str">
            <v>FLAC 2</v>
          </cell>
          <cell r="K119" t="str">
            <v>LACTALIS</v>
          </cell>
          <cell r="L119" t="str">
            <v>RODRIGO</v>
          </cell>
          <cell r="M119" t="str">
            <v>RAQUEL BARBOSA</v>
          </cell>
        </row>
        <row r="120">
          <cell r="B120">
            <v>5288872</v>
          </cell>
          <cell r="C120" t="str">
            <v>AZEDINHA COMERCIO DE ALIM LTDA</v>
          </cell>
          <cell r="D120">
            <v>7001</v>
          </cell>
          <cell r="E120" t="str">
            <v>0749</v>
          </cell>
          <cell r="F120" t="str">
            <v>C5</v>
          </cell>
          <cell r="G120" t="str">
            <v>SP</v>
          </cell>
          <cell r="H120" t="str">
            <v>DISTRIBUIÇÃO</v>
          </cell>
          <cell r="I120" t="str">
            <v>FOOD SERVICE</v>
          </cell>
          <cell r="J120" t="str">
            <v>FLAC 6</v>
          </cell>
          <cell r="K120" t="str">
            <v>LACTALIS</v>
          </cell>
          <cell r="L120" t="str">
            <v>RODRIGO</v>
          </cell>
          <cell r="M120" t="str">
            <v>RAQUEL BARBOSA</v>
          </cell>
        </row>
        <row r="121">
          <cell r="B121">
            <v>5273958</v>
          </cell>
          <cell r="C121" t="str">
            <v>B E T COMERCIO DE ALIMENTOS E BEB</v>
          </cell>
          <cell r="D121">
            <v>7001</v>
          </cell>
          <cell r="E121" t="str">
            <v>0749</v>
          </cell>
          <cell r="F121" t="str">
            <v>C5</v>
          </cell>
          <cell r="G121" t="str">
            <v>SP</v>
          </cell>
          <cell r="H121" t="str">
            <v>DISTRIBUIÇÃO</v>
          </cell>
          <cell r="I121" t="str">
            <v>FOOD SERVICE</v>
          </cell>
          <cell r="J121" t="str">
            <v>FLAC 2</v>
          </cell>
          <cell r="K121" t="str">
            <v>LACTALIS</v>
          </cell>
          <cell r="L121" t="str">
            <v>RODRIGO</v>
          </cell>
          <cell r="M121" t="str">
            <v>RAQUEL BARBOSA</v>
          </cell>
        </row>
        <row r="122">
          <cell r="B122">
            <v>5176053</v>
          </cell>
          <cell r="C122" t="str">
            <v>BAKELS BRASIL INGREDIENT PARA P</v>
          </cell>
          <cell r="D122">
            <v>6001</v>
          </cell>
          <cell r="E122" t="str">
            <v>6125</v>
          </cell>
          <cell r="F122" t="str">
            <v>C1</v>
          </cell>
          <cell r="G122" t="str">
            <v>SP</v>
          </cell>
          <cell r="H122" t="str">
            <v>INGREDIENTS</v>
          </cell>
          <cell r="I122" t="str">
            <v>INGREDIENTS</v>
          </cell>
          <cell r="J122" t="str">
            <v>TATIANA NITTA</v>
          </cell>
          <cell r="K122" t="str">
            <v>ITAMBÉ</v>
          </cell>
          <cell r="L122" t="str">
            <v>MAURICIO</v>
          </cell>
          <cell r="M122" t="str">
            <v>TATIANA NITTA</v>
          </cell>
        </row>
        <row r="123">
          <cell r="B123">
            <v>5176053</v>
          </cell>
          <cell r="C123" t="str">
            <v>BAKELS BRASIL INGREDIENT PARA P</v>
          </cell>
          <cell r="D123">
            <v>4001</v>
          </cell>
          <cell r="E123" t="str">
            <v>0437</v>
          </cell>
          <cell r="F123" t="str">
            <v>C1</v>
          </cell>
          <cell r="G123" t="str">
            <v>SP</v>
          </cell>
          <cell r="H123" t="str">
            <v>INGREDIENTS</v>
          </cell>
          <cell r="I123" t="str">
            <v>INGREDIENTS</v>
          </cell>
          <cell r="J123" t="str">
            <v>TATIANA NITTA</v>
          </cell>
          <cell r="K123" t="str">
            <v>LACTALIS</v>
          </cell>
          <cell r="L123" t="str">
            <v>MAURICIO</v>
          </cell>
          <cell r="M123" t="str">
            <v>TATIANA NITTA</v>
          </cell>
        </row>
        <row r="124">
          <cell r="B124">
            <v>5337552</v>
          </cell>
          <cell r="C124" t="str">
            <v>BANACO DISTRIBUIDORA E MERCADO</v>
          </cell>
          <cell r="D124">
            <v>7001</v>
          </cell>
          <cell r="E124" t="str">
            <v>0749</v>
          </cell>
          <cell r="F124" t="str">
            <v>C5</v>
          </cell>
          <cell r="G124" t="str">
            <v>SP</v>
          </cell>
          <cell r="H124" t="str">
            <v>DISTRIBUIÇÃO</v>
          </cell>
          <cell r="I124" t="str">
            <v>FOOD SERVICE</v>
          </cell>
          <cell r="J124" t="str">
            <v>FLAC 4</v>
          </cell>
          <cell r="K124" t="str">
            <v>LACTALIS</v>
          </cell>
          <cell r="L124" t="str">
            <v>RODRIGO</v>
          </cell>
          <cell r="M124" t="str">
            <v>RAQUEL BARBOSA</v>
          </cell>
        </row>
        <row r="125">
          <cell r="B125">
            <v>5325640</v>
          </cell>
          <cell r="C125" t="str">
            <v>BANANA COM DE ALIM E BEBIDAS LTDA</v>
          </cell>
          <cell r="D125">
            <v>7001</v>
          </cell>
          <cell r="E125" t="str">
            <v>0749</v>
          </cell>
          <cell r="F125" t="str">
            <v>C5</v>
          </cell>
          <cell r="G125" t="str">
            <v>SP</v>
          </cell>
          <cell r="H125" t="str">
            <v>DISTRIBUIÇÃO</v>
          </cell>
          <cell r="I125" t="str">
            <v>FOOD SERVICE</v>
          </cell>
          <cell r="J125" t="str">
            <v>FLAC 3</v>
          </cell>
          <cell r="K125" t="str">
            <v>LACTALIS</v>
          </cell>
          <cell r="L125" t="str">
            <v>RODRIGO</v>
          </cell>
          <cell r="M125" t="str">
            <v>RAQUEL BARBOSA</v>
          </cell>
        </row>
        <row r="126">
          <cell r="B126">
            <v>5274522</v>
          </cell>
          <cell r="C126" t="str">
            <v>BANCO DE INV CREDIT SUISSE BRASIL S</v>
          </cell>
          <cell r="D126">
            <v>7001</v>
          </cell>
          <cell r="E126" t="str">
            <v>0749</v>
          </cell>
          <cell r="F126" t="str">
            <v>C5</v>
          </cell>
          <cell r="G126" t="str">
            <v>SP</v>
          </cell>
          <cell r="H126" t="str">
            <v>DISTRIBUIÇÃO</v>
          </cell>
          <cell r="I126" t="str">
            <v>FOOD SERVICE</v>
          </cell>
          <cell r="J126" t="str">
            <v>FLAC 2</v>
          </cell>
          <cell r="K126" t="str">
            <v>LACTALIS</v>
          </cell>
          <cell r="L126" t="str">
            <v>RODRIGO</v>
          </cell>
          <cell r="M126" t="str">
            <v>RAQUEL BARBOSA</v>
          </cell>
        </row>
        <row r="127">
          <cell r="B127">
            <v>5250969</v>
          </cell>
          <cell r="C127" t="str">
            <v>BAR DO ALEMAO DE SP CONSULAD DE ITU</v>
          </cell>
          <cell r="D127">
            <v>7001</v>
          </cell>
          <cell r="E127" t="str">
            <v>0749</v>
          </cell>
          <cell r="F127" t="str">
            <v>C5</v>
          </cell>
          <cell r="G127" t="str">
            <v>SP</v>
          </cell>
          <cell r="H127" t="str">
            <v>DISTRIBUIÇÃO</v>
          </cell>
          <cell r="I127" t="str">
            <v>FOOD SERVICE</v>
          </cell>
          <cell r="J127" t="str">
            <v>FLAC 2</v>
          </cell>
          <cell r="K127" t="str">
            <v>LACTALIS</v>
          </cell>
          <cell r="L127" t="str">
            <v>RODRIGO</v>
          </cell>
          <cell r="M127" t="str">
            <v>RAQUEL BARBOSA</v>
          </cell>
        </row>
        <row r="128">
          <cell r="B128">
            <v>5286042</v>
          </cell>
          <cell r="C128" t="str">
            <v>BAR E LANCHES SERINGUEIRAS LTDA</v>
          </cell>
          <cell r="D128">
            <v>7001</v>
          </cell>
          <cell r="E128" t="str">
            <v>0749</v>
          </cell>
          <cell r="F128" t="str">
            <v>C5</v>
          </cell>
          <cell r="G128" t="str">
            <v>SP</v>
          </cell>
          <cell r="H128" t="str">
            <v>DISTRIBUIÇÃO</v>
          </cell>
          <cell r="I128" t="str">
            <v>FOOD SERVICE</v>
          </cell>
          <cell r="J128" t="str">
            <v>FLAC 5</v>
          </cell>
          <cell r="K128" t="str">
            <v>LACTALIS</v>
          </cell>
          <cell r="L128" t="str">
            <v>RODRIGO</v>
          </cell>
          <cell r="M128" t="str">
            <v>RAQUEL BARBOSA</v>
          </cell>
        </row>
        <row r="129">
          <cell r="B129">
            <v>5282678</v>
          </cell>
          <cell r="C129" t="str">
            <v>BAR E LANCHES SILVEIRAS</v>
          </cell>
          <cell r="D129">
            <v>7001</v>
          </cell>
          <cell r="E129" t="str">
            <v>0749</v>
          </cell>
          <cell r="F129" t="str">
            <v>C5</v>
          </cell>
          <cell r="G129" t="str">
            <v>SP</v>
          </cell>
          <cell r="H129" t="str">
            <v>DISTRIBUIÇÃO</v>
          </cell>
          <cell r="I129" t="str">
            <v>FOOD SERVICE</v>
          </cell>
          <cell r="J129" t="str">
            <v>FLAC 6</v>
          </cell>
          <cell r="K129" t="str">
            <v>LACTALIS</v>
          </cell>
          <cell r="L129" t="str">
            <v>RODRIGO</v>
          </cell>
          <cell r="M129" t="str">
            <v>RAQUEL BARBOSA</v>
          </cell>
        </row>
        <row r="130">
          <cell r="B130">
            <v>5320341</v>
          </cell>
          <cell r="C130" t="str">
            <v>BAR E RESTAURANTE BEIRUTE LTDA</v>
          </cell>
          <cell r="D130">
            <v>7001</v>
          </cell>
          <cell r="E130" t="str">
            <v>0749</v>
          </cell>
          <cell r="F130" t="str">
            <v>C5</v>
          </cell>
          <cell r="G130" t="str">
            <v>SP</v>
          </cell>
          <cell r="H130" t="str">
            <v>DISTRIBUIÇÃO</v>
          </cell>
          <cell r="I130" t="str">
            <v>FOOD SERVICE</v>
          </cell>
          <cell r="J130" t="str">
            <v>FLAC 4</v>
          </cell>
          <cell r="K130" t="str">
            <v>LACTALIS</v>
          </cell>
          <cell r="L130" t="str">
            <v>RODRIGO</v>
          </cell>
          <cell r="M130" t="str">
            <v>RAQUEL BARBOSA</v>
          </cell>
        </row>
        <row r="131">
          <cell r="B131">
            <v>5278420</v>
          </cell>
          <cell r="C131" t="str">
            <v>BAR REST LEISHE LTDA ME</v>
          </cell>
          <cell r="D131">
            <v>7001</v>
          </cell>
          <cell r="E131" t="str">
            <v>0749</v>
          </cell>
          <cell r="F131" t="str">
            <v>C5</v>
          </cell>
          <cell r="G131" t="str">
            <v>SP</v>
          </cell>
          <cell r="H131" t="str">
            <v>DISTRIBUIÇÃO</v>
          </cell>
          <cell r="I131" t="str">
            <v>FOOD SERVICE</v>
          </cell>
          <cell r="J131" t="str">
            <v>FLAC 4</v>
          </cell>
          <cell r="K131" t="str">
            <v>LACTALIS</v>
          </cell>
          <cell r="L131" t="str">
            <v>RODRIGO</v>
          </cell>
          <cell r="M131" t="str">
            <v>RAQUEL BARBOSA</v>
          </cell>
        </row>
        <row r="132">
          <cell r="B132">
            <v>5256555</v>
          </cell>
          <cell r="C132" t="str">
            <v>BARRA FUNDA HOTELARIA LTDA</v>
          </cell>
          <cell r="D132">
            <v>7001</v>
          </cell>
          <cell r="E132" t="str">
            <v>0749</v>
          </cell>
          <cell r="F132" t="str">
            <v>C5</v>
          </cell>
          <cell r="G132" t="str">
            <v>SP</v>
          </cell>
          <cell r="H132" t="str">
            <v>DISTRIBUIÇÃO</v>
          </cell>
          <cell r="I132" t="str">
            <v>FOOD SERVICE</v>
          </cell>
          <cell r="J132" t="str">
            <v>FLAC 6</v>
          </cell>
          <cell r="K132" t="str">
            <v>LACTALIS</v>
          </cell>
          <cell r="L132" t="str">
            <v>RODRIGO</v>
          </cell>
          <cell r="M132" t="str">
            <v>RAQUEL BARBOSA</v>
          </cell>
        </row>
        <row r="133">
          <cell r="B133">
            <v>5260909</v>
          </cell>
          <cell r="C133" t="str">
            <v>BASEL LACTEOS SA</v>
          </cell>
          <cell r="D133">
            <v>3001</v>
          </cell>
          <cell r="E133" t="str">
            <v>0122</v>
          </cell>
          <cell r="F133" t="str">
            <v>C1</v>
          </cell>
          <cell r="G133" t="str">
            <v>MG</v>
          </cell>
          <cell r="H133" t="str">
            <v>INGREDIENTS</v>
          </cell>
          <cell r="I133" t="str">
            <v>INGREDIENTS</v>
          </cell>
          <cell r="J133" t="str">
            <v>HENRIQUE FERREIRA</v>
          </cell>
          <cell r="K133" t="str">
            <v>ITAMBÉ</v>
          </cell>
          <cell r="L133" t="str">
            <v>MAURICIO</v>
          </cell>
          <cell r="M133" t="str">
            <v>JOEL</v>
          </cell>
        </row>
        <row r="134">
          <cell r="B134">
            <v>5009420</v>
          </cell>
          <cell r="C134" t="str">
            <v>BASF SA</v>
          </cell>
          <cell r="D134">
            <v>6001</v>
          </cell>
          <cell r="E134" t="str">
            <v>6125</v>
          </cell>
          <cell r="F134" t="str">
            <v>C1</v>
          </cell>
          <cell r="G134" t="str">
            <v>SP</v>
          </cell>
          <cell r="H134" t="str">
            <v>INGREDIENTS</v>
          </cell>
          <cell r="I134" t="str">
            <v>INGREDIENTS</v>
          </cell>
          <cell r="J134" t="str">
            <v>HENRIQUE FERREIRA</v>
          </cell>
          <cell r="K134" t="str">
            <v>ITAMBÉ</v>
          </cell>
          <cell r="L134" t="str">
            <v>MAURICIO</v>
          </cell>
          <cell r="M134" t="str">
            <v>JOEL</v>
          </cell>
        </row>
        <row r="135">
          <cell r="B135">
            <v>5208856</v>
          </cell>
          <cell r="C135" t="str">
            <v>BATISTA E IZEPE LTDA</v>
          </cell>
          <cell r="D135">
            <v>3001</v>
          </cell>
          <cell r="E135" t="str">
            <v>0126</v>
          </cell>
          <cell r="F135" t="str">
            <v>C1</v>
          </cell>
          <cell r="G135" t="str">
            <v>PR</v>
          </cell>
          <cell r="H135" t="str">
            <v>INGREDIENTS</v>
          </cell>
          <cell r="I135" t="str">
            <v>INGREDIENTS</v>
          </cell>
          <cell r="J135" t="str">
            <v>DUAS RODAS</v>
          </cell>
          <cell r="K135" t="str">
            <v>ITAMBÉ</v>
          </cell>
          <cell r="L135" t="str">
            <v>MAURICIO</v>
          </cell>
          <cell r="M135" t="str">
            <v>MARCELO</v>
          </cell>
        </row>
        <row r="136">
          <cell r="B136">
            <v>5274577</v>
          </cell>
          <cell r="C136" t="str">
            <v>BELLA BOLOS FINOS LTDA</v>
          </cell>
          <cell r="D136">
            <v>7001</v>
          </cell>
          <cell r="E136" t="str">
            <v>0749</v>
          </cell>
          <cell r="F136" t="str">
            <v>C5</v>
          </cell>
          <cell r="G136" t="str">
            <v>SP</v>
          </cell>
          <cell r="H136" t="str">
            <v>DISTRIBUIÇÃO</v>
          </cell>
          <cell r="I136" t="str">
            <v>FOOD SERVICE</v>
          </cell>
          <cell r="J136" t="str">
            <v>FLAC 6</v>
          </cell>
          <cell r="K136" t="str">
            <v>LACTALIS</v>
          </cell>
          <cell r="L136" t="str">
            <v>RODRIGO</v>
          </cell>
          <cell r="M136" t="str">
            <v>RAQUEL BARBOSA</v>
          </cell>
        </row>
        <row r="137">
          <cell r="B137">
            <v>5298021</v>
          </cell>
          <cell r="C137" t="str">
            <v>BELLI GOURMET COMERCIO DE BOLOS E S</v>
          </cell>
          <cell r="D137">
            <v>7001</v>
          </cell>
          <cell r="E137" t="str">
            <v>0749</v>
          </cell>
          <cell r="F137" t="str">
            <v>C5</v>
          </cell>
          <cell r="G137" t="str">
            <v>SP</v>
          </cell>
          <cell r="H137" t="str">
            <v>DISTRIBUIÇÃO</v>
          </cell>
          <cell r="I137" t="str">
            <v>FOOD SERVICE</v>
          </cell>
          <cell r="J137" t="str">
            <v>FLAC 2</v>
          </cell>
          <cell r="K137" t="str">
            <v>LACTALIS</v>
          </cell>
          <cell r="L137" t="str">
            <v>RODRIGO</v>
          </cell>
          <cell r="M137" t="str">
            <v>RAQUEL BARBOSA</v>
          </cell>
        </row>
        <row r="138">
          <cell r="B138">
            <v>5235438</v>
          </cell>
          <cell r="C138" t="str">
            <v>BEM ME QUER LANCHES LTDA</v>
          </cell>
          <cell r="D138">
            <v>7001</v>
          </cell>
          <cell r="E138" t="str">
            <v>0749</v>
          </cell>
          <cell r="F138" t="str">
            <v>C5</v>
          </cell>
          <cell r="G138" t="str">
            <v>SP</v>
          </cell>
          <cell r="H138" t="str">
            <v>DISTRIBUIÇÃO</v>
          </cell>
          <cell r="I138" t="str">
            <v>FOOD SERVICE</v>
          </cell>
          <cell r="J138" t="str">
            <v>FLAC 2</v>
          </cell>
          <cell r="K138" t="str">
            <v>LACTALIS</v>
          </cell>
          <cell r="L138" t="str">
            <v>RODRIGO</v>
          </cell>
          <cell r="M138" t="str">
            <v>RAQUEL BARBOSA</v>
          </cell>
        </row>
        <row r="139">
          <cell r="B139">
            <v>5235440</v>
          </cell>
          <cell r="C139" t="str">
            <v>BEM QUER LANCHES LTDA</v>
          </cell>
          <cell r="D139">
            <v>7001</v>
          </cell>
          <cell r="E139" t="str">
            <v>0749</v>
          </cell>
          <cell r="F139" t="str">
            <v>C5</v>
          </cell>
          <cell r="G139" t="str">
            <v>SP</v>
          </cell>
          <cell r="H139" t="str">
            <v>DISTRIBUIÇÃO</v>
          </cell>
          <cell r="I139" t="str">
            <v>FOOD SERVICE</v>
          </cell>
          <cell r="J139" t="str">
            <v>FLAC 2</v>
          </cell>
          <cell r="K139" t="str">
            <v>LACTALIS</v>
          </cell>
          <cell r="L139" t="str">
            <v>RODRIGO</v>
          </cell>
          <cell r="M139" t="str">
            <v>RAQUEL BARBOSA</v>
          </cell>
        </row>
        <row r="140">
          <cell r="B140">
            <v>5335146</v>
          </cell>
          <cell r="C140" t="str">
            <v>BERRY S INDUSTRIA DE SORVETES L</v>
          </cell>
          <cell r="D140">
            <v>3001</v>
          </cell>
          <cell r="E140" t="str">
            <v>0122</v>
          </cell>
          <cell r="F140" t="str">
            <v>C1</v>
          </cell>
          <cell r="G140" t="str">
            <v>MG</v>
          </cell>
          <cell r="H140" t="str">
            <v>INGREDIENTS</v>
          </cell>
          <cell r="I140" t="str">
            <v>INGREDIENTS</v>
          </cell>
          <cell r="J140" t="str">
            <v>HENRIQUE FERREIRA</v>
          </cell>
          <cell r="K140" t="str">
            <v>ITAMBÉ</v>
          </cell>
          <cell r="L140" t="str">
            <v>MAURICIO</v>
          </cell>
          <cell r="M140" t="str">
            <v>JOEL</v>
          </cell>
        </row>
        <row r="141">
          <cell r="B141">
            <v>5186822</v>
          </cell>
          <cell r="C141" t="str">
            <v>BERTINI INDUSTRIA E COMERCIO DE</v>
          </cell>
          <cell r="D141">
            <v>3001</v>
          </cell>
          <cell r="E141" t="str">
            <v>0028</v>
          </cell>
          <cell r="F141" t="str">
            <v>C1</v>
          </cell>
          <cell r="G141" t="str">
            <v>PR</v>
          </cell>
          <cell r="H141" t="str">
            <v>INGREDIENTS</v>
          </cell>
          <cell r="I141" t="str">
            <v>INGREDIENTS</v>
          </cell>
          <cell r="J141" t="str">
            <v>DUAS RODAS</v>
          </cell>
          <cell r="K141" t="str">
            <v>ITAMBÉ</v>
          </cell>
          <cell r="L141" t="str">
            <v>MAURICIO</v>
          </cell>
          <cell r="M141" t="str">
            <v>MARCELO</v>
          </cell>
        </row>
        <row r="142">
          <cell r="B142">
            <v>5330471</v>
          </cell>
          <cell r="C142" t="str">
            <v>BES COFFEE DESSERTS LTDA</v>
          </cell>
          <cell r="D142">
            <v>7001</v>
          </cell>
          <cell r="E142" t="str">
            <v>0749</v>
          </cell>
          <cell r="F142" t="str">
            <v>C5</v>
          </cell>
          <cell r="G142" t="str">
            <v>SP</v>
          </cell>
          <cell r="H142" t="str">
            <v>DISTRIBUIÇÃO</v>
          </cell>
          <cell r="I142" t="str">
            <v>FOOD SERVICE</v>
          </cell>
          <cell r="J142" t="str">
            <v>FLAC 2</v>
          </cell>
          <cell r="K142" t="str">
            <v>LACTALIS</v>
          </cell>
          <cell r="L142" t="str">
            <v>RODRIGO</v>
          </cell>
          <cell r="M142" t="str">
            <v>RAQUEL BARBOSA</v>
          </cell>
        </row>
        <row r="143">
          <cell r="B143">
            <v>5341209</v>
          </cell>
          <cell r="C143" t="str">
            <v>BEV ALIMENTOS E BEBIDAS LTDA</v>
          </cell>
          <cell r="D143">
            <v>7001</v>
          </cell>
          <cell r="E143" t="str">
            <v>0749</v>
          </cell>
          <cell r="F143" t="str">
            <v>C5</v>
          </cell>
          <cell r="G143" t="str">
            <v>SP</v>
          </cell>
          <cell r="H143" t="str">
            <v>DISTRIBUIÇÃO</v>
          </cell>
          <cell r="I143" t="str">
            <v>FOOD SERVICE</v>
          </cell>
          <cell r="J143" t="str">
            <v>FLAC 3</v>
          </cell>
          <cell r="K143" t="str">
            <v>LACTALIS</v>
          </cell>
          <cell r="L143" t="str">
            <v>RODRIGO</v>
          </cell>
          <cell r="M143" t="str">
            <v>RAQUEL BARBOSA</v>
          </cell>
        </row>
        <row r="144">
          <cell r="B144">
            <v>5194641</v>
          </cell>
          <cell r="C144" t="str">
            <v>BEVERAGER EQUIPAMENTOS E BEBIDA</v>
          </cell>
          <cell r="D144">
            <v>3001</v>
          </cell>
          <cell r="E144" t="str">
            <v>0122</v>
          </cell>
          <cell r="F144" t="str">
            <v>C1</v>
          </cell>
          <cell r="G144" t="str">
            <v>MG</v>
          </cell>
          <cell r="H144" t="str">
            <v>INGREDIENTS</v>
          </cell>
          <cell r="I144" t="str">
            <v>INGREDIENTS</v>
          </cell>
          <cell r="J144" t="str">
            <v>HENRIQUE FERREIRA</v>
          </cell>
          <cell r="K144" t="str">
            <v>ITAMBÉ</v>
          </cell>
          <cell r="L144" t="str">
            <v>MAURICIO</v>
          </cell>
          <cell r="M144" t="str">
            <v>JOEL</v>
          </cell>
        </row>
        <row r="145">
          <cell r="B145">
            <v>5192123</v>
          </cell>
          <cell r="C145" t="str">
            <v>BFR DE MENDONCA IND E COM DE C EIRE</v>
          </cell>
          <cell r="D145">
            <v>3001</v>
          </cell>
          <cell r="E145" t="str">
            <v>0127</v>
          </cell>
          <cell r="F145" t="str">
            <v>C1</v>
          </cell>
          <cell r="G145" t="str">
            <v>PE</v>
          </cell>
          <cell r="H145" t="str">
            <v>DISTRIBUIÇÃO</v>
          </cell>
          <cell r="I145" t="str">
            <v>FOOD SERVICE</v>
          </cell>
          <cell r="J145" t="str">
            <v>CLAUDIO JORGE</v>
          </cell>
          <cell r="K145" t="str">
            <v>ITAMBÉ</v>
          </cell>
          <cell r="L145" t="str">
            <v>RODRIGO</v>
          </cell>
          <cell r="M145" t="str">
            <v>MARIA LOURDES</v>
          </cell>
        </row>
        <row r="146">
          <cell r="B146">
            <v>5177629</v>
          </cell>
          <cell r="C146" t="str">
            <v>BFS DISTRIB DE PRODUT ALIMENTIC</v>
          </cell>
          <cell r="D146">
            <v>3001</v>
          </cell>
          <cell r="E146" t="str">
            <v>0127</v>
          </cell>
          <cell r="F146" t="str">
            <v>C1</v>
          </cell>
          <cell r="G146" t="str">
            <v>BA</v>
          </cell>
          <cell r="H146" t="str">
            <v>DISTRIBUIÇÃO</v>
          </cell>
          <cell r="I146" t="str">
            <v>FOOD SERVICE</v>
          </cell>
          <cell r="J146" t="str">
            <v>CLAUDIO JORGE/LUIZ</v>
          </cell>
          <cell r="K146" t="str">
            <v>ITAMBÉ</v>
          </cell>
          <cell r="L146" t="str">
            <v>RODRIGO</v>
          </cell>
          <cell r="M146" t="str">
            <v>MARIA LOURDES</v>
          </cell>
        </row>
        <row r="147">
          <cell r="B147">
            <v>5234801</v>
          </cell>
          <cell r="C147" t="str">
            <v>BIANCA SOUZA PAES BOLOS FIT</v>
          </cell>
          <cell r="D147">
            <v>6001</v>
          </cell>
          <cell r="E147" t="str">
            <v>6125</v>
          </cell>
          <cell r="F147" t="str">
            <v>C1</v>
          </cell>
          <cell r="G147" t="str">
            <v>SP</v>
          </cell>
          <cell r="H147" t="str">
            <v>DISTRIBUIÇÃO</v>
          </cell>
          <cell r="I147" t="str">
            <v>FOOD SERVICE</v>
          </cell>
          <cell r="J147" t="str">
            <v>ALEXANDRO RODRIGUES</v>
          </cell>
          <cell r="K147" t="str">
            <v>ITAMBÉ</v>
          </cell>
          <cell r="L147" t="str">
            <v>RODRIGO</v>
          </cell>
          <cell r="M147" t="str">
            <v>ALEXANDRO</v>
          </cell>
        </row>
        <row r="148">
          <cell r="B148">
            <v>5019640</v>
          </cell>
          <cell r="C148" t="str">
            <v>BIG CHURROS DE PIRACICABA LTDA</v>
          </cell>
          <cell r="D148">
            <v>6001</v>
          </cell>
          <cell r="E148" t="str">
            <v>6125</v>
          </cell>
          <cell r="F148" t="str">
            <v>C1</v>
          </cell>
          <cell r="G148" t="str">
            <v>SP</v>
          </cell>
          <cell r="H148" t="str">
            <v>INGREDIENTS</v>
          </cell>
          <cell r="I148" t="str">
            <v>INGREDIENTS</v>
          </cell>
          <cell r="J148" t="str">
            <v>HENRIQUE FERREIRA</v>
          </cell>
          <cell r="K148" t="str">
            <v>ITAMBÉ</v>
          </cell>
          <cell r="L148" t="str">
            <v>MAURICIO</v>
          </cell>
          <cell r="M148" t="str">
            <v>JOEL</v>
          </cell>
        </row>
        <row r="149">
          <cell r="B149">
            <v>5000443</v>
          </cell>
          <cell r="C149" t="str">
            <v>BIG TE LANCHES LTDA ME</v>
          </cell>
          <cell r="D149">
            <v>3001</v>
          </cell>
          <cell r="E149" t="str">
            <v>0122</v>
          </cell>
          <cell r="F149" t="str">
            <v>C1</v>
          </cell>
          <cell r="G149" t="str">
            <v>MG</v>
          </cell>
          <cell r="H149" t="str">
            <v>INGREDIENTS</v>
          </cell>
          <cell r="I149" t="str">
            <v>INGREDIENTS</v>
          </cell>
          <cell r="J149" t="str">
            <v>HENRIQUE FERREIRA</v>
          </cell>
          <cell r="K149" t="str">
            <v>ITAMBÉ</v>
          </cell>
          <cell r="L149" t="str">
            <v>MAURICIO</v>
          </cell>
          <cell r="M149" t="str">
            <v>JOEL</v>
          </cell>
        </row>
        <row r="150">
          <cell r="B150">
            <v>5111905</v>
          </cell>
          <cell r="C150" t="str">
            <v>BIMBETTO ALIMENTOS LTDA</v>
          </cell>
          <cell r="D150">
            <v>3001</v>
          </cell>
          <cell r="E150" t="str">
            <v>0126</v>
          </cell>
          <cell r="F150" t="str">
            <v>C1</v>
          </cell>
          <cell r="G150" t="str">
            <v>PR</v>
          </cell>
          <cell r="H150" t="str">
            <v>DISTRIBUIÇÃO</v>
          </cell>
          <cell r="I150" t="str">
            <v>FOOD SERVICE</v>
          </cell>
          <cell r="J150" t="str">
            <v>ANGELICA BATISTELA</v>
          </cell>
          <cell r="K150" t="str">
            <v>ITAMBÉ</v>
          </cell>
          <cell r="L150" t="str">
            <v>RODRIGO</v>
          </cell>
          <cell r="M150" t="str">
            <v>ANGELICA BATISTELA</v>
          </cell>
        </row>
        <row r="151">
          <cell r="B151">
            <v>5337942</v>
          </cell>
          <cell r="C151" t="str">
            <v>BIOCAMP LABORATORIOS LT</v>
          </cell>
          <cell r="D151">
            <v>4001</v>
          </cell>
          <cell r="E151" t="str">
            <v>0455</v>
          </cell>
          <cell r="F151" t="str">
            <v>C1</v>
          </cell>
          <cell r="G151" t="str">
            <v>SP</v>
          </cell>
          <cell r="H151" t="str">
            <v>INGREDIENTS</v>
          </cell>
          <cell r="I151" t="str">
            <v>INGREDIENTS</v>
          </cell>
          <cell r="J151" t="str">
            <v>MARCELO RODRIGUES</v>
          </cell>
          <cell r="K151" t="str">
            <v>LACTALIS</v>
          </cell>
          <cell r="L151" t="str">
            <v>MAURICIO</v>
          </cell>
          <cell r="M151" t="str">
            <v>MARCELO</v>
          </cell>
        </row>
        <row r="152">
          <cell r="B152">
            <v>5337375</v>
          </cell>
          <cell r="C152" t="str">
            <v>BISCOTTINI &amp; PANI DI FIORE LTDA</v>
          </cell>
          <cell r="D152">
            <v>7001</v>
          </cell>
          <cell r="E152" t="str">
            <v>0737</v>
          </cell>
          <cell r="F152" t="str">
            <v>C1</v>
          </cell>
          <cell r="G152" t="str">
            <v>SP</v>
          </cell>
          <cell r="H152" t="str">
            <v>INGREDIENTS</v>
          </cell>
          <cell r="I152" t="str">
            <v>INGREDIENTS</v>
          </cell>
          <cell r="J152" t="str">
            <v>TATIANA NITTA</v>
          </cell>
          <cell r="K152" t="str">
            <v>LACTALIS</v>
          </cell>
          <cell r="L152" t="str">
            <v>MAURICIO</v>
          </cell>
          <cell r="M152" t="str">
            <v>TATIANA NITTA</v>
          </cell>
        </row>
        <row r="153">
          <cell r="B153">
            <v>5235393</v>
          </cell>
          <cell r="C153" t="str">
            <v>BISTECA D OURO LANCHES LTDA</v>
          </cell>
          <cell r="D153">
            <v>7001</v>
          </cell>
          <cell r="E153" t="str">
            <v>0749</v>
          </cell>
          <cell r="F153" t="str">
            <v>C5</v>
          </cell>
          <cell r="G153" t="str">
            <v>SP</v>
          </cell>
          <cell r="H153" t="str">
            <v>DISTRIBUIÇÃO</v>
          </cell>
          <cell r="I153" t="str">
            <v>FOOD SERVICE</v>
          </cell>
          <cell r="J153" t="str">
            <v>FLAC 2</v>
          </cell>
          <cell r="K153" t="str">
            <v>LACTALIS</v>
          </cell>
          <cell r="L153" t="str">
            <v>RODRIGO</v>
          </cell>
          <cell r="M153" t="str">
            <v>RAQUEL BARBOSA</v>
          </cell>
        </row>
        <row r="154">
          <cell r="B154">
            <v>5285840</v>
          </cell>
          <cell r="C154" t="str">
            <v>BK BRASIL OPERACAO E ASSESSOR A</v>
          </cell>
          <cell r="D154">
            <v>7001</v>
          </cell>
          <cell r="E154" t="str">
            <v>0722</v>
          </cell>
          <cell r="F154" t="str">
            <v>C1</v>
          </cell>
          <cell r="G154" t="str">
            <v>SP</v>
          </cell>
          <cell r="H154" t="str">
            <v>QSR</v>
          </cell>
          <cell r="I154" t="str">
            <v>FOOD SERVICE</v>
          </cell>
          <cell r="J154" t="str">
            <v>ANA MENIQUETE</v>
          </cell>
          <cell r="K154" t="str">
            <v>LACTALIS</v>
          </cell>
          <cell r="L154" t="str">
            <v>PEDRO</v>
          </cell>
          <cell r="M154" t="str">
            <v>ANA MENIQUETE</v>
          </cell>
        </row>
        <row r="155">
          <cell r="B155">
            <v>5263174</v>
          </cell>
          <cell r="C155" t="str">
            <v>BK BRASIL OPERACAO E ASSESSOR A RES</v>
          </cell>
          <cell r="D155">
            <v>7001</v>
          </cell>
          <cell r="E155" t="str">
            <v>0722</v>
          </cell>
          <cell r="F155" t="str">
            <v>C1</v>
          </cell>
          <cell r="G155" t="str">
            <v>SP</v>
          </cell>
          <cell r="H155" t="str">
            <v>QSR</v>
          </cell>
          <cell r="I155" t="str">
            <v>FOOD SERVICE</v>
          </cell>
          <cell r="J155" t="str">
            <v>ANA MENIQUETE</v>
          </cell>
          <cell r="K155" t="str">
            <v>LACTALIS</v>
          </cell>
          <cell r="L155" t="str">
            <v>PEDRO</v>
          </cell>
          <cell r="M155" t="str">
            <v>ANA MENIQUETE</v>
          </cell>
        </row>
        <row r="156">
          <cell r="B156">
            <v>5177226</v>
          </cell>
          <cell r="C156" t="str">
            <v>BL IMPORTADORA E DISTRIBU</v>
          </cell>
          <cell r="D156">
            <v>3001</v>
          </cell>
          <cell r="E156" t="str">
            <v>0127</v>
          </cell>
          <cell r="F156" t="str">
            <v>C1</v>
          </cell>
          <cell r="G156" t="str">
            <v>PB</v>
          </cell>
          <cell r="H156" t="str">
            <v>DISTRIBUIÇÃO</v>
          </cell>
          <cell r="I156" t="str">
            <v>FOOD SERVICE</v>
          </cell>
          <cell r="J156" t="str">
            <v>CLAUDIO JORGE</v>
          </cell>
          <cell r="K156" t="str">
            <v>ITAMBÉ</v>
          </cell>
          <cell r="L156" t="str">
            <v>RODRIGO</v>
          </cell>
          <cell r="M156" t="str">
            <v>MARIA LOURDES</v>
          </cell>
        </row>
        <row r="157">
          <cell r="B157">
            <v>5254974</v>
          </cell>
          <cell r="C157" t="str">
            <v>BLACK RIVER CAFE LTDA</v>
          </cell>
          <cell r="D157">
            <v>7001</v>
          </cell>
          <cell r="E157" t="str">
            <v>0749</v>
          </cell>
          <cell r="F157" t="str">
            <v>C5</v>
          </cell>
          <cell r="G157" t="str">
            <v>SP</v>
          </cell>
          <cell r="H157" t="str">
            <v>DISTRIBUIÇÃO</v>
          </cell>
          <cell r="I157" t="str">
            <v>FOOD SERVICE</v>
          </cell>
          <cell r="J157" t="str">
            <v>FLAC 3</v>
          </cell>
          <cell r="K157" t="str">
            <v>LACTALIS</v>
          </cell>
          <cell r="L157" t="str">
            <v>RODRIGO</v>
          </cell>
          <cell r="M157" t="str">
            <v>RAQUEL BARBOSA</v>
          </cell>
        </row>
        <row r="158">
          <cell r="B158">
            <v>5327881</v>
          </cell>
          <cell r="C158" t="str">
            <v>BLACK RIVER CAFE LTDA</v>
          </cell>
          <cell r="D158">
            <v>7001</v>
          </cell>
          <cell r="E158" t="str">
            <v>0749</v>
          </cell>
          <cell r="F158" t="str">
            <v>C5</v>
          </cell>
          <cell r="G158" t="str">
            <v>SP</v>
          </cell>
          <cell r="H158" t="str">
            <v>DISTRIBUIÇÃO</v>
          </cell>
          <cell r="I158" t="str">
            <v>FOOD SERVICE</v>
          </cell>
          <cell r="J158" t="str">
            <v>FLAC 3</v>
          </cell>
          <cell r="K158" t="str">
            <v>LACTALIS</v>
          </cell>
          <cell r="L158" t="str">
            <v>RODRIGO</v>
          </cell>
          <cell r="M158" t="str">
            <v>RAQUEL BARBOSA</v>
          </cell>
        </row>
        <row r="159">
          <cell r="B159">
            <v>5294903</v>
          </cell>
          <cell r="C159" t="str">
            <v>BM EMPREENDIMENTOS E PARTICIPACOES</v>
          </cell>
          <cell r="D159">
            <v>7001</v>
          </cell>
          <cell r="E159" t="str">
            <v>0749</v>
          </cell>
          <cell r="F159" t="str">
            <v>C5</v>
          </cell>
          <cell r="G159" t="str">
            <v>SP</v>
          </cell>
          <cell r="H159" t="str">
            <v>DISTRIBUIÇÃO</v>
          </cell>
          <cell r="I159" t="str">
            <v>FOOD SERVICE</v>
          </cell>
          <cell r="J159" t="str">
            <v>FLAC 2</v>
          </cell>
          <cell r="K159" t="str">
            <v>LACTALIS</v>
          </cell>
          <cell r="L159" t="str">
            <v>RODRIGO</v>
          </cell>
          <cell r="M159" t="str">
            <v>RAQUEL BARBOSA</v>
          </cell>
        </row>
        <row r="160">
          <cell r="B160">
            <v>5209410</v>
          </cell>
          <cell r="C160" t="str">
            <v>BMC COMERCIO VAREJISTA DE DOCES</v>
          </cell>
          <cell r="D160">
            <v>7001</v>
          </cell>
          <cell r="E160" t="str">
            <v>0749</v>
          </cell>
          <cell r="F160" t="str">
            <v>C5</v>
          </cell>
          <cell r="G160" t="str">
            <v>SP</v>
          </cell>
          <cell r="H160" t="str">
            <v>DISTRIBUIÇÃO</v>
          </cell>
          <cell r="I160" t="str">
            <v>FOOD SERVICE</v>
          </cell>
          <cell r="J160" t="str">
            <v>FLAC 3</v>
          </cell>
          <cell r="K160" t="str">
            <v>LACTALIS</v>
          </cell>
          <cell r="L160" t="str">
            <v>RODRIGO</v>
          </cell>
          <cell r="M160" t="str">
            <v>RAQUEL BARBOSA</v>
          </cell>
        </row>
        <row r="161">
          <cell r="B161">
            <v>5292469</v>
          </cell>
          <cell r="C161" t="str">
            <v>BMZ ALIMENTOS LTDA</v>
          </cell>
          <cell r="D161">
            <v>7001</v>
          </cell>
          <cell r="E161" t="str">
            <v>0749</v>
          </cell>
          <cell r="F161" t="str">
            <v>C5</v>
          </cell>
          <cell r="G161" t="str">
            <v>SP</v>
          </cell>
          <cell r="H161" t="str">
            <v>DISTRIBUIÇÃO</v>
          </cell>
          <cell r="I161" t="str">
            <v>FOOD SERVICE</v>
          </cell>
          <cell r="J161" t="str">
            <v>FLAC 2</v>
          </cell>
          <cell r="K161" t="str">
            <v>LACTALIS</v>
          </cell>
          <cell r="L161" t="str">
            <v>RODRIGO</v>
          </cell>
          <cell r="M161" t="str">
            <v>RAQUEL BARBOSA</v>
          </cell>
        </row>
        <row r="162">
          <cell r="B162">
            <v>5286104</v>
          </cell>
          <cell r="C162" t="str">
            <v>BOCADINHO ALIMENTOS LTDA ME</v>
          </cell>
          <cell r="D162">
            <v>7001</v>
          </cell>
          <cell r="E162" t="str">
            <v>0749</v>
          </cell>
          <cell r="F162" t="str">
            <v>C5</v>
          </cell>
          <cell r="G162" t="str">
            <v>SP</v>
          </cell>
          <cell r="H162" t="str">
            <v>DISTRIBUIÇÃO</v>
          </cell>
          <cell r="I162" t="str">
            <v>FOOD SERVICE</v>
          </cell>
          <cell r="J162" t="str">
            <v>FLAC 6</v>
          </cell>
          <cell r="K162" t="str">
            <v>LACTALIS</v>
          </cell>
          <cell r="L162" t="str">
            <v>RODRIGO</v>
          </cell>
          <cell r="M162" t="str">
            <v>RAQUEL BARBOSA</v>
          </cell>
        </row>
        <row r="163">
          <cell r="B163">
            <v>5204977</v>
          </cell>
          <cell r="C163" t="str">
            <v>BOCAO COMERCIO DE DOCES DIGITAL</v>
          </cell>
          <cell r="D163">
            <v>6001</v>
          </cell>
          <cell r="E163" t="str">
            <v>6125</v>
          </cell>
          <cell r="F163" t="str">
            <v>C1</v>
          </cell>
          <cell r="G163" t="str">
            <v>SP</v>
          </cell>
          <cell r="H163" t="str">
            <v>DISTRIBUIÇÃO</v>
          </cell>
          <cell r="I163" t="str">
            <v>FOOD SERVICE</v>
          </cell>
          <cell r="J163" t="str">
            <v>SP ITB FS FLAC REP.E COMERCIO</v>
          </cell>
          <cell r="K163" t="str">
            <v>ITAMBÉ</v>
          </cell>
          <cell r="L163" t="str">
            <v>RODRIGO</v>
          </cell>
          <cell r="M163" t="str">
            <v>RAQUEL BARBOSA</v>
          </cell>
        </row>
        <row r="164">
          <cell r="B164">
            <v>5189644</v>
          </cell>
          <cell r="C164" t="str">
            <v>BOCAO COMERCIO DE DOCES LTDA</v>
          </cell>
          <cell r="D164">
            <v>6001</v>
          </cell>
          <cell r="E164" t="str">
            <v>6125</v>
          </cell>
          <cell r="F164" t="str">
            <v>C1</v>
          </cell>
          <cell r="G164" t="str">
            <v>SP</v>
          </cell>
          <cell r="H164" t="str">
            <v>DISTRIBUIÇÃO</v>
          </cell>
          <cell r="I164" t="str">
            <v>FOOD SERVICE</v>
          </cell>
          <cell r="J164" t="str">
            <v>SP ITB FS FLAC REP.E COMERCIO</v>
          </cell>
          <cell r="K164" t="str">
            <v>ITAMBÉ</v>
          </cell>
          <cell r="L164" t="str">
            <v>RODRIGO</v>
          </cell>
          <cell r="M164" t="str">
            <v>RAQUEL BARBOSA</v>
          </cell>
        </row>
        <row r="165">
          <cell r="B165">
            <v>5156987</v>
          </cell>
          <cell r="C165" t="str">
            <v>BOIA FRIA ALIM CONGELADOS E REFRIGE</v>
          </cell>
          <cell r="D165">
            <v>7001</v>
          </cell>
          <cell r="E165" t="str">
            <v>0749</v>
          </cell>
          <cell r="F165" t="str">
            <v>C5</v>
          </cell>
          <cell r="G165" t="str">
            <v>SP</v>
          </cell>
          <cell r="H165" t="str">
            <v>DISTRIBUIÇÃO</v>
          </cell>
          <cell r="I165" t="str">
            <v>FOOD SERVICE</v>
          </cell>
          <cell r="J165" t="str">
            <v>FLAC 6</v>
          </cell>
          <cell r="K165" t="str">
            <v>LACTALIS</v>
          </cell>
          <cell r="L165" t="str">
            <v>RODRIGO</v>
          </cell>
          <cell r="M165" t="str">
            <v>RAQUEL BARBOSA</v>
          </cell>
        </row>
        <row r="166">
          <cell r="B166">
            <v>5263652</v>
          </cell>
          <cell r="C166" t="str">
            <v>BOLO DA FAZENDA LTDA ME</v>
          </cell>
          <cell r="D166">
            <v>7001</v>
          </cell>
          <cell r="E166" t="str">
            <v>0749</v>
          </cell>
          <cell r="F166" t="str">
            <v>C5</v>
          </cell>
          <cell r="G166" t="str">
            <v>SP</v>
          </cell>
          <cell r="H166" t="str">
            <v>DISTRIBUIÇÃO</v>
          </cell>
          <cell r="I166" t="str">
            <v>FOOD SERVICE</v>
          </cell>
          <cell r="J166" t="str">
            <v>FLAC 2</v>
          </cell>
          <cell r="K166" t="str">
            <v>LACTALIS</v>
          </cell>
          <cell r="L166" t="str">
            <v>RODRIGO</v>
          </cell>
          <cell r="M166" t="str">
            <v>RAQUEL BARBOSA</v>
          </cell>
        </row>
        <row r="167">
          <cell r="B167">
            <v>5185627</v>
          </cell>
          <cell r="C167" t="str">
            <v>BOLOS DA DINDA EIRELI</v>
          </cell>
          <cell r="D167">
            <v>6001</v>
          </cell>
          <cell r="E167" t="str">
            <v>6125</v>
          </cell>
          <cell r="F167" t="str">
            <v>C1</v>
          </cell>
          <cell r="G167" t="str">
            <v>SP</v>
          </cell>
          <cell r="H167" t="str">
            <v>INGREDIENTS</v>
          </cell>
          <cell r="I167" t="str">
            <v>INGREDIENTS</v>
          </cell>
          <cell r="J167" t="str">
            <v>HENRIQUE FERREIRA</v>
          </cell>
          <cell r="K167" t="str">
            <v>ITAMBÉ</v>
          </cell>
          <cell r="L167" t="str">
            <v>MAURICIO</v>
          </cell>
          <cell r="M167" t="str">
            <v>JOEL</v>
          </cell>
        </row>
        <row r="168">
          <cell r="B168">
            <v>5319279</v>
          </cell>
          <cell r="C168" t="str">
            <v>BOLOS FLORIPA LTDA</v>
          </cell>
          <cell r="D168">
            <v>3001</v>
          </cell>
          <cell r="E168" t="str">
            <v>0126</v>
          </cell>
          <cell r="F168" t="str">
            <v>C1</v>
          </cell>
          <cell r="G168" t="str">
            <v>SC</v>
          </cell>
          <cell r="H168" t="str">
            <v>DISTRIBUIÇÃO</v>
          </cell>
          <cell r="I168" t="str">
            <v>FOOD SERVICE</v>
          </cell>
          <cell r="J168" t="str">
            <v>ANGELICA BATISTELA</v>
          </cell>
          <cell r="K168" t="str">
            <v>ITAMBÉ</v>
          </cell>
          <cell r="L168" t="str">
            <v>RODRIGO</v>
          </cell>
          <cell r="M168" t="str">
            <v>ANGELICA BATISTELA</v>
          </cell>
        </row>
        <row r="169">
          <cell r="B169">
            <v>5233959</v>
          </cell>
          <cell r="C169" t="str">
            <v>BONA PETIT LTDA</v>
          </cell>
          <cell r="D169">
            <v>7001</v>
          </cell>
          <cell r="E169" t="str">
            <v>0749</v>
          </cell>
          <cell r="F169" t="str">
            <v>C5</v>
          </cell>
          <cell r="G169" t="str">
            <v>SP</v>
          </cell>
          <cell r="H169" t="str">
            <v>DISTRIBUIÇÃO</v>
          </cell>
          <cell r="I169" t="str">
            <v>FOOD SERVICE</v>
          </cell>
          <cell r="J169" t="str">
            <v>FLAC 6</v>
          </cell>
          <cell r="K169" t="str">
            <v>LACTALIS</v>
          </cell>
          <cell r="L169" t="str">
            <v>RODRIGO</v>
          </cell>
          <cell r="M169" t="str">
            <v>RAQUEL BARBOSA</v>
          </cell>
        </row>
        <row r="170">
          <cell r="B170">
            <v>5059693</v>
          </cell>
          <cell r="C170" t="str">
            <v>BONALIMENT ALIMENTACAO LTDA</v>
          </cell>
          <cell r="D170">
            <v>7001</v>
          </cell>
          <cell r="E170" t="str">
            <v>0749</v>
          </cell>
          <cell r="F170" t="str">
            <v>C5</v>
          </cell>
          <cell r="G170" t="str">
            <v>SP</v>
          </cell>
          <cell r="H170" t="str">
            <v>DISTRIBUIÇÃO</v>
          </cell>
          <cell r="I170" t="str">
            <v>FOOD SERVICE</v>
          </cell>
          <cell r="J170" t="str">
            <v>FLAC 6</v>
          </cell>
          <cell r="K170" t="str">
            <v>LACTALIS</v>
          </cell>
          <cell r="L170" t="str">
            <v>RODRIGO</v>
          </cell>
          <cell r="M170" t="str">
            <v>RAQUEL BARBOSA</v>
          </cell>
        </row>
        <row r="171">
          <cell r="B171">
            <v>5166529</v>
          </cell>
          <cell r="C171" t="str">
            <v>BONJARDIM PAULISTA COM DE ALIM LTDA</v>
          </cell>
          <cell r="D171">
            <v>7001</v>
          </cell>
          <cell r="E171" t="str">
            <v>0749</v>
          </cell>
          <cell r="F171" t="str">
            <v>C5</v>
          </cell>
          <cell r="G171" t="str">
            <v>SP</v>
          </cell>
          <cell r="H171" t="str">
            <v>DISTRIBUIÇÃO</v>
          </cell>
          <cell r="I171" t="str">
            <v>FOOD SERVICE</v>
          </cell>
          <cell r="J171" t="str">
            <v>FLAC 2</v>
          </cell>
          <cell r="K171" t="str">
            <v>LACTALIS</v>
          </cell>
          <cell r="L171" t="str">
            <v>RODRIGO</v>
          </cell>
          <cell r="M171" t="str">
            <v>RAQUEL BARBOSA</v>
          </cell>
        </row>
        <row r="172">
          <cell r="B172">
            <v>5084421</v>
          </cell>
          <cell r="C172" t="str">
            <v>BONOTTO E COSTA COM ALIMENTOS L</v>
          </cell>
          <cell r="D172">
            <v>3001</v>
          </cell>
          <cell r="E172" t="str">
            <v>0126</v>
          </cell>
          <cell r="F172" t="str">
            <v>C1</v>
          </cell>
          <cell r="G172" t="str">
            <v>RS</v>
          </cell>
          <cell r="H172" t="str">
            <v>DISTRIBUIÇÃO</v>
          </cell>
          <cell r="I172" t="str">
            <v>FOOD SERVICE</v>
          </cell>
          <cell r="J172" t="str">
            <v>ANGELICA BATISTELA</v>
          </cell>
          <cell r="K172" t="str">
            <v>ITAMBÉ</v>
          </cell>
          <cell r="L172" t="str">
            <v>RODRIGO</v>
          </cell>
          <cell r="M172" t="str">
            <v>ANGELICA BATISTELA</v>
          </cell>
        </row>
        <row r="173">
          <cell r="B173">
            <v>5253698</v>
          </cell>
          <cell r="C173" t="str">
            <v>BORIS RESTAURANTE E EVENTOS SOCIEDA</v>
          </cell>
          <cell r="D173">
            <v>7001</v>
          </cell>
          <cell r="E173" t="str">
            <v>0749</v>
          </cell>
          <cell r="F173" t="str">
            <v>C5</v>
          </cell>
          <cell r="G173" t="str">
            <v>SP</v>
          </cell>
          <cell r="H173" t="str">
            <v>DISTRIBUIÇÃO</v>
          </cell>
          <cell r="I173" t="str">
            <v>FOOD SERVICE</v>
          </cell>
          <cell r="J173" t="str">
            <v>FLAC 6</v>
          </cell>
          <cell r="K173" t="str">
            <v>LACTALIS</v>
          </cell>
          <cell r="L173" t="str">
            <v>RODRIGO</v>
          </cell>
          <cell r="M173" t="str">
            <v>RAQUEL BARBOSA</v>
          </cell>
        </row>
        <row r="174">
          <cell r="B174">
            <v>5326435</v>
          </cell>
          <cell r="C174" t="str">
            <v>BOTANIKAFE LTDA</v>
          </cell>
          <cell r="D174">
            <v>7001</v>
          </cell>
          <cell r="E174" t="str">
            <v>0749</v>
          </cell>
          <cell r="F174" t="str">
            <v>C5</v>
          </cell>
          <cell r="G174" t="str">
            <v>SP</v>
          </cell>
          <cell r="H174" t="str">
            <v>DISTRIBUIÇÃO</v>
          </cell>
          <cell r="I174" t="str">
            <v>FOOD SERVICE</v>
          </cell>
          <cell r="J174" t="str">
            <v>FLAC 2</v>
          </cell>
          <cell r="K174" t="str">
            <v>LACTALIS</v>
          </cell>
          <cell r="L174" t="str">
            <v>RODRIGO</v>
          </cell>
          <cell r="M174" t="str">
            <v>RAQUEL BARBOSA</v>
          </cell>
        </row>
        <row r="175">
          <cell r="B175">
            <v>5314863</v>
          </cell>
          <cell r="C175" t="str">
            <v>BOTELHO E KRONEMBERG EVENTOS LTDA</v>
          </cell>
          <cell r="D175">
            <v>7001</v>
          </cell>
          <cell r="E175" t="str">
            <v>0749</v>
          </cell>
          <cell r="F175" t="str">
            <v>C5</v>
          </cell>
          <cell r="G175" t="str">
            <v>SP</v>
          </cell>
          <cell r="H175" t="str">
            <v>DISTRIBUIÇÃO</v>
          </cell>
          <cell r="I175" t="str">
            <v>FOOD SERVICE</v>
          </cell>
          <cell r="J175" t="str">
            <v>FLAC 4</v>
          </cell>
          <cell r="K175" t="str">
            <v>LACTALIS</v>
          </cell>
          <cell r="L175" t="str">
            <v>RODRIGO</v>
          </cell>
          <cell r="M175" t="str">
            <v>RAQUEL BARBOSA</v>
          </cell>
        </row>
        <row r="176">
          <cell r="B176">
            <v>5294651</v>
          </cell>
          <cell r="C176" t="str">
            <v>BOUTIQUE DE PAES YESCAKES EIRELI</v>
          </cell>
          <cell r="D176">
            <v>7001</v>
          </cell>
          <cell r="E176" t="str">
            <v>0749</v>
          </cell>
          <cell r="F176" t="str">
            <v>C5</v>
          </cell>
          <cell r="G176" t="str">
            <v>SP</v>
          </cell>
          <cell r="H176" t="str">
            <v>DISTRIBUIÇÃO</v>
          </cell>
          <cell r="I176" t="str">
            <v>FOOD SERVICE</v>
          </cell>
          <cell r="J176" t="str">
            <v>FLAC 6</v>
          </cell>
          <cell r="K176" t="str">
            <v>LACTALIS</v>
          </cell>
          <cell r="L176" t="str">
            <v>RODRIGO</v>
          </cell>
          <cell r="M176" t="str">
            <v>RAQUEL BARBOSA</v>
          </cell>
        </row>
        <row r="177">
          <cell r="B177">
            <v>5161504</v>
          </cell>
          <cell r="C177" t="str">
            <v>BOX 34 COMERCIO DE PROD ALIMENT LTDA EPP</v>
          </cell>
          <cell r="D177">
            <v>3001</v>
          </cell>
          <cell r="E177" t="str">
            <v>0169</v>
          </cell>
          <cell r="F177" t="str">
            <v>C1</v>
          </cell>
          <cell r="G177" t="str">
            <v>RJ</v>
          </cell>
          <cell r="H177" t="str">
            <v>DISTRIBUIÇÃO</v>
          </cell>
          <cell r="I177" t="str">
            <v>FOOD SERVICE</v>
          </cell>
          <cell r="J177" t="str">
            <v>JULIANA CORDEIRO</v>
          </cell>
          <cell r="K177" t="str">
            <v>ITAMBÉ</v>
          </cell>
          <cell r="L177" t="str">
            <v>RODRIGO</v>
          </cell>
          <cell r="M177" t="str">
            <v>JESSICA</v>
          </cell>
        </row>
        <row r="178">
          <cell r="B178">
            <v>5191804</v>
          </cell>
          <cell r="C178" t="str">
            <v>BOX 81 DISTR DE PRODS ALIMENT</v>
          </cell>
          <cell r="D178">
            <v>3001</v>
          </cell>
          <cell r="E178" t="str">
            <v>0169</v>
          </cell>
          <cell r="F178" t="str">
            <v>C1</v>
          </cell>
          <cell r="G178" t="str">
            <v>RJ</v>
          </cell>
          <cell r="H178" t="str">
            <v>DISTRIBUIÇÃO</v>
          </cell>
          <cell r="I178" t="str">
            <v>FOOD SERVICE</v>
          </cell>
          <cell r="J178" t="str">
            <v>JULIANA CORDEIRO</v>
          </cell>
          <cell r="K178" t="str">
            <v>ITAMBÉ</v>
          </cell>
          <cell r="L178" t="str">
            <v>RODRIGO</v>
          </cell>
          <cell r="M178" t="str">
            <v>JESSICA</v>
          </cell>
        </row>
        <row r="179">
          <cell r="B179">
            <v>5159508</v>
          </cell>
          <cell r="C179" t="str">
            <v>BRASILPLAST EMB E DESCARTAVEIS LTDA</v>
          </cell>
          <cell r="D179">
            <v>3001</v>
          </cell>
          <cell r="E179" t="str">
            <v>0122</v>
          </cell>
          <cell r="F179" t="str">
            <v>C1</v>
          </cell>
          <cell r="G179" t="str">
            <v>MG</v>
          </cell>
          <cell r="H179" t="str">
            <v>DISTRIBUIÇÃO</v>
          </cell>
          <cell r="I179" t="str">
            <v>FOOD SERVICE</v>
          </cell>
          <cell r="J179" t="str">
            <v>MARCELO SILVA</v>
          </cell>
          <cell r="K179" t="str">
            <v>ITAMBÉ</v>
          </cell>
          <cell r="L179" t="str">
            <v>RODRIGO</v>
          </cell>
          <cell r="M179" t="str">
            <v>CELIO MARTINS</v>
          </cell>
        </row>
        <row r="180">
          <cell r="B180">
            <v>5099031</v>
          </cell>
          <cell r="C180" t="str">
            <v>BRASPEC BIOTECNOLOGIA LTDA</v>
          </cell>
          <cell r="D180">
            <v>4001</v>
          </cell>
          <cell r="E180" t="str">
            <v>0455</v>
          </cell>
          <cell r="F180" t="str">
            <v>C1</v>
          </cell>
          <cell r="G180" t="str">
            <v>PR</v>
          </cell>
          <cell r="H180" t="str">
            <v>INGREDIENTS</v>
          </cell>
          <cell r="I180" t="str">
            <v>INGREDIENTS</v>
          </cell>
          <cell r="J180" t="str">
            <v>MARCELO RODRIGUES</v>
          </cell>
          <cell r="K180" t="str">
            <v>LACTALIS</v>
          </cell>
          <cell r="L180" t="str">
            <v>MAURICIO</v>
          </cell>
          <cell r="M180" t="str">
            <v>MARCELO</v>
          </cell>
        </row>
        <row r="181">
          <cell r="B181">
            <v>5338692</v>
          </cell>
          <cell r="C181" t="str">
            <v>BREAD 4 U COMERCIO DE ALIMENTOS</v>
          </cell>
          <cell r="D181">
            <v>7001</v>
          </cell>
          <cell r="E181" t="str">
            <v>0749</v>
          </cell>
          <cell r="F181" t="str">
            <v>C5</v>
          </cell>
          <cell r="G181" t="str">
            <v>SP</v>
          </cell>
          <cell r="H181" t="str">
            <v>DISTRIBUIÇÃO</v>
          </cell>
          <cell r="I181" t="str">
            <v>FOOD SERVICE</v>
          </cell>
          <cell r="J181" t="str">
            <v>FLAC 4</v>
          </cell>
          <cell r="K181" t="str">
            <v>LACTALIS</v>
          </cell>
          <cell r="L181" t="str">
            <v>RODRIGO</v>
          </cell>
          <cell r="M181" t="str">
            <v>RAQUEL BARBOSA</v>
          </cell>
        </row>
        <row r="182">
          <cell r="B182">
            <v>5165804</v>
          </cell>
          <cell r="C182" t="str">
            <v>BRF SA</v>
          </cell>
          <cell r="D182">
            <v>3001</v>
          </cell>
          <cell r="E182" t="str">
            <v>0028</v>
          </cell>
          <cell r="F182" t="str">
            <v>C1</v>
          </cell>
          <cell r="G182" t="str">
            <v>RS</v>
          </cell>
          <cell r="H182" t="str">
            <v>INGREDIENTS</v>
          </cell>
          <cell r="I182" t="str">
            <v>INGREDIENTS</v>
          </cell>
          <cell r="J182" t="str">
            <v>MARCELO RODRIGUES</v>
          </cell>
          <cell r="K182" t="str">
            <v>ITAMBÉ</v>
          </cell>
          <cell r="L182" t="str">
            <v>MAURICIO</v>
          </cell>
          <cell r="M182" t="str">
            <v>MARCELO</v>
          </cell>
        </row>
        <row r="183">
          <cell r="B183">
            <v>5162046</v>
          </cell>
          <cell r="C183" t="str">
            <v>BRF SA</v>
          </cell>
          <cell r="D183">
            <v>3001</v>
          </cell>
          <cell r="E183" t="str">
            <v>0028</v>
          </cell>
          <cell r="F183" t="str">
            <v>C1</v>
          </cell>
          <cell r="G183" t="str">
            <v>PR</v>
          </cell>
          <cell r="H183" t="str">
            <v>INGREDIENTS</v>
          </cell>
          <cell r="I183" t="str">
            <v>INGREDIENTS</v>
          </cell>
          <cell r="J183" t="str">
            <v>MARCELO RODRIGUES</v>
          </cell>
          <cell r="K183" t="str">
            <v>ITAMBÉ</v>
          </cell>
          <cell r="L183" t="str">
            <v>MAURICIO</v>
          </cell>
          <cell r="M183" t="str">
            <v>MARCELO</v>
          </cell>
        </row>
        <row r="184">
          <cell r="B184">
            <v>5168007</v>
          </cell>
          <cell r="C184" t="str">
            <v>BRF SA</v>
          </cell>
          <cell r="D184">
            <v>3001</v>
          </cell>
          <cell r="E184" t="str">
            <v>0028</v>
          </cell>
          <cell r="F184" t="str">
            <v>C1</v>
          </cell>
          <cell r="G184" t="str">
            <v>MG</v>
          </cell>
          <cell r="H184" t="str">
            <v>INGREDIENTS</v>
          </cell>
          <cell r="I184" t="str">
            <v>INGREDIENTS</v>
          </cell>
          <cell r="J184" t="str">
            <v>MARCELO RODRIGUES</v>
          </cell>
          <cell r="K184" t="str">
            <v>ITAMBÉ</v>
          </cell>
          <cell r="L184" t="str">
            <v>MAURICIO</v>
          </cell>
          <cell r="M184" t="str">
            <v>MARCELO</v>
          </cell>
        </row>
        <row r="185">
          <cell r="B185">
            <v>5298973</v>
          </cell>
          <cell r="C185" t="str">
            <v>BRF SA</v>
          </cell>
          <cell r="D185">
            <v>4001</v>
          </cell>
          <cell r="E185" t="str">
            <v>0437</v>
          </cell>
          <cell r="F185" t="str">
            <v>C1</v>
          </cell>
          <cell r="G185" t="str">
            <v>GO</v>
          </cell>
          <cell r="H185" t="str">
            <v>OUTROS</v>
          </cell>
          <cell r="I185" t="str">
            <v>OUTROS</v>
          </cell>
          <cell r="J185" t="str">
            <v>BRF</v>
          </cell>
          <cell r="K185" t="str">
            <v>OUTROS</v>
          </cell>
          <cell r="L185" t="str">
            <v>OUTROS</v>
          </cell>
          <cell r="M185" t="str">
            <v>BRF SA</v>
          </cell>
        </row>
        <row r="186">
          <cell r="B186">
            <v>5258906</v>
          </cell>
          <cell r="C186" t="str">
            <v>BRF SA</v>
          </cell>
          <cell r="D186">
            <v>4001</v>
          </cell>
          <cell r="E186" t="str">
            <v>0456</v>
          </cell>
          <cell r="F186" t="str">
            <v>C1</v>
          </cell>
          <cell r="G186" t="str">
            <v>SC</v>
          </cell>
          <cell r="H186" t="str">
            <v>OUTROS</v>
          </cell>
          <cell r="I186" t="str">
            <v>OUTROS</v>
          </cell>
          <cell r="J186" t="str">
            <v>BRF</v>
          </cell>
          <cell r="K186" t="str">
            <v>OUTROS</v>
          </cell>
          <cell r="L186" t="str">
            <v>OUTROS</v>
          </cell>
          <cell r="M186" t="str">
            <v>BRF SA</v>
          </cell>
        </row>
        <row r="187">
          <cell r="B187">
            <v>5166052</v>
          </cell>
          <cell r="C187" t="str">
            <v>BRF SA</v>
          </cell>
          <cell r="D187">
            <v>3001</v>
          </cell>
          <cell r="E187" t="str">
            <v>0028</v>
          </cell>
          <cell r="F187" t="str">
            <v>C1</v>
          </cell>
          <cell r="G187" t="str">
            <v>SC</v>
          </cell>
          <cell r="H187" t="str">
            <v>INGREDIENTS</v>
          </cell>
          <cell r="I187" t="str">
            <v>INGREDIENTS</v>
          </cell>
          <cell r="J187" t="str">
            <v>MARCELO RODRIGUES</v>
          </cell>
          <cell r="K187" t="str">
            <v>ITAMBÉ</v>
          </cell>
          <cell r="L187" t="str">
            <v>MAURICIO</v>
          </cell>
          <cell r="M187" t="str">
            <v>MARCELO</v>
          </cell>
        </row>
        <row r="188">
          <cell r="B188">
            <v>5168007</v>
          </cell>
          <cell r="C188" t="str">
            <v>BRF SA</v>
          </cell>
          <cell r="D188">
            <v>3001</v>
          </cell>
          <cell r="E188" t="str">
            <v>0122</v>
          </cell>
          <cell r="F188" t="str">
            <v>C1</v>
          </cell>
          <cell r="G188" t="str">
            <v>MG</v>
          </cell>
          <cell r="H188" t="str">
            <v>INGREDIENTS</v>
          </cell>
          <cell r="I188" t="str">
            <v>INGREDIENTS</v>
          </cell>
          <cell r="J188" t="str">
            <v>MARCELO RODRIGUES</v>
          </cell>
          <cell r="K188" t="str">
            <v>ITAMBÉ</v>
          </cell>
          <cell r="L188" t="str">
            <v>MAURICIO</v>
          </cell>
          <cell r="M188" t="str">
            <v>MARCELO</v>
          </cell>
        </row>
        <row r="189">
          <cell r="B189">
            <v>5161273</v>
          </cell>
          <cell r="C189" t="str">
            <v>BRF SA</v>
          </cell>
          <cell r="D189">
            <v>4001</v>
          </cell>
          <cell r="E189" t="str">
            <v>0437</v>
          </cell>
          <cell r="F189" t="str">
            <v>C1</v>
          </cell>
          <cell r="G189" t="str">
            <v>SP</v>
          </cell>
          <cell r="H189" t="str">
            <v>OUTROS</v>
          </cell>
          <cell r="I189" t="str">
            <v>OUTROS</v>
          </cell>
          <cell r="J189" t="str">
            <v>BRF</v>
          </cell>
          <cell r="K189" t="str">
            <v>OUTROS</v>
          </cell>
          <cell r="L189" t="str">
            <v>OUTROS</v>
          </cell>
          <cell r="M189" t="str">
            <v>BRF SA</v>
          </cell>
        </row>
        <row r="190">
          <cell r="B190">
            <v>5168007</v>
          </cell>
          <cell r="C190" t="str">
            <v>BRF SA</v>
          </cell>
          <cell r="D190">
            <v>4001</v>
          </cell>
          <cell r="E190" t="str">
            <v>0458</v>
          </cell>
          <cell r="F190" t="str">
            <v>C1</v>
          </cell>
          <cell r="G190" t="str">
            <v>MG</v>
          </cell>
          <cell r="H190" t="str">
            <v>INGREDIENTS</v>
          </cell>
          <cell r="I190" t="str">
            <v>INGREDIENTS</v>
          </cell>
          <cell r="J190" t="str">
            <v>MARCELO RODRIGUES</v>
          </cell>
          <cell r="K190" t="str">
            <v>LACTALIS</v>
          </cell>
          <cell r="L190" t="str">
            <v>MAURICIO</v>
          </cell>
          <cell r="M190" t="str">
            <v>MARCELO</v>
          </cell>
        </row>
        <row r="191">
          <cell r="B191">
            <v>5250288</v>
          </cell>
          <cell r="C191" t="str">
            <v>BRF SA</v>
          </cell>
          <cell r="D191">
            <v>4001</v>
          </cell>
          <cell r="E191" t="str">
            <v>0455</v>
          </cell>
          <cell r="F191" t="str">
            <v>C1</v>
          </cell>
          <cell r="G191" t="str">
            <v>PR</v>
          </cell>
          <cell r="H191" t="str">
            <v>INGREDIENTS</v>
          </cell>
          <cell r="I191" t="str">
            <v>INGREDIENTS</v>
          </cell>
          <cell r="J191" t="str">
            <v>MARCELO RODRIGUES</v>
          </cell>
          <cell r="K191" t="str">
            <v>LACTALIS</v>
          </cell>
          <cell r="L191" t="str">
            <v>MAURICIO</v>
          </cell>
          <cell r="M191" t="str">
            <v>MARCELO</v>
          </cell>
        </row>
        <row r="192">
          <cell r="B192">
            <v>5253978</v>
          </cell>
          <cell r="C192" t="str">
            <v>BRF SA</v>
          </cell>
          <cell r="D192">
            <v>4001</v>
          </cell>
          <cell r="E192" t="str">
            <v>0437</v>
          </cell>
          <cell r="F192" t="str">
            <v>C1</v>
          </cell>
          <cell r="G192" t="str">
            <v>SP</v>
          </cell>
          <cell r="H192" t="str">
            <v>INGREDIENTS</v>
          </cell>
          <cell r="I192" t="str">
            <v>INGREDIENTS</v>
          </cell>
          <cell r="J192" t="str">
            <v>MARCELO RODRIGUES</v>
          </cell>
          <cell r="K192" t="str">
            <v>LACTALIS</v>
          </cell>
          <cell r="L192" t="str">
            <v>MAURICIO</v>
          </cell>
          <cell r="M192" t="str">
            <v>MARCELO</v>
          </cell>
        </row>
        <row r="193">
          <cell r="B193">
            <v>5162046</v>
          </cell>
          <cell r="C193" t="str">
            <v>BRF SA</v>
          </cell>
          <cell r="D193">
            <v>3001</v>
          </cell>
          <cell r="E193" t="str">
            <v>0126</v>
          </cell>
          <cell r="F193" t="str">
            <v>C1</v>
          </cell>
          <cell r="G193" t="str">
            <v>PR</v>
          </cell>
          <cell r="H193" t="str">
            <v>INGREDIENTS</v>
          </cell>
          <cell r="I193" t="str">
            <v>INGREDIENTS</v>
          </cell>
          <cell r="J193" t="str">
            <v>MARCELO RODRIGUES</v>
          </cell>
          <cell r="K193" t="str">
            <v>ITAMBÉ</v>
          </cell>
          <cell r="L193" t="str">
            <v>MAURICIO</v>
          </cell>
          <cell r="M193" t="str">
            <v>MARCELO</v>
          </cell>
        </row>
        <row r="194">
          <cell r="B194">
            <v>5165804</v>
          </cell>
          <cell r="C194" t="str">
            <v>BRF SA</v>
          </cell>
          <cell r="D194">
            <v>3001</v>
          </cell>
          <cell r="E194" t="str">
            <v>0126</v>
          </cell>
          <cell r="F194" t="str">
            <v>C1</v>
          </cell>
          <cell r="G194" t="str">
            <v>RS</v>
          </cell>
          <cell r="H194" t="str">
            <v>INGREDIENTS</v>
          </cell>
          <cell r="I194" t="str">
            <v>INGREDIENTS</v>
          </cell>
          <cell r="J194" t="str">
            <v>MARCELO RODRIGUES</v>
          </cell>
          <cell r="K194" t="str">
            <v>ITAMBÉ</v>
          </cell>
          <cell r="L194" t="str">
            <v>MAURICIO</v>
          </cell>
          <cell r="M194" t="str">
            <v>MARCELO</v>
          </cell>
        </row>
        <row r="195">
          <cell r="B195">
            <v>5166052</v>
          </cell>
          <cell r="C195" t="str">
            <v>BRF SA</v>
          </cell>
          <cell r="D195">
            <v>3001</v>
          </cell>
          <cell r="E195" t="str">
            <v>0126</v>
          </cell>
          <cell r="F195" t="str">
            <v>C1</v>
          </cell>
          <cell r="G195" t="str">
            <v>SC</v>
          </cell>
          <cell r="H195" t="str">
            <v>INGREDIENTS</v>
          </cell>
          <cell r="I195" t="str">
            <v>INGREDIENTS</v>
          </cell>
          <cell r="J195" t="str">
            <v>MARCELO RODRIGUES</v>
          </cell>
          <cell r="K195" t="str">
            <v>ITAMBÉ</v>
          </cell>
          <cell r="L195" t="str">
            <v>MAURICIO</v>
          </cell>
          <cell r="M195" t="str">
            <v>MARCELO</v>
          </cell>
        </row>
        <row r="196">
          <cell r="B196">
            <v>5165804</v>
          </cell>
          <cell r="C196" t="str">
            <v>BRF SA</v>
          </cell>
          <cell r="D196">
            <v>4001</v>
          </cell>
          <cell r="E196" t="str">
            <v>0455</v>
          </cell>
          <cell r="F196" t="str">
            <v>C1</v>
          </cell>
          <cell r="G196" t="str">
            <v>RS</v>
          </cell>
          <cell r="H196" t="str">
            <v>INGREDIENTS</v>
          </cell>
          <cell r="I196" t="str">
            <v>INGREDIENTS</v>
          </cell>
          <cell r="J196" t="str">
            <v>MARCELO RODRIGUES</v>
          </cell>
          <cell r="K196" t="str">
            <v>LACTALIS</v>
          </cell>
          <cell r="L196" t="str">
            <v>MAURICIO</v>
          </cell>
          <cell r="M196" t="str">
            <v>MARCELO</v>
          </cell>
        </row>
        <row r="197">
          <cell r="B197">
            <v>5166052</v>
          </cell>
          <cell r="C197" t="str">
            <v>BRF SA</v>
          </cell>
          <cell r="D197">
            <v>4001</v>
          </cell>
          <cell r="E197" t="str">
            <v>0456</v>
          </cell>
          <cell r="F197" t="str">
            <v>C1</v>
          </cell>
          <cell r="G197" t="str">
            <v>SC</v>
          </cell>
          <cell r="H197" t="str">
            <v>INGREDIENTS</v>
          </cell>
          <cell r="I197" t="str">
            <v>INGREDIENTS</v>
          </cell>
          <cell r="J197" t="str">
            <v>MARCELO RODRIGUES</v>
          </cell>
          <cell r="K197" t="str">
            <v>LACTALIS</v>
          </cell>
          <cell r="L197" t="str">
            <v>MAURICIO</v>
          </cell>
          <cell r="M197" t="str">
            <v>MARCELO</v>
          </cell>
        </row>
        <row r="198">
          <cell r="B198">
            <v>5301082</v>
          </cell>
          <cell r="C198" t="str">
            <v>BRF SA</v>
          </cell>
          <cell r="D198">
            <v>4001</v>
          </cell>
          <cell r="E198" t="str">
            <v>0455</v>
          </cell>
          <cell r="F198" t="str">
            <v>C1</v>
          </cell>
          <cell r="G198" t="str">
            <v>PR</v>
          </cell>
          <cell r="H198" t="str">
            <v>OUTROS</v>
          </cell>
          <cell r="I198" t="str">
            <v>OUTROS</v>
          </cell>
          <cell r="J198" t="str">
            <v>BRF</v>
          </cell>
          <cell r="K198" t="str">
            <v>OUTROS</v>
          </cell>
          <cell r="L198" t="str">
            <v>OUTROS</v>
          </cell>
          <cell r="M198" t="str">
            <v>BRF SA</v>
          </cell>
        </row>
        <row r="199">
          <cell r="B199">
            <v>5324121</v>
          </cell>
          <cell r="C199" t="str">
            <v>BRQ INDUSTRIA DE ALIMENTOS AS</v>
          </cell>
          <cell r="D199">
            <v>4001</v>
          </cell>
          <cell r="E199" t="str">
            <v>0437</v>
          </cell>
          <cell r="F199" t="str">
            <v>C1</v>
          </cell>
          <cell r="G199" t="str">
            <v>RS</v>
          </cell>
          <cell r="H199" t="str">
            <v>INGREDIENTS</v>
          </cell>
          <cell r="I199" t="str">
            <v>INGREDIENTS</v>
          </cell>
          <cell r="J199" t="str">
            <v>MARCELO RODRIGUES</v>
          </cell>
          <cell r="K199" t="str">
            <v>LACTALIS</v>
          </cell>
          <cell r="L199" t="str">
            <v>MAURICIO</v>
          </cell>
          <cell r="M199" t="str">
            <v>MARCELO</v>
          </cell>
        </row>
        <row r="200">
          <cell r="B200">
            <v>5261412</v>
          </cell>
          <cell r="C200" t="str">
            <v>BRUMINSKI SUCOS E ALIMENTOS LTD</v>
          </cell>
          <cell r="D200">
            <v>7001</v>
          </cell>
          <cell r="E200" t="str">
            <v>0722</v>
          </cell>
          <cell r="F200" t="str">
            <v>C1</v>
          </cell>
          <cell r="G200" t="str">
            <v>SP</v>
          </cell>
          <cell r="H200" t="str">
            <v>QSR</v>
          </cell>
          <cell r="I200" t="str">
            <v>FOOD SERVICE</v>
          </cell>
          <cell r="J200" t="str">
            <v>NUTRI</v>
          </cell>
          <cell r="K200" t="str">
            <v>LACTALIS</v>
          </cell>
          <cell r="L200" t="str">
            <v>PEDRO</v>
          </cell>
          <cell r="M200" t="str">
            <v>VAGO QSR</v>
          </cell>
        </row>
        <row r="201">
          <cell r="B201">
            <v>5261412</v>
          </cell>
          <cell r="C201" t="str">
            <v>BRUMINSKI SUCOS E ALIMENTOS LTD</v>
          </cell>
          <cell r="D201">
            <v>7001</v>
          </cell>
          <cell r="E201" t="str">
            <v>0749</v>
          </cell>
          <cell r="F201" t="str">
            <v>C5</v>
          </cell>
          <cell r="G201" t="str">
            <v>SP</v>
          </cell>
          <cell r="H201" t="str">
            <v>QSR</v>
          </cell>
          <cell r="I201" t="str">
            <v>FOOD SERVICE</v>
          </cell>
          <cell r="J201" t="str">
            <v>NUTRI</v>
          </cell>
          <cell r="K201" t="str">
            <v>LACTALIS</v>
          </cell>
          <cell r="L201" t="str">
            <v>PEDRO</v>
          </cell>
          <cell r="M201" t="str">
            <v>VAGO QSR</v>
          </cell>
        </row>
        <row r="202">
          <cell r="B202">
            <v>5269686</v>
          </cell>
          <cell r="C202" t="str">
            <v>BRUXELAS COMERCIO DE ALIMENTOS</v>
          </cell>
          <cell r="D202">
            <v>4001</v>
          </cell>
          <cell r="E202" t="str">
            <v>0455</v>
          </cell>
          <cell r="F202" t="str">
            <v>C1</v>
          </cell>
          <cell r="G202" t="str">
            <v>PR</v>
          </cell>
          <cell r="H202" t="str">
            <v>INGREDIENTS</v>
          </cell>
          <cell r="I202" t="str">
            <v>INGREDIENTS</v>
          </cell>
          <cell r="J202" t="str">
            <v>HENRIQUE FERREIRA</v>
          </cell>
          <cell r="K202" t="str">
            <v>LACTALIS</v>
          </cell>
          <cell r="L202" t="str">
            <v>MAURICIO</v>
          </cell>
          <cell r="M202" t="str">
            <v>JOEL</v>
          </cell>
        </row>
        <row r="203">
          <cell r="B203">
            <v>5224055</v>
          </cell>
          <cell r="C203" t="str">
            <v>BRUXELAS INDUSTRIA E COMERCIO</v>
          </cell>
          <cell r="D203">
            <v>6001</v>
          </cell>
          <cell r="E203" t="str">
            <v>6125</v>
          </cell>
          <cell r="F203" t="str">
            <v>C1</v>
          </cell>
          <cell r="G203" t="str">
            <v>SP</v>
          </cell>
          <cell r="H203" t="str">
            <v>INGREDIENTS</v>
          </cell>
          <cell r="I203" t="str">
            <v>INGREDIENTS</v>
          </cell>
          <cell r="J203" t="str">
            <v>HENRIQUE FERREIRA</v>
          </cell>
          <cell r="K203" t="str">
            <v>ITAMBÉ</v>
          </cell>
          <cell r="L203" t="str">
            <v>MAURICIO</v>
          </cell>
          <cell r="M203" t="str">
            <v>JOEL</v>
          </cell>
        </row>
        <row r="204">
          <cell r="B204">
            <v>5319065</v>
          </cell>
          <cell r="C204" t="str">
            <v>BRW ADMINISTRACAO DE BENS LTDA</v>
          </cell>
          <cell r="D204">
            <v>7001</v>
          </cell>
          <cell r="E204" t="str">
            <v>0749</v>
          </cell>
          <cell r="F204" t="str">
            <v>C5</v>
          </cell>
          <cell r="G204" t="str">
            <v>SP</v>
          </cell>
          <cell r="H204" t="str">
            <v>DISTRIBUIÇÃO</v>
          </cell>
          <cell r="I204" t="str">
            <v>FOOD SERVICE</v>
          </cell>
          <cell r="J204" t="str">
            <v>FLAC 2</v>
          </cell>
          <cell r="K204" t="str">
            <v>LACTALIS</v>
          </cell>
          <cell r="L204" t="str">
            <v>RODRIGO</v>
          </cell>
          <cell r="M204" t="str">
            <v>RAQUEL BARBOSA</v>
          </cell>
        </row>
        <row r="205">
          <cell r="B205">
            <v>5326433</v>
          </cell>
          <cell r="C205" t="str">
            <v>BTK JARDINS BAR E RESTAURANTE L</v>
          </cell>
          <cell r="D205">
            <v>7001</v>
          </cell>
          <cell r="E205" t="str">
            <v>0749</v>
          </cell>
          <cell r="F205" t="str">
            <v>C5</v>
          </cell>
          <cell r="G205" t="str">
            <v>SP</v>
          </cell>
          <cell r="H205" t="str">
            <v>DISTRIBUIÇÃO</v>
          </cell>
          <cell r="I205" t="str">
            <v>FOOD SERVICE</v>
          </cell>
          <cell r="J205" t="str">
            <v>FLAC 2</v>
          </cell>
          <cell r="K205" t="str">
            <v>LACTALIS</v>
          </cell>
          <cell r="L205" t="str">
            <v>RODRIGO</v>
          </cell>
          <cell r="M205" t="str">
            <v>RAQUEL BARBOSA</v>
          </cell>
        </row>
        <row r="206">
          <cell r="B206">
            <v>5295332</v>
          </cell>
          <cell r="C206" t="str">
            <v>BTK PINHEIROS COM DE ALM E BEB LTDA</v>
          </cell>
          <cell r="D206">
            <v>7001</v>
          </cell>
          <cell r="E206" t="str">
            <v>0749</v>
          </cell>
          <cell r="F206" t="str">
            <v>C5</v>
          </cell>
          <cell r="G206" t="str">
            <v>SP</v>
          </cell>
          <cell r="H206" t="str">
            <v>DISTRIBUIÇÃO</v>
          </cell>
          <cell r="I206" t="str">
            <v>FOOD SERVICE</v>
          </cell>
          <cell r="J206" t="str">
            <v>FLAC 2</v>
          </cell>
          <cell r="K206" t="str">
            <v>LACTALIS</v>
          </cell>
          <cell r="L206" t="str">
            <v>RODRIGO</v>
          </cell>
          <cell r="M206" t="str">
            <v>RAQUEL BARBOSA</v>
          </cell>
        </row>
        <row r="207">
          <cell r="B207">
            <v>5334066</v>
          </cell>
          <cell r="C207" t="str">
            <v>BURGUER BOB COM DE ALIM E BEBID</v>
          </cell>
          <cell r="D207">
            <v>7001</v>
          </cell>
          <cell r="E207" t="str">
            <v>0749</v>
          </cell>
          <cell r="F207" t="str">
            <v>C5</v>
          </cell>
          <cell r="G207" t="str">
            <v>SP</v>
          </cell>
          <cell r="H207" t="str">
            <v>DISTRIBUIÇÃO</v>
          </cell>
          <cell r="I207" t="str">
            <v>FOOD SERVICE</v>
          </cell>
          <cell r="J207" t="str">
            <v>FLAC 2</v>
          </cell>
          <cell r="K207" t="str">
            <v>LACTALIS</v>
          </cell>
          <cell r="L207" t="str">
            <v>RODRIGO</v>
          </cell>
          <cell r="M207" t="str">
            <v>RAQUEL BARBOSA</v>
          </cell>
        </row>
        <row r="208">
          <cell r="B208">
            <v>5286593</v>
          </cell>
          <cell r="C208" t="str">
            <v>BWIB CONFEITARIA LTDA</v>
          </cell>
          <cell r="D208">
            <v>7001</v>
          </cell>
          <cell r="E208" t="str">
            <v>0749</v>
          </cell>
          <cell r="F208" t="str">
            <v>C5</v>
          </cell>
          <cell r="G208" t="str">
            <v>SP</v>
          </cell>
          <cell r="H208" t="str">
            <v>DISTRIBUIÇÃO</v>
          </cell>
          <cell r="I208" t="str">
            <v>FOOD SERVICE</v>
          </cell>
          <cell r="J208" t="str">
            <v>FLAC 2</v>
          </cell>
          <cell r="K208" t="str">
            <v>LACTALIS</v>
          </cell>
          <cell r="L208" t="str">
            <v>RODRIGO</v>
          </cell>
          <cell r="M208" t="str">
            <v>RAQUEL BARBOSA</v>
          </cell>
        </row>
        <row r="209">
          <cell r="B209">
            <v>5228728</v>
          </cell>
          <cell r="C209" t="str">
            <v>C F ESTRELA PRODUTOS ALIMENT LTDA</v>
          </cell>
          <cell r="D209">
            <v>6001</v>
          </cell>
          <cell r="E209" t="str">
            <v>6125</v>
          </cell>
          <cell r="F209" t="str">
            <v>C1</v>
          </cell>
          <cell r="G209" t="str">
            <v>SP</v>
          </cell>
          <cell r="H209" t="str">
            <v>DISTRIBUIÇÃO</v>
          </cell>
          <cell r="I209" t="str">
            <v>FOOD SERVICE</v>
          </cell>
          <cell r="J209" t="str">
            <v>GUILHERME NASCIMENTO</v>
          </cell>
          <cell r="K209" t="str">
            <v>ITAMBÉ</v>
          </cell>
          <cell r="L209" t="str">
            <v>RODRIGO</v>
          </cell>
          <cell r="M209" t="str">
            <v>ALEXANDRO</v>
          </cell>
        </row>
        <row r="210">
          <cell r="B210">
            <v>5301094</v>
          </cell>
          <cell r="C210" t="str">
            <v>C L N SOLUCOES EM ALIM LTDA</v>
          </cell>
          <cell r="D210">
            <v>7001</v>
          </cell>
          <cell r="E210" t="str">
            <v>0749</v>
          </cell>
          <cell r="F210" t="str">
            <v>C5</v>
          </cell>
          <cell r="G210" t="str">
            <v>SP</v>
          </cell>
          <cell r="H210" t="str">
            <v>QSR</v>
          </cell>
          <cell r="I210" t="str">
            <v>FOOD SERVICE</v>
          </cell>
          <cell r="J210" t="str">
            <v>NUTRI</v>
          </cell>
          <cell r="K210" t="str">
            <v>LACTALIS</v>
          </cell>
          <cell r="L210" t="str">
            <v>PEDRO</v>
          </cell>
          <cell r="M210" t="str">
            <v>VAGO QSR</v>
          </cell>
        </row>
        <row r="211">
          <cell r="B211">
            <v>5261116</v>
          </cell>
          <cell r="C211" t="str">
            <v>C L N  SOLUCOES EM ALIM LTDA EP</v>
          </cell>
          <cell r="D211">
            <v>7001</v>
          </cell>
          <cell r="E211" t="str">
            <v>0749</v>
          </cell>
          <cell r="F211" t="str">
            <v>C5</v>
          </cell>
          <cell r="G211" t="str">
            <v>SP</v>
          </cell>
          <cell r="H211" t="str">
            <v>QSR</v>
          </cell>
          <cell r="I211" t="str">
            <v>FOOD SERVICE</v>
          </cell>
          <cell r="J211" t="str">
            <v>NUTRI</v>
          </cell>
          <cell r="K211" t="str">
            <v>LACTALIS</v>
          </cell>
          <cell r="L211" t="str">
            <v>PEDRO</v>
          </cell>
          <cell r="M211" t="str">
            <v>VAGO QSR</v>
          </cell>
        </row>
        <row r="212">
          <cell r="B212">
            <v>5282649</v>
          </cell>
          <cell r="C212" t="str">
            <v>C VALE COOPERATIVA AGROINDUSTRIAL</v>
          </cell>
          <cell r="D212">
            <v>4001</v>
          </cell>
          <cell r="E212" t="str">
            <v>0455</v>
          </cell>
          <cell r="F212" t="str">
            <v>C1</v>
          </cell>
          <cell r="G212" t="str">
            <v>PR</v>
          </cell>
          <cell r="H212" t="str">
            <v>INGREDIENTS</v>
          </cell>
          <cell r="I212" t="str">
            <v>INGREDIENTS</v>
          </cell>
          <cell r="J212" t="str">
            <v>MARCELO RODRIGUES</v>
          </cell>
          <cell r="K212" t="str">
            <v>LACTALIS</v>
          </cell>
          <cell r="L212" t="str">
            <v>MAURICIO</v>
          </cell>
          <cell r="M212" t="str">
            <v>MARCELO</v>
          </cell>
        </row>
        <row r="213">
          <cell r="B213">
            <v>5266825</v>
          </cell>
          <cell r="C213" t="str">
            <v>CACAU DO OESTE COM DE C E CAFE LTDA</v>
          </cell>
          <cell r="D213">
            <v>7001</v>
          </cell>
          <cell r="E213" t="str">
            <v>0749</v>
          </cell>
          <cell r="F213" t="str">
            <v>C5</v>
          </cell>
          <cell r="G213" t="str">
            <v>SP</v>
          </cell>
          <cell r="H213" t="str">
            <v>DISTRIBUIÇÃO</v>
          </cell>
          <cell r="I213" t="str">
            <v>FOOD SERVICE</v>
          </cell>
          <cell r="J213" t="str">
            <v>FLAC 6</v>
          </cell>
          <cell r="K213" t="str">
            <v>LACTALIS</v>
          </cell>
          <cell r="L213" t="str">
            <v>RODRIGO</v>
          </cell>
          <cell r="M213" t="str">
            <v>RAQUEL BARBOSA</v>
          </cell>
        </row>
        <row r="214">
          <cell r="B214">
            <v>5262293</v>
          </cell>
          <cell r="C214" t="str">
            <v>CACAU TALENTO CHOCOL E CAFE LTDA EP</v>
          </cell>
          <cell r="D214">
            <v>7001</v>
          </cell>
          <cell r="E214" t="str">
            <v>0749</v>
          </cell>
          <cell r="F214" t="str">
            <v>C5</v>
          </cell>
          <cell r="G214" t="str">
            <v>SP</v>
          </cell>
          <cell r="H214" t="str">
            <v>DISTRIBUIÇÃO</v>
          </cell>
          <cell r="I214" t="str">
            <v>FOOD SERVICE</v>
          </cell>
          <cell r="J214" t="str">
            <v>FLAC 6</v>
          </cell>
          <cell r="K214" t="str">
            <v>LACTALIS</v>
          </cell>
          <cell r="L214" t="str">
            <v>RODRIGO</v>
          </cell>
          <cell r="M214" t="str">
            <v>RAQUEL BARBOSA</v>
          </cell>
        </row>
        <row r="215">
          <cell r="B215">
            <v>5235433</v>
          </cell>
          <cell r="C215" t="str">
            <v>CAFE DO SABOR E DAS ARTES LTDA</v>
          </cell>
          <cell r="D215">
            <v>7001</v>
          </cell>
          <cell r="E215" t="str">
            <v>0749</v>
          </cell>
          <cell r="F215" t="str">
            <v>C5</v>
          </cell>
          <cell r="G215" t="str">
            <v>SP</v>
          </cell>
          <cell r="H215" t="str">
            <v>DISTRIBUIÇÃO</v>
          </cell>
          <cell r="I215" t="str">
            <v>FOOD SERVICE</v>
          </cell>
          <cell r="J215" t="str">
            <v>FLAC 5</v>
          </cell>
          <cell r="K215" t="str">
            <v>LACTALIS</v>
          </cell>
          <cell r="L215" t="str">
            <v>RODRIGO</v>
          </cell>
          <cell r="M215" t="str">
            <v>RAQUEL BARBOSA</v>
          </cell>
        </row>
        <row r="216">
          <cell r="B216">
            <v>5145924</v>
          </cell>
          <cell r="C216" t="str">
            <v>CAFE TRES CORACOES SA</v>
          </cell>
          <cell r="D216">
            <v>3001</v>
          </cell>
          <cell r="E216" t="str">
            <v>0028</v>
          </cell>
          <cell r="F216" t="str">
            <v>C1</v>
          </cell>
          <cell r="G216" t="str">
            <v>MG</v>
          </cell>
          <cell r="H216" t="str">
            <v>INGREDIENTS</v>
          </cell>
          <cell r="I216" t="str">
            <v>INGREDIENTS</v>
          </cell>
          <cell r="J216" t="str">
            <v>JOEL ELEOTÉRIO</v>
          </cell>
          <cell r="K216" t="str">
            <v>ITAMBÉ</v>
          </cell>
          <cell r="L216" t="str">
            <v>MAURICIO</v>
          </cell>
          <cell r="M216" t="str">
            <v>JOEL</v>
          </cell>
        </row>
        <row r="217">
          <cell r="B217">
            <v>5145924</v>
          </cell>
          <cell r="C217" t="str">
            <v>CAFE TRES CORACOES SA</v>
          </cell>
          <cell r="D217">
            <v>3001</v>
          </cell>
          <cell r="E217" t="str">
            <v>0122</v>
          </cell>
          <cell r="F217" t="str">
            <v>C1</v>
          </cell>
          <cell r="G217" t="str">
            <v>MG</v>
          </cell>
          <cell r="H217" t="str">
            <v>INGREDIENTS</v>
          </cell>
          <cell r="I217" t="str">
            <v>INGREDIENTS</v>
          </cell>
          <cell r="J217" t="str">
            <v>JOEL ELEOTÉRIO</v>
          </cell>
          <cell r="K217" t="str">
            <v>ITAMBÉ</v>
          </cell>
          <cell r="L217" t="str">
            <v>MAURICIO</v>
          </cell>
          <cell r="M217" t="str">
            <v>JOEL</v>
          </cell>
        </row>
        <row r="218">
          <cell r="B218">
            <v>5328848</v>
          </cell>
          <cell r="C218" t="str">
            <v>CAFETERIA PLAZA SAO BERNARDO LT</v>
          </cell>
          <cell r="D218">
            <v>7001</v>
          </cell>
          <cell r="E218" t="str">
            <v>0749</v>
          </cell>
          <cell r="F218" t="str">
            <v>C5</v>
          </cell>
          <cell r="G218" t="str">
            <v>SP</v>
          </cell>
          <cell r="H218" t="str">
            <v>DISTRIBUIÇÃO</v>
          </cell>
          <cell r="I218" t="str">
            <v>FOOD SERVICE</v>
          </cell>
          <cell r="J218" t="str">
            <v>FLAC 2</v>
          </cell>
          <cell r="K218" t="str">
            <v>LACTALIS</v>
          </cell>
          <cell r="L218" t="str">
            <v>RODRIGO</v>
          </cell>
          <cell r="M218" t="str">
            <v>RAQUEL BARBOSA</v>
          </cell>
        </row>
        <row r="219">
          <cell r="B219">
            <v>5316215</v>
          </cell>
          <cell r="C219" t="str">
            <v>CAFETERIA WISARD LTDA</v>
          </cell>
          <cell r="D219">
            <v>7001</v>
          </cell>
          <cell r="E219" t="str">
            <v>0749</v>
          </cell>
          <cell r="F219" t="str">
            <v>C5</v>
          </cell>
          <cell r="G219" t="str">
            <v>SP</v>
          </cell>
          <cell r="H219" t="str">
            <v>DISTRIBUIÇÃO</v>
          </cell>
          <cell r="I219" t="str">
            <v>FOOD SERVICE</v>
          </cell>
          <cell r="J219" t="str">
            <v>FLAC 5</v>
          </cell>
          <cell r="K219" t="str">
            <v>LACTALIS</v>
          </cell>
          <cell r="L219" t="str">
            <v>RODRIGO</v>
          </cell>
          <cell r="M219" t="str">
            <v>RAQUEL BARBOSA</v>
          </cell>
        </row>
        <row r="220">
          <cell r="B220">
            <v>5263965</v>
          </cell>
          <cell r="C220" t="str">
            <v>CAGIESSE COMERCIO EIRELI</v>
          </cell>
          <cell r="D220">
            <v>7001</v>
          </cell>
          <cell r="E220" t="str">
            <v>0749</v>
          </cell>
          <cell r="F220" t="str">
            <v>C5</v>
          </cell>
          <cell r="G220" t="str">
            <v>SP</v>
          </cell>
          <cell r="H220" t="str">
            <v>DISTRIBUIÇÃO</v>
          </cell>
          <cell r="I220" t="str">
            <v>FOOD SERVICE</v>
          </cell>
          <cell r="J220" t="str">
            <v>FLAC 2</v>
          </cell>
          <cell r="K220" t="str">
            <v>LACTALIS</v>
          </cell>
          <cell r="L220" t="str">
            <v>RODRIGO</v>
          </cell>
          <cell r="M220" t="str">
            <v>RAQUEL BARBOSA</v>
          </cell>
        </row>
        <row r="221">
          <cell r="B221">
            <v>5335135</v>
          </cell>
          <cell r="C221" t="str">
            <v>CAMARADA ADM DE RESTAURANTES</v>
          </cell>
          <cell r="D221">
            <v>7001</v>
          </cell>
          <cell r="E221" t="str">
            <v>0749</v>
          </cell>
          <cell r="F221" t="str">
            <v>C5</v>
          </cell>
          <cell r="G221" t="str">
            <v>SP</v>
          </cell>
          <cell r="H221" t="str">
            <v>QSR</v>
          </cell>
          <cell r="I221" t="str">
            <v>FOOD SERVICE</v>
          </cell>
          <cell r="J221" t="str">
            <v>VAGO QSR</v>
          </cell>
          <cell r="K221" t="str">
            <v>LACTALIS</v>
          </cell>
          <cell r="L221" t="str">
            <v>PEDRO</v>
          </cell>
          <cell r="M221" t="str">
            <v>VAGO QSR</v>
          </cell>
        </row>
        <row r="222">
          <cell r="B222">
            <v>5337852</v>
          </cell>
          <cell r="C222" t="str">
            <v>CAMINHO DA FAZENDA COM DE PROD ALIM LTDA</v>
          </cell>
          <cell r="D222">
            <v>7001</v>
          </cell>
          <cell r="E222" t="str">
            <v>0749</v>
          </cell>
          <cell r="F222" t="str">
            <v>C5</v>
          </cell>
          <cell r="G222" t="str">
            <v>SP</v>
          </cell>
          <cell r="H222" t="str">
            <v>DISTRIBUIÇÃO</v>
          </cell>
          <cell r="I222" t="str">
            <v>FOOD SERVICE</v>
          </cell>
          <cell r="J222" t="str">
            <v>FLAC 2</v>
          </cell>
          <cell r="K222" t="str">
            <v>LACTALIS</v>
          </cell>
          <cell r="L222" t="str">
            <v>RODRIGO</v>
          </cell>
          <cell r="M222" t="str">
            <v>RAQUEL BARBOSA</v>
          </cell>
        </row>
        <row r="223">
          <cell r="B223">
            <v>5223816</v>
          </cell>
          <cell r="C223" t="str">
            <v>CAMPO GRANDE C DE P ALIMENTICIOS LT</v>
          </cell>
          <cell r="D223">
            <v>3001</v>
          </cell>
          <cell r="E223" t="str">
            <v>0169</v>
          </cell>
          <cell r="F223" t="str">
            <v>C1</v>
          </cell>
          <cell r="G223" t="str">
            <v>ES</v>
          </cell>
          <cell r="H223" t="str">
            <v>DISTRIBUIÇÃO</v>
          </cell>
          <cell r="I223" t="str">
            <v>FOOD SERVICE</v>
          </cell>
          <cell r="J223" t="str">
            <v>MARCELO DUARTE</v>
          </cell>
          <cell r="K223" t="str">
            <v>ITAMBÉ</v>
          </cell>
          <cell r="L223" t="str">
            <v>RODRIGO</v>
          </cell>
          <cell r="M223" t="str">
            <v>JESSICA</v>
          </cell>
        </row>
        <row r="224">
          <cell r="B224">
            <v>5273626</v>
          </cell>
          <cell r="C224" t="str">
            <v>CAMPO VERDE ALIMENTOS LTDA</v>
          </cell>
          <cell r="D224">
            <v>4001</v>
          </cell>
          <cell r="E224" t="str">
            <v>0437</v>
          </cell>
          <cell r="F224" t="str">
            <v>C1</v>
          </cell>
          <cell r="G224" t="str">
            <v>SP</v>
          </cell>
          <cell r="H224" t="str">
            <v>INGREDIENTS</v>
          </cell>
          <cell r="I224" t="str">
            <v>INGREDIENTS</v>
          </cell>
          <cell r="J224" t="str">
            <v>JOEL ELEOTÉRIO</v>
          </cell>
          <cell r="K224" t="str">
            <v>LACTALIS</v>
          </cell>
          <cell r="L224" t="str">
            <v>MAURICIO</v>
          </cell>
          <cell r="M224" t="str">
            <v>JOEL</v>
          </cell>
        </row>
        <row r="225">
          <cell r="B225">
            <v>5266628</v>
          </cell>
          <cell r="C225" t="str">
            <v>CANDY STORE COM DE DOCES E PRES LTD</v>
          </cell>
          <cell r="D225">
            <v>7001</v>
          </cell>
          <cell r="E225" t="str">
            <v>0749</v>
          </cell>
          <cell r="F225" t="str">
            <v>C5</v>
          </cell>
          <cell r="G225" t="str">
            <v>SP</v>
          </cell>
          <cell r="H225" t="str">
            <v>DISTRIBUIÇÃO</v>
          </cell>
          <cell r="I225" t="str">
            <v>FOOD SERVICE</v>
          </cell>
          <cell r="J225" t="str">
            <v>FLAC 3</v>
          </cell>
          <cell r="K225" t="str">
            <v>LACTALIS</v>
          </cell>
          <cell r="L225" t="str">
            <v>RODRIGO</v>
          </cell>
          <cell r="M225" t="str">
            <v>RAQUEL BARBOSA</v>
          </cell>
        </row>
        <row r="226">
          <cell r="B226">
            <v>5175205</v>
          </cell>
          <cell r="C226" t="str">
            <v>CANELA VERDE DIST E TRANSP LTDA ME</v>
          </cell>
          <cell r="D226">
            <v>3001</v>
          </cell>
          <cell r="E226" t="str">
            <v>0169</v>
          </cell>
          <cell r="F226" t="str">
            <v>C1</v>
          </cell>
          <cell r="G226" t="str">
            <v>ES</v>
          </cell>
          <cell r="H226" t="str">
            <v>DISTRIBUIÇÃO</v>
          </cell>
          <cell r="I226" t="str">
            <v>FOOD SERVICE</v>
          </cell>
          <cell r="J226" t="str">
            <v>MARCELO DUARTE</v>
          </cell>
          <cell r="K226" t="str">
            <v>ITAMBÉ</v>
          </cell>
          <cell r="L226" t="str">
            <v>RODRIGO</v>
          </cell>
          <cell r="M226" t="str">
            <v>JESSICA</v>
          </cell>
        </row>
        <row r="227">
          <cell r="B227">
            <v>5309566</v>
          </cell>
          <cell r="C227" t="str">
            <v>CANTINHO DO BOLO LTDA</v>
          </cell>
          <cell r="D227">
            <v>7001</v>
          </cell>
          <cell r="E227" t="str">
            <v>0749</v>
          </cell>
          <cell r="F227" t="str">
            <v>C5</v>
          </cell>
          <cell r="G227" t="str">
            <v>SP</v>
          </cell>
          <cell r="H227" t="str">
            <v>DISTRIBUIÇÃO</v>
          </cell>
          <cell r="I227" t="str">
            <v>FOOD SERVICE</v>
          </cell>
          <cell r="J227" t="str">
            <v>FLAC 6</v>
          </cell>
          <cell r="K227" t="str">
            <v>LACTALIS</v>
          </cell>
          <cell r="L227" t="str">
            <v>RODRIGO</v>
          </cell>
          <cell r="M227" t="str">
            <v>RAQUEL BARBOSA</v>
          </cell>
        </row>
        <row r="228">
          <cell r="B228">
            <v>5218199</v>
          </cell>
          <cell r="C228" t="str">
            <v>CANTINHO GOURMET FAB DE ALIM CO</v>
          </cell>
          <cell r="D228">
            <v>3001</v>
          </cell>
          <cell r="E228" t="str">
            <v>0127</v>
          </cell>
          <cell r="F228" t="str">
            <v>C1</v>
          </cell>
          <cell r="G228" t="str">
            <v>BA</v>
          </cell>
          <cell r="H228" t="str">
            <v>DISTRIBUIÇÃO</v>
          </cell>
          <cell r="I228" t="str">
            <v>FOOD SERVICE</v>
          </cell>
          <cell r="J228" t="str">
            <v>CLAUDIO JORGE/LUIZ</v>
          </cell>
          <cell r="K228" t="str">
            <v>ITAMBÉ</v>
          </cell>
          <cell r="L228" t="str">
            <v>RODRIGO</v>
          </cell>
          <cell r="M228" t="str">
            <v>MARIA LOURDES</v>
          </cell>
        </row>
        <row r="229">
          <cell r="B229">
            <v>5327731</v>
          </cell>
          <cell r="C229" t="str">
            <v>CAORLE PIZZAS ARTESANAIS LTDA</v>
          </cell>
          <cell r="D229">
            <v>7001</v>
          </cell>
          <cell r="E229" t="str">
            <v>0749</v>
          </cell>
          <cell r="F229" t="str">
            <v>C5</v>
          </cell>
          <cell r="G229" t="str">
            <v>SP</v>
          </cell>
          <cell r="H229" t="str">
            <v>DISTRIBUIÇÃO</v>
          </cell>
          <cell r="I229" t="str">
            <v>FOOD SERVICE</v>
          </cell>
          <cell r="J229" t="str">
            <v>FLAC 2</v>
          </cell>
          <cell r="K229" t="str">
            <v>LACTALIS</v>
          </cell>
          <cell r="L229" t="str">
            <v>RODRIGO</v>
          </cell>
          <cell r="M229" t="str">
            <v>RAQUEL BARBOSA</v>
          </cell>
        </row>
        <row r="230">
          <cell r="B230">
            <v>5266756</v>
          </cell>
          <cell r="C230" t="str">
            <v>CAPITAL CAFE LTDA</v>
          </cell>
          <cell r="D230">
            <v>7001</v>
          </cell>
          <cell r="E230" t="str">
            <v>0749</v>
          </cell>
          <cell r="F230" t="str">
            <v>C5</v>
          </cell>
          <cell r="G230" t="str">
            <v>SP</v>
          </cell>
          <cell r="H230" t="str">
            <v>DISTRIBUIÇÃO</v>
          </cell>
          <cell r="I230" t="str">
            <v>FOOD SERVICE</v>
          </cell>
          <cell r="J230" t="str">
            <v>FLAC 3</v>
          </cell>
          <cell r="K230" t="str">
            <v>LACTALIS</v>
          </cell>
          <cell r="L230" t="str">
            <v>RODRIGO</v>
          </cell>
          <cell r="M230" t="str">
            <v>RAQUEL BARBOSA</v>
          </cell>
        </row>
        <row r="231">
          <cell r="B231">
            <v>5341225</v>
          </cell>
          <cell r="C231" t="str">
            <v>CAPODIFOGLIO E CIA LTDA</v>
          </cell>
          <cell r="D231">
            <v>6001</v>
          </cell>
          <cell r="E231" t="str">
            <v>6028</v>
          </cell>
          <cell r="F231" t="str">
            <v>C1</v>
          </cell>
          <cell r="G231" t="str">
            <v>SP</v>
          </cell>
          <cell r="H231" t="str">
            <v>INGREDIENTS</v>
          </cell>
          <cell r="I231" t="str">
            <v>INGREDIENTS</v>
          </cell>
          <cell r="J231" t="str">
            <v>TATIANA NITTA</v>
          </cell>
          <cell r="K231" t="str">
            <v>ITAMBÉ</v>
          </cell>
          <cell r="L231" t="str">
            <v>MAURICIO</v>
          </cell>
          <cell r="M231" t="str">
            <v>TATIANA NITTA</v>
          </cell>
        </row>
        <row r="232">
          <cell r="B232">
            <v>5256477</v>
          </cell>
          <cell r="C232" t="str">
            <v>CAPRICCHE SA</v>
          </cell>
          <cell r="D232">
            <v>4001</v>
          </cell>
          <cell r="E232" t="str">
            <v>0437</v>
          </cell>
          <cell r="F232" t="str">
            <v>C1</v>
          </cell>
          <cell r="G232" t="str">
            <v>PE</v>
          </cell>
          <cell r="H232" t="str">
            <v>INGREDIENTS</v>
          </cell>
          <cell r="I232" t="str">
            <v>INGREDIENTS</v>
          </cell>
          <cell r="J232" t="str">
            <v>JOEL ELEOTÉRIO</v>
          </cell>
          <cell r="K232" t="str">
            <v>LACTALIS</v>
          </cell>
          <cell r="L232" t="str">
            <v>MAURICIO</v>
          </cell>
          <cell r="M232" t="str">
            <v>JOEL</v>
          </cell>
        </row>
        <row r="233">
          <cell r="B233">
            <v>5170001</v>
          </cell>
          <cell r="C233" t="str">
            <v>CARAMAPPLE COMERCIAL DE ALIM LTDA M</v>
          </cell>
          <cell r="D233">
            <v>7001</v>
          </cell>
          <cell r="E233" t="str">
            <v>0749</v>
          </cell>
          <cell r="F233" t="str">
            <v>C5</v>
          </cell>
          <cell r="G233" t="str">
            <v>SP</v>
          </cell>
          <cell r="H233" t="str">
            <v>DISTRIBUIÇÃO</v>
          </cell>
          <cell r="I233" t="str">
            <v>FOOD SERVICE</v>
          </cell>
          <cell r="J233" t="str">
            <v>FLAC 6</v>
          </cell>
          <cell r="K233" t="str">
            <v>LACTALIS</v>
          </cell>
          <cell r="L233" t="str">
            <v>RODRIGO</v>
          </cell>
          <cell r="M233" t="str">
            <v>RAQUEL BARBOSA</v>
          </cell>
        </row>
        <row r="234">
          <cell r="B234">
            <v>5181665</v>
          </cell>
          <cell r="C234" t="str">
            <v>CARDEAL COM DE PROD ALIM EIRELI EPP</v>
          </cell>
          <cell r="D234">
            <v>3001</v>
          </cell>
          <cell r="E234" t="str">
            <v>0028</v>
          </cell>
          <cell r="F234" t="str">
            <v>C1</v>
          </cell>
          <cell r="G234" t="str">
            <v>AM</v>
          </cell>
          <cell r="H234" t="str">
            <v>INGREDIENTS</v>
          </cell>
          <cell r="I234" t="str">
            <v>INGREDIENTS</v>
          </cell>
          <cell r="J234" t="str">
            <v>AM ITB FS I DA SILVA SANTOS</v>
          </cell>
          <cell r="K234" t="str">
            <v>ITAMBÉ</v>
          </cell>
          <cell r="L234" t="str">
            <v>MAURICIO</v>
          </cell>
          <cell r="M234" t="str">
            <v>JOEL</v>
          </cell>
        </row>
        <row r="235">
          <cell r="B235">
            <v>5164358</v>
          </cell>
          <cell r="C235" t="str">
            <v>CARGILL AGRICOLA SA</v>
          </cell>
          <cell r="D235">
            <v>3001</v>
          </cell>
          <cell r="E235" t="str">
            <v>0122</v>
          </cell>
          <cell r="F235" t="str">
            <v>C1</v>
          </cell>
          <cell r="G235" t="str">
            <v>SP</v>
          </cell>
          <cell r="H235" t="str">
            <v>INGREDIENTS</v>
          </cell>
          <cell r="I235" t="str">
            <v>INGREDIENTS</v>
          </cell>
          <cell r="J235" t="str">
            <v>MARCELO RODRIGUES</v>
          </cell>
          <cell r="K235" t="str">
            <v>ITAMBÉ</v>
          </cell>
          <cell r="L235" t="str">
            <v>MAURICIO</v>
          </cell>
          <cell r="M235" t="str">
            <v>MARCELO</v>
          </cell>
        </row>
        <row r="236">
          <cell r="B236">
            <v>5164358</v>
          </cell>
          <cell r="C236" t="str">
            <v>CARGILL AGRICOLA SA</v>
          </cell>
          <cell r="D236">
            <v>6001</v>
          </cell>
          <cell r="E236" t="str">
            <v>6125</v>
          </cell>
          <cell r="F236" t="str">
            <v>C1</v>
          </cell>
          <cell r="G236" t="str">
            <v>SP</v>
          </cell>
          <cell r="H236" t="str">
            <v>INGREDIENTS</v>
          </cell>
          <cell r="I236" t="str">
            <v>INGREDIENTS</v>
          </cell>
          <cell r="J236" t="str">
            <v>MARCELO RODRIGUES</v>
          </cell>
          <cell r="K236" t="str">
            <v>ITAMBÉ</v>
          </cell>
          <cell r="L236" t="str">
            <v>MAURICIO</v>
          </cell>
          <cell r="M236" t="str">
            <v>MARCELO</v>
          </cell>
        </row>
        <row r="237">
          <cell r="B237">
            <v>5226651</v>
          </cell>
          <cell r="C237" t="str">
            <v>CARINO INGREDIENTES LTDA</v>
          </cell>
          <cell r="D237">
            <v>4001</v>
          </cell>
          <cell r="E237" t="str">
            <v>0437</v>
          </cell>
          <cell r="F237" t="str">
            <v>C1</v>
          </cell>
          <cell r="G237" t="str">
            <v>SP</v>
          </cell>
          <cell r="H237" t="str">
            <v>INGREDIENTS</v>
          </cell>
          <cell r="I237" t="str">
            <v>INGREDIENTS</v>
          </cell>
          <cell r="J237" t="str">
            <v>MARCELO RODRIGUES</v>
          </cell>
          <cell r="K237" t="str">
            <v>LACTALIS</v>
          </cell>
          <cell r="L237" t="str">
            <v>MAURICIO</v>
          </cell>
          <cell r="M237" t="str">
            <v>MARCELO</v>
          </cell>
        </row>
        <row r="238">
          <cell r="B238">
            <v>5301249</v>
          </cell>
          <cell r="C238" t="str">
            <v>CARLA DANIELLE NERES 43653229820</v>
          </cell>
          <cell r="D238">
            <v>7001</v>
          </cell>
          <cell r="E238" t="str">
            <v>0749</v>
          </cell>
          <cell r="F238" t="str">
            <v>C5</v>
          </cell>
          <cell r="G238" t="str">
            <v>SP</v>
          </cell>
          <cell r="H238" t="str">
            <v>DISTRIBUIÇÃO</v>
          </cell>
          <cell r="I238" t="str">
            <v>FOOD SERVICE</v>
          </cell>
          <cell r="J238" t="str">
            <v>FLAC 6</v>
          </cell>
          <cell r="K238" t="str">
            <v>LACTALIS</v>
          </cell>
          <cell r="L238" t="str">
            <v>RODRIGO</v>
          </cell>
          <cell r="M238" t="str">
            <v>RAQUEL BARBOSA</v>
          </cell>
        </row>
        <row r="239">
          <cell r="B239">
            <v>5184715</v>
          </cell>
          <cell r="C239" t="str">
            <v>CARLOS GEOVANE ALMEIDA DE PAULA LTDA</v>
          </cell>
          <cell r="D239">
            <v>3001</v>
          </cell>
          <cell r="E239" t="str">
            <v>0028</v>
          </cell>
          <cell r="F239" t="str">
            <v>C1</v>
          </cell>
          <cell r="G239" t="str">
            <v>MS</v>
          </cell>
          <cell r="H239" t="str">
            <v>INGREDIENTS</v>
          </cell>
          <cell r="I239" t="str">
            <v>INGREDIENTS</v>
          </cell>
          <cell r="J239" t="str">
            <v>DUAS RODAS</v>
          </cell>
          <cell r="K239" t="str">
            <v>ITAMBÉ</v>
          </cell>
          <cell r="L239" t="str">
            <v>MAURICIO</v>
          </cell>
          <cell r="M239" t="str">
            <v>MARCELO</v>
          </cell>
        </row>
        <row r="240">
          <cell r="B240">
            <v>5263126</v>
          </cell>
          <cell r="C240" t="str">
            <v>CARLOS VALERIO DORNELLES BRITO 2059</v>
          </cell>
          <cell r="D240">
            <v>7001</v>
          </cell>
          <cell r="E240" t="str">
            <v>0749</v>
          </cell>
          <cell r="F240" t="str">
            <v>C5</v>
          </cell>
          <cell r="G240" t="str">
            <v>SP</v>
          </cell>
          <cell r="H240" t="str">
            <v>DISTRIBUIÇÃO</v>
          </cell>
          <cell r="I240" t="str">
            <v>FOOD SERVICE</v>
          </cell>
          <cell r="J240" t="str">
            <v>FLAC 6</v>
          </cell>
          <cell r="K240" t="str">
            <v>LACTALIS</v>
          </cell>
          <cell r="L240" t="str">
            <v>RODRIGO</v>
          </cell>
          <cell r="M240" t="str">
            <v>RAQUEL BARBOSA</v>
          </cell>
        </row>
        <row r="241">
          <cell r="B241">
            <v>5180088</v>
          </cell>
          <cell r="C241" t="str">
            <v>CARMEL IND E COM DE SOBREMESAS LTDA</v>
          </cell>
          <cell r="D241">
            <v>3001</v>
          </cell>
          <cell r="E241" t="str">
            <v>0126</v>
          </cell>
          <cell r="F241" t="str">
            <v>C1</v>
          </cell>
          <cell r="G241" t="str">
            <v>PR</v>
          </cell>
          <cell r="H241" t="str">
            <v>INGREDIENTS</v>
          </cell>
          <cell r="I241" t="str">
            <v>INGREDIENTS</v>
          </cell>
          <cell r="J241" t="str">
            <v>MARCELO RODRIGUES</v>
          </cell>
          <cell r="K241" t="str">
            <v>ITAMBÉ</v>
          </cell>
          <cell r="L241" t="str">
            <v>MAURICIO</v>
          </cell>
          <cell r="M241" t="str">
            <v>MARCELO</v>
          </cell>
        </row>
        <row r="242">
          <cell r="B242">
            <v>5316966</v>
          </cell>
          <cell r="C242" t="str">
            <v>CARMEN CARNEIRO RESTAURANTE LTDA</v>
          </cell>
          <cell r="D242">
            <v>7001</v>
          </cell>
          <cell r="E242" t="str">
            <v>0749</v>
          </cell>
          <cell r="F242" t="str">
            <v>C5</v>
          </cell>
          <cell r="G242" t="str">
            <v>SP</v>
          </cell>
          <cell r="H242" t="str">
            <v>DISTRIBUIÇÃO</v>
          </cell>
          <cell r="I242" t="str">
            <v>FOOD SERVICE</v>
          </cell>
          <cell r="J242" t="str">
            <v>FLAC 4</v>
          </cell>
          <cell r="K242" t="str">
            <v>LACTALIS</v>
          </cell>
          <cell r="L242" t="str">
            <v>RODRIGO</v>
          </cell>
          <cell r="M242" t="str">
            <v>RAQUEL BARBOSA</v>
          </cell>
        </row>
        <row r="243">
          <cell r="B243">
            <v>5280910</v>
          </cell>
          <cell r="C243" t="str">
            <v>CARMO DRINKS E LANCHES LTDA</v>
          </cell>
          <cell r="D243">
            <v>7001</v>
          </cell>
          <cell r="E243" t="str">
            <v>0749</v>
          </cell>
          <cell r="F243" t="str">
            <v>C5</v>
          </cell>
          <cell r="G243" t="str">
            <v>SP</v>
          </cell>
          <cell r="H243" t="str">
            <v>DISTRIBUIÇÃO</v>
          </cell>
          <cell r="I243" t="str">
            <v>FOOD SERVICE</v>
          </cell>
          <cell r="J243" t="str">
            <v>FLAC 2</v>
          </cell>
          <cell r="K243" t="str">
            <v>LACTALIS</v>
          </cell>
          <cell r="L243" t="str">
            <v>RODRIGO</v>
          </cell>
          <cell r="M243" t="str">
            <v>RAQUEL BARBOSA</v>
          </cell>
        </row>
        <row r="244">
          <cell r="B244">
            <v>5168173</v>
          </cell>
          <cell r="C244" t="str">
            <v>CARNIELLI DISTRIBUIDORA EIRELI EPP</v>
          </cell>
          <cell r="D244">
            <v>3001</v>
          </cell>
          <cell r="E244" t="str">
            <v>0169</v>
          </cell>
          <cell r="F244" t="str">
            <v>C1</v>
          </cell>
          <cell r="G244" t="str">
            <v>ES</v>
          </cell>
          <cell r="H244" t="str">
            <v>DISTRIBUIÇÃO</v>
          </cell>
          <cell r="I244" t="str">
            <v>FOOD SERVICE</v>
          </cell>
          <cell r="J244" t="str">
            <v>MARCELO DUARTE</v>
          </cell>
          <cell r="K244" t="str">
            <v>ITAMBÉ</v>
          </cell>
          <cell r="L244" t="str">
            <v>RODRIGO</v>
          </cell>
          <cell r="M244" t="str">
            <v>JESSICA</v>
          </cell>
        </row>
        <row r="245">
          <cell r="B245">
            <v>5015298</v>
          </cell>
          <cell r="C245" t="str">
            <v>CASA DA PANI COM DE PROD PARA PANI</v>
          </cell>
          <cell r="D245">
            <v>3001</v>
          </cell>
          <cell r="E245" t="str">
            <v>0126</v>
          </cell>
          <cell r="F245" t="str">
            <v>C1</v>
          </cell>
          <cell r="G245" t="str">
            <v>SC</v>
          </cell>
          <cell r="H245" t="str">
            <v>DISTRIBUIÇÃO</v>
          </cell>
          <cell r="I245" t="str">
            <v>FOOD SERVICE</v>
          </cell>
          <cell r="J245" t="str">
            <v>ANGELICA BATISTELA</v>
          </cell>
          <cell r="K245" t="str">
            <v>ITAMBÉ</v>
          </cell>
          <cell r="L245" t="str">
            <v>RODRIGO</v>
          </cell>
          <cell r="M245" t="str">
            <v>ANGELICA BATISTELA</v>
          </cell>
        </row>
        <row r="246">
          <cell r="B246">
            <v>5015298</v>
          </cell>
          <cell r="C246" t="str">
            <v>CASA DA PANI COM DE PROD PARA PANI</v>
          </cell>
          <cell r="D246">
            <v>4001</v>
          </cell>
          <cell r="E246" t="str">
            <v>0422</v>
          </cell>
          <cell r="F246" t="str">
            <v>C1</v>
          </cell>
          <cell r="G246" t="str">
            <v>SC</v>
          </cell>
          <cell r="H246" t="str">
            <v>DISTRIBUIÇÃO</v>
          </cell>
          <cell r="I246" t="str">
            <v>FOOD SERVICE</v>
          </cell>
          <cell r="J246" t="str">
            <v>ANGELICA BATISTELA</v>
          </cell>
          <cell r="K246" t="str">
            <v>LACTALIS</v>
          </cell>
          <cell r="L246" t="str">
            <v>RODRIGO</v>
          </cell>
          <cell r="M246" t="str">
            <v>ANGELICA BATISTELA</v>
          </cell>
        </row>
        <row r="247">
          <cell r="B247">
            <v>5197450</v>
          </cell>
          <cell r="C247" t="str">
            <v>CASA DE BOLO E CAFETERIA ACLIMACAO</v>
          </cell>
          <cell r="D247">
            <v>7001</v>
          </cell>
          <cell r="E247" t="str">
            <v>0749</v>
          </cell>
          <cell r="F247" t="str">
            <v>C5</v>
          </cell>
          <cell r="G247" t="str">
            <v>SP</v>
          </cell>
          <cell r="H247" t="str">
            <v>DISTRIBUIÇÃO</v>
          </cell>
          <cell r="I247" t="str">
            <v>FOOD SERVICE</v>
          </cell>
          <cell r="J247" t="str">
            <v>FLAC 3</v>
          </cell>
          <cell r="K247" t="str">
            <v>LACTALIS</v>
          </cell>
          <cell r="L247" t="str">
            <v>RODRIGO</v>
          </cell>
          <cell r="M247" t="str">
            <v>RAQUEL BARBOSA</v>
          </cell>
        </row>
        <row r="248">
          <cell r="B248">
            <v>5150495</v>
          </cell>
          <cell r="C248" t="str">
            <v>CASA DE BOLOS DIST LTDA EPP</v>
          </cell>
          <cell r="D248">
            <v>6001</v>
          </cell>
          <cell r="E248" t="str">
            <v>6125</v>
          </cell>
          <cell r="F248" t="str">
            <v>C1</v>
          </cell>
          <cell r="G248" t="str">
            <v>SP</v>
          </cell>
          <cell r="H248" t="str">
            <v>DISTRIBUIÇÃO</v>
          </cell>
          <cell r="I248" t="str">
            <v>FOOD SERVICE</v>
          </cell>
          <cell r="J248" t="str">
            <v>GUILHERME NASCIMENTO</v>
          </cell>
          <cell r="K248" t="str">
            <v>ITAMBÉ</v>
          </cell>
          <cell r="L248" t="str">
            <v>RODRIGO</v>
          </cell>
          <cell r="M248" t="str">
            <v>ALEXANDRO</v>
          </cell>
        </row>
        <row r="249">
          <cell r="B249">
            <v>5185642</v>
          </cell>
          <cell r="C249" t="str">
            <v>CASA DO PADEIRO COM DE PROD ALIM LT</v>
          </cell>
          <cell r="D249">
            <v>6001</v>
          </cell>
          <cell r="E249" t="str">
            <v>6125</v>
          </cell>
          <cell r="F249" t="str">
            <v>C1</v>
          </cell>
          <cell r="G249" t="str">
            <v>SP</v>
          </cell>
          <cell r="H249" t="str">
            <v>DISTRIBUIÇÃO</v>
          </cell>
          <cell r="I249" t="str">
            <v>FOOD SERVICE</v>
          </cell>
          <cell r="J249" t="str">
            <v>VAGO SP</v>
          </cell>
          <cell r="K249" t="str">
            <v>ITAMBÉ</v>
          </cell>
          <cell r="L249" t="str">
            <v>RODRIGO</v>
          </cell>
          <cell r="M249" t="str">
            <v>RAQUEL BARBOSA</v>
          </cell>
        </row>
        <row r="250">
          <cell r="B250">
            <v>5011698</v>
          </cell>
          <cell r="C250" t="str">
            <v>CASA DO SACHET LTDA</v>
          </cell>
          <cell r="D250">
            <v>3001</v>
          </cell>
          <cell r="E250" t="str">
            <v>0123</v>
          </cell>
          <cell r="F250" t="str">
            <v>C1</v>
          </cell>
          <cell r="G250" t="str">
            <v>MS</v>
          </cell>
          <cell r="H250" t="str">
            <v>DISTRIBUIÇÃO</v>
          </cell>
          <cell r="I250" t="str">
            <v>FOOD SERVICE</v>
          </cell>
          <cell r="J250" t="str">
            <v>CLAUDIO JORGE</v>
          </cell>
          <cell r="K250" t="str">
            <v>ITAMBÉ</v>
          </cell>
          <cell r="L250" t="str">
            <v>RODRIGO</v>
          </cell>
          <cell r="M250" t="str">
            <v>MARCO AURELIO</v>
          </cell>
        </row>
        <row r="251">
          <cell r="B251">
            <v>5247711</v>
          </cell>
          <cell r="C251" t="str">
            <v>CASA DOS PAES LTDA</v>
          </cell>
          <cell r="D251">
            <v>7001</v>
          </cell>
          <cell r="E251" t="str">
            <v>0749</v>
          </cell>
          <cell r="F251" t="str">
            <v>C5</v>
          </cell>
          <cell r="G251" t="str">
            <v>SP</v>
          </cell>
          <cell r="H251" t="str">
            <v>DISTRIBUIÇÃO</v>
          </cell>
          <cell r="I251" t="str">
            <v>FOOD SERVICE</v>
          </cell>
          <cell r="J251" t="str">
            <v>FLAC 2</v>
          </cell>
          <cell r="K251" t="str">
            <v>LACTALIS</v>
          </cell>
          <cell r="L251" t="str">
            <v>RODRIGO</v>
          </cell>
          <cell r="M251" t="str">
            <v>RAQUEL BARBOSA</v>
          </cell>
        </row>
        <row r="252">
          <cell r="B252">
            <v>5278293</v>
          </cell>
          <cell r="C252" t="str">
            <v>CASA FLORA LTDA</v>
          </cell>
          <cell r="D252">
            <v>7001</v>
          </cell>
          <cell r="E252" t="str">
            <v>0749</v>
          </cell>
          <cell r="F252" t="str">
            <v>C5</v>
          </cell>
          <cell r="G252" t="str">
            <v>SP</v>
          </cell>
          <cell r="H252" t="str">
            <v>DISTRIBUIÇÃO</v>
          </cell>
          <cell r="I252" t="str">
            <v>FOOD SERVICE</v>
          </cell>
          <cell r="J252" t="str">
            <v>FLAC 1</v>
          </cell>
          <cell r="K252" t="str">
            <v>LACTALIS</v>
          </cell>
          <cell r="L252" t="str">
            <v>RODRIGO</v>
          </cell>
          <cell r="M252" t="str">
            <v>RAQUEL BARBOSA</v>
          </cell>
        </row>
        <row r="253">
          <cell r="B253">
            <v>5250674</v>
          </cell>
          <cell r="C253" t="str">
            <v>CASABLANCA BUFFET E EVENTOS</v>
          </cell>
          <cell r="D253">
            <v>7001</v>
          </cell>
          <cell r="E253" t="str">
            <v>0749</v>
          </cell>
          <cell r="F253" t="str">
            <v>C5</v>
          </cell>
          <cell r="G253" t="str">
            <v>SP</v>
          </cell>
          <cell r="H253" t="str">
            <v>DISTRIBUIÇÃO</v>
          </cell>
          <cell r="I253" t="str">
            <v>FOOD SERVICE</v>
          </cell>
          <cell r="J253" t="str">
            <v>FLAC 4</v>
          </cell>
          <cell r="K253" t="str">
            <v>LACTALIS</v>
          </cell>
          <cell r="L253" t="str">
            <v>RODRIGO</v>
          </cell>
          <cell r="M253" t="str">
            <v>RAQUEL BARBOSA</v>
          </cell>
        </row>
        <row r="254">
          <cell r="B254">
            <v>5219741</v>
          </cell>
          <cell r="C254" t="str">
            <v>CASABLANCA CAFES LTDA</v>
          </cell>
          <cell r="D254">
            <v>3001</v>
          </cell>
          <cell r="E254" t="str">
            <v>0169</v>
          </cell>
          <cell r="F254" t="str">
            <v>C1</v>
          </cell>
          <cell r="G254" t="str">
            <v>ES</v>
          </cell>
          <cell r="H254" t="str">
            <v>DISTRIBUIÇÃO</v>
          </cell>
          <cell r="I254" t="str">
            <v>FOOD SERVICE</v>
          </cell>
          <cell r="J254" t="str">
            <v>MARCELO DUARTE</v>
          </cell>
          <cell r="K254" t="str">
            <v>ITAMBÉ</v>
          </cell>
          <cell r="L254" t="str">
            <v>RODRIGO</v>
          </cell>
          <cell r="M254" t="str">
            <v>JESSICA</v>
          </cell>
        </row>
        <row r="255">
          <cell r="B255">
            <v>5320372</v>
          </cell>
          <cell r="C255" t="str">
            <v>CATERING FOOD LTDA</v>
          </cell>
          <cell r="D255">
            <v>7001</v>
          </cell>
          <cell r="E255" t="str">
            <v>0749</v>
          </cell>
          <cell r="F255" t="str">
            <v>C5</v>
          </cell>
          <cell r="G255" t="str">
            <v>SP</v>
          </cell>
          <cell r="H255" t="str">
            <v>DISTRIBUIÇÃO</v>
          </cell>
          <cell r="I255" t="str">
            <v>FOOD SERVICE</v>
          </cell>
          <cell r="J255" t="str">
            <v>FLAC 5</v>
          </cell>
          <cell r="K255" t="str">
            <v>LACTALIS</v>
          </cell>
          <cell r="L255" t="str">
            <v>RODRIGO</v>
          </cell>
          <cell r="M255" t="str">
            <v>RAQUEL BARBOSA</v>
          </cell>
        </row>
        <row r="256">
          <cell r="B256">
            <v>5003628</v>
          </cell>
          <cell r="C256" t="str">
            <v>CATHITA COM E DIST ALIMENTOS EIRELI</v>
          </cell>
          <cell r="D256">
            <v>6001</v>
          </cell>
          <cell r="E256" t="str">
            <v>6125</v>
          </cell>
          <cell r="F256" t="str">
            <v>C1</v>
          </cell>
          <cell r="G256" t="str">
            <v>SP</v>
          </cell>
          <cell r="H256" t="str">
            <v>DISTRIBUIÇÃO</v>
          </cell>
          <cell r="I256" t="str">
            <v>FOOD SERVICE</v>
          </cell>
          <cell r="J256" t="str">
            <v>VAGO SP</v>
          </cell>
          <cell r="K256" t="str">
            <v>ITAMBÉ</v>
          </cell>
          <cell r="L256" t="str">
            <v>RODRIGO</v>
          </cell>
          <cell r="M256" t="str">
            <v>RAQUEL BARBOSA</v>
          </cell>
        </row>
        <row r="257">
          <cell r="B257">
            <v>5234738</v>
          </cell>
          <cell r="C257" t="str">
            <v>CATUABA INDUSTRIA DE BEBIDAS SA</v>
          </cell>
          <cell r="D257">
            <v>3001</v>
          </cell>
          <cell r="E257" t="str">
            <v>0122</v>
          </cell>
          <cell r="F257" t="str">
            <v>C1</v>
          </cell>
          <cell r="G257" t="str">
            <v>ES</v>
          </cell>
          <cell r="H257" t="str">
            <v>INGREDIENTS</v>
          </cell>
          <cell r="I257" t="str">
            <v>INGREDIENTS</v>
          </cell>
          <cell r="J257" t="str">
            <v>HENRIQUE FERREIRA</v>
          </cell>
          <cell r="K257" t="str">
            <v>ITAMBÉ</v>
          </cell>
          <cell r="L257" t="str">
            <v>MAURICIO</v>
          </cell>
          <cell r="M257" t="str">
            <v>JOEL</v>
          </cell>
        </row>
        <row r="258">
          <cell r="B258">
            <v>5312767</v>
          </cell>
          <cell r="C258" t="str">
            <v>CAUE DISTRIBUIDORA DE AGUA MINERAL</v>
          </cell>
          <cell r="D258">
            <v>7001</v>
          </cell>
          <cell r="E258" t="str">
            <v>0749</v>
          </cell>
          <cell r="F258" t="str">
            <v>C5</v>
          </cell>
          <cell r="G258" t="str">
            <v>SP</v>
          </cell>
          <cell r="H258" t="str">
            <v>DISTRIBUIÇÃO</v>
          </cell>
          <cell r="I258" t="str">
            <v>FOOD SERVICE</v>
          </cell>
          <cell r="J258" t="str">
            <v>FLAC 1</v>
          </cell>
          <cell r="K258" t="str">
            <v>LACTALIS</v>
          </cell>
          <cell r="L258" t="str">
            <v>RODRIGO</v>
          </cell>
          <cell r="M258" t="str">
            <v>RAQUEL BARBOSA</v>
          </cell>
        </row>
        <row r="259">
          <cell r="B259">
            <v>5333911</v>
          </cell>
          <cell r="C259" t="str">
            <v>CAUE SUPRIMENTOS COM E SERVICOS</v>
          </cell>
          <cell r="D259">
            <v>7001</v>
          </cell>
          <cell r="E259" t="str">
            <v>0749</v>
          </cell>
          <cell r="F259" t="str">
            <v>C5</v>
          </cell>
          <cell r="G259" t="str">
            <v>SP</v>
          </cell>
          <cell r="H259" t="str">
            <v>DISTRIBUIÇÃO</v>
          </cell>
          <cell r="I259" t="str">
            <v>FOOD SERVICE</v>
          </cell>
          <cell r="J259" t="str">
            <v>FLAC 1</v>
          </cell>
          <cell r="K259" t="str">
            <v>LACTALIS</v>
          </cell>
          <cell r="L259" t="str">
            <v>RODRIGO</v>
          </cell>
          <cell r="M259" t="str">
            <v>RAQUEL BARBOSA</v>
          </cell>
        </row>
        <row r="260">
          <cell r="B260">
            <v>5314250</v>
          </cell>
          <cell r="C260" t="str">
            <v>CB BEN PORT COM DE P ALIM LTDA</v>
          </cell>
          <cell r="D260">
            <v>7001</v>
          </cell>
          <cell r="E260" t="str">
            <v>0749</v>
          </cell>
          <cell r="F260" t="str">
            <v>C5</v>
          </cell>
          <cell r="G260" t="str">
            <v>SP</v>
          </cell>
          <cell r="H260" t="str">
            <v>DISTRIBUIÇÃO</v>
          </cell>
          <cell r="I260" t="str">
            <v>FOOD SERVICE</v>
          </cell>
          <cell r="J260" t="str">
            <v>FLAC 3</v>
          </cell>
          <cell r="K260" t="str">
            <v>LACTALIS</v>
          </cell>
          <cell r="L260" t="str">
            <v>RODRIGO</v>
          </cell>
          <cell r="M260" t="str">
            <v>RAQUEL BARBOSA</v>
          </cell>
        </row>
        <row r="261">
          <cell r="B261">
            <v>5302285</v>
          </cell>
          <cell r="C261" t="str">
            <v>CB METROPOLITANO COMERCIO DE PRODUT</v>
          </cell>
          <cell r="D261">
            <v>7001</v>
          </cell>
          <cell r="E261" t="str">
            <v>0749</v>
          </cell>
          <cell r="F261" t="str">
            <v>C5</v>
          </cell>
          <cell r="G261" t="str">
            <v>SP</v>
          </cell>
          <cell r="H261" t="str">
            <v>DISTRIBUIÇÃO</v>
          </cell>
          <cell r="I261" t="str">
            <v>FOOD SERVICE</v>
          </cell>
          <cell r="J261" t="str">
            <v>FLAC 3</v>
          </cell>
          <cell r="K261" t="str">
            <v>LACTALIS</v>
          </cell>
          <cell r="L261" t="str">
            <v>RODRIGO</v>
          </cell>
          <cell r="M261" t="str">
            <v>RAQUEL BARBOSA</v>
          </cell>
        </row>
        <row r="262">
          <cell r="B262">
            <v>5248870</v>
          </cell>
          <cell r="C262" t="str">
            <v>CBB FARIA L ADM HOTEL E COMERCIAL</v>
          </cell>
          <cell r="D262">
            <v>7001</v>
          </cell>
          <cell r="E262" t="str">
            <v>0749</v>
          </cell>
          <cell r="F262" t="str">
            <v>C5</v>
          </cell>
          <cell r="G262" t="str">
            <v>SP</v>
          </cell>
          <cell r="H262" t="str">
            <v>DISTRIBUIÇÃO</v>
          </cell>
          <cell r="I262" t="str">
            <v>FOOD SERVICE</v>
          </cell>
          <cell r="J262" t="str">
            <v>FLAC 6</v>
          </cell>
          <cell r="K262" t="str">
            <v>LACTALIS</v>
          </cell>
          <cell r="L262" t="str">
            <v>RODRIGO</v>
          </cell>
          <cell r="M262" t="str">
            <v>RAQUEL BARBOSA</v>
          </cell>
        </row>
        <row r="263">
          <cell r="B263">
            <v>5040108</v>
          </cell>
          <cell r="C263" t="str">
            <v>CCN COMERCIO CENTRO NORTE ALIM LTDA</v>
          </cell>
          <cell r="D263">
            <v>3001</v>
          </cell>
          <cell r="E263" t="str">
            <v>0169</v>
          </cell>
          <cell r="F263" t="str">
            <v>C1</v>
          </cell>
          <cell r="G263" t="str">
            <v>RJ</v>
          </cell>
          <cell r="H263" t="str">
            <v>DISTRIBUIÇÃO</v>
          </cell>
          <cell r="I263" t="str">
            <v>FOOD SERVICE</v>
          </cell>
          <cell r="J263" t="str">
            <v>CLAUDIO JORGE</v>
          </cell>
          <cell r="K263" t="str">
            <v>ITAMBÉ</v>
          </cell>
          <cell r="L263" t="str">
            <v>RODRIGO</v>
          </cell>
          <cell r="M263" t="str">
            <v>JESSICA</v>
          </cell>
        </row>
        <row r="264">
          <cell r="B264">
            <v>5130343</v>
          </cell>
          <cell r="C264" t="str">
            <v>CDI BARRA PROD IMP E EXPORTACAO LTD</v>
          </cell>
          <cell r="D264">
            <v>6001</v>
          </cell>
          <cell r="E264" t="str">
            <v>6125</v>
          </cell>
          <cell r="F264" t="str">
            <v>C1</v>
          </cell>
          <cell r="G264" t="str">
            <v>SP</v>
          </cell>
          <cell r="H264" t="str">
            <v>DISTRIBUIÇÃO</v>
          </cell>
          <cell r="I264" t="str">
            <v>FOOD SERVICE</v>
          </cell>
          <cell r="J264" t="str">
            <v>SP ITB FS FLAC REP.E COMERCIO</v>
          </cell>
          <cell r="K264" t="str">
            <v>ITAMBÉ</v>
          </cell>
          <cell r="L264" t="str">
            <v>RODRIGO</v>
          </cell>
          <cell r="M264" t="str">
            <v>RAQUEL BARBOSA</v>
          </cell>
        </row>
        <row r="265">
          <cell r="B265">
            <v>5207940</v>
          </cell>
          <cell r="C265" t="str">
            <v>CEIA CEARA INDUSTRIAL DE ALIMENTOS</v>
          </cell>
          <cell r="D265">
            <v>3001</v>
          </cell>
          <cell r="E265" t="str">
            <v>0127</v>
          </cell>
          <cell r="F265" t="str">
            <v>C1</v>
          </cell>
          <cell r="G265" t="str">
            <v>CE</v>
          </cell>
          <cell r="H265" t="str">
            <v>DISTRIBUIÇÃO</v>
          </cell>
          <cell r="I265" t="str">
            <v>FOOD SERVICE</v>
          </cell>
          <cell r="J265" t="str">
            <v>WH FOOD SERVICE CE</v>
          </cell>
          <cell r="K265" t="str">
            <v>ITAMBÉ</v>
          </cell>
          <cell r="L265" t="str">
            <v>RODRIGO</v>
          </cell>
          <cell r="M265" t="str">
            <v>MARIA LOURDES</v>
          </cell>
        </row>
        <row r="266">
          <cell r="B266">
            <v>5268096</v>
          </cell>
          <cell r="C266" t="str">
            <v>CENT TECN DA MAR NO RIO DE JANEIRO</v>
          </cell>
          <cell r="D266">
            <v>3001</v>
          </cell>
          <cell r="E266" t="str">
            <v>0121</v>
          </cell>
          <cell r="F266" t="str">
            <v>C1</v>
          </cell>
          <cell r="G266" t="str">
            <v>RJ</v>
          </cell>
          <cell r="H266" t="str">
            <v>OUTROS</v>
          </cell>
          <cell r="I266" t="str">
            <v>OUTROS</v>
          </cell>
          <cell r="J266" t="str">
            <v>EDUARDO LEITE LEVE LEITE</v>
          </cell>
          <cell r="K266" t="str">
            <v>OUTROS</v>
          </cell>
          <cell r="L266" t="str">
            <v>OUTROS</v>
          </cell>
          <cell r="M266" t="str">
            <v>LICITAÇÃO</v>
          </cell>
        </row>
        <row r="267">
          <cell r="B267">
            <v>5279324</v>
          </cell>
          <cell r="C267" t="str">
            <v>CENTER NORTE SA CONS EMPR ADM</v>
          </cell>
          <cell r="D267">
            <v>7001</v>
          </cell>
          <cell r="E267" t="str">
            <v>0749</v>
          </cell>
          <cell r="F267" t="str">
            <v>C5</v>
          </cell>
          <cell r="G267" t="str">
            <v>SP</v>
          </cell>
          <cell r="H267" t="str">
            <v>DISTRIBUIÇÃO</v>
          </cell>
          <cell r="I267" t="str">
            <v>FOOD SERVICE</v>
          </cell>
          <cell r="J267" t="str">
            <v>FLAC 6</v>
          </cell>
          <cell r="K267" t="str">
            <v>LACTALIS</v>
          </cell>
          <cell r="L267" t="str">
            <v>RODRIGO</v>
          </cell>
          <cell r="M267" t="str">
            <v>RAQUEL BARBOSA</v>
          </cell>
        </row>
        <row r="268">
          <cell r="B268">
            <v>5109334</v>
          </cell>
          <cell r="C268" t="str">
            <v>CENTRAL OSASCO DIST ALIM E BEBI</v>
          </cell>
          <cell r="D268">
            <v>6001</v>
          </cell>
          <cell r="E268" t="str">
            <v>6125</v>
          </cell>
          <cell r="F268" t="str">
            <v>C1</v>
          </cell>
          <cell r="G268" t="str">
            <v>SP</v>
          </cell>
          <cell r="H268" t="str">
            <v>DISTRIBUIÇÃO</v>
          </cell>
          <cell r="I268" t="str">
            <v>FOOD SERVICE</v>
          </cell>
          <cell r="J268" t="str">
            <v>SP ITB FS FLAC REP.E COMERCIO</v>
          </cell>
          <cell r="K268" t="str">
            <v>ITAMBÉ</v>
          </cell>
          <cell r="L268" t="str">
            <v>RODRIGO</v>
          </cell>
          <cell r="M268" t="str">
            <v>RAQUEL BARBOSA</v>
          </cell>
        </row>
        <row r="269">
          <cell r="B269">
            <v>5015262</v>
          </cell>
          <cell r="C269" t="str">
            <v>CENTRO COMERCIAL DE ALIMENTOS LTDA</v>
          </cell>
          <cell r="D269">
            <v>3001</v>
          </cell>
          <cell r="E269" t="str">
            <v>0126</v>
          </cell>
          <cell r="F269" t="str">
            <v>C1</v>
          </cell>
          <cell r="G269" t="str">
            <v>SC</v>
          </cell>
          <cell r="H269" t="str">
            <v>DISTRIBUIÇÃO</v>
          </cell>
          <cell r="I269" t="str">
            <v>FOOD SERVICE</v>
          </cell>
          <cell r="J269" t="str">
            <v>ANGELICA BATISTELA</v>
          </cell>
          <cell r="K269" t="str">
            <v>ITAMBÉ</v>
          </cell>
          <cell r="L269" t="str">
            <v>RODRIGO</v>
          </cell>
          <cell r="M269" t="str">
            <v>ANGELICA BATISTELA</v>
          </cell>
        </row>
        <row r="270">
          <cell r="B270">
            <v>5282722</v>
          </cell>
          <cell r="C270" t="str">
            <v>CENTRO DE ASSISTENCIA SOCIAL</v>
          </cell>
          <cell r="D270">
            <v>7001</v>
          </cell>
          <cell r="E270" t="str">
            <v>0749</v>
          </cell>
          <cell r="F270" t="str">
            <v>C5</v>
          </cell>
          <cell r="G270" t="str">
            <v>SP</v>
          </cell>
          <cell r="H270" t="str">
            <v>DISTRIBUIÇÃO</v>
          </cell>
          <cell r="I270" t="str">
            <v>FOOD SERVICE</v>
          </cell>
          <cell r="J270" t="str">
            <v>FLAC 6</v>
          </cell>
          <cell r="K270" t="str">
            <v>LACTALIS</v>
          </cell>
          <cell r="L270" t="str">
            <v>RODRIGO</v>
          </cell>
          <cell r="M270" t="str">
            <v>RAQUEL BARBOSA</v>
          </cell>
        </row>
        <row r="271">
          <cell r="B271">
            <v>5312160</v>
          </cell>
          <cell r="C271" t="str">
            <v>CEPAM PANIFICADORA E RESTAURANTE LT</v>
          </cell>
          <cell r="D271">
            <v>7001</v>
          </cell>
          <cell r="E271" t="str">
            <v>0749</v>
          </cell>
          <cell r="F271" t="str">
            <v>C5</v>
          </cell>
          <cell r="G271" t="str">
            <v>SP</v>
          </cell>
          <cell r="H271" t="str">
            <v>DISTRIBUIÇÃO</v>
          </cell>
          <cell r="I271" t="str">
            <v>FOOD SERVICE</v>
          </cell>
          <cell r="J271" t="str">
            <v>FLAC 3</v>
          </cell>
          <cell r="K271" t="str">
            <v>LACTALIS</v>
          </cell>
          <cell r="L271" t="str">
            <v>RODRIGO</v>
          </cell>
          <cell r="M271" t="str">
            <v>RAQUEL BARBOSA</v>
          </cell>
        </row>
        <row r="272">
          <cell r="B272">
            <v>5263196</v>
          </cell>
          <cell r="C272" t="str">
            <v>CERBAIA PROM DE EVENTOS</v>
          </cell>
          <cell r="D272">
            <v>7001</v>
          </cell>
          <cell r="E272" t="str">
            <v>0749</v>
          </cell>
          <cell r="F272" t="str">
            <v>C5</v>
          </cell>
          <cell r="G272" t="str">
            <v>SP</v>
          </cell>
          <cell r="H272" t="str">
            <v>DISTRIBUIÇÃO</v>
          </cell>
          <cell r="I272" t="str">
            <v>FOOD SERVICE</v>
          </cell>
          <cell r="J272" t="str">
            <v>FLAC 6</v>
          </cell>
          <cell r="K272" t="str">
            <v>LACTALIS</v>
          </cell>
          <cell r="L272" t="str">
            <v>RODRIGO</v>
          </cell>
          <cell r="M272" t="str">
            <v>RAQUEL BARBOSA</v>
          </cell>
        </row>
        <row r="273">
          <cell r="B273">
            <v>5015829</v>
          </cell>
          <cell r="C273" t="str">
            <v>CESTA BASICA BRASIL COMERCIO ALIM E</v>
          </cell>
          <cell r="D273">
            <v>7001</v>
          </cell>
          <cell r="E273" t="str">
            <v>0749</v>
          </cell>
          <cell r="F273" t="str">
            <v>C5</v>
          </cell>
          <cell r="G273" t="str">
            <v>SP</v>
          </cell>
          <cell r="H273" t="str">
            <v>DISTRIBUIÇÃO</v>
          </cell>
          <cell r="I273" t="str">
            <v>FOOD SERVICE</v>
          </cell>
          <cell r="J273" t="str">
            <v>FLAC 7</v>
          </cell>
          <cell r="K273" t="str">
            <v>LACTALIS</v>
          </cell>
          <cell r="L273" t="str">
            <v>RODRIGO</v>
          </cell>
          <cell r="M273" t="str">
            <v>RAQUEL BARBOSA</v>
          </cell>
        </row>
        <row r="274">
          <cell r="B274">
            <v>5248655</v>
          </cell>
          <cell r="C274" t="str">
            <v>CESTA SILCO LTDA</v>
          </cell>
          <cell r="D274">
            <v>7001</v>
          </cell>
          <cell r="E274" t="str">
            <v>0749</v>
          </cell>
          <cell r="F274" t="str">
            <v>C5</v>
          </cell>
          <cell r="G274" t="str">
            <v>SP</v>
          </cell>
          <cell r="H274" t="str">
            <v>DISTRIBUIÇÃO</v>
          </cell>
          <cell r="I274" t="str">
            <v>FOOD SERVICE</v>
          </cell>
          <cell r="J274" t="str">
            <v>FLAC 1</v>
          </cell>
          <cell r="K274" t="str">
            <v>LACTALIS</v>
          </cell>
          <cell r="L274" t="str">
            <v>RODRIGO</v>
          </cell>
          <cell r="M274" t="str">
            <v>RAQUEL BARBOSA</v>
          </cell>
        </row>
        <row r="275">
          <cell r="B275">
            <v>5172442</v>
          </cell>
          <cell r="C275" t="str">
            <v>CEVIS PADARIA E COM DE ALIM LTDA EP</v>
          </cell>
          <cell r="D275">
            <v>7001</v>
          </cell>
          <cell r="E275" t="str">
            <v>0749</v>
          </cell>
          <cell r="F275" t="str">
            <v>C5</v>
          </cell>
          <cell r="G275" t="str">
            <v>SP</v>
          </cell>
          <cell r="H275" t="str">
            <v>DISTRIBUIÇÃO</v>
          </cell>
          <cell r="I275" t="str">
            <v>FOOD SERVICE</v>
          </cell>
          <cell r="J275" t="str">
            <v>FLAC 3</v>
          </cell>
          <cell r="K275" t="str">
            <v>LACTALIS</v>
          </cell>
          <cell r="L275" t="str">
            <v>RODRIGO</v>
          </cell>
          <cell r="M275" t="str">
            <v>RAQUEL BARBOSA</v>
          </cell>
        </row>
        <row r="276">
          <cell r="B276">
            <v>5221399</v>
          </cell>
          <cell r="C276" t="str">
            <v>CG FOOD S DISTRIBUIDORA DE ALIM LTD</v>
          </cell>
          <cell r="D276">
            <v>7001</v>
          </cell>
          <cell r="E276" t="str">
            <v>0749</v>
          </cell>
          <cell r="F276" t="str">
            <v>C5</v>
          </cell>
          <cell r="G276" t="str">
            <v>SP</v>
          </cell>
          <cell r="H276" t="str">
            <v>DISTRIBUIÇÃO</v>
          </cell>
          <cell r="I276" t="str">
            <v>FOOD SERVICE</v>
          </cell>
          <cell r="J276" t="str">
            <v>FLAC 1</v>
          </cell>
          <cell r="K276" t="str">
            <v>LACTALIS</v>
          </cell>
          <cell r="L276" t="str">
            <v>RODRIGO</v>
          </cell>
          <cell r="M276" t="str">
            <v>RAQUEL BARBOSA</v>
          </cell>
        </row>
        <row r="277">
          <cell r="B277">
            <v>5321120</v>
          </cell>
          <cell r="C277" t="str">
            <v>CHALANA SORVETES LTDA ME</v>
          </cell>
          <cell r="D277">
            <v>3001</v>
          </cell>
          <cell r="E277" t="str">
            <v>0028</v>
          </cell>
          <cell r="F277" t="str">
            <v>C1</v>
          </cell>
          <cell r="G277" t="str">
            <v>MS</v>
          </cell>
          <cell r="H277" t="str">
            <v>INGREDIENTS</v>
          </cell>
          <cell r="I277" t="str">
            <v>INGREDIENTS</v>
          </cell>
          <cell r="J277" t="str">
            <v>DUAS RODAS</v>
          </cell>
          <cell r="K277" t="str">
            <v>ITAMBÉ</v>
          </cell>
          <cell r="L277" t="str">
            <v>MAURICIO</v>
          </cell>
          <cell r="M277" t="str">
            <v>MARCELO</v>
          </cell>
        </row>
        <row r="278">
          <cell r="B278">
            <v>5293612</v>
          </cell>
          <cell r="C278" t="str">
            <v>CHARLES REFEICOES LTDA</v>
          </cell>
          <cell r="D278">
            <v>7001</v>
          </cell>
          <cell r="E278" t="str">
            <v>0749</v>
          </cell>
          <cell r="F278" t="str">
            <v>C5</v>
          </cell>
          <cell r="G278" t="str">
            <v>SP</v>
          </cell>
          <cell r="H278" t="str">
            <v>DISTRIBUIÇÃO</v>
          </cell>
          <cell r="I278" t="str">
            <v>FOOD SERVICE</v>
          </cell>
          <cell r="J278" t="str">
            <v>FLAC 2</v>
          </cell>
          <cell r="K278" t="str">
            <v>LACTALIS</v>
          </cell>
          <cell r="L278" t="str">
            <v>RODRIGO</v>
          </cell>
          <cell r="M278" t="str">
            <v>RAQUEL BARBOSA</v>
          </cell>
        </row>
        <row r="279">
          <cell r="B279">
            <v>5325838</v>
          </cell>
          <cell r="C279" t="str">
            <v>CHARLIE TECNOLOGIA E ACOMODACOES S</v>
          </cell>
          <cell r="D279">
            <v>7001</v>
          </cell>
          <cell r="E279" t="str">
            <v>0749</v>
          </cell>
          <cell r="F279" t="str">
            <v>C5</v>
          </cell>
          <cell r="G279" t="str">
            <v>SP</v>
          </cell>
          <cell r="H279" t="str">
            <v>DISTRIBUIÇÃO</v>
          </cell>
          <cell r="I279" t="str">
            <v>FOOD SERVICE</v>
          </cell>
          <cell r="J279" t="str">
            <v>FLAC 4</v>
          </cell>
          <cell r="K279" t="str">
            <v>LACTALIS</v>
          </cell>
          <cell r="L279" t="str">
            <v>RODRIGO</v>
          </cell>
          <cell r="M279" t="str">
            <v>RAQUEL BARBOSA</v>
          </cell>
        </row>
        <row r="280">
          <cell r="B280">
            <v>5099096</v>
          </cell>
          <cell r="C280" t="str">
            <v>CHARLOTTE IND COM PRODUTOS ALIM</v>
          </cell>
          <cell r="D280">
            <v>4001</v>
          </cell>
          <cell r="E280" t="str">
            <v>0455</v>
          </cell>
          <cell r="F280" t="str">
            <v>C1</v>
          </cell>
          <cell r="G280" t="str">
            <v>PR</v>
          </cell>
          <cell r="H280" t="str">
            <v>INGREDIENTS</v>
          </cell>
          <cell r="I280" t="str">
            <v>INGREDIENTS</v>
          </cell>
          <cell r="J280" t="str">
            <v>MARCELO RODRIGUES</v>
          </cell>
          <cell r="K280" t="str">
            <v>LACTALIS</v>
          </cell>
          <cell r="L280" t="str">
            <v>MAURICIO</v>
          </cell>
          <cell r="M280" t="str">
            <v>MARCELO</v>
          </cell>
        </row>
        <row r="281">
          <cell r="B281">
            <v>5309881</v>
          </cell>
          <cell r="C281" t="str">
            <v>CHEZ ROBERTA PRODUTOS ALIMENTARES A</v>
          </cell>
          <cell r="D281">
            <v>7001</v>
          </cell>
          <cell r="E281" t="str">
            <v>0749</v>
          </cell>
          <cell r="F281" t="str">
            <v>C5</v>
          </cell>
          <cell r="G281" t="str">
            <v>SP</v>
          </cell>
          <cell r="H281" t="str">
            <v>DISTRIBUIÇÃO</v>
          </cell>
          <cell r="I281" t="str">
            <v>FOOD SERVICE</v>
          </cell>
          <cell r="J281" t="str">
            <v>FLAC 6</v>
          </cell>
          <cell r="K281" t="str">
            <v>LACTALIS</v>
          </cell>
          <cell r="L281" t="str">
            <v>RODRIGO</v>
          </cell>
          <cell r="M281" t="str">
            <v>RAQUEL BARBOSA</v>
          </cell>
        </row>
        <row r="282">
          <cell r="B282">
            <v>5219565</v>
          </cell>
          <cell r="C282" t="str">
            <v>CHOCOLATES GAROTO LTDA</v>
          </cell>
          <cell r="D282">
            <v>3001</v>
          </cell>
          <cell r="E282" t="str">
            <v>0028</v>
          </cell>
          <cell r="F282" t="str">
            <v>C1</v>
          </cell>
          <cell r="G282" t="str">
            <v>SP</v>
          </cell>
          <cell r="H282" t="str">
            <v>INGREDIENTS</v>
          </cell>
          <cell r="I282" t="str">
            <v>INGREDIENTS</v>
          </cell>
          <cell r="J282" t="str">
            <v>MARCELO RODRIGUES</v>
          </cell>
          <cell r="K282" t="str">
            <v>ITAMBÉ</v>
          </cell>
          <cell r="L282" t="str">
            <v>MAURICIO</v>
          </cell>
          <cell r="M282" t="str">
            <v>MARCELO</v>
          </cell>
        </row>
        <row r="283">
          <cell r="B283">
            <v>5022847</v>
          </cell>
          <cell r="C283" t="str">
            <v>CHOCOLIDER COM EMBALAGENS LTDA EPP</v>
          </cell>
          <cell r="D283">
            <v>6001</v>
          </cell>
          <cell r="E283" t="str">
            <v>6125</v>
          </cell>
          <cell r="F283" t="str">
            <v>C1</v>
          </cell>
          <cell r="G283" t="str">
            <v>SP</v>
          </cell>
          <cell r="H283" t="str">
            <v>DISTRIBUIÇÃO</v>
          </cell>
          <cell r="I283" t="str">
            <v>FOOD SERVICE</v>
          </cell>
          <cell r="J283" t="str">
            <v>SP ITB FS FLAC REP.E COMERCIO</v>
          </cell>
          <cell r="K283" t="str">
            <v>ITAMBÉ</v>
          </cell>
          <cell r="L283" t="str">
            <v>RODRIGO</v>
          </cell>
          <cell r="M283" t="str">
            <v>RAQUEL BARBOSA</v>
          </cell>
        </row>
        <row r="284">
          <cell r="B284">
            <v>5330544</v>
          </cell>
          <cell r="C284" t="str">
            <v>CHOKDOCE COM PROD ALIMENTICIOS</v>
          </cell>
          <cell r="D284">
            <v>6001</v>
          </cell>
          <cell r="E284" t="str">
            <v>6125</v>
          </cell>
          <cell r="F284" t="str">
            <v>C1</v>
          </cell>
          <cell r="G284" t="str">
            <v>SP</v>
          </cell>
          <cell r="H284" t="str">
            <v>DISTRIBUIÇÃO</v>
          </cell>
          <cell r="I284" t="str">
            <v>FOOD SERVICE</v>
          </cell>
          <cell r="J284" t="str">
            <v>ALEXANDRE BONANI</v>
          </cell>
          <cell r="K284" t="str">
            <v>ITAMBÉ</v>
          </cell>
          <cell r="L284" t="str">
            <v>RODRIGO</v>
          </cell>
          <cell r="M284" t="str">
            <v>ALEXANDRE BONANI</v>
          </cell>
        </row>
        <row r="285">
          <cell r="B285">
            <v>5260049</v>
          </cell>
          <cell r="C285" t="str">
            <v>CHUCRE CHURROS GOURMET LTDA</v>
          </cell>
          <cell r="D285">
            <v>7001</v>
          </cell>
          <cell r="E285" t="str">
            <v>0749</v>
          </cell>
          <cell r="F285" t="str">
            <v>C5</v>
          </cell>
          <cell r="G285" t="str">
            <v>SP</v>
          </cell>
          <cell r="H285" t="str">
            <v>DISTRIBUIÇÃO</v>
          </cell>
          <cell r="I285" t="str">
            <v>FOOD SERVICE</v>
          </cell>
          <cell r="J285" t="str">
            <v>FLAC 2</v>
          </cell>
          <cell r="K285" t="str">
            <v>LACTALIS</v>
          </cell>
          <cell r="L285" t="str">
            <v>RODRIGO</v>
          </cell>
          <cell r="M285" t="str">
            <v>RAQUEL BARBOSA</v>
          </cell>
        </row>
        <row r="286">
          <cell r="B286">
            <v>5260140</v>
          </cell>
          <cell r="C286" t="str">
            <v>CHURRASCARIA DO BOSQUE LTDA</v>
          </cell>
          <cell r="D286">
            <v>7001</v>
          </cell>
          <cell r="E286" t="str">
            <v>0749</v>
          </cell>
          <cell r="F286" t="str">
            <v>C5</v>
          </cell>
          <cell r="G286" t="str">
            <v>SP</v>
          </cell>
          <cell r="H286" t="str">
            <v>DISTRIBUIÇÃO</v>
          </cell>
          <cell r="I286" t="str">
            <v>FOOD SERVICE</v>
          </cell>
          <cell r="J286" t="str">
            <v>FLAC 6</v>
          </cell>
          <cell r="K286" t="str">
            <v>LACTALIS</v>
          </cell>
          <cell r="L286" t="str">
            <v>RODRIGO</v>
          </cell>
          <cell r="M286" t="str">
            <v>RAQUEL BARBOSA</v>
          </cell>
        </row>
        <row r="287">
          <cell r="B287">
            <v>5297751</v>
          </cell>
          <cell r="C287" t="str">
            <v>CHURRASCARIA PONTEIO LTDA</v>
          </cell>
          <cell r="D287">
            <v>7001</v>
          </cell>
          <cell r="E287" t="str">
            <v>0749</v>
          </cell>
          <cell r="F287" t="str">
            <v>C5</v>
          </cell>
          <cell r="G287" t="str">
            <v>SP</v>
          </cell>
          <cell r="H287" t="str">
            <v>DISTRIBUIÇÃO</v>
          </cell>
          <cell r="I287" t="str">
            <v>FOOD SERVICE</v>
          </cell>
          <cell r="J287" t="str">
            <v>FLAC 3</v>
          </cell>
          <cell r="K287" t="str">
            <v>LACTALIS</v>
          </cell>
          <cell r="L287" t="str">
            <v>RODRIGO</v>
          </cell>
          <cell r="M287" t="str">
            <v>RAQUEL BARBOSA</v>
          </cell>
        </row>
        <row r="288">
          <cell r="B288">
            <v>5181722</v>
          </cell>
          <cell r="C288" t="str">
            <v>CINDERELA SORVETES LTDA ME</v>
          </cell>
          <cell r="D288">
            <v>3001</v>
          </cell>
          <cell r="E288" t="str">
            <v>0028</v>
          </cell>
          <cell r="F288" t="str">
            <v>C1</v>
          </cell>
          <cell r="G288" t="str">
            <v>ES</v>
          </cell>
          <cell r="H288" t="str">
            <v>INGREDIENTS</v>
          </cell>
          <cell r="I288" t="str">
            <v>INGREDIENTS</v>
          </cell>
          <cell r="J288" t="str">
            <v>DUAS RODAS</v>
          </cell>
          <cell r="K288" t="str">
            <v>ITAMBÉ</v>
          </cell>
          <cell r="L288" t="str">
            <v>MAURICIO</v>
          </cell>
          <cell r="M288" t="str">
            <v>JOEL</v>
          </cell>
        </row>
        <row r="289">
          <cell r="B289">
            <v>5257736</v>
          </cell>
          <cell r="C289" t="str">
            <v>CJ REST E EMPREEND</v>
          </cell>
          <cell r="D289">
            <v>7001</v>
          </cell>
          <cell r="E289" t="str">
            <v>0749</v>
          </cell>
          <cell r="F289" t="str">
            <v>C5</v>
          </cell>
          <cell r="G289" t="str">
            <v>SP</v>
          </cell>
          <cell r="H289" t="str">
            <v>DISTRIBUIÇÃO</v>
          </cell>
          <cell r="I289" t="str">
            <v>FOOD SERVICE</v>
          </cell>
          <cell r="J289" t="str">
            <v>FLAC 6</v>
          </cell>
          <cell r="K289" t="str">
            <v>LACTALIS</v>
          </cell>
          <cell r="L289" t="str">
            <v>RODRIGO</v>
          </cell>
          <cell r="M289" t="str">
            <v>RAQUEL BARBOSA</v>
          </cell>
        </row>
        <row r="290">
          <cell r="B290">
            <v>5273106</v>
          </cell>
          <cell r="C290" t="str">
            <v>CLAUDIA DE ANDRADE LENTE 1538767082</v>
          </cell>
          <cell r="D290">
            <v>7001</v>
          </cell>
          <cell r="E290" t="str">
            <v>0749</v>
          </cell>
          <cell r="F290" t="str">
            <v>C5</v>
          </cell>
          <cell r="G290" t="str">
            <v>SP</v>
          </cell>
          <cell r="H290" t="str">
            <v>DISTRIBUIÇÃO</v>
          </cell>
          <cell r="I290" t="str">
            <v>FOOD SERVICE</v>
          </cell>
          <cell r="J290" t="str">
            <v>FLAC 6</v>
          </cell>
          <cell r="K290" t="str">
            <v>LACTALIS</v>
          </cell>
          <cell r="L290" t="str">
            <v>RODRIGO</v>
          </cell>
          <cell r="M290" t="str">
            <v>RAQUEL BARBOSA</v>
          </cell>
        </row>
        <row r="291">
          <cell r="B291">
            <v>5281242</v>
          </cell>
          <cell r="C291" t="str">
            <v>CLUBE ALTO DE PINHEIROS</v>
          </cell>
          <cell r="D291">
            <v>7001</v>
          </cell>
          <cell r="E291" t="str">
            <v>0749</v>
          </cell>
          <cell r="F291" t="str">
            <v>C5</v>
          </cell>
          <cell r="G291" t="str">
            <v>SP</v>
          </cell>
          <cell r="H291" t="str">
            <v>DISTRIBUIÇÃO</v>
          </cell>
          <cell r="I291" t="str">
            <v>FOOD SERVICE</v>
          </cell>
          <cell r="J291" t="str">
            <v>FLAC 2</v>
          </cell>
          <cell r="K291" t="str">
            <v>LACTALIS</v>
          </cell>
          <cell r="L291" t="str">
            <v>RODRIGO</v>
          </cell>
          <cell r="M291" t="str">
            <v>RAQUEL BARBOSA</v>
          </cell>
        </row>
        <row r="292">
          <cell r="B292">
            <v>5099082</v>
          </cell>
          <cell r="C292" t="str">
            <v>COAMO AGROINDUSTRIAL COOPERATIVA</v>
          </cell>
          <cell r="D292">
            <v>4001</v>
          </cell>
          <cell r="E292" t="str">
            <v>0455</v>
          </cell>
          <cell r="F292" t="str">
            <v>C1</v>
          </cell>
          <cell r="G292" t="str">
            <v>PR</v>
          </cell>
          <cell r="H292" t="str">
            <v>INGREDIENTS</v>
          </cell>
          <cell r="I292" t="str">
            <v>INGREDIENTS</v>
          </cell>
          <cell r="J292" t="str">
            <v>MARCELO RODRIGUES</v>
          </cell>
          <cell r="K292" t="str">
            <v>LACTALIS</v>
          </cell>
          <cell r="L292" t="str">
            <v>MAURICIO</v>
          </cell>
          <cell r="M292" t="str">
            <v>MARCELO</v>
          </cell>
        </row>
        <row r="293">
          <cell r="B293">
            <v>5338011</v>
          </cell>
          <cell r="C293" t="str">
            <v>COELHO BRANCO CAFE SECRETO E CIA LTDA</v>
          </cell>
          <cell r="D293">
            <v>7001</v>
          </cell>
          <cell r="E293" t="str">
            <v>0749</v>
          </cell>
          <cell r="F293" t="str">
            <v>C5</v>
          </cell>
          <cell r="G293" t="str">
            <v>SP</v>
          </cell>
          <cell r="H293" t="str">
            <v>DISTRIBUIÇÃO</v>
          </cell>
          <cell r="I293" t="str">
            <v>FOOD SERVICE</v>
          </cell>
          <cell r="J293" t="str">
            <v>FLAC 7</v>
          </cell>
          <cell r="K293" t="str">
            <v>LACTALIS</v>
          </cell>
          <cell r="L293" t="str">
            <v>RODRIGO</v>
          </cell>
          <cell r="M293" t="str">
            <v>RAQUEL BARBOSA</v>
          </cell>
        </row>
        <row r="294">
          <cell r="B294">
            <v>5339145</v>
          </cell>
          <cell r="C294" t="str">
            <v>COFFE BY BIA AROMA E GRAOS COME</v>
          </cell>
          <cell r="D294">
            <v>7001</v>
          </cell>
          <cell r="E294" t="str">
            <v>0749</v>
          </cell>
          <cell r="F294" t="str">
            <v>C5</v>
          </cell>
          <cell r="G294" t="str">
            <v>SP</v>
          </cell>
          <cell r="H294" t="str">
            <v>DISTRIBUIÇÃO</v>
          </cell>
          <cell r="I294" t="str">
            <v>FOOD SERVICE</v>
          </cell>
          <cell r="J294" t="str">
            <v>FLAC 3</v>
          </cell>
          <cell r="K294" t="str">
            <v>LACTALIS</v>
          </cell>
          <cell r="L294" t="str">
            <v>RODRIGO</v>
          </cell>
          <cell r="M294" t="str">
            <v>RAQUEL BARBOSA</v>
          </cell>
        </row>
        <row r="295">
          <cell r="B295">
            <v>5286897</v>
          </cell>
          <cell r="C295" t="str">
            <v>COFFEE SET CAFE E ALIMENTOS LTDA</v>
          </cell>
          <cell r="D295">
            <v>7001</v>
          </cell>
          <cell r="E295" t="str">
            <v>0749</v>
          </cell>
          <cell r="F295" t="str">
            <v>C5</v>
          </cell>
          <cell r="G295" t="str">
            <v>SP</v>
          </cell>
          <cell r="H295" t="str">
            <v>DISTRIBUIÇÃO</v>
          </cell>
          <cell r="I295" t="str">
            <v>FOOD SERVICE</v>
          </cell>
          <cell r="J295" t="str">
            <v>FLAC 2</v>
          </cell>
          <cell r="K295" t="str">
            <v>LACTALIS</v>
          </cell>
          <cell r="L295" t="str">
            <v>RODRIGO</v>
          </cell>
          <cell r="M295" t="str">
            <v>RAQUEL BARBOSA</v>
          </cell>
        </row>
        <row r="296">
          <cell r="B296">
            <v>5278763</v>
          </cell>
          <cell r="C296" t="str">
            <v>COLEGIO ALBERT SABIN LTDA</v>
          </cell>
          <cell r="D296">
            <v>7001</v>
          </cell>
          <cell r="E296" t="str">
            <v>0749</v>
          </cell>
          <cell r="F296" t="str">
            <v>C5</v>
          </cell>
          <cell r="G296" t="str">
            <v>SP</v>
          </cell>
          <cell r="H296" t="str">
            <v>DISTRIBUIÇÃO</v>
          </cell>
          <cell r="I296" t="str">
            <v>FOOD SERVICE</v>
          </cell>
          <cell r="J296" t="str">
            <v>FLAC 6</v>
          </cell>
          <cell r="K296" t="str">
            <v>LACTALIS</v>
          </cell>
          <cell r="L296" t="str">
            <v>RODRIGO</v>
          </cell>
          <cell r="M296" t="str">
            <v>RAQUEL BARBOSA</v>
          </cell>
        </row>
        <row r="297">
          <cell r="B297">
            <v>5213905</v>
          </cell>
          <cell r="C297" t="str">
            <v>COLORADO FESTAS LTDA</v>
          </cell>
          <cell r="D297">
            <v>3001</v>
          </cell>
          <cell r="E297" t="str">
            <v>0169</v>
          </cell>
          <cell r="F297" t="str">
            <v>C1</v>
          </cell>
          <cell r="G297" t="str">
            <v>ES</v>
          </cell>
          <cell r="H297" t="str">
            <v>DISTRIBUIÇÃO</v>
          </cell>
          <cell r="I297" t="str">
            <v>FOOD SERVICE</v>
          </cell>
          <cell r="J297" t="str">
            <v>MARCELO DUARTE</v>
          </cell>
          <cell r="K297" t="str">
            <v>ITAMBÉ</v>
          </cell>
          <cell r="L297" t="str">
            <v>RODRIGO</v>
          </cell>
          <cell r="M297" t="str">
            <v>JESSICA</v>
          </cell>
        </row>
        <row r="298">
          <cell r="B298">
            <v>5139714</v>
          </cell>
          <cell r="C298" t="str">
            <v>COLORE INDUSTRIA E COMERCIO LTDA EP</v>
          </cell>
          <cell r="D298">
            <v>3001</v>
          </cell>
          <cell r="E298" t="str">
            <v>0122</v>
          </cell>
          <cell r="F298" t="str">
            <v>C1</v>
          </cell>
          <cell r="G298" t="str">
            <v>MG</v>
          </cell>
          <cell r="H298" t="str">
            <v>INGREDIENTS</v>
          </cell>
          <cell r="I298" t="str">
            <v>INGREDIENTS</v>
          </cell>
          <cell r="J298" t="str">
            <v>HENRIQUE FERREIRA</v>
          </cell>
          <cell r="K298" t="str">
            <v>ITAMBÉ</v>
          </cell>
          <cell r="L298" t="str">
            <v>MAURICIO</v>
          </cell>
          <cell r="M298" t="str">
            <v>JOEL</v>
          </cell>
        </row>
        <row r="299">
          <cell r="B299">
            <v>5011709</v>
          </cell>
          <cell r="C299" t="str">
            <v>COM E REPRESENTACOES CECOTI LTDA</v>
          </cell>
          <cell r="D299">
            <v>3001</v>
          </cell>
          <cell r="E299" t="str">
            <v>0122</v>
          </cell>
          <cell r="F299" t="str">
            <v>C1</v>
          </cell>
          <cell r="G299" t="str">
            <v>MG</v>
          </cell>
          <cell r="H299" t="str">
            <v>DISTRIBUIÇÃO</v>
          </cell>
          <cell r="I299" t="str">
            <v>FOOD SERVICE</v>
          </cell>
          <cell r="J299" t="str">
            <v>CELIO MARTINS</v>
          </cell>
          <cell r="K299" t="str">
            <v>ITAMBÉ</v>
          </cell>
          <cell r="L299" t="str">
            <v>RODRIGO</v>
          </cell>
          <cell r="M299" t="str">
            <v>CELIO MARTINS</v>
          </cell>
        </row>
        <row r="300">
          <cell r="B300">
            <v>5012641</v>
          </cell>
          <cell r="C300" t="str">
            <v>COM LOURO DE FRIOS E SALGADOS LTDA</v>
          </cell>
          <cell r="D300">
            <v>6001</v>
          </cell>
          <cell r="E300" t="str">
            <v>6125</v>
          </cell>
          <cell r="F300" t="str">
            <v>C1</v>
          </cell>
          <cell r="G300" t="str">
            <v>SP</v>
          </cell>
          <cell r="H300" t="str">
            <v>DISTRIBUIÇÃO</v>
          </cell>
          <cell r="I300" t="str">
            <v>FOOD SERVICE</v>
          </cell>
          <cell r="J300" t="str">
            <v>GUILHERME NASCIMENTO</v>
          </cell>
          <cell r="K300" t="str">
            <v>ITAMBÉ</v>
          </cell>
          <cell r="L300" t="str">
            <v>RODRIGO</v>
          </cell>
          <cell r="M300" t="str">
            <v>ALEXANDRO</v>
          </cell>
        </row>
        <row r="301">
          <cell r="B301">
            <v>5012641</v>
          </cell>
          <cell r="C301" t="str">
            <v>COM LOURO DE FRIOS E SALGADOS LTDA</v>
          </cell>
          <cell r="D301">
            <v>7001</v>
          </cell>
          <cell r="E301" t="str">
            <v>0722</v>
          </cell>
          <cell r="F301" t="str">
            <v>C1</v>
          </cell>
          <cell r="G301" t="str">
            <v>SP</v>
          </cell>
          <cell r="H301" t="str">
            <v>DISTRIBUIÇÃO</v>
          </cell>
          <cell r="I301" t="str">
            <v>FOOD SERVICE</v>
          </cell>
          <cell r="J301" t="str">
            <v>GUILHERME NASCIMENTO</v>
          </cell>
          <cell r="K301" t="str">
            <v>LACTALIS</v>
          </cell>
          <cell r="L301" t="str">
            <v>RODRIGO</v>
          </cell>
          <cell r="M301" t="str">
            <v>ALEXANDRO</v>
          </cell>
        </row>
        <row r="302">
          <cell r="B302">
            <v>5269338</v>
          </cell>
          <cell r="C302" t="str">
            <v>COMANDO DA MARINHA</v>
          </cell>
          <cell r="D302">
            <v>3001</v>
          </cell>
          <cell r="E302" t="str">
            <v>0121</v>
          </cell>
          <cell r="F302" t="str">
            <v>C1</v>
          </cell>
          <cell r="G302" t="str">
            <v>RJ</v>
          </cell>
          <cell r="H302" t="str">
            <v>OUTROS</v>
          </cell>
          <cell r="I302" t="str">
            <v>OUTROS</v>
          </cell>
          <cell r="J302" t="str">
            <v>EDUARDO LEITE LEVE LEITE</v>
          </cell>
          <cell r="K302" t="str">
            <v>OUTROS</v>
          </cell>
          <cell r="L302" t="str">
            <v>OUTROS</v>
          </cell>
          <cell r="M302" t="str">
            <v>LICITAÇÃO</v>
          </cell>
        </row>
        <row r="303">
          <cell r="B303">
            <v>5005427</v>
          </cell>
          <cell r="C303" t="str">
            <v>COMERCIAL AZEVEDO LTDA</v>
          </cell>
          <cell r="D303">
            <v>3001</v>
          </cell>
          <cell r="E303" t="str">
            <v>0122</v>
          </cell>
          <cell r="F303" t="str">
            <v>C1</v>
          </cell>
          <cell r="G303" t="str">
            <v>MG</v>
          </cell>
          <cell r="H303" t="str">
            <v>DISTRIBUIÇÃO</v>
          </cell>
          <cell r="I303" t="str">
            <v>FOOD SERVICE</v>
          </cell>
          <cell r="J303" t="str">
            <v>MARCELO SILVA</v>
          </cell>
          <cell r="K303" t="str">
            <v>ITAMBÉ</v>
          </cell>
          <cell r="L303" t="str">
            <v>RODRIGO</v>
          </cell>
          <cell r="M303" t="str">
            <v>CELIO MARTINS</v>
          </cell>
        </row>
        <row r="304">
          <cell r="B304">
            <v>5172911</v>
          </cell>
          <cell r="C304" t="str">
            <v>COMERCIAL DE ALIMENTOS FAVORITA</v>
          </cell>
          <cell r="D304">
            <v>3001</v>
          </cell>
          <cell r="E304" t="str">
            <v>0127</v>
          </cell>
          <cell r="F304" t="str">
            <v>C1</v>
          </cell>
          <cell r="G304" t="str">
            <v>BA</v>
          </cell>
          <cell r="H304" t="str">
            <v>DISTRIBUIÇÃO</v>
          </cell>
          <cell r="I304" t="str">
            <v>FOOD SERVICE</v>
          </cell>
          <cell r="J304" t="str">
            <v>CLAUDIO JORGE/LUIZ</v>
          </cell>
          <cell r="K304" t="str">
            <v>ITAMBÉ</v>
          </cell>
          <cell r="L304" t="str">
            <v>RODRIGO</v>
          </cell>
          <cell r="M304" t="str">
            <v>MARIA LOURDES</v>
          </cell>
        </row>
        <row r="305">
          <cell r="B305">
            <v>5017576</v>
          </cell>
          <cell r="C305" t="str">
            <v>COMERCIAL DISKPAN LTDA</v>
          </cell>
          <cell r="D305">
            <v>3001</v>
          </cell>
          <cell r="E305" t="str">
            <v>0169</v>
          </cell>
          <cell r="F305" t="str">
            <v>C1</v>
          </cell>
          <cell r="G305" t="str">
            <v>ES</v>
          </cell>
          <cell r="H305" t="str">
            <v>DISTRIBUIÇÃO</v>
          </cell>
          <cell r="I305" t="str">
            <v>FOOD SERVICE</v>
          </cell>
          <cell r="J305" t="str">
            <v>MARCELO DUARTE</v>
          </cell>
          <cell r="K305" t="str">
            <v>ITAMBÉ</v>
          </cell>
          <cell r="L305" t="str">
            <v>RODRIGO</v>
          </cell>
          <cell r="M305" t="str">
            <v>JESSICA</v>
          </cell>
        </row>
        <row r="306">
          <cell r="B306">
            <v>5017576</v>
          </cell>
          <cell r="C306" t="str">
            <v>COMERCIAL DISKPAN LTDA</v>
          </cell>
          <cell r="D306">
            <v>4001</v>
          </cell>
          <cell r="E306" t="str">
            <v>0439</v>
          </cell>
          <cell r="F306" t="str">
            <v>C1</v>
          </cell>
          <cell r="G306" t="str">
            <v>ES</v>
          </cell>
          <cell r="H306" t="str">
            <v>DISTRIBUIÇÃO</v>
          </cell>
          <cell r="I306" t="str">
            <v>FOOD SERVICE</v>
          </cell>
          <cell r="J306" t="str">
            <v>MARCELO DUARTE</v>
          </cell>
          <cell r="K306" t="str">
            <v>LACTALIS</v>
          </cell>
          <cell r="L306" t="str">
            <v>RODRIGO</v>
          </cell>
          <cell r="M306" t="str">
            <v>JESSICA</v>
          </cell>
        </row>
        <row r="307">
          <cell r="B307">
            <v>5184211</v>
          </cell>
          <cell r="C307" t="str">
            <v>COMERCIAL ELOI CHAVES LTDA</v>
          </cell>
          <cell r="D307">
            <v>3001</v>
          </cell>
          <cell r="E307" t="str">
            <v>0127</v>
          </cell>
          <cell r="F307" t="str">
            <v>C1</v>
          </cell>
          <cell r="G307" t="str">
            <v>RN</v>
          </cell>
          <cell r="H307" t="str">
            <v>DISTRIBUIÇÃO</v>
          </cell>
          <cell r="I307" t="str">
            <v>FOOD SERVICE</v>
          </cell>
          <cell r="J307" t="str">
            <v>CLAUDIO JORGE</v>
          </cell>
          <cell r="K307" t="str">
            <v>ITAMBÉ</v>
          </cell>
          <cell r="L307" t="str">
            <v>RODRIGO</v>
          </cell>
          <cell r="M307" t="str">
            <v>MARIA LOURDES</v>
          </cell>
        </row>
        <row r="308">
          <cell r="B308">
            <v>5068734</v>
          </cell>
          <cell r="C308" t="str">
            <v>COMERCIO DE GEN ALIMENT MATHESCH LT</v>
          </cell>
          <cell r="D308">
            <v>3001</v>
          </cell>
          <cell r="E308" t="str">
            <v>0126</v>
          </cell>
          <cell r="F308" t="str">
            <v>C1</v>
          </cell>
          <cell r="G308" t="str">
            <v>SC</v>
          </cell>
          <cell r="H308" t="str">
            <v>INGREDIENTS</v>
          </cell>
          <cell r="I308" t="str">
            <v>INGREDIENTS</v>
          </cell>
          <cell r="J308" t="str">
            <v>DUAS RODAS</v>
          </cell>
          <cell r="K308" t="str">
            <v>ITAMBÉ</v>
          </cell>
          <cell r="L308" t="str">
            <v>MAURICIO</v>
          </cell>
          <cell r="M308" t="str">
            <v>MARCELO</v>
          </cell>
        </row>
        <row r="309">
          <cell r="B309">
            <v>5335628</v>
          </cell>
          <cell r="C309" t="str">
            <v>COMERCIO E REPRESENTACOES CECOT</v>
          </cell>
          <cell r="D309">
            <v>3001</v>
          </cell>
          <cell r="E309" t="str">
            <v>0122</v>
          </cell>
          <cell r="F309" t="str">
            <v>C1</v>
          </cell>
          <cell r="G309" t="str">
            <v>MG</v>
          </cell>
          <cell r="H309" t="str">
            <v>DISTRIBUIÇÃO</v>
          </cell>
          <cell r="I309" t="str">
            <v>FOOD SERVICE</v>
          </cell>
          <cell r="J309" t="str">
            <v>CELIO MARTINS</v>
          </cell>
          <cell r="K309" t="str">
            <v>ITAMBÉ</v>
          </cell>
          <cell r="L309" t="str">
            <v>RODRIGO</v>
          </cell>
          <cell r="M309" t="str">
            <v>CELIO MARTINS</v>
          </cell>
        </row>
        <row r="310">
          <cell r="B310">
            <v>5255804</v>
          </cell>
          <cell r="C310" t="str">
            <v>COMFRIO FOOD SERVICE LTDA</v>
          </cell>
          <cell r="D310">
            <v>7001</v>
          </cell>
          <cell r="E310" t="str">
            <v>0745</v>
          </cell>
          <cell r="F310" t="str">
            <v>C7</v>
          </cell>
          <cell r="G310" t="str">
            <v>SP</v>
          </cell>
          <cell r="H310" t="str">
            <v>QSR</v>
          </cell>
          <cell r="I310" t="str">
            <v>FOOD SERVICE</v>
          </cell>
          <cell r="J310" t="str">
            <v>VAGO QSR</v>
          </cell>
          <cell r="K310" t="str">
            <v>LACTALIS</v>
          </cell>
          <cell r="L310" t="str">
            <v>PEDRO</v>
          </cell>
          <cell r="M310" t="str">
            <v>VAGO QSR</v>
          </cell>
        </row>
        <row r="311">
          <cell r="B311">
            <v>5255804</v>
          </cell>
          <cell r="C311" t="str">
            <v>COMFRIO FOOD SERVICE LTDA</v>
          </cell>
          <cell r="D311">
            <v>7001</v>
          </cell>
          <cell r="E311" t="str">
            <v>0745</v>
          </cell>
          <cell r="F311" t="str">
            <v>C5</v>
          </cell>
          <cell r="G311" t="str">
            <v>SP</v>
          </cell>
          <cell r="H311" t="str">
            <v>QSR</v>
          </cell>
          <cell r="I311" t="str">
            <v>FOOD SERVICE</v>
          </cell>
          <cell r="J311" t="str">
            <v>VAGO QSR</v>
          </cell>
          <cell r="K311" t="str">
            <v>LACTALIS</v>
          </cell>
          <cell r="L311" t="str">
            <v>PEDRO</v>
          </cell>
          <cell r="M311" t="str">
            <v>VAGO QSR</v>
          </cell>
        </row>
        <row r="312">
          <cell r="B312">
            <v>5230848</v>
          </cell>
          <cell r="C312" t="str">
            <v>COML EURO BR DIST DE ALIMENTOS</v>
          </cell>
          <cell r="D312">
            <v>7001</v>
          </cell>
          <cell r="E312" t="str">
            <v>0749</v>
          </cell>
          <cell r="F312" t="str">
            <v>C5</v>
          </cell>
          <cell r="G312" t="str">
            <v>SP</v>
          </cell>
          <cell r="H312" t="str">
            <v>DISTRIBUIÇÃO</v>
          </cell>
          <cell r="I312" t="str">
            <v>FOOD SERVICE</v>
          </cell>
          <cell r="J312" t="str">
            <v>FLAC 1</v>
          </cell>
          <cell r="K312" t="str">
            <v>LACTALIS</v>
          </cell>
          <cell r="L312" t="str">
            <v>RODRIGO</v>
          </cell>
          <cell r="M312" t="str">
            <v>RAQUEL BARBOSA</v>
          </cell>
        </row>
        <row r="313">
          <cell r="B313">
            <v>5290223</v>
          </cell>
          <cell r="C313" t="str">
            <v>COMPRARE COM ATACADISTA DE ALIM LTD</v>
          </cell>
          <cell r="D313">
            <v>7001</v>
          </cell>
          <cell r="E313" t="str">
            <v>0749</v>
          </cell>
          <cell r="F313" t="str">
            <v>C5</v>
          </cell>
          <cell r="G313" t="str">
            <v>SP</v>
          </cell>
          <cell r="H313" t="str">
            <v>DISTRIBUIÇÃO</v>
          </cell>
          <cell r="I313" t="str">
            <v>FOOD SERVICE</v>
          </cell>
          <cell r="J313" t="str">
            <v>FLAC 1</v>
          </cell>
          <cell r="K313" t="str">
            <v>LACTALIS</v>
          </cell>
          <cell r="L313" t="str">
            <v>RODRIGO</v>
          </cell>
          <cell r="M313" t="str">
            <v>RAQUEL BARBOSA</v>
          </cell>
        </row>
        <row r="314">
          <cell r="B314">
            <v>5307427</v>
          </cell>
          <cell r="C314" t="str">
            <v>CONCAVO E CONVEXO EMPRESA DE TURISM</v>
          </cell>
          <cell r="D314">
            <v>7001</v>
          </cell>
          <cell r="E314" t="str">
            <v>0749</v>
          </cell>
          <cell r="F314" t="str">
            <v>C5</v>
          </cell>
          <cell r="G314" t="str">
            <v>SP</v>
          </cell>
          <cell r="H314" t="str">
            <v>DISTRIBUIÇÃO</v>
          </cell>
          <cell r="I314" t="str">
            <v>FOOD SERVICE</v>
          </cell>
          <cell r="J314" t="str">
            <v>FLAC 6</v>
          </cell>
          <cell r="K314" t="str">
            <v>LACTALIS</v>
          </cell>
          <cell r="L314" t="str">
            <v>RODRIGO</v>
          </cell>
          <cell r="M314" t="str">
            <v>RAQUEL BARBOSA</v>
          </cell>
        </row>
        <row r="315">
          <cell r="B315">
            <v>5218947</v>
          </cell>
          <cell r="C315" t="str">
            <v>CONDE COMERCIAL DE ALIMENTOS LTDA</v>
          </cell>
          <cell r="D315">
            <v>3001</v>
          </cell>
          <cell r="E315" t="str">
            <v>0127</v>
          </cell>
          <cell r="F315" t="str">
            <v>C1</v>
          </cell>
          <cell r="G315" t="str">
            <v>BA</v>
          </cell>
          <cell r="H315" t="str">
            <v>DISTRIBUIÇÃO</v>
          </cell>
          <cell r="I315" t="str">
            <v>FOOD SERVICE</v>
          </cell>
          <cell r="J315" t="str">
            <v>CLAUDIO JORGE/LUIZ</v>
          </cell>
          <cell r="K315" t="str">
            <v>ITAMBÉ</v>
          </cell>
          <cell r="L315" t="str">
            <v>RODRIGO</v>
          </cell>
          <cell r="M315" t="str">
            <v>MARIA LOURDES</v>
          </cell>
        </row>
        <row r="316">
          <cell r="B316">
            <v>5329676</v>
          </cell>
          <cell r="C316" t="str">
            <v>CONDOMINIO EDIFICIO PAULISTA CO</v>
          </cell>
          <cell r="D316">
            <v>7001</v>
          </cell>
          <cell r="E316" t="str">
            <v>0749</v>
          </cell>
          <cell r="F316" t="str">
            <v>C5</v>
          </cell>
          <cell r="G316" t="str">
            <v>SP</v>
          </cell>
          <cell r="H316" t="str">
            <v>DISTRIBUIÇÃO</v>
          </cell>
          <cell r="I316" t="str">
            <v>FOOD SERVICE</v>
          </cell>
          <cell r="J316" t="str">
            <v>FLAC 5</v>
          </cell>
          <cell r="K316" t="str">
            <v>LACTALIS</v>
          </cell>
          <cell r="L316" t="str">
            <v>RODRIGO</v>
          </cell>
          <cell r="M316" t="str">
            <v>RAQUEL BARBOSA</v>
          </cell>
        </row>
        <row r="317">
          <cell r="B317">
            <v>5184310</v>
          </cell>
          <cell r="C317" t="str">
            <v>CONDOMINIO VILLA JARDINS</v>
          </cell>
          <cell r="D317">
            <v>7001</v>
          </cell>
          <cell r="E317" t="str">
            <v>0749</v>
          </cell>
          <cell r="F317" t="str">
            <v>C5</v>
          </cell>
          <cell r="G317" t="str">
            <v>SP</v>
          </cell>
          <cell r="H317" t="str">
            <v>QSR</v>
          </cell>
          <cell r="I317" t="str">
            <v>FOOD SERVICE</v>
          </cell>
          <cell r="J317" t="str">
            <v>NUTRI</v>
          </cell>
          <cell r="K317" t="str">
            <v>LACTALIS</v>
          </cell>
          <cell r="L317" t="str">
            <v>PEDRO</v>
          </cell>
          <cell r="M317" t="str">
            <v>VAGO QSR</v>
          </cell>
        </row>
        <row r="318">
          <cell r="B318">
            <v>5337340</v>
          </cell>
          <cell r="C318" t="str">
            <v>CONEXAO COMERCIO DE BOLOS E DOC</v>
          </cell>
          <cell r="D318">
            <v>7001</v>
          </cell>
          <cell r="E318" t="str">
            <v>0749</v>
          </cell>
          <cell r="F318" t="str">
            <v>C5</v>
          </cell>
          <cell r="G318" t="str">
            <v>SP</v>
          </cell>
          <cell r="H318" t="str">
            <v>DISTRIBUIÇÃO</v>
          </cell>
          <cell r="I318" t="str">
            <v>FOOD SERVICE</v>
          </cell>
          <cell r="J318" t="str">
            <v>FLAC 6</v>
          </cell>
          <cell r="K318" t="str">
            <v>LACTALIS</v>
          </cell>
          <cell r="L318" t="str">
            <v>RODRIGO</v>
          </cell>
          <cell r="M318" t="str">
            <v>RAQUEL BARBOSA</v>
          </cell>
        </row>
        <row r="319">
          <cell r="B319">
            <v>5230076</v>
          </cell>
          <cell r="C319" t="str">
            <v>CONFEITARIA 4 DE DEZEMBRO LTDA</v>
          </cell>
          <cell r="D319">
            <v>7001</v>
          </cell>
          <cell r="E319" t="str">
            <v>0749</v>
          </cell>
          <cell r="F319" t="str">
            <v>C5</v>
          </cell>
          <cell r="G319" t="str">
            <v>SP</v>
          </cell>
          <cell r="H319" t="str">
            <v>DISTRIBUIÇÃO</v>
          </cell>
          <cell r="I319" t="str">
            <v>FOOD SERVICE</v>
          </cell>
          <cell r="J319" t="str">
            <v>FLAC 2</v>
          </cell>
          <cell r="K319" t="str">
            <v>LACTALIS</v>
          </cell>
          <cell r="L319" t="str">
            <v>RODRIGO</v>
          </cell>
          <cell r="M319" t="str">
            <v>RAQUEL BARBOSA</v>
          </cell>
        </row>
        <row r="320">
          <cell r="B320">
            <v>5316640</v>
          </cell>
          <cell r="C320" t="str">
            <v>CONFEITARIA E CAFETERIA AMERICA</v>
          </cell>
          <cell r="D320">
            <v>7001</v>
          </cell>
          <cell r="E320" t="str">
            <v>0749</v>
          </cell>
          <cell r="F320" t="str">
            <v>C5</v>
          </cell>
          <cell r="G320" t="str">
            <v>SP</v>
          </cell>
          <cell r="H320" t="str">
            <v>DISTRIBUIÇÃO</v>
          </cell>
          <cell r="I320" t="str">
            <v>FOOD SERVICE</v>
          </cell>
          <cell r="J320" t="str">
            <v>FLAC 7</v>
          </cell>
          <cell r="K320" t="str">
            <v>LACTALIS</v>
          </cell>
          <cell r="L320" t="str">
            <v>RODRIGO</v>
          </cell>
          <cell r="M320" t="str">
            <v>RAQUEL BARBOSA</v>
          </cell>
        </row>
        <row r="321">
          <cell r="B321">
            <v>5314036</v>
          </cell>
          <cell r="C321" t="str">
            <v>CONFEITARIA SOIDA LTDA</v>
          </cell>
          <cell r="D321">
            <v>7001</v>
          </cell>
          <cell r="E321" t="str">
            <v>0749</v>
          </cell>
          <cell r="F321" t="str">
            <v>C5</v>
          </cell>
          <cell r="G321" t="str">
            <v>SP</v>
          </cell>
          <cell r="H321" t="str">
            <v>DISTRIBUIÇÃO</v>
          </cell>
          <cell r="I321" t="str">
            <v>FOOD SERVICE</v>
          </cell>
          <cell r="J321" t="str">
            <v>FLAC 5</v>
          </cell>
          <cell r="K321" t="str">
            <v>LACTALIS</v>
          </cell>
          <cell r="L321" t="str">
            <v>RODRIGO</v>
          </cell>
          <cell r="M321" t="str">
            <v>RAQUEL BARBOSA</v>
          </cell>
        </row>
        <row r="322">
          <cell r="B322">
            <v>5118346</v>
          </cell>
          <cell r="C322" t="str">
            <v>CONFESPAN COMERCIO E DISTRIBUICAO L</v>
          </cell>
          <cell r="D322">
            <v>6001</v>
          </cell>
          <cell r="E322" t="str">
            <v>6125</v>
          </cell>
          <cell r="F322" t="str">
            <v>C1</v>
          </cell>
          <cell r="G322" t="str">
            <v>SP</v>
          </cell>
          <cell r="H322" t="str">
            <v>DISTRIBUIÇÃO</v>
          </cell>
          <cell r="I322" t="str">
            <v>FOOD SERVICE</v>
          </cell>
          <cell r="J322" t="str">
            <v>VAGO SP</v>
          </cell>
          <cell r="K322" t="str">
            <v>ITAMBÉ</v>
          </cell>
          <cell r="L322" t="str">
            <v>RODRIGO</v>
          </cell>
          <cell r="M322" t="str">
            <v>RAQUEL BARBOSA</v>
          </cell>
        </row>
        <row r="323">
          <cell r="B323">
            <v>5118346</v>
          </cell>
          <cell r="C323" t="str">
            <v>CONFESPAN COMERCIO E DISTRIBUICAO L</v>
          </cell>
          <cell r="D323">
            <v>7001</v>
          </cell>
          <cell r="E323" t="str">
            <v>0749</v>
          </cell>
          <cell r="F323" t="str">
            <v>C5</v>
          </cell>
          <cell r="G323" t="str">
            <v>SP</v>
          </cell>
          <cell r="H323" t="str">
            <v>DISTRIBUIÇÃO</v>
          </cell>
          <cell r="I323" t="str">
            <v>FOOD SERVICE</v>
          </cell>
          <cell r="J323" t="str">
            <v>VAGO SP</v>
          </cell>
          <cell r="K323" t="str">
            <v>LACTALIS</v>
          </cell>
          <cell r="L323" t="str">
            <v>RODRIGO</v>
          </cell>
          <cell r="M323" t="str">
            <v>RAQUEL BARBOSA</v>
          </cell>
        </row>
        <row r="324">
          <cell r="B324">
            <v>5059611</v>
          </cell>
          <cell r="C324" t="str">
            <v>CONSUMA GASTRONOMIA LTDA</v>
          </cell>
          <cell r="D324">
            <v>7001</v>
          </cell>
          <cell r="E324" t="str">
            <v>0749</v>
          </cell>
          <cell r="F324" t="str">
            <v>C5</v>
          </cell>
          <cell r="G324" t="str">
            <v>SP</v>
          </cell>
          <cell r="H324" t="str">
            <v>QSR</v>
          </cell>
          <cell r="I324" t="str">
            <v>FOOD SERVICE</v>
          </cell>
          <cell r="J324" t="str">
            <v>NUTRI</v>
          </cell>
          <cell r="K324" t="str">
            <v>LACTALIS</v>
          </cell>
          <cell r="L324" t="str">
            <v>PEDRO</v>
          </cell>
          <cell r="M324" t="str">
            <v>VAGO QSR</v>
          </cell>
        </row>
        <row r="325">
          <cell r="B325">
            <v>5051163</v>
          </cell>
          <cell r="C325" t="str">
            <v>COOK EMPREENDIMENTOS EM ALIM COLETI</v>
          </cell>
          <cell r="D325">
            <v>3001</v>
          </cell>
          <cell r="E325" t="str">
            <v>0122</v>
          </cell>
          <cell r="F325" t="str">
            <v>C1</v>
          </cell>
          <cell r="G325" t="str">
            <v>MG</v>
          </cell>
          <cell r="H325" t="str">
            <v>DISTRIBUIÇÃO</v>
          </cell>
          <cell r="I325" t="str">
            <v>FOOD SERVICE</v>
          </cell>
          <cell r="J325" t="str">
            <v>MARCELO SILVA</v>
          </cell>
          <cell r="K325" t="str">
            <v>ITAMBÉ</v>
          </cell>
          <cell r="L325" t="str">
            <v>RODRIGO</v>
          </cell>
          <cell r="M325" t="str">
            <v>CELIO MARTINS</v>
          </cell>
        </row>
        <row r="326">
          <cell r="B326">
            <v>5230053</v>
          </cell>
          <cell r="C326" t="str">
            <v>COOP AGROP CENTRO SERRANA</v>
          </cell>
          <cell r="D326">
            <v>4001</v>
          </cell>
          <cell r="E326" t="str">
            <v>0455</v>
          </cell>
          <cell r="F326" t="str">
            <v>C1</v>
          </cell>
          <cell r="G326" t="str">
            <v>ES</v>
          </cell>
          <cell r="H326" t="str">
            <v>INGREDIENTS</v>
          </cell>
          <cell r="I326" t="str">
            <v>INGREDIENTS</v>
          </cell>
          <cell r="J326" t="str">
            <v>JOEL ELEOTÉRIO</v>
          </cell>
          <cell r="K326" t="str">
            <v>LACTALIS</v>
          </cell>
          <cell r="L326" t="str">
            <v>MAURICIO</v>
          </cell>
          <cell r="M326" t="str">
            <v>JOEL</v>
          </cell>
        </row>
        <row r="327">
          <cell r="B327">
            <v>5210000</v>
          </cell>
          <cell r="C327" t="str">
            <v>COOPEAVI COOPERATIVA A CENTRO SERRA</v>
          </cell>
          <cell r="D327">
            <v>4001</v>
          </cell>
          <cell r="E327" t="str">
            <v>0455</v>
          </cell>
          <cell r="F327" t="str">
            <v>C1</v>
          </cell>
          <cell r="G327" t="str">
            <v>ES</v>
          </cell>
          <cell r="H327" t="str">
            <v>INGREDIENTS</v>
          </cell>
          <cell r="I327" t="str">
            <v>INGREDIENTS</v>
          </cell>
          <cell r="J327" t="str">
            <v>MARCELO RODRIGUES</v>
          </cell>
          <cell r="K327" t="str">
            <v>LACTALIS</v>
          </cell>
          <cell r="L327" t="str">
            <v>MAURICIO</v>
          </cell>
          <cell r="M327" t="str">
            <v>MARCELO</v>
          </cell>
        </row>
        <row r="328">
          <cell r="B328">
            <v>5229103</v>
          </cell>
          <cell r="C328" t="str">
            <v>COOPERATIVA AGRO PECUARIA VALE</v>
          </cell>
          <cell r="D328">
            <v>3001</v>
          </cell>
          <cell r="E328" t="str">
            <v>0028</v>
          </cell>
          <cell r="F328" t="str">
            <v>C1</v>
          </cell>
          <cell r="G328" t="str">
            <v>MG</v>
          </cell>
          <cell r="H328" t="str">
            <v>INGREDIENTS</v>
          </cell>
          <cell r="I328" t="str">
            <v>INGREDIENTS</v>
          </cell>
          <cell r="J328" t="str">
            <v>MARCELO RODRIGUES</v>
          </cell>
          <cell r="K328" t="str">
            <v>ITAMBÉ</v>
          </cell>
          <cell r="L328" t="str">
            <v>MAURICIO</v>
          </cell>
          <cell r="M328" t="str">
            <v>MARCELO</v>
          </cell>
        </row>
        <row r="329">
          <cell r="B329">
            <v>5089548</v>
          </cell>
          <cell r="C329" t="str">
            <v>COOPERATIVA AGROINDUSTRIAL SERRAMAR</v>
          </cell>
          <cell r="D329">
            <v>4001</v>
          </cell>
          <cell r="E329" t="str">
            <v>0437</v>
          </cell>
          <cell r="F329" t="str">
            <v>C1</v>
          </cell>
          <cell r="G329" t="str">
            <v>SP</v>
          </cell>
          <cell r="H329" t="str">
            <v>INGREDIENTS</v>
          </cell>
          <cell r="I329" t="str">
            <v>INGREDIENTS</v>
          </cell>
          <cell r="J329" t="str">
            <v>TATIANA NITTA</v>
          </cell>
          <cell r="K329" t="str">
            <v>LACTALIS</v>
          </cell>
          <cell r="L329" t="str">
            <v>MAURICIO</v>
          </cell>
          <cell r="M329" t="str">
            <v>TATIANA NITTA</v>
          </cell>
        </row>
        <row r="330">
          <cell r="B330">
            <v>5079293</v>
          </cell>
          <cell r="C330" t="str">
            <v>COPROSUL COMERCIO IMPORT E EXPO</v>
          </cell>
          <cell r="D330">
            <v>7001</v>
          </cell>
          <cell r="E330" t="str">
            <v>0722</v>
          </cell>
          <cell r="F330" t="str">
            <v>C1</v>
          </cell>
          <cell r="G330" t="str">
            <v>SP</v>
          </cell>
          <cell r="H330" t="str">
            <v>DISTRIBUIÇÃO</v>
          </cell>
          <cell r="I330" t="str">
            <v>FOOD SERVICE</v>
          </cell>
          <cell r="J330" t="str">
            <v>VAGO SP</v>
          </cell>
          <cell r="K330" t="str">
            <v>LACTALIS</v>
          </cell>
          <cell r="L330" t="str">
            <v>RODRIGO</v>
          </cell>
          <cell r="M330" t="str">
            <v>RAQUEL BARBOSA</v>
          </cell>
        </row>
        <row r="331">
          <cell r="B331">
            <v>5327958</v>
          </cell>
          <cell r="C331" t="str">
            <v>CRC COMPANHIA DE RESTAURANTES CORPO</v>
          </cell>
          <cell r="D331">
            <v>7001</v>
          </cell>
          <cell r="E331" t="str">
            <v>0749</v>
          </cell>
          <cell r="F331" t="str">
            <v>C5</v>
          </cell>
          <cell r="G331" t="str">
            <v>SP</v>
          </cell>
          <cell r="H331" t="str">
            <v>DISTRIBUIÇÃO</v>
          </cell>
          <cell r="I331" t="str">
            <v>FOOD SERVICE</v>
          </cell>
          <cell r="J331" t="str">
            <v>FLAC 2</v>
          </cell>
          <cell r="K331" t="str">
            <v>LACTALIS</v>
          </cell>
          <cell r="L331" t="str">
            <v>RODRIGO</v>
          </cell>
          <cell r="M331" t="str">
            <v>RAQUEL BARBOSA</v>
          </cell>
        </row>
        <row r="332">
          <cell r="B332">
            <v>5253958</v>
          </cell>
          <cell r="C332" t="str">
            <v>CREPE DE PARIS RESTAURANTE LTDA</v>
          </cell>
          <cell r="D332">
            <v>7001</v>
          </cell>
          <cell r="E332" t="str">
            <v>0749</v>
          </cell>
          <cell r="F332" t="str">
            <v>C5</v>
          </cell>
          <cell r="G332" t="str">
            <v>SP</v>
          </cell>
          <cell r="H332" t="str">
            <v>DISTRIBUIÇÃO</v>
          </cell>
          <cell r="I332" t="str">
            <v>FOOD SERVICE</v>
          </cell>
          <cell r="J332" t="str">
            <v>FLAC 6</v>
          </cell>
          <cell r="K332" t="str">
            <v>LACTALIS</v>
          </cell>
          <cell r="L332" t="str">
            <v>RODRIGO</v>
          </cell>
          <cell r="M332" t="str">
            <v>RAQUEL BARBOSA</v>
          </cell>
        </row>
        <row r="333">
          <cell r="B333">
            <v>5311737</v>
          </cell>
          <cell r="C333" t="str">
            <v>CRISTALIA ALIMENTACAO E SERVICOS LT</v>
          </cell>
          <cell r="D333">
            <v>7001</v>
          </cell>
          <cell r="E333" t="str">
            <v>0749</v>
          </cell>
          <cell r="F333" t="str">
            <v>C5</v>
          </cell>
          <cell r="G333" t="str">
            <v>SP</v>
          </cell>
          <cell r="H333" t="str">
            <v>DISTRIBUIÇÃO</v>
          </cell>
          <cell r="I333" t="str">
            <v>FOOD SERVICE</v>
          </cell>
          <cell r="J333" t="str">
            <v>FLAC 6</v>
          </cell>
          <cell r="K333" t="str">
            <v>LACTALIS</v>
          </cell>
          <cell r="L333" t="str">
            <v>RODRIGO</v>
          </cell>
          <cell r="M333" t="str">
            <v>RAQUEL BARBOSA</v>
          </cell>
        </row>
        <row r="334">
          <cell r="B334">
            <v>5044511</v>
          </cell>
          <cell r="C334" t="str">
            <v>CRM IND E COM DE ALIMENTOS LTDA</v>
          </cell>
          <cell r="D334">
            <v>3001</v>
          </cell>
          <cell r="E334" t="str">
            <v>0028</v>
          </cell>
          <cell r="F334" t="str">
            <v>C1</v>
          </cell>
          <cell r="G334" t="str">
            <v>MG</v>
          </cell>
          <cell r="H334" t="str">
            <v>INGREDIENTS</v>
          </cell>
          <cell r="I334" t="str">
            <v>INGREDIENTS</v>
          </cell>
          <cell r="J334" t="str">
            <v>HENRIQUE FERREIRA</v>
          </cell>
          <cell r="K334" t="str">
            <v>ITAMBÉ</v>
          </cell>
          <cell r="L334" t="str">
            <v>MAURICIO</v>
          </cell>
          <cell r="M334" t="str">
            <v>JOEL</v>
          </cell>
        </row>
        <row r="335">
          <cell r="B335">
            <v>5044511</v>
          </cell>
          <cell r="C335" t="str">
            <v>CRM IND E COM DE ALIMENTOS LTDA</v>
          </cell>
          <cell r="D335">
            <v>3001</v>
          </cell>
          <cell r="E335" t="str">
            <v>0122</v>
          </cell>
          <cell r="F335" t="str">
            <v>C1</v>
          </cell>
          <cell r="G335" t="str">
            <v>MG</v>
          </cell>
          <cell r="H335" t="str">
            <v>INGREDIENTS</v>
          </cell>
          <cell r="I335" t="str">
            <v>INGREDIENTS</v>
          </cell>
          <cell r="J335" t="str">
            <v>HENRIQUE FERREIRA</v>
          </cell>
          <cell r="K335" t="str">
            <v>ITAMBÉ</v>
          </cell>
          <cell r="L335" t="str">
            <v>MAURICIO</v>
          </cell>
          <cell r="M335" t="str">
            <v>JOEL</v>
          </cell>
        </row>
        <row r="336">
          <cell r="B336">
            <v>5196998</v>
          </cell>
          <cell r="C336" t="str">
            <v>CROISSANT IND E COM DE SALGADOS LTD</v>
          </cell>
          <cell r="D336">
            <v>6001</v>
          </cell>
          <cell r="E336" t="str">
            <v>6125</v>
          </cell>
          <cell r="F336" t="str">
            <v>C1</v>
          </cell>
          <cell r="G336" t="str">
            <v>SP</v>
          </cell>
          <cell r="H336" t="str">
            <v>INGREDIENTS</v>
          </cell>
          <cell r="I336" t="str">
            <v>INGREDIENTS</v>
          </cell>
          <cell r="J336" t="str">
            <v>HENRIQUE FERREIRA</v>
          </cell>
          <cell r="K336" t="str">
            <v>ITAMBÉ</v>
          </cell>
          <cell r="L336" t="str">
            <v>MAURICIO</v>
          </cell>
          <cell r="M336" t="str">
            <v>JOEL</v>
          </cell>
        </row>
        <row r="337">
          <cell r="B337">
            <v>5266349</v>
          </cell>
          <cell r="C337" t="str">
            <v>CROQUETERIA SP LTDA</v>
          </cell>
          <cell r="D337">
            <v>7001</v>
          </cell>
          <cell r="E337" t="str">
            <v>0749</v>
          </cell>
          <cell r="F337" t="str">
            <v>C5</v>
          </cell>
          <cell r="G337" t="str">
            <v>SP</v>
          </cell>
          <cell r="H337" t="str">
            <v>DISTRIBUIÇÃO</v>
          </cell>
          <cell r="I337" t="str">
            <v>FOOD SERVICE</v>
          </cell>
          <cell r="J337" t="str">
            <v>FLAC 3</v>
          </cell>
          <cell r="K337" t="str">
            <v>LACTALIS</v>
          </cell>
          <cell r="L337" t="str">
            <v>RODRIGO</v>
          </cell>
          <cell r="M337" t="str">
            <v>RAQUEL BARBOSA</v>
          </cell>
        </row>
        <row r="338">
          <cell r="B338">
            <v>5290476</v>
          </cell>
          <cell r="C338" t="str">
            <v>CRUSTO MICROPADARIA ARTESANAL LTDA</v>
          </cell>
          <cell r="D338">
            <v>7001</v>
          </cell>
          <cell r="E338" t="str">
            <v>0749</v>
          </cell>
          <cell r="F338" t="str">
            <v>C5</v>
          </cell>
          <cell r="G338" t="str">
            <v>SP</v>
          </cell>
          <cell r="H338" t="str">
            <v>DISTRIBUIÇÃO</v>
          </cell>
          <cell r="I338" t="str">
            <v>FOOD SERVICE</v>
          </cell>
          <cell r="J338" t="str">
            <v>FLAC 7</v>
          </cell>
          <cell r="K338" t="str">
            <v>LACTALIS</v>
          </cell>
          <cell r="L338" t="str">
            <v>RODRIGO</v>
          </cell>
          <cell r="M338" t="str">
            <v>RAQUEL BARBOSA</v>
          </cell>
        </row>
        <row r="339">
          <cell r="B339">
            <v>5185277</v>
          </cell>
          <cell r="C339" t="str">
            <v>CSS DISTRIBUIDORA LTDA</v>
          </cell>
          <cell r="D339">
            <v>3001</v>
          </cell>
          <cell r="E339" t="str">
            <v>0123</v>
          </cell>
          <cell r="F339" t="str">
            <v>C1</v>
          </cell>
          <cell r="G339" t="str">
            <v>MT</v>
          </cell>
          <cell r="H339" t="str">
            <v>DISTRIBUIÇÃO</v>
          </cell>
          <cell r="I339" t="str">
            <v>FOOD SERVICE</v>
          </cell>
          <cell r="J339" t="str">
            <v>CLAUDIO JORGE</v>
          </cell>
          <cell r="K339" t="str">
            <v>ITAMBÉ</v>
          </cell>
          <cell r="L339" t="str">
            <v>RODRIGO</v>
          </cell>
          <cell r="M339" t="str">
            <v>MARCO AURELIO</v>
          </cell>
        </row>
        <row r="340">
          <cell r="B340">
            <v>5316731</v>
          </cell>
          <cell r="C340" t="str">
            <v>CUCINA TUTTO PRONTO COMERCIO DE ALI</v>
          </cell>
          <cell r="D340">
            <v>7001</v>
          </cell>
          <cell r="E340" t="str">
            <v>0749</v>
          </cell>
          <cell r="F340" t="str">
            <v>C5</v>
          </cell>
          <cell r="G340" t="str">
            <v>SP</v>
          </cell>
          <cell r="H340" t="str">
            <v>DISTRIBUIÇÃO</v>
          </cell>
          <cell r="I340" t="str">
            <v>FOOD SERVICE</v>
          </cell>
          <cell r="J340" t="str">
            <v>FLAC 6</v>
          </cell>
          <cell r="K340" t="str">
            <v>LACTALIS</v>
          </cell>
          <cell r="L340" t="str">
            <v>RODRIGO</v>
          </cell>
          <cell r="M340" t="str">
            <v>RAQUEL BARBOSA</v>
          </cell>
        </row>
        <row r="341">
          <cell r="B341">
            <v>5015597</v>
          </cell>
          <cell r="C341" t="str">
            <v>CUNHAPAN DIST DE PROD P PANIF LTDA</v>
          </cell>
          <cell r="D341">
            <v>3001</v>
          </cell>
          <cell r="E341" t="str">
            <v>0126</v>
          </cell>
          <cell r="F341" t="str">
            <v>C1</v>
          </cell>
          <cell r="G341" t="str">
            <v>SC</v>
          </cell>
          <cell r="H341" t="str">
            <v>DISTRIBUIÇÃO</v>
          </cell>
          <cell r="I341" t="str">
            <v>FOOD SERVICE</v>
          </cell>
          <cell r="J341" t="str">
            <v>ANGELICA BATISTELA</v>
          </cell>
          <cell r="K341" t="str">
            <v>ITAMBÉ</v>
          </cell>
          <cell r="L341" t="str">
            <v>RODRIGO</v>
          </cell>
          <cell r="M341" t="str">
            <v>ANGELICA BATISTELA</v>
          </cell>
        </row>
        <row r="342">
          <cell r="B342">
            <v>5269835</v>
          </cell>
          <cell r="C342" t="str">
            <v>CURSI E ALBIERI CONF CAFE E CONVEN</v>
          </cell>
          <cell r="D342">
            <v>7001</v>
          </cell>
          <cell r="E342" t="str">
            <v>0749</v>
          </cell>
          <cell r="F342" t="str">
            <v>C5</v>
          </cell>
          <cell r="G342" t="str">
            <v>SP</v>
          </cell>
          <cell r="H342" t="str">
            <v>DISTRIBUIÇÃO</v>
          </cell>
          <cell r="I342" t="str">
            <v>FOOD SERVICE</v>
          </cell>
          <cell r="J342" t="str">
            <v>FLAC 2</v>
          </cell>
          <cell r="K342" t="str">
            <v>LACTALIS</v>
          </cell>
          <cell r="L342" t="str">
            <v>RODRIGO</v>
          </cell>
          <cell r="M342" t="str">
            <v>RAQUEL BARBOSA</v>
          </cell>
        </row>
        <row r="343">
          <cell r="B343">
            <v>5314910</v>
          </cell>
          <cell r="C343" t="str">
            <v>CVN VAREJO DE ALIMENTOS UNIPESSOAL</v>
          </cell>
          <cell r="D343">
            <v>7001</v>
          </cell>
          <cell r="E343" t="str">
            <v>0749</v>
          </cell>
          <cell r="F343" t="str">
            <v>C5</v>
          </cell>
          <cell r="G343" t="str">
            <v>SP</v>
          </cell>
          <cell r="H343" t="str">
            <v>DISTRIBUIÇÃO</v>
          </cell>
          <cell r="I343" t="str">
            <v>FOOD SERVICE</v>
          </cell>
          <cell r="J343" t="str">
            <v>FLAC 2</v>
          </cell>
          <cell r="K343" t="str">
            <v>LACTALIS</v>
          </cell>
          <cell r="L343" t="str">
            <v>RODRIGO</v>
          </cell>
          <cell r="M343" t="str">
            <v>RAQUEL BARBOSA</v>
          </cell>
        </row>
        <row r="344">
          <cell r="B344">
            <v>5206232</v>
          </cell>
          <cell r="C344" t="str">
            <v>CWB BRANDS COMERCIO</v>
          </cell>
          <cell r="D344">
            <v>3001</v>
          </cell>
          <cell r="E344" t="str">
            <v>0126</v>
          </cell>
          <cell r="F344" t="str">
            <v>C1</v>
          </cell>
          <cell r="G344" t="str">
            <v>PR</v>
          </cell>
          <cell r="H344" t="str">
            <v>INGREDIENTS</v>
          </cell>
          <cell r="I344" t="str">
            <v>INGREDIENTS</v>
          </cell>
          <cell r="J344" t="str">
            <v>MARCELO RODRIGUES</v>
          </cell>
          <cell r="K344" t="str">
            <v>ITAMBÉ</v>
          </cell>
          <cell r="L344" t="str">
            <v>MAURICIO</v>
          </cell>
          <cell r="M344" t="str">
            <v>MARCELO</v>
          </cell>
        </row>
        <row r="345">
          <cell r="B345">
            <v>5264847</v>
          </cell>
          <cell r="C345" t="str">
            <v>D E G COMERCIO DE ALIMENTOS LTDA</v>
          </cell>
          <cell r="D345">
            <v>7001</v>
          </cell>
          <cell r="E345" t="str">
            <v>0749</v>
          </cell>
          <cell r="F345" t="str">
            <v>C5</v>
          </cell>
          <cell r="G345" t="str">
            <v>SP</v>
          </cell>
          <cell r="H345" t="str">
            <v>DISTRIBUIÇÃO</v>
          </cell>
          <cell r="I345" t="str">
            <v>FOOD SERVICE</v>
          </cell>
          <cell r="J345" t="str">
            <v>FLAC 3</v>
          </cell>
          <cell r="K345" t="str">
            <v>LACTALIS</v>
          </cell>
          <cell r="L345" t="str">
            <v>RODRIGO</v>
          </cell>
          <cell r="M345" t="str">
            <v>RAQUEL BARBOSA</v>
          </cell>
        </row>
        <row r="346">
          <cell r="B346">
            <v>5230141</v>
          </cell>
          <cell r="C346" t="str">
            <v>DADALTO E SILVA LTDA</v>
          </cell>
          <cell r="D346">
            <v>3001</v>
          </cell>
          <cell r="E346" t="str">
            <v>0169</v>
          </cell>
          <cell r="F346" t="str">
            <v>C1</v>
          </cell>
          <cell r="G346" t="str">
            <v>ES</v>
          </cell>
          <cell r="H346" t="str">
            <v>DISTRIBUIÇÃO</v>
          </cell>
          <cell r="I346" t="str">
            <v>FOOD SERVICE</v>
          </cell>
          <cell r="J346" t="str">
            <v>MARCELO DUARTE</v>
          </cell>
          <cell r="K346" t="str">
            <v>ITAMBÉ</v>
          </cell>
          <cell r="L346" t="str">
            <v>RODRIGO</v>
          </cell>
          <cell r="M346" t="str">
            <v>JESSICA</v>
          </cell>
        </row>
        <row r="347">
          <cell r="B347">
            <v>5163430</v>
          </cell>
          <cell r="C347" t="str">
            <v>DAIRY PARTNERS AMERICAS B</v>
          </cell>
          <cell r="D347">
            <v>3001</v>
          </cell>
          <cell r="E347" t="str">
            <v>0028</v>
          </cell>
          <cell r="F347" t="str">
            <v>C1</v>
          </cell>
          <cell r="G347" t="str">
            <v>SP</v>
          </cell>
          <cell r="H347" t="str">
            <v>OUTROS</v>
          </cell>
          <cell r="I347" t="str">
            <v>OUTROS</v>
          </cell>
          <cell r="J347" t="str">
            <v>INTERCOMPANY</v>
          </cell>
          <cell r="K347" t="str">
            <v>OUTROS</v>
          </cell>
          <cell r="L347" t="str">
            <v>OUTROS</v>
          </cell>
          <cell r="M347" t="str">
            <v>INTERCOMPANY</v>
          </cell>
        </row>
        <row r="348">
          <cell r="B348">
            <v>5163430</v>
          </cell>
          <cell r="C348" t="str">
            <v>DAIRY PARTNERS AMERICAS B</v>
          </cell>
          <cell r="D348">
            <v>4001</v>
          </cell>
          <cell r="E348" t="str">
            <v>0437</v>
          </cell>
          <cell r="F348" t="str">
            <v>C1</v>
          </cell>
          <cell r="G348" t="str">
            <v>SP</v>
          </cell>
          <cell r="H348" t="str">
            <v>OUTROS</v>
          </cell>
          <cell r="I348" t="str">
            <v>OUTROS</v>
          </cell>
          <cell r="J348" t="str">
            <v>INTERCOMPANY</v>
          </cell>
          <cell r="K348" t="str">
            <v>OUTROS</v>
          </cell>
          <cell r="L348" t="str">
            <v>OUTROS</v>
          </cell>
          <cell r="M348" t="str">
            <v>INTERCOMPANY</v>
          </cell>
        </row>
        <row r="349">
          <cell r="B349">
            <v>8000003</v>
          </cell>
          <cell r="C349" t="str">
            <v>DAIRY PARTNERS AMERICAS BRASIL LTDA</v>
          </cell>
          <cell r="D349">
            <v>3001</v>
          </cell>
          <cell r="E349" t="str">
            <v>0028</v>
          </cell>
          <cell r="F349" t="str">
            <v>C1</v>
          </cell>
          <cell r="G349" t="str">
            <v>SP</v>
          </cell>
          <cell r="H349" t="str">
            <v>OUTROS</v>
          </cell>
          <cell r="I349" t="str">
            <v>OUTROS</v>
          </cell>
          <cell r="J349" t="str">
            <v>INTERCOMPANY</v>
          </cell>
          <cell r="K349" t="str">
            <v>OUTROS</v>
          </cell>
          <cell r="L349" t="str">
            <v>OUTROS</v>
          </cell>
          <cell r="M349" t="str">
            <v>INTERCOMPANY</v>
          </cell>
        </row>
        <row r="350">
          <cell r="B350">
            <v>5215309</v>
          </cell>
          <cell r="C350" t="str">
            <v>DAIRY PARTNERS AMERICAS N</v>
          </cell>
          <cell r="D350">
            <v>3001</v>
          </cell>
          <cell r="E350" t="str">
            <v>0028</v>
          </cell>
          <cell r="F350" t="str">
            <v>C1</v>
          </cell>
          <cell r="G350" t="str">
            <v>PE</v>
          </cell>
          <cell r="H350" t="str">
            <v>OUTROS</v>
          </cell>
          <cell r="I350" t="str">
            <v>OUTROS</v>
          </cell>
          <cell r="J350" t="str">
            <v>INTERCOMPANY</v>
          </cell>
          <cell r="K350" t="str">
            <v>OUTROS</v>
          </cell>
          <cell r="L350" t="str">
            <v>OUTROS</v>
          </cell>
          <cell r="M350" t="str">
            <v>INTERCOMPANY</v>
          </cell>
        </row>
        <row r="351">
          <cell r="B351">
            <v>5215309</v>
          </cell>
          <cell r="C351" t="str">
            <v>DAIRY PARTNERS AMERICAS N</v>
          </cell>
          <cell r="D351">
            <v>4001</v>
          </cell>
          <cell r="E351" t="str">
            <v>0437</v>
          </cell>
          <cell r="F351" t="str">
            <v>C1</v>
          </cell>
          <cell r="G351" t="str">
            <v>PE</v>
          </cell>
          <cell r="H351" t="str">
            <v>OUTROS</v>
          </cell>
          <cell r="I351" t="str">
            <v>OUTROS</v>
          </cell>
          <cell r="J351" t="str">
            <v>INTERCOMPANY</v>
          </cell>
          <cell r="K351" t="str">
            <v>OUTROS</v>
          </cell>
          <cell r="L351" t="str">
            <v>OUTROS</v>
          </cell>
          <cell r="M351" t="str">
            <v>INTERCOMPANY</v>
          </cell>
        </row>
        <row r="352">
          <cell r="B352">
            <v>8000004</v>
          </cell>
          <cell r="C352" t="str">
            <v>DAIRY PARTNERS AMERICAS NORDESTE LTDA</v>
          </cell>
          <cell r="D352">
            <v>3001</v>
          </cell>
          <cell r="E352" t="str">
            <v>0028</v>
          </cell>
          <cell r="F352" t="str">
            <v>C1</v>
          </cell>
          <cell r="G352" t="str">
            <v>PE</v>
          </cell>
          <cell r="H352" t="str">
            <v>OUTROS</v>
          </cell>
          <cell r="I352" t="str">
            <v>OUTROS</v>
          </cell>
          <cell r="J352" t="str">
            <v>INTERCOMPANY</v>
          </cell>
          <cell r="K352" t="str">
            <v>OUTROS</v>
          </cell>
          <cell r="L352" t="str">
            <v>OUTROS</v>
          </cell>
          <cell r="M352" t="str">
            <v>INTERCOMPANY</v>
          </cell>
        </row>
        <row r="353">
          <cell r="B353">
            <v>5253375</v>
          </cell>
          <cell r="C353" t="str">
            <v>DAMA COMERCIO DE ALIM E PROMO LTDA</v>
          </cell>
          <cell r="D353">
            <v>7001</v>
          </cell>
          <cell r="E353" t="str">
            <v>0749</v>
          </cell>
          <cell r="F353" t="str">
            <v>C5</v>
          </cell>
          <cell r="G353" t="str">
            <v>SP</v>
          </cell>
          <cell r="H353" t="str">
            <v>DISTRIBUIÇÃO</v>
          </cell>
          <cell r="I353" t="str">
            <v>FOOD SERVICE</v>
          </cell>
          <cell r="J353" t="str">
            <v>FLAC 3</v>
          </cell>
          <cell r="K353" t="str">
            <v>LACTALIS</v>
          </cell>
          <cell r="L353" t="str">
            <v>RODRIGO</v>
          </cell>
          <cell r="M353" t="str">
            <v>RAQUEL BARBOSA</v>
          </cell>
        </row>
        <row r="354">
          <cell r="B354">
            <v>5168003</v>
          </cell>
          <cell r="C354" t="str">
            <v>DAMAIS GELATUS F DE SORVETES E D LT</v>
          </cell>
          <cell r="D354">
            <v>3001</v>
          </cell>
          <cell r="E354" t="str">
            <v>0028</v>
          </cell>
          <cell r="F354" t="str">
            <v>C1</v>
          </cell>
          <cell r="G354" t="str">
            <v>BA</v>
          </cell>
          <cell r="H354" t="str">
            <v>INGREDIENTS</v>
          </cell>
          <cell r="I354" t="str">
            <v>INGREDIENTS</v>
          </cell>
          <cell r="J354" t="str">
            <v>BA ITB FS ML FLAVORS</v>
          </cell>
          <cell r="K354" t="str">
            <v>ITAMBÉ</v>
          </cell>
          <cell r="L354" t="str">
            <v>MAURICIO</v>
          </cell>
          <cell r="M354" t="str">
            <v>JOEL</v>
          </cell>
        </row>
        <row r="355">
          <cell r="B355">
            <v>5160324</v>
          </cell>
          <cell r="C355" t="str">
            <v>DAN VIGOR IND E COM DE LATICINIOS L</v>
          </cell>
          <cell r="D355">
            <v>4001</v>
          </cell>
          <cell r="E355" t="str">
            <v>0437</v>
          </cell>
          <cell r="F355" t="str">
            <v>C1</v>
          </cell>
          <cell r="G355" t="str">
            <v>RJ</v>
          </cell>
          <cell r="H355" t="str">
            <v>MC DONALDS</v>
          </cell>
          <cell r="I355" t="str">
            <v>MC DONALDS</v>
          </cell>
          <cell r="J355" t="str">
            <v>MAURICIO GALLI</v>
          </cell>
          <cell r="K355" t="str">
            <v>LACTALIS</v>
          </cell>
          <cell r="L355" t="str">
            <v>MAURICIO</v>
          </cell>
          <cell r="M355" t="str">
            <v>MAURICIO</v>
          </cell>
        </row>
        <row r="356">
          <cell r="B356">
            <v>5160324</v>
          </cell>
          <cell r="C356" t="str">
            <v>DAN VIGOR IND E COM DE LATICINIOS L</v>
          </cell>
          <cell r="D356">
            <v>4001</v>
          </cell>
          <cell r="E356" t="str">
            <v>0445</v>
          </cell>
          <cell r="F356" t="str">
            <v>C7</v>
          </cell>
          <cell r="G356" t="str">
            <v>RJ</v>
          </cell>
          <cell r="H356" t="str">
            <v>INGREDIENTS</v>
          </cell>
          <cell r="I356" t="str">
            <v>INGREDIENTS</v>
          </cell>
          <cell r="J356" t="str">
            <v>TATIANA NITTA</v>
          </cell>
          <cell r="K356" t="str">
            <v>LACTALIS</v>
          </cell>
          <cell r="L356" t="str">
            <v>MAURICIO</v>
          </cell>
          <cell r="M356" t="str">
            <v>TATIANA NITTA</v>
          </cell>
        </row>
        <row r="357">
          <cell r="B357">
            <v>5162170</v>
          </cell>
          <cell r="C357" t="str">
            <v>DAN VIGOR IND E COM DE LATICINIOS L</v>
          </cell>
          <cell r="D357">
            <v>4001</v>
          </cell>
          <cell r="E357" t="str">
            <v>0437</v>
          </cell>
          <cell r="F357" t="str">
            <v>C1</v>
          </cell>
          <cell r="G357" t="str">
            <v>SP</v>
          </cell>
          <cell r="H357" t="str">
            <v>INGREDIENTS</v>
          </cell>
          <cell r="I357" t="str">
            <v>INGREDIENTS</v>
          </cell>
          <cell r="J357" t="str">
            <v>JOEL ELEOTÉRIO</v>
          </cell>
          <cell r="K357" t="str">
            <v>LACTALIS</v>
          </cell>
          <cell r="L357" t="str">
            <v>MAURICIO</v>
          </cell>
          <cell r="M357" t="str">
            <v>JOEL</v>
          </cell>
        </row>
        <row r="358">
          <cell r="B358">
            <v>5307436</v>
          </cell>
          <cell r="C358" t="str">
            <v>DANIELA CRISTINA DE OLIVEIRA MU</v>
          </cell>
          <cell r="D358">
            <v>7001</v>
          </cell>
          <cell r="E358" t="str">
            <v>0749</v>
          </cell>
          <cell r="F358" t="str">
            <v>C5</v>
          </cell>
          <cell r="G358" t="str">
            <v>SP</v>
          </cell>
          <cell r="H358" t="str">
            <v>DISTRIBUIÇÃO</v>
          </cell>
          <cell r="I358" t="str">
            <v>FOOD SERVICE</v>
          </cell>
          <cell r="J358" t="str">
            <v>FLAC 6</v>
          </cell>
          <cell r="K358" t="str">
            <v>LACTALIS</v>
          </cell>
          <cell r="L358" t="str">
            <v>RODRIGO</v>
          </cell>
          <cell r="M358" t="str">
            <v>RAQUEL BARBOSA</v>
          </cell>
        </row>
        <row r="359">
          <cell r="B359">
            <v>5267684</v>
          </cell>
          <cell r="C359" t="str">
            <v>DANIELA SPRENGER SILVA</v>
          </cell>
          <cell r="D359">
            <v>7001</v>
          </cell>
          <cell r="E359" t="str">
            <v>0749</v>
          </cell>
          <cell r="F359" t="str">
            <v>C5</v>
          </cell>
          <cell r="G359" t="str">
            <v>SP</v>
          </cell>
          <cell r="H359" t="str">
            <v>DISTRIBUIÇÃO</v>
          </cell>
          <cell r="I359" t="str">
            <v>FOOD SERVICE</v>
          </cell>
          <cell r="J359" t="str">
            <v>FLAC 2</v>
          </cell>
          <cell r="K359" t="str">
            <v>LACTALIS</v>
          </cell>
          <cell r="L359" t="str">
            <v>RODRIGO</v>
          </cell>
          <cell r="M359" t="str">
            <v>RAQUEL BARBOSA</v>
          </cell>
        </row>
        <row r="360">
          <cell r="B360">
            <v>5304816</v>
          </cell>
          <cell r="C360" t="str">
            <v>DANIELE ALVES SUENAGA 22492509877</v>
          </cell>
          <cell r="D360">
            <v>7001</v>
          </cell>
          <cell r="E360" t="str">
            <v>0749</v>
          </cell>
          <cell r="F360" t="str">
            <v>C5</v>
          </cell>
          <cell r="G360" t="str">
            <v>SP</v>
          </cell>
          <cell r="H360" t="str">
            <v>DISTRIBUIÇÃO</v>
          </cell>
          <cell r="I360" t="str">
            <v>FOOD SERVICE</v>
          </cell>
          <cell r="J360" t="str">
            <v>FLAC 5</v>
          </cell>
          <cell r="K360" t="str">
            <v>LACTALIS</v>
          </cell>
          <cell r="L360" t="str">
            <v>RODRIGO</v>
          </cell>
          <cell r="M360" t="str">
            <v>RAQUEL BARBOSA</v>
          </cell>
        </row>
        <row r="361">
          <cell r="B361">
            <v>5303467</v>
          </cell>
          <cell r="C361" t="str">
            <v>DAUDT SOLUCOES EM CONFEITARIA LTDA</v>
          </cell>
          <cell r="D361">
            <v>7001</v>
          </cell>
          <cell r="E361" t="str">
            <v>0749</v>
          </cell>
          <cell r="F361" t="str">
            <v>C5</v>
          </cell>
          <cell r="G361" t="str">
            <v>SP</v>
          </cell>
          <cell r="H361" t="str">
            <v>DISTRIBUIÇÃO</v>
          </cell>
          <cell r="I361" t="str">
            <v>FOOD SERVICE</v>
          </cell>
          <cell r="J361" t="str">
            <v>FLAC 6</v>
          </cell>
          <cell r="K361" t="str">
            <v>LACTALIS</v>
          </cell>
          <cell r="L361" t="str">
            <v>RODRIGO</v>
          </cell>
          <cell r="M361" t="str">
            <v>RAQUEL BARBOSA</v>
          </cell>
        </row>
        <row r="362">
          <cell r="B362">
            <v>5294345</v>
          </cell>
          <cell r="C362" t="str">
            <v>DC DA SILVA ATACADO E VAREJO DE DOC</v>
          </cell>
          <cell r="D362">
            <v>7001</v>
          </cell>
          <cell r="E362" t="str">
            <v>0749</v>
          </cell>
          <cell r="F362" t="str">
            <v>C5</v>
          </cell>
          <cell r="G362" t="str">
            <v>SP</v>
          </cell>
          <cell r="H362" t="str">
            <v>DISTRIBUIÇÃO</v>
          </cell>
          <cell r="I362" t="str">
            <v>FOOD SERVICE</v>
          </cell>
          <cell r="J362" t="str">
            <v>FLAC 2</v>
          </cell>
          <cell r="K362" t="str">
            <v>LACTALIS</v>
          </cell>
          <cell r="L362" t="str">
            <v>RODRIGO</v>
          </cell>
          <cell r="M362" t="str">
            <v>RAQUEL BARBOSA</v>
          </cell>
        </row>
        <row r="363">
          <cell r="B363">
            <v>5314343</v>
          </cell>
          <cell r="C363" t="str">
            <v>DE FRENTE BAR E BRASA LTDA</v>
          </cell>
          <cell r="D363">
            <v>7001</v>
          </cell>
          <cell r="E363" t="str">
            <v>0749</v>
          </cell>
          <cell r="F363" t="str">
            <v>C5</v>
          </cell>
          <cell r="G363" t="str">
            <v>SP</v>
          </cell>
          <cell r="H363" t="str">
            <v>DISTRIBUIÇÃO</v>
          </cell>
          <cell r="I363" t="str">
            <v>FOOD SERVICE</v>
          </cell>
          <cell r="J363" t="str">
            <v>FLAC 6</v>
          </cell>
          <cell r="K363" t="str">
            <v>LACTALIS</v>
          </cell>
          <cell r="L363" t="str">
            <v>RODRIGO</v>
          </cell>
          <cell r="M363" t="str">
            <v>RAQUEL BARBOSA</v>
          </cell>
        </row>
        <row r="364">
          <cell r="B364">
            <v>5314342</v>
          </cell>
          <cell r="C364" t="str">
            <v>DE PRIMEIRA BOTEQUIM LTDA</v>
          </cell>
          <cell r="D364">
            <v>7001</v>
          </cell>
          <cell r="E364" t="str">
            <v>0749</v>
          </cell>
          <cell r="F364" t="str">
            <v>C5</v>
          </cell>
          <cell r="G364" t="str">
            <v>SP</v>
          </cell>
          <cell r="H364" t="str">
            <v>DISTRIBUIÇÃO</v>
          </cell>
          <cell r="I364" t="str">
            <v>FOOD SERVICE</v>
          </cell>
          <cell r="J364" t="str">
            <v>FLAC 6</v>
          </cell>
          <cell r="K364" t="str">
            <v>LACTALIS</v>
          </cell>
          <cell r="L364" t="str">
            <v>RODRIGO</v>
          </cell>
          <cell r="M364" t="str">
            <v>RAQUEL BARBOSA</v>
          </cell>
        </row>
        <row r="365">
          <cell r="B365">
            <v>5307407</v>
          </cell>
          <cell r="C365" t="str">
            <v>DE SEGUNDA RESTAURANTE LTDA</v>
          </cell>
          <cell r="D365">
            <v>7001</v>
          </cell>
          <cell r="E365" t="str">
            <v>0749</v>
          </cell>
          <cell r="F365" t="str">
            <v>C5</v>
          </cell>
          <cell r="G365" t="str">
            <v>SP</v>
          </cell>
          <cell r="H365" t="str">
            <v>DISTRIBUIÇÃO</v>
          </cell>
          <cell r="I365" t="str">
            <v>FOOD SERVICE</v>
          </cell>
          <cell r="J365" t="str">
            <v>FLAC 6</v>
          </cell>
          <cell r="K365" t="str">
            <v>LACTALIS</v>
          </cell>
          <cell r="L365" t="str">
            <v>RODRIGO</v>
          </cell>
          <cell r="M365" t="str">
            <v>RAQUEL BARBOSA</v>
          </cell>
        </row>
        <row r="366">
          <cell r="B366">
            <v>5185170</v>
          </cell>
          <cell r="C366" t="str">
            <v>DELA DELE CONFEITARIA EIRELI ME</v>
          </cell>
          <cell r="D366">
            <v>6001</v>
          </cell>
          <cell r="E366" t="str">
            <v>6125</v>
          </cell>
          <cell r="F366" t="str">
            <v>C1</v>
          </cell>
          <cell r="G366" t="str">
            <v>SP</v>
          </cell>
          <cell r="H366" t="str">
            <v>DISTRIBUIÇÃO</v>
          </cell>
          <cell r="I366" t="str">
            <v>FOOD SERVICE</v>
          </cell>
          <cell r="J366" t="str">
            <v>ALEXANDRO RODRIGUES</v>
          </cell>
          <cell r="K366" t="str">
            <v>ITAMBÉ</v>
          </cell>
          <cell r="L366" t="str">
            <v>RODRIGO</v>
          </cell>
          <cell r="M366" t="str">
            <v>ALEXANDRO</v>
          </cell>
        </row>
        <row r="367">
          <cell r="B367">
            <v>5331369</v>
          </cell>
          <cell r="C367" t="str">
            <v>DELAMIX COMERCIO E SERVICOS LTDA</v>
          </cell>
          <cell r="D367">
            <v>7001</v>
          </cell>
          <cell r="E367" t="str">
            <v>0737</v>
          </cell>
          <cell r="F367" t="str">
            <v>C1</v>
          </cell>
          <cell r="G367" t="str">
            <v>SP</v>
          </cell>
          <cell r="H367" t="str">
            <v>INGREDIENTS</v>
          </cell>
          <cell r="I367" t="str">
            <v>INGREDIENTS</v>
          </cell>
          <cell r="J367" t="str">
            <v>JOEL ELEOTÉRIO</v>
          </cell>
          <cell r="K367" t="str">
            <v>LACTALIS</v>
          </cell>
          <cell r="L367" t="str">
            <v>MAURICIO</v>
          </cell>
          <cell r="M367" t="str">
            <v>JOEL</v>
          </cell>
        </row>
        <row r="368">
          <cell r="B368">
            <v>5175073</v>
          </cell>
          <cell r="C368" t="str">
            <v>DELICIOUS DOCERIA</v>
          </cell>
          <cell r="D368">
            <v>7001</v>
          </cell>
          <cell r="E368" t="str">
            <v>0749</v>
          </cell>
          <cell r="F368" t="str">
            <v>C5</v>
          </cell>
          <cell r="G368" t="str">
            <v>SP</v>
          </cell>
          <cell r="H368" t="str">
            <v>DISTRIBUIÇÃO</v>
          </cell>
          <cell r="I368" t="str">
            <v>FOOD SERVICE</v>
          </cell>
          <cell r="J368" t="str">
            <v>FLAC 3</v>
          </cell>
          <cell r="K368" t="str">
            <v>LACTALIS</v>
          </cell>
          <cell r="L368" t="str">
            <v>RODRIGO</v>
          </cell>
          <cell r="M368" t="str">
            <v>RAQUEL BARBOSA</v>
          </cell>
        </row>
        <row r="369">
          <cell r="B369">
            <v>5292035</v>
          </cell>
          <cell r="C369" t="str">
            <v>DELIVERY PARIS LTDA</v>
          </cell>
          <cell r="D369">
            <v>7001</v>
          </cell>
          <cell r="E369" t="str">
            <v>0749</v>
          </cell>
          <cell r="F369" t="str">
            <v>C5</v>
          </cell>
          <cell r="G369" t="str">
            <v>SP</v>
          </cell>
          <cell r="H369" t="str">
            <v>DISTRIBUIÇÃO</v>
          </cell>
          <cell r="I369" t="str">
            <v>FOOD SERVICE</v>
          </cell>
          <cell r="J369" t="str">
            <v>FLAC 5</v>
          </cell>
          <cell r="K369" t="str">
            <v>LACTALIS</v>
          </cell>
          <cell r="L369" t="str">
            <v>RODRIGO</v>
          </cell>
          <cell r="M369" t="str">
            <v>RAQUEL BARBOSA</v>
          </cell>
        </row>
        <row r="370">
          <cell r="B370">
            <v>5196867</v>
          </cell>
          <cell r="C370" t="str">
            <v>DEPOSITO DE DOCES MALU LTDA</v>
          </cell>
          <cell r="D370">
            <v>6001</v>
          </cell>
          <cell r="E370" t="str">
            <v>6125</v>
          </cell>
          <cell r="F370" t="str">
            <v>C1</v>
          </cell>
          <cell r="G370" t="str">
            <v>SP</v>
          </cell>
          <cell r="H370" t="str">
            <v>DISTRIBUIÇÃO</v>
          </cell>
          <cell r="I370" t="str">
            <v>FOOD SERVICE</v>
          </cell>
          <cell r="J370" t="str">
            <v>SP ITB FS FLAC REP.E COMERCIO</v>
          </cell>
          <cell r="K370" t="str">
            <v>ITAMBÉ</v>
          </cell>
          <cell r="L370" t="str">
            <v>RODRIGO</v>
          </cell>
          <cell r="M370" t="str">
            <v>RAQUEL BARBOSA</v>
          </cell>
        </row>
        <row r="371">
          <cell r="B371">
            <v>5281961</v>
          </cell>
          <cell r="C371" t="str">
            <v>DERPAC SILK INDUSTRIA E COMERCIO EI</v>
          </cell>
          <cell r="D371">
            <v>7001</v>
          </cell>
          <cell r="E371" t="str">
            <v>0749</v>
          </cell>
          <cell r="F371" t="str">
            <v>C5</v>
          </cell>
          <cell r="G371" t="str">
            <v>SP</v>
          </cell>
          <cell r="H371" t="str">
            <v>DISTRIBUIÇÃO</v>
          </cell>
          <cell r="I371" t="str">
            <v>FOOD SERVICE</v>
          </cell>
          <cell r="J371" t="str">
            <v>FLAC 2</v>
          </cell>
          <cell r="K371" t="str">
            <v>LACTALIS</v>
          </cell>
          <cell r="L371" t="str">
            <v>RODRIGO</v>
          </cell>
          <cell r="M371" t="str">
            <v>RAQUEL BARBOSA</v>
          </cell>
        </row>
        <row r="372">
          <cell r="B372">
            <v>5013871</v>
          </cell>
          <cell r="C372" t="str">
            <v>DESCARTEL DISTRIBUIDORA LTDA ME</v>
          </cell>
          <cell r="D372">
            <v>3001</v>
          </cell>
          <cell r="E372" t="str">
            <v>0122</v>
          </cell>
          <cell r="F372" t="str">
            <v>C1</v>
          </cell>
          <cell r="G372" t="str">
            <v>MG</v>
          </cell>
          <cell r="H372" t="str">
            <v>DISTRIBUIÇÃO</v>
          </cell>
          <cell r="I372" t="str">
            <v>FOOD SERVICE</v>
          </cell>
          <cell r="J372" t="str">
            <v>MARCELO SILVA</v>
          </cell>
          <cell r="K372" t="str">
            <v>ITAMBÉ</v>
          </cell>
          <cell r="L372" t="str">
            <v>RODRIGO</v>
          </cell>
          <cell r="M372" t="str">
            <v>CELIO MARTINS</v>
          </cell>
        </row>
        <row r="373">
          <cell r="B373">
            <v>5058749</v>
          </cell>
          <cell r="C373" t="str">
            <v>DEVILLE HOTEIS E TURISMO LTDA</v>
          </cell>
          <cell r="D373">
            <v>7001</v>
          </cell>
          <cell r="E373" t="str">
            <v>0749</v>
          </cell>
          <cell r="F373" t="str">
            <v>C5</v>
          </cell>
          <cell r="G373" t="str">
            <v>SP</v>
          </cell>
          <cell r="H373" t="str">
            <v>DISTRIBUIÇÃO</v>
          </cell>
          <cell r="I373" t="str">
            <v>FOOD SERVICE</v>
          </cell>
          <cell r="J373" t="str">
            <v>FLAC 2</v>
          </cell>
          <cell r="K373" t="str">
            <v>LACTALIS</v>
          </cell>
          <cell r="L373" t="str">
            <v>RODRIGO</v>
          </cell>
          <cell r="M373" t="str">
            <v>RAQUEL BARBOSA</v>
          </cell>
        </row>
        <row r="374">
          <cell r="B374">
            <v>5339488</v>
          </cell>
          <cell r="C374" t="str">
            <v>DEZATO GELATO LTDA</v>
          </cell>
          <cell r="D374">
            <v>7001</v>
          </cell>
          <cell r="E374" t="str">
            <v>0749</v>
          </cell>
          <cell r="F374" t="str">
            <v>C5</v>
          </cell>
          <cell r="G374" t="str">
            <v>SP</v>
          </cell>
          <cell r="H374" t="str">
            <v>DISTRIBUIÇÃO</v>
          </cell>
          <cell r="I374" t="str">
            <v>FOOD SERVICE</v>
          </cell>
          <cell r="J374" t="str">
            <v>FLAC 5</v>
          </cell>
          <cell r="K374" t="str">
            <v>LACTALIS</v>
          </cell>
          <cell r="L374" t="str">
            <v>RODRIGO</v>
          </cell>
          <cell r="M374" t="str">
            <v>RAQUEL BARBOSA</v>
          </cell>
        </row>
        <row r="375">
          <cell r="B375">
            <v>5249803</v>
          </cell>
          <cell r="C375" t="str">
            <v>DI VENETO ALIMENTOS LTDA</v>
          </cell>
          <cell r="D375">
            <v>7001</v>
          </cell>
          <cell r="E375" t="str">
            <v>0749</v>
          </cell>
          <cell r="F375" t="str">
            <v>C5</v>
          </cell>
          <cell r="G375" t="str">
            <v>SP</v>
          </cell>
          <cell r="H375" t="str">
            <v>DISTRIBUIÇÃO</v>
          </cell>
          <cell r="I375" t="str">
            <v>FOOD SERVICE</v>
          </cell>
          <cell r="J375" t="str">
            <v>FLAC 3</v>
          </cell>
          <cell r="K375" t="str">
            <v>LACTALIS</v>
          </cell>
          <cell r="L375" t="str">
            <v>RODRIGO</v>
          </cell>
          <cell r="M375" t="str">
            <v>RAQUEL BARBOSA</v>
          </cell>
        </row>
        <row r="376">
          <cell r="B376">
            <v>5214453</v>
          </cell>
          <cell r="C376" t="str">
            <v>DIA DISTRIBUICAO E IMPORTACAO AFOGA</v>
          </cell>
          <cell r="D376">
            <v>3001</v>
          </cell>
          <cell r="E376" t="str">
            <v>0127</v>
          </cell>
          <cell r="F376" t="str">
            <v>C1</v>
          </cell>
          <cell r="G376" t="str">
            <v>PE</v>
          </cell>
          <cell r="H376" t="str">
            <v>DISTRIBUIÇÃO</v>
          </cell>
          <cell r="I376" t="str">
            <v>FOOD SERVICE</v>
          </cell>
          <cell r="J376" t="str">
            <v>CLAUDIO JORGE</v>
          </cell>
          <cell r="K376" t="str">
            <v>ITAMBÉ</v>
          </cell>
          <cell r="L376" t="str">
            <v>RODRIGO</v>
          </cell>
          <cell r="M376" t="str">
            <v>MARIA LOURDES</v>
          </cell>
        </row>
        <row r="377">
          <cell r="B377">
            <v>5261320</v>
          </cell>
          <cell r="C377" t="str">
            <v>DIESO BOLOS SALGADOS E CONFEITA</v>
          </cell>
          <cell r="D377">
            <v>7001</v>
          </cell>
          <cell r="E377" t="str">
            <v>0749</v>
          </cell>
          <cell r="F377" t="str">
            <v>C5</v>
          </cell>
          <cell r="G377" t="str">
            <v>SP</v>
          </cell>
          <cell r="H377" t="str">
            <v>DISTRIBUIÇÃO</v>
          </cell>
          <cell r="I377" t="str">
            <v>FOOD SERVICE</v>
          </cell>
          <cell r="J377" t="str">
            <v>FLAC 6</v>
          </cell>
          <cell r="K377" t="str">
            <v>LACTALIS</v>
          </cell>
          <cell r="L377" t="str">
            <v>RODRIGO</v>
          </cell>
          <cell r="M377" t="str">
            <v>RAQUEL BARBOSA</v>
          </cell>
        </row>
        <row r="378">
          <cell r="B378">
            <v>5004685</v>
          </cell>
          <cell r="C378" t="str">
            <v>DINIZ COM ATAC DE PROD ALIM LTDA</v>
          </cell>
          <cell r="D378">
            <v>6001</v>
          </cell>
          <cell r="E378" t="str">
            <v>6125</v>
          </cell>
          <cell r="F378" t="str">
            <v>C1</v>
          </cell>
          <cell r="G378" t="str">
            <v>SP</v>
          </cell>
          <cell r="H378" t="str">
            <v>DISTRIBUIÇÃO</v>
          </cell>
          <cell r="I378" t="str">
            <v>FOOD SERVICE</v>
          </cell>
          <cell r="J378" t="str">
            <v>ALEXANDRO RODRIGUES</v>
          </cell>
          <cell r="K378" t="str">
            <v>ITAMBÉ</v>
          </cell>
          <cell r="L378" t="str">
            <v>RODRIGO</v>
          </cell>
          <cell r="M378" t="str">
            <v>ALEXANDRO</v>
          </cell>
        </row>
        <row r="379">
          <cell r="B379">
            <v>5013457</v>
          </cell>
          <cell r="C379" t="str">
            <v>DISBECE DIST DE BEBIDAS E CEREAIS LTDA</v>
          </cell>
          <cell r="D379">
            <v>3001</v>
          </cell>
          <cell r="E379" t="str">
            <v>0127</v>
          </cell>
          <cell r="F379" t="str">
            <v>C1</v>
          </cell>
          <cell r="G379" t="str">
            <v>CE</v>
          </cell>
          <cell r="H379" t="str">
            <v>DISTRIBUIÇÃO</v>
          </cell>
          <cell r="I379" t="str">
            <v>FOOD SERVICE</v>
          </cell>
          <cell r="J379" t="str">
            <v>WH FOOD SERVICE CE</v>
          </cell>
          <cell r="K379" t="str">
            <v>ITAMBÉ</v>
          </cell>
          <cell r="L379" t="str">
            <v>RODRIGO</v>
          </cell>
          <cell r="M379" t="str">
            <v>MARIA LOURDES</v>
          </cell>
        </row>
        <row r="380">
          <cell r="B380">
            <v>5229339</v>
          </cell>
          <cell r="C380" t="str">
            <v>DISPAN DIST DE ALIM LTDA</v>
          </cell>
          <cell r="D380">
            <v>3001</v>
          </cell>
          <cell r="E380" t="str">
            <v>0127</v>
          </cell>
          <cell r="F380" t="str">
            <v>C1</v>
          </cell>
          <cell r="G380" t="str">
            <v>PE</v>
          </cell>
          <cell r="H380" t="str">
            <v>DISTRIBUIÇÃO</v>
          </cell>
          <cell r="I380" t="str">
            <v>FOOD SERVICE</v>
          </cell>
          <cell r="J380" t="str">
            <v>CLAUDIO JORGE/AMANDA SANDS</v>
          </cell>
          <cell r="K380" t="str">
            <v>ITAMBÉ</v>
          </cell>
          <cell r="L380" t="str">
            <v>RODRIGO</v>
          </cell>
          <cell r="M380" t="str">
            <v>MARIA LOURDES</v>
          </cell>
        </row>
        <row r="381">
          <cell r="B381">
            <v>5319194</v>
          </cell>
          <cell r="C381" t="str">
            <v>DISPAN DISTRIBUIDORA DE ALIMENTOS</v>
          </cell>
          <cell r="D381">
            <v>3001</v>
          </cell>
          <cell r="E381" t="str">
            <v>0127</v>
          </cell>
          <cell r="F381" t="str">
            <v>C1</v>
          </cell>
          <cell r="G381" t="str">
            <v>PB</v>
          </cell>
          <cell r="H381" t="str">
            <v>DISTRIBUIÇÃO</v>
          </cell>
          <cell r="I381" t="str">
            <v>FOOD SERVICE</v>
          </cell>
          <cell r="J381" t="str">
            <v>CLAUDIO JORGE/AMANDA SANDS</v>
          </cell>
          <cell r="K381" t="str">
            <v>ITAMBÉ</v>
          </cell>
          <cell r="L381" t="str">
            <v>RODRIGO</v>
          </cell>
          <cell r="M381" t="str">
            <v>MARIA LOURDES</v>
          </cell>
        </row>
        <row r="382">
          <cell r="B382">
            <v>5225860</v>
          </cell>
          <cell r="C382" t="str">
            <v>DISPAN DISTRIBUIDORA DE ALIMENTOS</v>
          </cell>
          <cell r="D382">
            <v>3001</v>
          </cell>
          <cell r="E382" t="str">
            <v>0127</v>
          </cell>
          <cell r="F382" t="str">
            <v>C1</v>
          </cell>
          <cell r="G382" t="str">
            <v>PE</v>
          </cell>
          <cell r="H382" t="str">
            <v>DISTRIBUIÇÃO</v>
          </cell>
          <cell r="I382" t="str">
            <v>FOOD SERVICE</v>
          </cell>
          <cell r="J382" t="str">
            <v>CLAUDIO JORGE/AMANDA SANDS</v>
          </cell>
          <cell r="K382" t="str">
            <v>ITAMBÉ</v>
          </cell>
          <cell r="L382" t="str">
            <v>RODRIGO</v>
          </cell>
          <cell r="M382" t="str">
            <v>MARIA LOURDES</v>
          </cell>
        </row>
        <row r="383">
          <cell r="B383">
            <v>5308265</v>
          </cell>
          <cell r="C383" t="str">
            <v>DISPAN DISTRIBUIDORA DE ALIMENTOS L</v>
          </cell>
          <cell r="D383">
            <v>3001</v>
          </cell>
          <cell r="E383" t="str">
            <v>0127</v>
          </cell>
          <cell r="F383" t="str">
            <v>C1</v>
          </cell>
          <cell r="G383" t="str">
            <v>PE</v>
          </cell>
          <cell r="H383" t="str">
            <v>DISTRIBUIÇÃO</v>
          </cell>
          <cell r="I383" t="str">
            <v>FOOD SERVICE</v>
          </cell>
          <cell r="J383" t="str">
            <v>CLAUDIO JORGE/AMANDA SANDS</v>
          </cell>
          <cell r="K383" t="str">
            <v>ITAMBÉ</v>
          </cell>
          <cell r="L383" t="str">
            <v>RODRIGO</v>
          </cell>
          <cell r="M383" t="str">
            <v>MARIA LOURDES</v>
          </cell>
        </row>
        <row r="384">
          <cell r="B384">
            <v>5319281</v>
          </cell>
          <cell r="C384" t="str">
            <v>DISPPAN DIST DE PROD PANIFICACAO</v>
          </cell>
          <cell r="D384">
            <v>3001</v>
          </cell>
          <cell r="E384" t="str">
            <v>0028</v>
          </cell>
          <cell r="F384" t="str">
            <v>C1</v>
          </cell>
          <cell r="G384" t="str">
            <v>AM</v>
          </cell>
          <cell r="H384" t="str">
            <v>INGREDIENTS</v>
          </cell>
          <cell r="I384" t="str">
            <v>INGREDIENTS</v>
          </cell>
          <cell r="J384" t="str">
            <v>AM ITB FS I DA SILVA SANTOS</v>
          </cell>
          <cell r="K384" t="str">
            <v>ITAMBÉ</v>
          </cell>
          <cell r="L384" t="str">
            <v>MAURICIO</v>
          </cell>
          <cell r="M384" t="str">
            <v>JOEL</v>
          </cell>
        </row>
        <row r="385">
          <cell r="B385">
            <v>5159222</v>
          </cell>
          <cell r="C385" t="str">
            <v>DISPROPAN LTDA</v>
          </cell>
          <cell r="D385">
            <v>3001</v>
          </cell>
          <cell r="E385" t="str">
            <v>0122</v>
          </cell>
          <cell r="F385" t="str">
            <v>C1</v>
          </cell>
          <cell r="G385" t="str">
            <v>MG</v>
          </cell>
          <cell r="H385" t="str">
            <v>DISTRIBUIÇÃO</v>
          </cell>
          <cell r="I385" t="str">
            <v>FOOD SERVICE</v>
          </cell>
          <cell r="J385" t="str">
            <v>MARCELO SILVA</v>
          </cell>
          <cell r="K385" t="str">
            <v>ITAMBÉ</v>
          </cell>
          <cell r="L385" t="str">
            <v>RODRIGO</v>
          </cell>
          <cell r="M385" t="str">
            <v>CELIO MARTINS</v>
          </cell>
        </row>
        <row r="386">
          <cell r="B386">
            <v>5015279</v>
          </cell>
          <cell r="C386" t="str">
            <v>DIST DE ALIMENTOS DEQUECH LTDA</v>
          </cell>
          <cell r="D386">
            <v>3001</v>
          </cell>
          <cell r="E386" t="str">
            <v>0126</v>
          </cell>
          <cell r="F386" t="str">
            <v>C1</v>
          </cell>
          <cell r="G386" t="str">
            <v>SC</v>
          </cell>
          <cell r="H386" t="str">
            <v>DISTRIBUIÇÃO</v>
          </cell>
          <cell r="I386" t="str">
            <v>FOOD SERVICE</v>
          </cell>
          <cell r="J386" t="str">
            <v>ANGELICA BATISTELA</v>
          </cell>
          <cell r="K386" t="str">
            <v>ITAMBÉ</v>
          </cell>
          <cell r="L386" t="str">
            <v>RODRIGO</v>
          </cell>
          <cell r="M386" t="str">
            <v>ANGELICA BATISTELA</v>
          </cell>
        </row>
        <row r="387">
          <cell r="B387">
            <v>5033821</v>
          </cell>
          <cell r="C387" t="str">
            <v>DIST DE ALIMENTOS NOVO ENGENHO LTDA</v>
          </cell>
          <cell r="D387">
            <v>3001</v>
          </cell>
          <cell r="E387" t="str">
            <v>0122</v>
          </cell>
          <cell r="F387" t="str">
            <v>C1</v>
          </cell>
          <cell r="G387" t="str">
            <v>MG</v>
          </cell>
          <cell r="H387" t="str">
            <v>DISTRIBUIÇÃO</v>
          </cell>
          <cell r="I387" t="str">
            <v>FOOD SERVICE</v>
          </cell>
          <cell r="J387" t="str">
            <v>MARCELO SILVA</v>
          </cell>
          <cell r="K387" t="str">
            <v>ITAMBÉ</v>
          </cell>
          <cell r="L387" t="str">
            <v>RODRIGO</v>
          </cell>
          <cell r="M387" t="str">
            <v>CELIO MARTINS</v>
          </cell>
        </row>
        <row r="388">
          <cell r="B388">
            <v>5211344</v>
          </cell>
          <cell r="C388" t="str">
            <v>DISTRIB E IMPORT IRMAOS AVELINO</v>
          </cell>
          <cell r="D388">
            <v>3001</v>
          </cell>
          <cell r="E388" t="str">
            <v>0125</v>
          </cell>
          <cell r="F388" t="str">
            <v>C1</v>
          </cell>
          <cell r="G388" t="str">
            <v>SP</v>
          </cell>
          <cell r="H388" t="str">
            <v>DISTRIBUIÇÃO</v>
          </cell>
          <cell r="I388" t="str">
            <v>FOOD SERVICE</v>
          </cell>
          <cell r="J388" t="str">
            <v>RAQUEL BARBOSA</v>
          </cell>
          <cell r="K388" t="str">
            <v>ITAMBÉ</v>
          </cell>
          <cell r="L388" t="str">
            <v>RODRIGO</v>
          </cell>
          <cell r="M388" t="str">
            <v>RAQUEL BARBOSA</v>
          </cell>
        </row>
        <row r="389">
          <cell r="B389">
            <v>5211344</v>
          </cell>
          <cell r="C389" t="str">
            <v>DISTRIB E IMPORT IRMAOS AVELINO</v>
          </cell>
          <cell r="D389">
            <v>6001</v>
          </cell>
          <cell r="E389" t="str">
            <v>6125</v>
          </cell>
          <cell r="F389" t="str">
            <v>C1</v>
          </cell>
          <cell r="G389" t="str">
            <v>SP</v>
          </cell>
          <cell r="H389" t="str">
            <v>DISTRIBUIÇÃO</v>
          </cell>
          <cell r="I389" t="str">
            <v>FOOD SERVICE</v>
          </cell>
          <cell r="J389" t="str">
            <v>RAQUEL BARBOSA</v>
          </cell>
          <cell r="K389" t="str">
            <v>ITAMBÉ</v>
          </cell>
          <cell r="L389" t="str">
            <v>RODRIGO</v>
          </cell>
          <cell r="M389" t="str">
            <v>RAQUEL BARBOSA</v>
          </cell>
        </row>
        <row r="390">
          <cell r="B390">
            <v>5211344</v>
          </cell>
          <cell r="C390" t="str">
            <v>DISTRIB E IMPORT IRMAOS AVELINO</v>
          </cell>
          <cell r="D390">
            <v>7001</v>
          </cell>
          <cell r="E390" t="str">
            <v>0722</v>
          </cell>
          <cell r="F390" t="str">
            <v>C1</v>
          </cell>
          <cell r="G390" t="str">
            <v>SP</v>
          </cell>
          <cell r="H390" t="str">
            <v>DISTRIBUIÇÃO</v>
          </cell>
          <cell r="I390" t="str">
            <v>FOOD SERVICE</v>
          </cell>
          <cell r="J390" t="str">
            <v>RAQUEL BARBOSA</v>
          </cell>
          <cell r="K390" t="str">
            <v>LACTALIS</v>
          </cell>
          <cell r="L390" t="str">
            <v>RODRIGO</v>
          </cell>
          <cell r="M390" t="str">
            <v>RAQUEL BARBOSA</v>
          </cell>
        </row>
        <row r="391">
          <cell r="B391">
            <v>5216067</v>
          </cell>
          <cell r="C391" t="str">
            <v>DISTRIBUIDORA DE DOCES CORREA</v>
          </cell>
          <cell r="D391">
            <v>3001</v>
          </cell>
          <cell r="E391" t="str">
            <v>0126</v>
          </cell>
          <cell r="F391" t="str">
            <v>C1</v>
          </cell>
          <cell r="G391" t="str">
            <v>PR</v>
          </cell>
          <cell r="H391" t="str">
            <v>DISTRIBUIÇÃO</v>
          </cell>
          <cell r="I391" t="str">
            <v>FOOD SERVICE</v>
          </cell>
          <cell r="J391" t="str">
            <v>ANGELICA BATISTELA</v>
          </cell>
          <cell r="K391" t="str">
            <v>ITAMBÉ</v>
          </cell>
          <cell r="L391" t="str">
            <v>RODRIGO</v>
          </cell>
          <cell r="M391" t="str">
            <v>ANGELICA BATISTELA</v>
          </cell>
        </row>
        <row r="392">
          <cell r="B392">
            <v>5006978</v>
          </cell>
          <cell r="C392" t="str">
            <v>DISTRIBUIDORA E IMP IRMAOS AVELINO</v>
          </cell>
          <cell r="D392">
            <v>6001</v>
          </cell>
          <cell r="E392" t="str">
            <v>6125</v>
          </cell>
          <cell r="F392" t="str">
            <v>C1</v>
          </cell>
          <cell r="G392" t="str">
            <v>SP</v>
          </cell>
          <cell r="H392" t="str">
            <v>DISTRIBUIÇÃO</v>
          </cell>
          <cell r="I392" t="str">
            <v>FOOD SERVICE</v>
          </cell>
          <cell r="J392" t="str">
            <v>RAQUEL BARBOSA</v>
          </cell>
          <cell r="K392" t="str">
            <v>ITAMBÉ</v>
          </cell>
          <cell r="L392" t="str">
            <v>RODRIGO</v>
          </cell>
          <cell r="M392" t="str">
            <v>RAQUEL BARBOSA</v>
          </cell>
        </row>
        <row r="393">
          <cell r="B393">
            <v>5226985</v>
          </cell>
          <cell r="C393" t="str">
            <v>DISTRIBUIDORA E IMP IRMAOS AVELINO</v>
          </cell>
          <cell r="D393">
            <v>6001</v>
          </cell>
          <cell r="E393" t="str">
            <v>6125</v>
          </cell>
          <cell r="F393" t="str">
            <v>C1</v>
          </cell>
          <cell r="G393" t="str">
            <v>SP</v>
          </cell>
          <cell r="H393" t="str">
            <v>DISTRIBUIÇÃO</v>
          </cell>
          <cell r="I393" t="str">
            <v>FOOD SERVICE</v>
          </cell>
          <cell r="J393" t="str">
            <v>RAQUEL BARBOSA</v>
          </cell>
          <cell r="K393" t="str">
            <v>ITAMBÉ</v>
          </cell>
          <cell r="L393" t="str">
            <v>RODRIGO</v>
          </cell>
          <cell r="M393" t="str">
            <v>RAQUEL BARBOSA</v>
          </cell>
        </row>
        <row r="394">
          <cell r="B394">
            <v>5006978</v>
          </cell>
          <cell r="C394" t="str">
            <v>DISTRIBUIDORA E IMP IRMAOS AVELINO</v>
          </cell>
          <cell r="D394">
            <v>7001</v>
          </cell>
          <cell r="E394" t="str">
            <v>0722</v>
          </cell>
          <cell r="F394" t="str">
            <v>C1</v>
          </cell>
          <cell r="G394" t="str">
            <v>SP</v>
          </cell>
          <cell r="H394" t="str">
            <v>DISTRIBUIÇÃO</v>
          </cell>
          <cell r="I394" t="str">
            <v>FOOD SERVICE</v>
          </cell>
          <cell r="J394" t="str">
            <v>RAQUEL BARBOSA</v>
          </cell>
          <cell r="K394" t="str">
            <v>LACTALIS</v>
          </cell>
          <cell r="L394" t="str">
            <v>RODRIGO</v>
          </cell>
          <cell r="M394" t="str">
            <v>RAQUEL BARBOSA</v>
          </cell>
        </row>
        <row r="395">
          <cell r="B395">
            <v>5226985</v>
          </cell>
          <cell r="C395" t="str">
            <v>DISTRIBUIDORA E IMP IRMAOS AVELINO</v>
          </cell>
          <cell r="D395">
            <v>7001</v>
          </cell>
          <cell r="E395" t="str">
            <v>0722</v>
          </cell>
          <cell r="F395" t="str">
            <v>C1</v>
          </cell>
          <cell r="G395" t="str">
            <v>SP</v>
          </cell>
          <cell r="H395" t="str">
            <v>DISTRIBUIÇÃO</v>
          </cell>
          <cell r="I395" t="str">
            <v>FOOD SERVICE</v>
          </cell>
          <cell r="J395" t="str">
            <v>RAQUEL BARBOSA</v>
          </cell>
          <cell r="K395" t="str">
            <v>LACTALIS</v>
          </cell>
          <cell r="L395" t="str">
            <v>RODRIGO</v>
          </cell>
          <cell r="M395" t="str">
            <v>RAQUEL BARBOSA</v>
          </cell>
        </row>
        <row r="396">
          <cell r="B396">
            <v>5334333</v>
          </cell>
          <cell r="C396" t="str">
            <v>DISTRIBUIDORA E MERCADO BOM SUC</v>
          </cell>
          <cell r="D396">
            <v>7001</v>
          </cell>
          <cell r="E396" t="str">
            <v>0749</v>
          </cell>
          <cell r="F396" t="str">
            <v>C5</v>
          </cell>
          <cell r="G396" t="str">
            <v>SP</v>
          </cell>
          <cell r="H396" t="str">
            <v>DISTRIBUIÇÃO</v>
          </cell>
          <cell r="I396" t="str">
            <v>FOOD SERVICE</v>
          </cell>
          <cell r="J396" t="str">
            <v>FLAC 2</v>
          </cell>
          <cell r="K396" t="str">
            <v>LACTALIS</v>
          </cell>
          <cell r="L396" t="str">
            <v>RODRIGO</v>
          </cell>
          <cell r="M396" t="str">
            <v>RAQUEL BARBOSA</v>
          </cell>
        </row>
        <row r="397">
          <cell r="B397">
            <v>5220538</v>
          </cell>
          <cell r="C397" t="str">
            <v>DISTRIBUIDORA JJ DE ALIM E COSM LTD</v>
          </cell>
          <cell r="D397">
            <v>3001</v>
          </cell>
          <cell r="E397" t="str">
            <v>0127</v>
          </cell>
          <cell r="F397" t="str">
            <v>C1</v>
          </cell>
          <cell r="G397" t="str">
            <v>PE</v>
          </cell>
          <cell r="H397" t="str">
            <v>DISTRIBUIÇÃO</v>
          </cell>
          <cell r="I397" t="str">
            <v>FOOD SERVICE</v>
          </cell>
          <cell r="J397" t="str">
            <v>CLAUDIO JORGE</v>
          </cell>
          <cell r="K397" t="str">
            <v>ITAMBÉ</v>
          </cell>
          <cell r="L397" t="str">
            <v>RODRIGO</v>
          </cell>
          <cell r="M397" t="str">
            <v>MARIA LOURDES</v>
          </cell>
        </row>
        <row r="398">
          <cell r="B398">
            <v>5224070</v>
          </cell>
          <cell r="C398" t="str">
            <v>DISTRIBUIDORA JJ DE ALIMENTOS</v>
          </cell>
          <cell r="D398">
            <v>3001</v>
          </cell>
          <cell r="E398" t="str">
            <v>0127</v>
          </cell>
          <cell r="F398" t="str">
            <v>C1</v>
          </cell>
          <cell r="G398" t="str">
            <v>CE</v>
          </cell>
          <cell r="H398" t="str">
            <v>DISTRIBUIÇÃO</v>
          </cell>
          <cell r="I398" t="str">
            <v>FOOD SERVICE</v>
          </cell>
          <cell r="J398" t="str">
            <v>WH FOOD SERVICE CE</v>
          </cell>
          <cell r="K398" t="str">
            <v>ITAMBÉ</v>
          </cell>
          <cell r="L398" t="str">
            <v>RODRIGO</v>
          </cell>
          <cell r="M398" t="str">
            <v>MARIA LOURDES</v>
          </cell>
        </row>
        <row r="399">
          <cell r="B399">
            <v>5173427</v>
          </cell>
          <cell r="C399" t="str">
            <v>DISTRIPACK DIST DE EMBALAGENS LTDA</v>
          </cell>
          <cell r="D399">
            <v>3001</v>
          </cell>
          <cell r="E399" t="str">
            <v>0028</v>
          </cell>
          <cell r="F399" t="str">
            <v>C1</v>
          </cell>
          <cell r="G399" t="str">
            <v>MG</v>
          </cell>
          <cell r="H399" t="str">
            <v>INGREDIENTS</v>
          </cell>
          <cell r="I399" t="str">
            <v>INGREDIENTS</v>
          </cell>
          <cell r="J399" t="str">
            <v>MG ITB FS DRK REP</v>
          </cell>
          <cell r="K399" t="str">
            <v>ITAMBÉ</v>
          </cell>
          <cell r="L399" t="str">
            <v>MAURICIO</v>
          </cell>
          <cell r="M399" t="str">
            <v>JOEL</v>
          </cell>
        </row>
        <row r="400">
          <cell r="B400">
            <v>5173427</v>
          </cell>
          <cell r="C400" t="str">
            <v>DISTRIPACK DIST DE EMBALAGENS LTDA</v>
          </cell>
          <cell r="D400">
            <v>3001</v>
          </cell>
          <cell r="E400" t="str">
            <v>0122</v>
          </cell>
          <cell r="F400" t="str">
            <v>C1</v>
          </cell>
          <cell r="G400" t="str">
            <v>MG</v>
          </cell>
          <cell r="H400" t="str">
            <v>INGREDIENTS</v>
          </cell>
          <cell r="I400" t="str">
            <v>INGREDIENTS</v>
          </cell>
          <cell r="J400" t="str">
            <v>MG ITB FS DRK REP</v>
          </cell>
          <cell r="K400" t="str">
            <v>ITAMBÉ</v>
          </cell>
          <cell r="L400" t="str">
            <v>MAURICIO</v>
          </cell>
          <cell r="M400" t="str">
            <v>JOEL</v>
          </cell>
        </row>
        <row r="401">
          <cell r="B401">
            <v>5316223</v>
          </cell>
          <cell r="C401" t="str">
            <v>DM MERCADO LTDA</v>
          </cell>
          <cell r="D401">
            <v>6001</v>
          </cell>
          <cell r="E401" t="str">
            <v>6125</v>
          </cell>
          <cell r="F401" t="str">
            <v>C1</v>
          </cell>
          <cell r="G401" t="str">
            <v>SP</v>
          </cell>
          <cell r="H401" t="str">
            <v>DISTRIBUIÇÃO</v>
          </cell>
          <cell r="I401" t="str">
            <v>FOOD SERVICE</v>
          </cell>
          <cell r="J401" t="str">
            <v>SP ITB FS FLAC REP.E COMERCIO</v>
          </cell>
          <cell r="K401" t="str">
            <v>ITAMBÉ</v>
          </cell>
          <cell r="L401" t="str">
            <v>RODRIGO</v>
          </cell>
          <cell r="M401" t="str">
            <v>RAQUEL BARBOSA</v>
          </cell>
        </row>
        <row r="402">
          <cell r="B402">
            <v>5262840</v>
          </cell>
          <cell r="C402" t="str">
            <v>DMX BOLOS DA VOVO LTDA</v>
          </cell>
          <cell r="D402">
            <v>7001</v>
          </cell>
          <cell r="E402" t="str">
            <v>0749</v>
          </cell>
          <cell r="F402" t="str">
            <v>C5</v>
          </cell>
          <cell r="G402" t="str">
            <v>SP</v>
          </cell>
          <cell r="H402" t="str">
            <v>DISTRIBUIÇÃO</v>
          </cell>
          <cell r="I402" t="str">
            <v>FOOD SERVICE</v>
          </cell>
          <cell r="J402" t="str">
            <v>FLAC 6</v>
          </cell>
          <cell r="K402" t="str">
            <v>LACTALIS</v>
          </cell>
          <cell r="L402" t="str">
            <v>RODRIGO</v>
          </cell>
          <cell r="M402" t="str">
            <v>RAQUEL BARBOSA</v>
          </cell>
        </row>
        <row r="403">
          <cell r="B403">
            <v>5230045</v>
          </cell>
          <cell r="C403" t="str">
            <v>DN SHAKES COMERCIO DE ALIM LTDA</v>
          </cell>
          <cell r="D403">
            <v>3001</v>
          </cell>
          <cell r="E403" t="str">
            <v>0126</v>
          </cell>
          <cell r="F403" t="str">
            <v>C1</v>
          </cell>
          <cell r="G403" t="str">
            <v>RS</v>
          </cell>
          <cell r="H403" t="str">
            <v>INGREDIENTS</v>
          </cell>
          <cell r="I403" t="str">
            <v>INGREDIENTS</v>
          </cell>
          <cell r="J403" t="str">
            <v>DUAS RODAS</v>
          </cell>
          <cell r="K403" t="str">
            <v>ITAMBÉ</v>
          </cell>
          <cell r="L403" t="str">
            <v>MAURICIO</v>
          </cell>
          <cell r="M403" t="str">
            <v>MARCELO</v>
          </cell>
        </row>
        <row r="404">
          <cell r="B404">
            <v>5227935</v>
          </cell>
          <cell r="C404" t="str">
            <v>DNFA COMERCIO LTDA</v>
          </cell>
          <cell r="D404">
            <v>3001</v>
          </cell>
          <cell r="E404" t="str">
            <v>0126</v>
          </cell>
          <cell r="F404" t="str">
            <v>C1</v>
          </cell>
          <cell r="G404" t="str">
            <v>PR</v>
          </cell>
          <cell r="H404" t="str">
            <v>INGREDIENTS</v>
          </cell>
          <cell r="I404" t="str">
            <v>INGREDIENTS</v>
          </cell>
          <cell r="J404" t="str">
            <v>MARCELO RODRIGUES</v>
          </cell>
          <cell r="K404" t="str">
            <v>ITAMBÉ</v>
          </cell>
          <cell r="L404" t="str">
            <v>MAURICIO</v>
          </cell>
          <cell r="M404" t="str">
            <v>MARCELO</v>
          </cell>
        </row>
        <row r="405">
          <cell r="B405">
            <v>5200125</v>
          </cell>
          <cell r="C405" t="str">
            <v>DOCA COM DE EMB LTDA</v>
          </cell>
          <cell r="D405">
            <v>3001</v>
          </cell>
          <cell r="E405" t="str">
            <v>0127</v>
          </cell>
          <cell r="F405" t="str">
            <v>C1</v>
          </cell>
          <cell r="G405" t="str">
            <v>CE</v>
          </cell>
          <cell r="H405" t="str">
            <v>DISTRIBUIÇÃO</v>
          </cell>
          <cell r="I405" t="str">
            <v>FOOD SERVICE</v>
          </cell>
          <cell r="J405" t="str">
            <v>WH FOOD SERVICE CE</v>
          </cell>
          <cell r="K405" t="str">
            <v>ITAMBÉ</v>
          </cell>
          <cell r="L405" t="str">
            <v>RODRIGO</v>
          </cell>
          <cell r="M405" t="str">
            <v>MARIA LOURDES</v>
          </cell>
        </row>
        <row r="406">
          <cell r="B406">
            <v>5200125</v>
          </cell>
          <cell r="C406" t="str">
            <v>DOCA COM DE EMB LTDA</v>
          </cell>
          <cell r="D406">
            <v>3001</v>
          </cell>
          <cell r="E406" t="str">
            <v>0075</v>
          </cell>
          <cell r="F406" t="str">
            <v>C1</v>
          </cell>
          <cell r="G406" t="str">
            <v>CE</v>
          </cell>
          <cell r="H406" t="str">
            <v>DISTRIBUIÇÃO</v>
          </cell>
          <cell r="I406" t="str">
            <v>FOOD SERVICE</v>
          </cell>
          <cell r="J406" t="str">
            <v>WH FOOD SERVICE CE</v>
          </cell>
          <cell r="K406" t="str">
            <v>ITAMBÉ</v>
          </cell>
          <cell r="L406" t="str">
            <v>RODRIGO</v>
          </cell>
          <cell r="M406" t="str">
            <v>MARIA LOURDES</v>
          </cell>
        </row>
        <row r="407">
          <cell r="B407">
            <v>5209002</v>
          </cell>
          <cell r="C407" t="str">
            <v>DOCA COME DE PROD ALIMEN LTDA</v>
          </cell>
          <cell r="D407">
            <v>3001</v>
          </cell>
          <cell r="E407" t="str">
            <v>0127</v>
          </cell>
          <cell r="F407" t="str">
            <v>C1</v>
          </cell>
          <cell r="G407" t="str">
            <v>CE</v>
          </cell>
          <cell r="H407" t="str">
            <v>DISTRIBUIÇÃO</v>
          </cell>
          <cell r="I407" t="str">
            <v>FOOD SERVICE</v>
          </cell>
          <cell r="J407" t="str">
            <v>WH FOOD SERVICE CE</v>
          </cell>
          <cell r="K407" t="str">
            <v>ITAMBÉ</v>
          </cell>
          <cell r="L407" t="str">
            <v>RODRIGO</v>
          </cell>
          <cell r="M407" t="str">
            <v>MARIA LOURDES</v>
          </cell>
        </row>
        <row r="408">
          <cell r="B408">
            <v>5182512</v>
          </cell>
          <cell r="C408" t="str">
            <v>DOCA COMERCIO DE PROD ALIM LTDA</v>
          </cell>
          <cell r="D408">
            <v>3001</v>
          </cell>
          <cell r="E408" t="str">
            <v>0127</v>
          </cell>
          <cell r="F408" t="str">
            <v>C1</v>
          </cell>
          <cell r="G408" t="str">
            <v>CE</v>
          </cell>
          <cell r="H408" t="str">
            <v>DISTRIBUIÇÃO</v>
          </cell>
          <cell r="I408" t="str">
            <v>FOOD SERVICE</v>
          </cell>
          <cell r="J408" t="str">
            <v>WH FOOD SERVICE CE</v>
          </cell>
          <cell r="K408" t="str">
            <v>ITAMBÉ</v>
          </cell>
          <cell r="L408" t="str">
            <v>RODRIGO</v>
          </cell>
          <cell r="M408" t="str">
            <v>MARIA LOURDES</v>
          </cell>
        </row>
        <row r="409">
          <cell r="B409">
            <v>5330857</v>
          </cell>
          <cell r="C409" t="str">
            <v>DOCE SOPHIA CONFEITARIA LTDA</v>
          </cell>
          <cell r="D409">
            <v>3001</v>
          </cell>
          <cell r="E409" t="str">
            <v>0122</v>
          </cell>
          <cell r="F409" t="str">
            <v>C1</v>
          </cell>
          <cell r="G409" t="str">
            <v>MG</v>
          </cell>
          <cell r="H409" t="str">
            <v>INGREDIENTS</v>
          </cell>
          <cell r="I409" t="str">
            <v>INGREDIENTS</v>
          </cell>
          <cell r="J409" t="str">
            <v>HENRIQUE FERREIRA</v>
          </cell>
          <cell r="K409" t="str">
            <v>ITAMBÉ</v>
          </cell>
          <cell r="L409" t="str">
            <v>MAURICIO</v>
          </cell>
          <cell r="M409" t="str">
            <v>JOEL</v>
          </cell>
        </row>
        <row r="410">
          <cell r="B410">
            <v>5194511</v>
          </cell>
          <cell r="C410" t="str">
            <v>DOCEMEL ALIMENTOS EIRELI EPP</v>
          </cell>
          <cell r="D410">
            <v>3001</v>
          </cell>
          <cell r="E410" t="str">
            <v>0123</v>
          </cell>
          <cell r="F410" t="str">
            <v>C1</v>
          </cell>
          <cell r="G410" t="str">
            <v>MS</v>
          </cell>
          <cell r="H410" t="str">
            <v>INGREDIENTS</v>
          </cell>
          <cell r="I410" t="str">
            <v>INGREDIENTS</v>
          </cell>
          <cell r="J410" t="str">
            <v>DUAS RODAS</v>
          </cell>
          <cell r="K410" t="str">
            <v>ITAMBÉ</v>
          </cell>
          <cell r="L410" t="str">
            <v>MAURICIO</v>
          </cell>
          <cell r="M410" t="str">
            <v>MARCELO</v>
          </cell>
        </row>
        <row r="411">
          <cell r="B411">
            <v>5122981</v>
          </cell>
          <cell r="C411" t="str">
            <v>DOCERIA FANI LTDA</v>
          </cell>
          <cell r="D411">
            <v>7001</v>
          </cell>
          <cell r="E411" t="str">
            <v>0749</v>
          </cell>
          <cell r="F411" t="str">
            <v>C5</v>
          </cell>
          <cell r="G411" t="str">
            <v>SP</v>
          </cell>
          <cell r="H411" t="str">
            <v>DISTRIBUIÇÃO</v>
          </cell>
          <cell r="I411" t="str">
            <v>FOOD SERVICE</v>
          </cell>
          <cell r="J411" t="str">
            <v>FLAC 3</v>
          </cell>
          <cell r="K411" t="str">
            <v>LACTALIS</v>
          </cell>
          <cell r="L411" t="str">
            <v>RODRIGO</v>
          </cell>
          <cell r="M411" t="str">
            <v>RAQUEL BARBOSA</v>
          </cell>
        </row>
        <row r="412">
          <cell r="B412">
            <v>5210128</v>
          </cell>
          <cell r="C412" t="str">
            <v>DOCERIA MIRABELLA LTDA</v>
          </cell>
          <cell r="D412">
            <v>7001</v>
          </cell>
          <cell r="E412" t="str">
            <v>0749</v>
          </cell>
          <cell r="F412" t="str">
            <v>C5</v>
          </cell>
          <cell r="G412" t="str">
            <v>SP</v>
          </cell>
          <cell r="H412" t="str">
            <v>DISTRIBUIÇÃO</v>
          </cell>
          <cell r="I412" t="str">
            <v>FOOD SERVICE</v>
          </cell>
          <cell r="J412" t="str">
            <v>FLAC 3</v>
          </cell>
          <cell r="K412" t="str">
            <v>LACTALIS</v>
          </cell>
          <cell r="L412" t="str">
            <v>RODRIGO</v>
          </cell>
          <cell r="M412" t="str">
            <v>RAQUEL BARBOSA</v>
          </cell>
        </row>
        <row r="413">
          <cell r="B413">
            <v>5274236</v>
          </cell>
          <cell r="C413" t="str">
            <v>DOCERIA ZUCKER FABRICA LTDA</v>
          </cell>
          <cell r="D413">
            <v>7001</v>
          </cell>
          <cell r="E413" t="str">
            <v>0749</v>
          </cell>
          <cell r="F413" t="str">
            <v>C5</v>
          </cell>
          <cell r="G413" t="str">
            <v>SP</v>
          </cell>
          <cell r="H413" t="str">
            <v>DISTRIBUIÇÃO</v>
          </cell>
          <cell r="I413" t="str">
            <v>FOOD SERVICE</v>
          </cell>
          <cell r="J413" t="str">
            <v>FLAC 2</v>
          </cell>
          <cell r="K413" t="str">
            <v>LACTALIS</v>
          </cell>
          <cell r="L413" t="str">
            <v>RODRIGO</v>
          </cell>
          <cell r="M413" t="str">
            <v>RAQUEL BARBOSA</v>
          </cell>
        </row>
        <row r="414">
          <cell r="B414">
            <v>5111178</v>
          </cell>
          <cell r="C414" t="str">
            <v>DOCES SONHOS DE COTIA DOCERIA LTDA</v>
          </cell>
          <cell r="D414">
            <v>7001</v>
          </cell>
          <cell r="E414" t="str">
            <v>0749</v>
          </cell>
          <cell r="F414" t="str">
            <v>C5</v>
          </cell>
          <cell r="G414" t="str">
            <v>SP</v>
          </cell>
          <cell r="H414" t="str">
            <v>DISTRIBUIÇÃO</v>
          </cell>
          <cell r="I414" t="str">
            <v>FOOD SERVICE</v>
          </cell>
          <cell r="J414" t="str">
            <v>FLAC 6</v>
          </cell>
          <cell r="K414" t="str">
            <v>LACTALIS</v>
          </cell>
          <cell r="L414" t="str">
            <v>RODRIGO</v>
          </cell>
          <cell r="M414" t="str">
            <v>RAQUEL BARBOSA</v>
          </cell>
        </row>
        <row r="415">
          <cell r="B415">
            <v>5161583</v>
          </cell>
          <cell r="C415" t="str">
            <v>DOHLER AMERICA LATINA LTDA</v>
          </cell>
          <cell r="D415">
            <v>6001</v>
          </cell>
          <cell r="E415" t="str">
            <v>6125</v>
          </cell>
          <cell r="F415" t="str">
            <v>C1</v>
          </cell>
          <cell r="G415" t="str">
            <v>SP</v>
          </cell>
          <cell r="H415" t="str">
            <v>INGREDIENTS</v>
          </cell>
          <cell r="I415" t="str">
            <v>INGREDIENTS</v>
          </cell>
          <cell r="J415" t="str">
            <v>HENRIQUE FERREIRA</v>
          </cell>
          <cell r="K415" t="str">
            <v>ITAMBÉ</v>
          </cell>
          <cell r="L415" t="str">
            <v>MAURICIO</v>
          </cell>
          <cell r="M415" t="str">
            <v>JOEL</v>
          </cell>
        </row>
        <row r="416">
          <cell r="B416">
            <v>5224996</v>
          </cell>
          <cell r="C416" t="str">
            <v>DOIS IRMAOS IND E COM DE SORV L</v>
          </cell>
          <cell r="D416">
            <v>4001</v>
          </cell>
          <cell r="E416" t="str">
            <v>0455</v>
          </cell>
          <cell r="F416" t="str">
            <v>C1</v>
          </cell>
          <cell r="G416" t="str">
            <v>PR</v>
          </cell>
          <cell r="H416" t="str">
            <v>INGREDIENTS</v>
          </cell>
          <cell r="I416" t="str">
            <v>INGREDIENTS</v>
          </cell>
          <cell r="J416" t="str">
            <v>MARCELO RODRIGUES</v>
          </cell>
          <cell r="K416" t="str">
            <v>LACTALIS</v>
          </cell>
          <cell r="L416" t="str">
            <v>MAURICIO</v>
          </cell>
          <cell r="M416" t="str">
            <v>MARCELO</v>
          </cell>
        </row>
        <row r="417">
          <cell r="B417">
            <v>5234374</v>
          </cell>
          <cell r="C417" t="str">
            <v>DOM RESTAURANTE LTDA</v>
          </cell>
          <cell r="D417">
            <v>7001</v>
          </cell>
          <cell r="E417" t="str">
            <v>0749</v>
          </cell>
          <cell r="F417" t="str">
            <v>C5</v>
          </cell>
          <cell r="G417" t="str">
            <v>SP</v>
          </cell>
          <cell r="H417" t="str">
            <v>DISTRIBUIÇÃO</v>
          </cell>
          <cell r="I417" t="str">
            <v>FOOD SERVICE</v>
          </cell>
          <cell r="J417" t="str">
            <v>FLAC 4</v>
          </cell>
          <cell r="K417" t="str">
            <v>LACTALIS</v>
          </cell>
          <cell r="L417" t="str">
            <v>RODRIGO</v>
          </cell>
          <cell r="M417" t="str">
            <v>RAQUEL BARBOSA</v>
          </cell>
        </row>
        <row r="418">
          <cell r="B418">
            <v>5265744</v>
          </cell>
          <cell r="C418" t="str">
            <v>DOMENICA CAFE ALIMENTOS EIRELE</v>
          </cell>
          <cell r="D418">
            <v>7001</v>
          </cell>
          <cell r="E418" t="str">
            <v>0749</v>
          </cell>
          <cell r="F418" t="str">
            <v>C5</v>
          </cell>
          <cell r="G418" t="str">
            <v>SP</v>
          </cell>
          <cell r="H418" t="str">
            <v>DISTRIBUIÇÃO</v>
          </cell>
          <cell r="I418" t="str">
            <v>FOOD SERVICE</v>
          </cell>
          <cell r="J418" t="str">
            <v>FLAC 2</v>
          </cell>
          <cell r="K418" t="str">
            <v>LACTALIS</v>
          </cell>
          <cell r="L418" t="str">
            <v>RODRIGO</v>
          </cell>
          <cell r="M418" t="str">
            <v>RAQUEL BARBOSA</v>
          </cell>
        </row>
        <row r="419">
          <cell r="B419">
            <v>5009911</v>
          </cell>
          <cell r="C419" t="str">
            <v>DOMICILI IND COM DE ALIMENTOS LTDA</v>
          </cell>
          <cell r="D419">
            <v>7001</v>
          </cell>
          <cell r="E419" t="str">
            <v>0749</v>
          </cell>
          <cell r="F419" t="str">
            <v>C5</v>
          </cell>
          <cell r="G419" t="str">
            <v>SP</v>
          </cell>
          <cell r="H419" t="str">
            <v>DISTRIBUIÇÃO</v>
          </cell>
          <cell r="I419" t="str">
            <v>FOOD SERVICE</v>
          </cell>
          <cell r="J419" t="str">
            <v>FLAC 1</v>
          </cell>
          <cell r="K419" t="str">
            <v>LACTALIS</v>
          </cell>
          <cell r="L419" t="str">
            <v>RODRIGO</v>
          </cell>
          <cell r="M419" t="str">
            <v>RAQUEL BARBOSA</v>
          </cell>
        </row>
        <row r="420">
          <cell r="B420">
            <v>5248415</v>
          </cell>
          <cell r="C420" t="str">
            <v>DON MARCHE SERVICOS DE ALIMENTACAO</v>
          </cell>
          <cell r="D420">
            <v>7001</v>
          </cell>
          <cell r="E420" t="str">
            <v>0749</v>
          </cell>
          <cell r="F420" t="str">
            <v>C5</v>
          </cell>
          <cell r="G420" t="str">
            <v>SP</v>
          </cell>
          <cell r="H420" t="str">
            <v>DISTRIBUIÇÃO</v>
          </cell>
          <cell r="I420" t="str">
            <v>FOOD SERVICE</v>
          </cell>
          <cell r="J420" t="str">
            <v>FLAC 6</v>
          </cell>
          <cell r="K420" t="str">
            <v>LACTALIS</v>
          </cell>
          <cell r="L420" t="str">
            <v>RODRIGO</v>
          </cell>
          <cell r="M420" t="str">
            <v>RAQUEL BARBOSA</v>
          </cell>
        </row>
        <row r="421">
          <cell r="B421">
            <v>5077482</v>
          </cell>
          <cell r="C421" t="str">
            <v>DOREMUS ALIMENTOS LTDA</v>
          </cell>
          <cell r="D421">
            <v>3001</v>
          </cell>
          <cell r="E421" t="str">
            <v>0125</v>
          </cell>
          <cell r="F421" t="str">
            <v>C1</v>
          </cell>
          <cell r="G421" t="str">
            <v>SP</v>
          </cell>
          <cell r="H421" t="str">
            <v>INGREDIENTS</v>
          </cell>
          <cell r="I421" t="str">
            <v>INGREDIENTS</v>
          </cell>
          <cell r="J421" t="str">
            <v>TATIANA NITTA</v>
          </cell>
          <cell r="K421" t="str">
            <v>ITAMBÉ</v>
          </cell>
          <cell r="L421" t="str">
            <v>MAURICIO</v>
          </cell>
          <cell r="M421" t="str">
            <v>TATIANA NITTA</v>
          </cell>
        </row>
        <row r="422">
          <cell r="B422">
            <v>5077482</v>
          </cell>
          <cell r="C422" t="str">
            <v>DOREMUS ALIMENTOS LTDA</v>
          </cell>
          <cell r="D422">
            <v>6001</v>
          </cell>
          <cell r="E422" t="str">
            <v>6125</v>
          </cell>
          <cell r="F422" t="str">
            <v>C1</v>
          </cell>
          <cell r="G422" t="str">
            <v>SP</v>
          </cell>
          <cell r="H422" t="str">
            <v>INGREDIENTS</v>
          </cell>
          <cell r="I422" t="str">
            <v>INGREDIENTS</v>
          </cell>
          <cell r="J422" t="str">
            <v>TATIANA NITTA</v>
          </cell>
          <cell r="K422" t="str">
            <v>ITAMBÉ</v>
          </cell>
          <cell r="L422" t="str">
            <v>MAURICIO</v>
          </cell>
          <cell r="M422" t="str">
            <v>TATIANA NITTA</v>
          </cell>
        </row>
        <row r="423">
          <cell r="B423">
            <v>5077482</v>
          </cell>
          <cell r="C423" t="str">
            <v>DOREMUS ALIMENTOS LTDA</v>
          </cell>
          <cell r="D423">
            <v>7001</v>
          </cell>
          <cell r="E423" t="str">
            <v>0749</v>
          </cell>
          <cell r="F423" t="str">
            <v>C5</v>
          </cell>
          <cell r="G423" t="str">
            <v>SP</v>
          </cell>
          <cell r="H423" t="str">
            <v>DISTRIBUIÇÃO</v>
          </cell>
          <cell r="I423" t="str">
            <v>FOOD SERVICE</v>
          </cell>
          <cell r="J423" t="str">
            <v>FLAC 3</v>
          </cell>
          <cell r="K423" t="str">
            <v>LACTALIS</v>
          </cell>
          <cell r="L423" t="str">
            <v>RODRIGO</v>
          </cell>
          <cell r="M423" t="str">
            <v>RAQUEL BARBOSA</v>
          </cell>
        </row>
        <row r="424">
          <cell r="B424">
            <v>5077482</v>
          </cell>
          <cell r="C424" t="str">
            <v>DOREMUS ALIMENTOS LTDA</v>
          </cell>
          <cell r="D424">
            <v>6001</v>
          </cell>
          <cell r="E424" t="str">
            <v>6028</v>
          </cell>
          <cell r="F424" t="str">
            <v>C1</v>
          </cell>
          <cell r="G424" t="str">
            <v>SP</v>
          </cell>
          <cell r="H424" t="str">
            <v>INGREDIENTS</v>
          </cell>
          <cell r="I424" t="str">
            <v>INGREDIENTS</v>
          </cell>
          <cell r="J424" t="str">
            <v>TATIANA NITTA</v>
          </cell>
          <cell r="K424" t="str">
            <v>ITAMBÉ</v>
          </cell>
          <cell r="L424" t="str">
            <v>MAURICIO</v>
          </cell>
          <cell r="M424" t="str">
            <v>TATIANA NITTA</v>
          </cell>
        </row>
        <row r="425">
          <cell r="B425">
            <v>5023831</v>
          </cell>
          <cell r="C425" t="str">
            <v>DORIVALI COM DIST DE PROD ALIM LTDA</v>
          </cell>
          <cell r="D425">
            <v>6001</v>
          </cell>
          <cell r="E425" t="str">
            <v>6125</v>
          </cell>
          <cell r="F425" t="str">
            <v>C1</v>
          </cell>
          <cell r="G425" t="str">
            <v>SP</v>
          </cell>
          <cell r="H425" t="str">
            <v>DISTRIBUIÇÃO</v>
          </cell>
          <cell r="I425" t="str">
            <v>FOOD SERVICE</v>
          </cell>
          <cell r="J425" t="str">
            <v>VAGO SP</v>
          </cell>
          <cell r="K425" t="str">
            <v>ITAMBÉ</v>
          </cell>
          <cell r="L425" t="str">
            <v>RODRIGO</v>
          </cell>
          <cell r="M425" t="str">
            <v>RAQUEL BARBOSA</v>
          </cell>
        </row>
        <row r="426">
          <cell r="B426">
            <v>5127060</v>
          </cell>
          <cell r="C426" t="str">
            <v>DOZE DISTRIBUIDORA LTDA</v>
          </cell>
          <cell r="D426">
            <v>3001</v>
          </cell>
          <cell r="E426" t="str">
            <v>0122</v>
          </cell>
          <cell r="F426" t="str">
            <v>C1</v>
          </cell>
          <cell r="G426" t="str">
            <v>MG</v>
          </cell>
          <cell r="H426" t="str">
            <v>DISTRIBUIÇÃO</v>
          </cell>
          <cell r="I426" t="str">
            <v>FOOD SERVICE</v>
          </cell>
          <cell r="J426" t="str">
            <v>MARCELO SILVA</v>
          </cell>
          <cell r="K426" t="str">
            <v>ITAMBÉ</v>
          </cell>
          <cell r="L426" t="str">
            <v>RODRIGO</v>
          </cell>
          <cell r="M426" t="str">
            <v>CELIO MARTINS</v>
          </cell>
        </row>
        <row r="427">
          <cell r="B427">
            <v>5282417</v>
          </cell>
          <cell r="C427" t="str">
            <v>DU JOUR CHOCOLATE LTDA</v>
          </cell>
          <cell r="D427">
            <v>7001</v>
          </cell>
          <cell r="E427" t="str">
            <v>0749</v>
          </cell>
          <cell r="F427" t="str">
            <v>C5</v>
          </cell>
          <cell r="G427" t="str">
            <v>SP</v>
          </cell>
          <cell r="H427" t="str">
            <v>DISTRIBUIÇÃO</v>
          </cell>
          <cell r="I427" t="str">
            <v>FOOD SERVICE</v>
          </cell>
          <cell r="J427" t="str">
            <v>FLAC 2</v>
          </cell>
          <cell r="K427" t="str">
            <v>LACTALIS</v>
          </cell>
          <cell r="L427" t="str">
            <v>RODRIGO</v>
          </cell>
          <cell r="M427" t="str">
            <v>RAQUEL BARBOSA</v>
          </cell>
        </row>
        <row r="428">
          <cell r="B428">
            <v>5287709</v>
          </cell>
          <cell r="C428" t="str">
            <v>DU LOBO PANIFICACAO LTDA</v>
          </cell>
          <cell r="D428">
            <v>7001</v>
          </cell>
          <cell r="E428" t="str">
            <v>0749</v>
          </cell>
          <cell r="F428" t="str">
            <v>C5</v>
          </cell>
          <cell r="G428" t="str">
            <v>SP</v>
          </cell>
          <cell r="H428" t="str">
            <v>DISTRIBUIÇÃO</v>
          </cell>
          <cell r="I428" t="str">
            <v>FOOD SERVICE</v>
          </cell>
          <cell r="J428" t="str">
            <v>FLAC 2</v>
          </cell>
          <cell r="K428" t="str">
            <v>LACTALIS</v>
          </cell>
          <cell r="L428" t="str">
            <v>RODRIGO</v>
          </cell>
          <cell r="M428" t="str">
            <v>RAQUEL BARBOSA</v>
          </cell>
        </row>
        <row r="429">
          <cell r="B429">
            <v>5024950</v>
          </cell>
          <cell r="C429" t="str">
            <v>DUAS RODAS INDUSTRIAL LTDA</v>
          </cell>
          <cell r="D429">
            <v>3001</v>
          </cell>
          <cell r="E429" t="str">
            <v>0126</v>
          </cell>
          <cell r="F429" t="str">
            <v>C1</v>
          </cell>
          <cell r="G429" t="str">
            <v>SC</v>
          </cell>
          <cell r="H429" t="str">
            <v>INGREDIENTS</v>
          </cell>
          <cell r="I429" t="str">
            <v>INGREDIENTS</v>
          </cell>
          <cell r="J429" t="str">
            <v>MARCELO RODRIGUES</v>
          </cell>
          <cell r="K429" t="str">
            <v>ITAMBÉ</v>
          </cell>
          <cell r="L429" t="str">
            <v>MAURICIO</v>
          </cell>
          <cell r="M429" t="str">
            <v>MARCELO</v>
          </cell>
        </row>
        <row r="430">
          <cell r="B430">
            <v>5024950</v>
          </cell>
          <cell r="C430" t="str">
            <v>DUAS RODAS INDUSTRIAL LTDA</v>
          </cell>
          <cell r="D430">
            <v>4001</v>
          </cell>
          <cell r="E430" t="str">
            <v>0456</v>
          </cell>
          <cell r="F430" t="str">
            <v>C1</v>
          </cell>
          <cell r="G430" t="str">
            <v>SC</v>
          </cell>
          <cell r="H430" t="str">
            <v>INGREDIENTS</v>
          </cell>
          <cell r="I430" t="str">
            <v>INGREDIENTS</v>
          </cell>
          <cell r="J430" t="str">
            <v>MARCELO RODRIGUES</v>
          </cell>
          <cell r="K430" t="str">
            <v>LACTALIS</v>
          </cell>
          <cell r="L430" t="str">
            <v>MAURICIO</v>
          </cell>
          <cell r="M430" t="str">
            <v>MARCELO</v>
          </cell>
        </row>
        <row r="431">
          <cell r="B431">
            <v>5204020</v>
          </cell>
          <cell r="C431" t="str">
            <v>DULTIER ATELIER DE CONFEITARIA E DO</v>
          </cell>
          <cell r="D431">
            <v>7001</v>
          </cell>
          <cell r="E431" t="str">
            <v>0749</v>
          </cell>
          <cell r="F431" t="str">
            <v>C5</v>
          </cell>
          <cell r="G431" t="str">
            <v>SP</v>
          </cell>
          <cell r="H431" t="str">
            <v>DISTRIBUIÇÃO</v>
          </cell>
          <cell r="I431" t="str">
            <v>FOOD SERVICE</v>
          </cell>
          <cell r="J431" t="str">
            <v>FLAC 3</v>
          </cell>
          <cell r="K431" t="str">
            <v>LACTALIS</v>
          </cell>
          <cell r="L431" t="str">
            <v>RODRIGO</v>
          </cell>
          <cell r="M431" t="str">
            <v>RAQUEL BARBOSA</v>
          </cell>
        </row>
        <row r="432">
          <cell r="B432">
            <v>5314689</v>
          </cell>
          <cell r="C432" t="str">
            <v>DUMIL PRODUTOS ALIMENTICIOS LTDA</v>
          </cell>
          <cell r="D432">
            <v>6001</v>
          </cell>
          <cell r="E432" t="str">
            <v>6125</v>
          </cell>
          <cell r="F432" t="str">
            <v>C1</v>
          </cell>
          <cell r="G432" t="str">
            <v>SP</v>
          </cell>
          <cell r="H432" t="str">
            <v>DISTRIBUIÇÃO</v>
          </cell>
          <cell r="I432" t="str">
            <v>FOOD SERVICE</v>
          </cell>
          <cell r="J432" t="str">
            <v>GUILHERME NASCIMENTO</v>
          </cell>
          <cell r="K432" t="str">
            <v>ITAMBÉ</v>
          </cell>
          <cell r="L432" t="str">
            <v>RODRIGO</v>
          </cell>
          <cell r="M432" t="str">
            <v>ALEXANDRO</v>
          </cell>
        </row>
        <row r="433">
          <cell r="B433">
            <v>5219888</v>
          </cell>
          <cell r="C433" t="str">
            <v>DUTRA SORVETES E PICOLES LTDA</v>
          </cell>
          <cell r="D433">
            <v>3001</v>
          </cell>
          <cell r="E433" t="str">
            <v>0122</v>
          </cell>
          <cell r="F433" t="str">
            <v>C1</v>
          </cell>
          <cell r="G433" t="str">
            <v>MG</v>
          </cell>
          <cell r="H433" t="str">
            <v>DISTRIBUIÇÃO</v>
          </cell>
          <cell r="I433" t="str">
            <v>FOOD SERVICE</v>
          </cell>
          <cell r="J433" t="str">
            <v>MARCELO SILVA</v>
          </cell>
          <cell r="K433" t="str">
            <v>ITAMBÉ</v>
          </cell>
          <cell r="L433" t="str">
            <v>RODRIGO</v>
          </cell>
          <cell r="M433" t="str">
            <v>CELIO MARTINS</v>
          </cell>
        </row>
        <row r="434">
          <cell r="B434">
            <v>5148549</v>
          </cell>
          <cell r="C434" t="str">
            <v>E B EXPRESS PROVISIONS INC</v>
          </cell>
          <cell r="D434">
            <v>3001</v>
          </cell>
          <cell r="E434" t="str">
            <v>0062</v>
          </cell>
          <cell r="F434" t="str">
            <v>C1</v>
          </cell>
          <cell r="G434" t="str">
            <v/>
          </cell>
          <cell r="H434" t="str">
            <v>OUTROS</v>
          </cell>
          <cell r="I434" t="str">
            <v>OUTROS</v>
          </cell>
          <cell r="J434" t="str">
            <v>ITAMBE - EXPORTACAO</v>
          </cell>
          <cell r="K434" t="str">
            <v>OUTROS</v>
          </cell>
          <cell r="L434" t="str">
            <v>OUTROS</v>
          </cell>
          <cell r="M434" t="str">
            <v>EXPORTAÇÃO</v>
          </cell>
        </row>
        <row r="435">
          <cell r="B435">
            <v>5204180</v>
          </cell>
          <cell r="C435" t="str">
            <v>E E MODOLO ME</v>
          </cell>
          <cell r="D435">
            <v>3001</v>
          </cell>
          <cell r="E435" t="str">
            <v>0169</v>
          </cell>
          <cell r="F435" t="str">
            <v>C1</v>
          </cell>
          <cell r="G435" t="str">
            <v>ES</v>
          </cell>
          <cell r="H435" t="str">
            <v>DISTRIBUIÇÃO</v>
          </cell>
          <cell r="I435" t="str">
            <v>FOOD SERVICE</v>
          </cell>
          <cell r="J435" t="str">
            <v>MARCELO DUARTE</v>
          </cell>
          <cell r="K435" t="str">
            <v>ITAMBÉ</v>
          </cell>
          <cell r="L435" t="str">
            <v>RODRIGO</v>
          </cell>
          <cell r="M435" t="str">
            <v>JESSICA</v>
          </cell>
        </row>
        <row r="436">
          <cell r="B436">
            <v>5141907</v>
          </cell>
          <cell r="C436" t="str">
            <v>E HOTELARIA E TURISMO LTDA</v>
          </cell>
          <cell r="D436">
            <v>3001</v>
          </cell>
          <cell r="E436" t="str">
            <v>0122</v>
          </cell>
          <cell r="F436" t="str">
            <v>C1</v>
          </cell>
          <cell r="G436" t="str">
            <v>MG</v>
          </cell>
          <cell r="H436" t="str">
            <v>DISTRIBUIÇÃO</v>
          </cell>
          <cell r="I436" t="str">
            <v>FOOD SERVICE</v>
          </cell>
          <cell r="J436" t="str">
            <v>MARCELO SILVA</v>
          </cell>
          <cell r="K436" t="str">
            <v>ITAMBÉ</v>
          </cell>
          <cell r="L436" t="str">
            <v>RODRIGO</v>
          </cell>
          <cell r="M436" t="str">
            <v>CELIO MARTINS</v>
          </cell>
        </row>
        <row r="437">
          <cell r="B437">
            <v>5163906</v>
          </cell>
          <cell r="C437" t="str">
            <v>E N COM PROD FESTAS E SORVETES EIRE</v>
          </cell>
          <cell r="D437">
            <v>6001</v>
          </cell>
          <cell r="E437" t="str">
            <v>6125</v>
          </cell>
          <cell r="F437" t="str">
            <v>C1</v>
          </cell>
          <cell r="G437" t="str">
            <v>SP</v>
          </cell>
          <cell r="H437" t="str">
            <v>INGREDIENTS</v>
          </cell>
          <cell r="I437" t="str">
            <v>INGREDIENTS</v>
          </cell>
          <cell r="J437" t="str">
            <v>DUAS RODAS</v>
          </cell>
          <cell r="K437" t="str">
            <v>ITAMBÉ</v>
          </cell>
          <cell r="L437" t="str">
            <v>MAURICIO</v>
          </cell>
          <cell r="M437" t="str">
            <v>TATIANA NITTA</v>
          </cell>
        </row>
        <row r="438">
          <cell r="B438">
            <v>5230402</v>
          </cell>
          <cell r="C438" t="str">
            <v>E V COMERCIO DE ALIMENTOS LTDA</v>
          </cell>
          <cell r="D438">
            <v>3001</v>
          </cell>
          <cell r="E438" t="str">
            <v>0123</v>
          </cell>
          <cell r="F438" t="str">
            <v>C1</v>
          </cell>
          <cell r="G438" t="str">
            <v>MS</v>
          </cell>
          <cell r="H438" t="str">
            <v>DISTRIBUIÇÃO</v>
          </cell>
          <cell r="I438" t="str">
            <v>FOOD SERVICE</v>
          </cell>
          <cell r="J438" t="str">
            <v>CLAUDIO JORGE</v>
          </cell>
          <cell r="K438" t="str">
            <v>ITAMBÉ</v>
          </cell>
          <cell r="L438" t="str">
            <v>RODRIGO</v>
          </cell>
          <cell r="M438" t="str">
            <v>MARCO AURELIO</v>
          </cell>
        </row>
        <row r="439">
          <cell r="B439">
            <v>5194351</v>
          </cell>
          <cell r="C439" t="str">
            <v>EBANO DISTRIBUIDORA DE ALIMENTOS LT</v>
          </cell>
          <cell r="D439">
            <v>3001</v>
          </cell>
          <cell r="E439" t="str">
            <v>0127</v>
          </cell>
          <cell r="F439" t="str">
            <v>C1</v>
          </cell>
          <cell r="G439" t="str">
            <v>PB</v>
          </cell>
          <cell r="H439" t="str">
            <v>DISTRIBUIÇÃO</v>
          </cell>
          <cell r="I439" t="str">
            <v>FOOD SERVICE</v>
          </cell>
          <cell r="J439" t="str">
            <v>CLAUDIO JORGE</v>
          </cell>
          <cell r="K439" t="str">
            <v>ITAMBÉ</v>
          </cell>
          <cell r="L439" t="str">
            <v>RODRIGO</v>
          </cell>
          <cell r="M439" t="str">
            <v>MARIA LOURDES</v>
          </cell>
        </row>
        <row r="440">
          <cell r="B440">
            <v>5291033</v>
          </cell>
          <cell r="C440" t="str">
            <v>ECULLY GASTRONOMIA E EVENTOS LTDA</v>
          </cell>
          <cell r="D440">
            <v>7001</v>
          </cell>
          <cell r="E440" t="str">
            <v>0749</v>
          </cell>
          <cell r="F440" t="str">
            <v>C5</v>
          </cell>
          <cell r="G440" t="str">
            <v>SP</v>
          </cell>
          <cell r="H440" t="str">
            <v>DISTRIBUIÇÃO</v>
          </cell>
          <cell r="I440" t="str">
            <v>FOOD SERVICE</v>
          </cell>
          <cell r="J440" t="str">
            <v>FLAC 6</v>
          </cell>
          <cell r="K440" t="str">
            <v>LACTALIS</v>
          </cell>
          <cell r="L440" t="str">
            <v>RODRIGO</v>
          </cell>
          <cell r="M440" t="str">
            <v>RAQUEL BARBOSA</v>
          </cell>
        </row>
        <row r="441">
          <cell r="B441">
            <v>5197758</v>
          </cell>
          <cell r="C441" t="str">
            <v>EDMILSON SOUZA SANTOS</v>
          </cell>
          <cell r="D441">
            <v>6001</v>
          </cell>
          <cell r="E441" t="str">
            <v>6125</v>
          </cell>
          <cell r="F441" t="str">
            <v>C1</v>
          </cell>
          <cell r="G441" t="str">
            <v>SP</v>
          </cell>
          <cell r="H441" t="str">
            <v>INGREDIENTS</v>
          </cell>
          <cell r="I441" t="str">
            <v>INGREDIENTS</v>
          </cell>
          <cell r="J441" t="str">
            <v>JOEL ELEOTÉRIO</v>
          </cell>
          <cell r="K441" t="str">
            <v>ITAMBÉ</v>
          </cell>
          <cell r="L441" t="str">
            <v>MAURICIO</v>
          </cell>
          <cell r="M441" t="str">
            <v>JOEL</v>
          </cell>
        </row>
        <row r="442">
          <cell r="B442">
            <v>5307768</v>
          </cell>
          <cell r="C442" t="str">
            <v>EDVAN SANTOS SOUZA BRITO 3195643987</v>
          </cell>
          <cell r="D442">
            <v>7001</v>
          </cell>
          <cell r="E442" t="str">
            <v>0749</v>
          </cell>
          <cell r="F442" t="str">
            <v>C5</v>
          </cell>
          <cell r="G442" t="str">
            <v>SP</v>
          </cell>
          <cell r="H442" t="str">
            <v>DISTRIBUIÇÃO</v>
          </cell>
          <cell r="I442" t="str">
            <v>FOOD SERVICE</v>
          </cell>
          <cell r="J442" t="str">
            <v>FLAC 6</v>
          </cell>
          <cell r="K442" t="str">
            <v>LACTALIS</v>
          </cell>
          <cell r="L442" t="str">
            <v>RODRIGO</v>
          </cell>
          <cell r="M442" t="str">
            <v>RAQUEL BARBOSA</v>
          </cell>
        </row>
        <row r="443">
          <cell r="B443">
            <v>5162513</v>
          </cell>
          <cell r="C443" t="str">
            <v>EG MARTINS COM REPRESENTACOES ALIM</v>
          </cell>
          <cell r="D443">
            <v>3001</v>
          </cell>
          <cell r="E443" t="str">
            <v>0169</v>
          </cell>
          <cell r="F443" t="str">
            <v>C1</v>
          </cell>
          <cell r="G443" t="str">
            <v>RJ</v>
          </cell>
          <cell r="H443" t="str">
            <v>INGREDIENTS</v>
          </cell>
          <cell r="I443" t="str">
            <v>INGREDIENTS</v>
          </cell>
          <cell r="J443" t="str">
            <v>HENRIQUE FERREIRA</v>
          </cell>
          <cell r="K443" t="str">
            <v>ITAMBÉ</v>
          </cell>
          <cell r="L443" t="str">
            <v>MAURICIO</v>
          </cell>
          <cell r="M443" t="str">
            <v>JOEL</v>
          </cell>
        </row>
        <row r="444">
          <cell r="B444">
            <v>5308405</v>
          </cell>
          <cell r="C444" t="str">
            <v>EGP COMERCIO DE ALIMENTOS LTDA</v>
          </cell>
          <cell r="D444">
            <v>4001</v>
          </cell>
          <cell r="E444" t="str">
            <v>0423</v>
          </cell>
          <cell r="F444" t="str">
            <v>C5</v>
          </cell>
          <cell r="G444" t="str">
            <v>RS</v>
          </cell>
          <cell r="H444" t="str">
            <v>INGREDIENTS</v>
          </cell>
          <cell r="I444" t="str">
            <v>INGREDIENTS</v>
          </cell>
          <cell r="J444" t="str">
            <v>JOEL ELEOTÉRIO</v>
          </cell>
          <cell r="K444" t="str">
            <v>LACTALIS</v>
          </cell>
          <cell r="L444" t="str">
            <v>MAURICIO</v>
          </cell>
          <cell r="M444" t="str">
            <v>JOEL</v>
          </cell>
        </row>
        <row r="445">
          <cell r="B445">
            <v>5265314</v>
          </cell>
          <cell r="C445" t="str">
            <v>EJE CONFEITARIA FRANCESA LTDA</v>
          </cell>
          <cell r="D445">
            <v>7001</v>
          </cell>
          <cell r="E445" t="str">
            <v>0749</v>
          </cell>
          <cell r="F445" t="str">
            <v>C5</v>
          </cell>
          <cell r="G445" t="str">
            <v>SP</v>
          </cell>
          <cell r="H445" t="str">
            <v>QSR</v>
          </cell>
          <cell r="I445" t="str">
            <v>FOOD SERVICE</v>
          </cell>
          <cell r="J445" t="str">
            <v>NUTRI</v>
          </cell>
          <cell r="K445" t="str">
            <v>LACTALIS</v>
          </cell>
          <cell r="L445" t="str">
            <v>PEDRO</v>
          </cell>
          <cell r="M445" t="str">
            <v>VAGO QSR</v>
          </cell>
        </row>
        <row r="446">
          <cell r="B446">
            <v>5184155</v>
          </cell>
          <cell r="C446" t="str">
            <v>EJP COMERCIO DE ALIMENTOS LTDA</v>
          </cell>
          <cell r="D446">
            <v>3001</v>
          </cell>
          <cell r="E446" t="str">
            <v>0127</v>
          </cell>
          <cell r="F446" t="str">
            <v>C1</v>
          </cell>
          <cell r="G446" t="str">
            <v>CE</v>
          </cell>
          <cell r="H446" t="str">
            <v>DISTRIBUIÇÃO</v>
          </cell>
          <cell r="I446" t="str">
            <v>FOOD SERVICE</v>
          </cell>
          <cell r="J446" t="str">
            <v>WH FOOD SERVICE CE</v>
          </cell>
          <cell r="K446" t="str">
            <v>ITAMBÉ</v>
          </cell>
          <cell r="L446" t="str">
            <v>RODRIGO</v>
          </cell>
          <cell r="M446" t="str">
            <v>MARIA LOURDES</v>
          </cell>
        </row>
        <row r="447">
          <cell r="B447">
            <v>5270630</v>
          </cell>
          <cell r="C447" t="str">
            <v>EL CAMINO FOODS SA</v>
          </cell>
          <cell r="D447">
            <v>7001</v>
          </cell>
          <cell r="E447" t="str">
            <v>0722</v>
          </cell>
          <cell r="F447" t="str">
            <v>C1</v>
          </cell>
          <cell r="G447" t="str">
            <v>SP</v>
          </cell>
          <cell r="H447" t="str">
            <v>QSR</v>
          </cell>
          <cell r="I447" t="str">
            <v>FOOD SERVICE</v>
          </cell>
          <cell r="J447" t="str">
            <v>ANA MENIQUETE</v>
          </cell>
          <cell r="K447" t="str">
            <v>LACTALIS</v>
          </cell>
          <cell r="L447" t="str">
            <v>PEDRO</v>
          </cell>
          <cell r="M447" t="str">
            <v>ANA MENIQUETE</v>
          </cell>
        </row>
        <row r="448">
          <cell r="B448">
            <v>5267879</v>
          </cell>
          <cell r="C448" t="str">
            <v>ELCASYAS SUCOS E ALIMENTO EIRELI</v>
          </cell>
          <cell r="D448">
            <v>7001</v>
          </cell>
          <cell r="E448" t="str">
            <v>0749</v>
          </cell>
          <cell r="F448" t="str">
            <v>C5</v>
          </cell>
          <cell r="G448" t="str">
            <v>SP</v>
          </cell>
          <cell r="H448" t="str">
            <v>QSR</v>
          </cell>
          <cell r="I448" t="str">
            <v>FOOD SERVICE</v>
          </cell>
          <cell r="J448" t="str">
            <v>NUTRI</v>
          </cell>
          <cell r="K448" t="str">
            <v>LACTALIS</v>
          </cell>
          <cell r="L448" t="str">
            <v>PEDRO</v>
          </cell>
          <cell r="M448" t="str">
            <v>VAGO QSR</v>
          </cell>
        </row>
        <row r="449">
          <cell r="B449">
            <v>5282186</v>
          </cell>
          <cell r="C449" t="str">
            <v>ELETRO LIGA H5 LTDA</v>
          </cell>
          <cell r="D449">
            <v>7001</v>
          </cell>
          <cell r="E449" t="str">
            <v>0749</v>
          </cell>
          <cell r="F449" t="str">
            <v>C5</v>
          </cell>
          <cell r="G449" t="str">
            <v>SP</v>
          </cell>
          <cell r="H449" t="str">
            <v>DISTRIBUIÇÃO</v>
          </cell>
          <cell r="I449" t="str">
            <v>FOOD SERVICE</v>
          </cell>
          <cell r="J449" t="str">
            <v>FLAC 2</v>
          </cell>
          <cell r="K449" t="str">
            <v>LACTALIS</v>
          </cell>
          <cell r="L449" t="str">
            <v>RODRIGO</v>
          </cell>
          <cell r="M449" t="str">
            <v>RAQUEL BARBOSA</v>
          </cell>
        </row>
        <row r="450">
          <cell r="B450">
            <v>5263679</v>
          </cell>
          <cell r="C450" t="str">
            <v>ELETROX HOTEIS LTDA</v>
          </cell>
          <cell r="D450">
            <v>7001</v>
          </cell>
          <cell r="E450" t="str">
            <v>0749</v>
          </cell>
          <cell r="F450" t="str">
            <v>C5</v>
          </cell>
          <cell r="G450" t="str">
            <v>SP</v>
          </cell>
          <cell r="H450" t="str">
            <v>DISTRIBUIÇÃO</v>
          </cell>
          <cell r="I450" t="str">
            <v>FOOD SERVICE</v>
          </cell>
          <cell r="J450" t="str">
            <v>FLAC 6</v>
          </cell>
          <cell r="K450" t="str">
            <v>LACTALIS</v>
          </cell>
          <cell r="L450" t="str">
            <v>RODRIGO</v>
          </cell>
          <cell r="M450" t="str">
            <v>RAQUEL BARBOSA</v>
          </cell>
        </row>
        <row r="451">
          <cell r="B451">
            <v>5309442</v>
          </cell>
          <cell r="C451" t="str">
            <v>ELIZABETH SANTOS FERREIRA 191892618</v>
          </cell>
          <cell r="D451">
            <v>7001</v>
          </cell>
          <cell r="E451" t="str">
            <v>0749</v>
          </cell>
          <cell r="F451" t="str">
            <v>C5</v>
          </cell>
          <cell r="G451" t="str">
            <v>SP</v>
          </cell>
          <cell r="H451" t="str">
            <v>DISTRIBUIÇÃO</v>
          </cell>
          <cell r="I451" t="str">
            <v>FOOD SERVICE</v>
          </cell>
          <cell r="J451" t="str">
            <v>FLAC 5</v>
          </cell>
          <cell r="K451" t="str">
            <v>LACTALIS</v>
          </cell>
          <cell r="L451" t="str">
            <v>RODRIGO</v>
          </cell>
          <cell r="M451" t="str">
            <v>RAQUEL BARBOSA</v>
          </cell>
        </row>
        <row r="452">
          <cell r="B452">
            <v>5019031</v>
          </cell>
          <cell r="C452" t="str">
            <v>EMBALEME COM EMB DESCARTAVEIS LTDA</v>
          </cell>
          <cell r="D452">
            <v>6001</v>
          </cell>
          <cell r="E452" t="str">
            <v>6125</v>
          </cell>
          <cell r="F452" t="str">
            <v>C1</v>
          </cell>
          <cell r="G452" t="str">
            <v>SP</v>
          </cell>
          <cell r="H452" t="str">
            <v>DISTRIBUIÇÃO</v>
          </cell>
          <cell r="I452" t="str">
            <v>FOOD SERVICE</v>
          </cell>
          <cell r="J452" t="str">
            <v>SP ITB FS FLAC REP.E COMERCIO</v>
          </cell>
          <cell r="K452" t="str">
            <v>ITAMBÉ</v>
          </cell>
          <cell r="L452" t="str">
            <v>RODRIGO</v>
          </cell>
          <cell r="M452" t="str">
            <v>RAQUEL BARBOSA</v>
          </cell>
        </row>
        <row r="453">
          <cell r="B453">
            <v>5187369</v>
          </cell>
          <cell r="C453" t="str">
            <v>EMBRAPAN EMP BRASILEIRA DE PAN EIRE</v>
          </cell>
          <cell r="D453">
            <v>3001</v>
          </cell>
          <cell r="E453" t="str">
            <v>0122</v>
          </cell>
          <cell r="F453" t="str">
            <v>C1</v>
          </cell>
          <cell r="G453" t="str">
            <v>MG</v>
          </cell>
          <cell r="H453" t="str">
            <v>DISTRIBUIÇÃO</v>
          </cell>
          <cell r="I453" t="str">
            <v>FOOD SERVICE</v>
          </cell>
          <cell r="J453" t="str">
            <v>MARCELO SILVA</v>
          </cell>
          <cell r="K453" t="str">
            <v>ITAMBÉ</v>
          </cell>
          <cell r="L453" t="str">
            <v>RODRIGO</v>
          </cell>
          <cell r="M453" t="str">
            <v>CELIO MARTINS</v>
          </cell>
        </row>
        <row r="454">
          <cell r="B454">
            <v>5261868</v>
          </cell>
          <cell r="C454" t="str">
            <v>EMBRARE REFEICOES E SERVICOS LTDA M</v>
          </cell>
          <cell r="D454">
            <v>7001</v>
          </cell>
          <cell r="E454" t="str">
            <v>0749</v>
          </cell>
          <cell r="F454" t="str">
            <v>C5</v>
          </cell>
          <cell r="G454" t="str">
            <v>SP</v>
          </cell>
          <cell r="H454" t="str">
            <v>DISTRIBUIÇÃO</v>
          </cell>
          <cell r="I454" t="str">
            <v>FOOD SERVICE</v>
          </cell>
          <cell r="J454" t="str">
            <v>FLAC 3</v>
          </cell>
          <cell r="K454" t="str">
            <v>LACTALIS</v>
          </cell>
          <cell r="L454" t="str">
            <v>RODRIGO</v>
          </cell>
          <cell r="M454" t="str">
            <v>RAQUEL BARBOSA</v>
          </cell>
        </row>
        <row r="455">
          <cell r="B455">
            <v>5220423</v>
          </cell>
          <cell r="C455" t="str">
            <v>EMILIO CARLOS RIBAS</v>
          </cell>
          <cell r="D455">
            <v>3001</v>
          </cell>
          <cell r="E455" t="str">
            <v>0126</v>
          </cell>
          <cell r="F455" t="str">
            <v>C1</v>
          </cell>
          <cell r="G455" t="str">
            <v>PR</v>
          </cell>
          <cell r="H455" t="str">
            <v>DISTRIBUIÇÃO</v>
          </cell>
          <cell r="I455" t="str">
            <v>FOOD SERVICE</v>
          </cell>
          <cell r="J455" t="str">
            <v>ANGELICA BATISTELA</v>
          </cell>
          <cell r="K455" t="str">
            <v>ITAMBÉ</v>
          </cell>
          <cell r="L455" t="str">
            <v>RODRIGO</v>
          </cell>
          <cell r="M455" t="str">
            <v>ANGELICA BATISTELA</v>
          </cell>
        </row>
        <row r="456">
          <cell r="B456">
            <v>5111292</v>
          </cell>
          <cell r="C456" t="str">
            <v>EMPORIO ANDALUZIA LTDA</v>
          </cell>
          <cell r="D456">
            <v>7001</v>
          </cell>
          <cell r="E456" t="str">
            <v>0749</v>
          </cell>
          <cell r="F456" t="str">
            <v>C5</v>
          </cell>
          <cell r="G456" t="str">
            <v>SP</v>
          </cell>
          <cell r="H456" t="str">
            <v>DISTRIBUIÇÃO</v>
          </cell>
          <cell r="I456" t="str">
            <v>FOOD SERVICE</v>
          </cell>
          <cell r="J456" t="str">
            <v>FLAC 1</v>
          </cell>
          <cell r="K456" t="str">
            <v>LACTALIS</v>
          </cell>
          <cell r="L456" t="str">
            <v>RODRIGO</v>
          </cell>
          <cell r="M456" t="str">
            <v>RAQUEL BARBOSA</v>
          </cell>
        </row>
        <row r="457">
          <cell r="B457">
            <v>5264538</v>
          </cell>
          <cell r="C457" t="str">
            <v>EMPORIO DEL GROSSI LTDA</v>
          </cell>
          <cell r="D457">
            <v>7001</v>
          </cell>
          <cell r="E457" t="str">
            <v>0749</v>
          </cell>
          <cell r="F457" t="str">
            <v>C5</v>
          </cell>
          <cell r="G457" t="str">
            <v>SP</v>
          </cell>
          <cell r="H457" t="str">
            <v>DISTRIBUIÇÃO</v>
          </cell>
          <cell r="I457" t="str">
            <v>FOOD SERVICE</v>
          </cell>
          <cell r="J457" t="str">
            <v>FLAC 7</v>
          </cell>
          <cell r="K457" t="str">
            <v>LACTALIS</v>
          </cell>
          <cell r="L457" t="str">
            <v>RODRIGO</v>
          </cell>
          <cell r="M457" t="str">
            <v>RAQUEL BARBOSA</v>
          </cell>
        </row>
        <row r="458">
          <cell r="B458">
            <v>5156239</v>
          </cell>
          <cell r="C458" t="str">
            <v>EMPORIO DO VELHINHO LTDA</v>
          </cell>
          <cell r="D458">
            <v>7001</v>
          </cell>
          <cell r="E458" t="str">
            <v>0749</v>
          </cell>
          <cell r="F458" t="str">
            <v>C5</v>
          </cell>
          <cell r="G458" t="str">
            <v>SP</v>
          </cell>
          <cell r="H458" t="str">
            <v>DISTRIBUIÇÃO</v>
          </cell>
          <cell r="I458" t="str">
            <v>FOOD SERVICE</v>
          </cell>
          <cell r="J458" t="str">
            <v>FLAC 3</v>
          </cell>
          <cell r="K458" t="str">
            <v>LACTALIS</v>
          </cell>
          <cell r="L458" t="str">
            <v>RODRIGO</v>
          </cell>
          <cell r="M458" t="str">
            <v>RAQUEL BARBOSA</v>
          </cell>
        </row>
        <row r="459">
          <cell r="B459">
            <v>5291635</v>
          </cell>
          <cell r="C459" t="str">
            <v>EMPORIO E ROTISSERIE FLORENCA LTDA</v>
          </cell>
          <cell r="D459">
            <v>7001</v>
          </cell>
          <cell r="E459" t="str">
            <v>0749</v>
          </cell>
          <cell r="F459" t="str">
            <v>C5</v>
          </cell>
          <cell r="G459" t="str">
            <v>SP</v>
          </cell>
          <cell r="H459" t="str">
            <v>DISTRIBUIÇÃO</v>
          </cell>
          <cell r="I459" t="str">
            <v>FOOD SERVICE</v>
          </cell>
          <cell r="J459" t="str">
            <v>FLAC 2</v>
          </cell>
          <cell r="K459" t="str">
            <v>LACTALIS</v>
          </cell>
          <cell r="L459" t="str">
            <v>RODRIGO</v>
          </cell>
          <cell r="M459" t="str">
            <v>RAQUEL BARBOSA</v>
          </cell>
        </row>
        <row r="460">
          <cell r="B460">
            <v>5211493</v>
          </cell>
          <cell r="C460" t="str">
            <v>EMPORIO GOURMET COM DE ALIM EIRELI</v>
          </cell>
          <cell r="D460">
            <v>7001</v>
          </cell>
          <cell r="E460" t="str">
            <v>0749</v>
          </cell>
          <cell r="F460" t="str">
            <v>C5</v>
          </cell>
          <cell r="G460" t="str">
            <v>SP</v>
          </cell>
          <cell r="H460" t="str">
            <v>DISTRIBUIÇÃO</v>
          </cell>
          <cell r="I460" t="str">
            <v>FOOD SERVICE</v>
          </cell>
          <cell r="J460" t="str">
            <v>FLAC 6</v>
          </cell>
          <cell r="K460" t="str">
            <v>LACTALIS</v>
          </cell>
          <cell r="L460" t="str">
            <v>RODRIGO</v>
          </cell>
          <cell r="M460" t="str">
            <v>RAQUEL BARBOSA</v>
          </cell>
        </row>
        <row r="461">
          <cell r="B461">
            <v>5029533</v>
          </cell>
          <cell r="C461" t="str">
            <v>EMPORIO GOURMET COM DE ALIM LT</v>
          </cell>
          <cell r="D461">
            <v>7001</v>
          </cell>
          <cell r="E461" t="str">
            <v>0749</v>
          </cell>
          <cell r="F461" t="str">
            <v>C5</v>
          </cell>
          <cell r="G461" t="str">
            <v>SP</v>
          </cell>
          <cell r="H461" t="str">
            <v>DISTRIBUIÇÃO</v>
          </cell>
          <cell r="I461" t="str">
            <v>FOOD SERVICE</v>
          </cell>
          <cell r="J461" t="str">
            <v>FLAC 6</v>
          </cell>
          <cell r="K461" t="str">
            <v>LACTALIS</v>
          </cell>
          <cell r="L461" t="str">
            <v>RODRIGO</v>
          </cell>
          <cell r="M461" t="str">
            <v>RAQUEL BARBOSA</v>
          </cell>
        </row>
        <row r="462">
          <cell r="B462">
            <v>5261200</v>
          </cell>
          <cell r="C462" t="str">
            <v>EMPORIO M E L COM DE ALIM E BEBIDAS</v>
          </cell>
          <cell r="D462">
            <v>7001</v>
          </cell>
          <cell r="E462" t="str">
            <v>0749</v>
          </cell>
          <cell r="F462" t="str">
            <v>C5</v>
          </cell>
          <cell r="G462" t="str">
            <v>SP</v>
          </cell>
          <cell r="H462" t="str">
            <v>DISTRIBUIÇÃO</v>
          </cell>
          <cell r="I462" t="str">
            <v>FOOD SERVICE</v>
          </cell>
          <cell r="J462" t="str">
            <v>FLAC 6</v>
          </cell>
          <cell r="K462" t="str">
            <v>LACTALIS</v>
          </cell>
          <cell r="L462" t="str">
            <v>RODRIGO</v>
          </cell>
          <cell r="M462" t="str">
            <v>RAQUEL BARBOSA</v>
          </cell>
        </row>
        <row r="463">
          <cell r="B463">
            <v>5159092</v>
          </cell>
          <cell r="C463" t="str">
            <v>EMPORIO MEGA 100 COMERCIO DE ALIM S</v>
          </cell>
          <cell r="D463">
            <v>7001</v>
          </cell>
          <cell r="E463" t="str">
            <v>0749</v>
          </cell>
          <cell r="F463" t="str">
            <v>C5</v>
          </cell>
          <cell r="G463" t="str">
            <v>SP</v>
          </cell>
          <cell r="H463" t="str">
            <v>DISTRIBUIÇÃO</v>
          </cell>
          <cell r="I463" t="str">
            <v>FOOD SERVICE</v>
          </cell>
          <cell r="J463" t="str">
            <v>FLAC 1</v>
          </cell>
          <cell r="K463" t="str">
            <v>LACTALIS</v>
          </cell>
          <cell r="L463" t="str">
            <v>RODRIGO</v>
          </cell>
          <cell r="M463" t="str">
            <v>RAQUEL BARBOSA</v>
          </cell>
        </row>
        <row r="464">
          <cell r="B464">
            <v>5265907</v>
          </cell>
          <cell r="C464" t="str">
            <v>EMPORIO PORTUGUES LTDA</v>
          </cell>
          <cell r="D464">
            <v>7001</v>
          </cell>
          <cell r="E464" t="str">
            <v>0749</v>
          </cell>
          <cell r="F464" t="str">
            <v>C5</v>
          </cell>
          <cell r="G464" t="str">
            <v>SP</v>
          </cell>
          <cell r="H464" t="str">
            <v>DISTRIBUIÇÃO</v>
          </cell>
          <cell r="I464" t="str">
            <v>FOOD SERVICE</v>
          </cell>
          <cell r="J464" t="str">
            <v>FLAC 3</v>
          </cell>
          <cell r="K464" t="str">
            <v>LACTALIS</v>
          </cell>
          <cell r="L464" t="str">
            <v>RODRIGO</v>
          </cell>
          <cell r="M464" t="str">
            <v>RAQUEL BARBOSA</v>
          </cell>
        </row>
        <row r="465">
          <cell r="B465">
            <v>5266693</v>
          </cell>
          <cell r="C465" t="str">
            <v>EMPORIOS CAFE PORTUGUAL EIRELI</v>
          </cell>
          <cell r="D465">
            <v>7001</v>
          </cell>
          <cell r="E465" t="str">
            <v>0749</v>
          </cell>
          <cell r="F465" t="str">
            <v>C5</v>
          </cell>
          <cell r="G465" t="str">
            <v>SP</v>
          </cell>
          <cell r="H465" t="str">
            <v>DISTRIBUIÇÃO</v>
          </cell>
          <cell r="I465" t="str">
            <v>FOOD SERVICE</v>
          </cell>
          <cell r="J465" t="str">
            <v>FLAC 3</v>
          </cell>
          <cell r="K465" t="str">
            <v>LACTALIS</v>
          </cell>
          <cell r="L465" t="str">
            <v>RODRIGO</v>
          </cell>
          <cell r="M465" t="str">
            <v>RAQUEL BARBOSA</v>
          </cell>
        </row>
        <row r="466">
          <cell r="B466">
            <v>5137206</v>
          </cell>
          <cell r="C466" t="str">
            <v>ENOTEL HOTELS E RESORTS SA</v>
          </cell>
          <cell r="D466">
            <v>3001</v>
          </cell>
          <cell r="E466" t="str">
            <v>0127</v>
          </cell>
          <cell r="F466" t="str">
            <v>C1</v>
          </cell>
          <cell r="G466" t="str">
            <v>PE</v>
          </cell>
          <cell r="H466" t="str">
            <v>DISTRIBUIÇÃO</v>
          </cell>
          <cell r="I466" t="str">
            <v>FOOD SERVICE</v>
          </cell>
          <cell r="J466" t="str">
            <v>CLAUDIO JORGE</v>
          </cell>
          <cell r="K466" t="str">
            <v>ITAMBÉ</v>
          </cell>
          <cell r="L466" t="str">
            <v>RODRIGO</v>
          </cell>
          <cell r="M466" t="str">
            <v>MARIA LOURDES</v>
          </cell>
        </row>
        <row r="467">
          <cell r="B467">
            <v>5000091</v>
          </cell>
          <cell r="C467" t="str">
            <v>ERCILIO ROSA</v>
          </cell>
          <cell r="D467">
            <v>4001</v>
          </cell>
          <cell r="E467" t="str">
            <v>0455</v>
          </cell>
          <cell r="F467" t="str">
            <v>C1</v>
          </cell>
          <cell r="G467" t="str">
            <v>PR</v>
          </cell>
          <cell r="H467" t="str">
            <v>INGREDIENTS</v>
          </cell>
          <cell r="I467" t="str">
            <v>INGREDIENTS</v>
          </cell>
          <cell r="J467" t="str">
            <v>MARCELO RODRIGUES</v>
          </cell>
          <cell r="K467" t="str">
            <v>LACTALIS</v>
          </cell>
          <cell r="L467" t="str">
            <v>MAURICIO</v>
          </cell>
          <cell r="M467" t="str">
            <v>MARCELO</v>
          </cell>
        </row>
        <row r="468">
          <cell r="B468">
            <v>5265511</v>
          </cell>
          <cell r="C468" t="str">
            <v>ERICK ALEXANDRE PASSARELLI</v>
          </cell>
          <cell r="D468">
            <v>7001</v>
          </cell>
          <cell r="E468" t="str">
            <v>0749</v>
          </cell>
          <cell r="F468" t="str">
            <v>C5</v>
          </cell>
          <cell r="G468" t="str">
            <v>SP</v>
          </cell>
          <cell r="H468" t="str">
            <v>DISTRIBUIÇÃO</v>
          </cell>
          <cell r="I468" t="str">
            <v>FOOD SERVICE</v>
          </cell>
          <cell r="J468" t="str">
            <v>FLAC 3</v>
          </cell>
          <cell r="K468" t="str">
            <v>LACTALIS</v>
          </cell>
          <cell r="L468" t="str">
            <v>RODRIGO</v>
          </cell>
          <cell r="M468" t="str">
            <v>RAQUEL BARBOSA</v>
          </cell>
        </row>
        <row r="469">
          <cell r="B469">
            <v>5338420</v>
          </cell>
          <cell r="C469" t="str">
            <v>ERLAN SA EM RECUPERACAO JUDICIA</v>
          </cell>
          <cell r="D469">
            <v>3001</v>
          </cell>
          <cell r="E469" t="str">
            <v>0122</v>
          </cell>
          <cell r="F469" t="str">
            <v>C1</v>
          </cell>
          <cell r="G469" t="str">
            <v>MG</v>
          </cell>
          <cell r="H469" t="str">
            <v>INGREDIENTS</v>
          </cell>
          <cell r="I469" t="str">
            <v>INGREDIENTS</v>
          </cell>
          <cell r="J469" t="str">
            <v>HENRIQUE FERREIRA</v>
          </cell>
          <cell r="K469" t="str">
            <v>ITAMBÉ</v>
          </cell>
          <cell r="L469" t="str">
            <v>MAURICIO</v>
          </cell>
          <cell r="M469" t="str">
            <v>JOEL</v>
          </cell>
        </row>
        <row r="470">
          <cell r="B470">
            <v>5307439</v>
          </cell>
          <cell r="C470" t="str">
            <v>ERVAS FINAS GASTRONOMIA LTDA</v>
          </cell>
          <cell r="D470">
            <v>7001</v>
          </cell>
          <cell r="E470" t="str">
            <v>0749</v>
          </cell>
          <cell r="F470" t="str">
            <v>C5</v>
          </cell>
          <cell r="G470" t="str">
            <v>SP</v>
          </cell>
          <cell r="H470" t="str">
            <v>DISTRIBUIÇÃO</v>
          </cell>
          <cell r="I470" t="str">
            <v>FOOD SERVICE</v>
          </cell>
          <cell r="J470" t="str">
            <v>FLAC 4</v>
          </cell>
          <cell r="K470" t="str">
            <v>LACTALIS</v>
          </cell>
          <cell r="L470" t="str">
            <v>RODRIGO</v>
          </cell>
          <cell r="M470" t="str">
            <v>RAQUEL BARBOSA</v>
          </cell>
        </row>
        <row r="471">
          <cell r="B471">
            <v>5301955</v>
          </cell>
          <cell r="C471" t="str">
            <v>ESCATULA VERGA SUCOS TAMBORE LTDA</v>
          </cell>
          <cell r="D471">
            <v>7001</v>
          </cell>
          <cell r="E471" t="str">
            <v>0749</v>
          </cell>
          <cell r="F471" t="str">
            <v>C5</v>
          </cell>
          <cell r="G471" t="str">
            <v>SP</v>
          </cell>
          <cell r="H471" t="str">
            <v>DISTRIBUIÇÃO</v>
          </cell>
          <cell r="I471" t="str">
            <v>FOOD SERVICE</v>
          </cell>
          <cell r="J471" t="str">
            <v>FLAC 2</v>
          </cell>
          <cell r="K471" t="str">
            <v>LACTALIS</v>
          </cell>
          <cell r="L471" t="str">
            <v>RODRIGO</v>
          </cell>
          <cell r="M471" t="str">
            <v>RAQUEL BARBOSA</v>
          </cell>
        </row>
        <row r="472">
          <cell r="B472">
            <v>5252870</v>
          </cell>
          <cell r="C472" t="str">
            <v>ESCOLA DE EDUC INFANTIL SAUDE LTDA</v>
          </cell>
          <cell r="D472">
            <v>7001</v>
          </cell>
          <cell r="E472" t="str">
            <v>0749</v>
          </cell>
          <cell r="F472" t="str">
            <v>C5</v>
          </cell>
          <cell r="G472" t="str">
            <v>SP</v>
          </cell>
          <cell r="H472" t="str">
            <v>DISTRIBUIÇÃO</v>
          </cell>
          <cell r="I472" t="str">
            <v>FOOD SERVICE</v>
          </cell>
          <cell r="J472" t="str">
            <v>FLAC 3</v>
          </cell>
          <cell r="K472" t="str">
            <v>LACTALIS</v>
          </cell>
          <cell r="L472" t="str">
            <v>RODRIGO</v>
          </cell>
          <cell r="M472" t="str">
            <v>RAQUEL BARBOSA</v>
          </cell>
        </row>
        <row r="473">
          <cell r="B473">
            <v>5068894</v>
          </cell>
          <cell r="C473" t="str">
            <v>ESDEL COM PRODUTOS ALIMENTARES LTDA</v>
          </cell>
          <cell r="D473">
            <v>3001</v>
          </cell>
          <cell r="E473" t="str">
            <v>0126</v>
          </cell>
          <cell r="F473" t="str">
            <v>C1</v>
          </cell>
          <cell r="G473" t="str">
            <v>PR</v>
          </cell>
          <cell r="H473" t="str">
            <v>INGREDIENTS</v>
          </cell>
          <cell r="I473" t="str">
            <v>INGREDIENTS</v>
          </cell>
          <cell r="J473" t="str">
            <v>MARCELO RODRIGUES</v>
          </cell>
          <cell r="K473" t="str">
            <v>ITAMBÉ</v>
          </cell>
          <cell r="L473" t="str">
            <v>MAURICIO</v>
          </cell>
          <cell r="M473" t="str">
            <v>MARCELO</v>
          </cell>
        </row>
        <row r="474">
          <cell r="B474">
            <v>5326107</v>
          </cell>
          <cell r="C474" t="str">
            <v>ESM ALIMENTACAO ESCOLAR LTDA</v>
          </cell>
          <cell r="D474">
            <v>7001</v>
          </cell>
          <cell r="E474" t="str">
            <v>0749</v>
          </cell>
          <cell r="F474" t="str">
            <v>C5</v>
          </cell>
          <cell r="G474" t="str">
            <v>SP</v>
          </cell>
          <cell r="H474" t="str">
            <v>DISTRIBUIÇÃO</v>
          </cell>
          <cell r="I474" t="str">
            <v>FOOD SERVICE</v>
          </cell>
          <cell r="J474" t="str">
            <v>FLAC 6</v>
          </cell>
          <cell r="K474" t="str">
            <v>LACTALIS</v>
          </cell>
          <cell r="L474" t="str">
            <v>RODRIGO</v>
          </cell>
          <cell r="M474" t="str">
            <v>RAQUEL BARBOSA</v>
          </cell>
        </row>
        <row r="475">
          <cell r="B475">
            <v>5326108</v>
          </cell>
          <cell r="C475" t="str">
            <v>ESM ALIMENTACAO ESCOLAR LTDA</v>
          </cell>
          <cell r="D475">
            <v>7001</v>
          </cell>
          <cell r="E475" t="str">
            <v>0749</v>
          </cell>
          <cell r="F475" t="str">
            <v>C5</v>
          </cell>
          <cell r="G475" t="str">
            <v>SP</v>
          </cell>
          <cell r="H475" t="str">
            <v>DISTRIBUIÇÃO</v>
          </cell>
          <cell r="I475" t="str">
            <v>FOOD SERVICE</v>
          </cell>
          <cell r="J475" t="str">
            <v>FLAC 6</v>
          </cell>
          <cell r="K475" t="str">
            <v>LACTALIS</v>
          </cell>
          <cell r="L475" t="str">
            <v>RODRIGO</v>
          </cell>
          <cell r="M475" t="str">
            <v>RAQUEL BARBOSA</v>
          </cell>
        </row>
        <row r="476">
          <cell r="B476">
            <v>5168811</v>
          </cell>
          <cell r="C476" t="str">
            <v>ESPACO CHEF COM PROD ALIM DOM LTDA</v>
          </cell>
          <cell r="D476">
            <v>3001</v>
          </cell>
          <cell r="E476" t="str">
            <v>0127</v>
          </cell>
          <cell r="F476" t="str">
            <v>C1</v>
          </cell>
          <cell r="G476" t="str">
            <v>CE</v>
          </cell>
          <cell r="H476" t="str">
            <v>DISTRIBUIÇÃO</v>
          </cell>
          <cell r="I476" t="str">
            <v>FOOD SERVICE</v>
          </cell>
          <cell r="J476" t="str">
            <v>WH FOOD SERVICE CE</v>
          </cell>
          <cell r="K476" t="str">
            <v>ITAMBÉ</v>
          </cell>
          <cell r="L476" t="str">
            <v>RODRIGO</v>
          </cell>
          <cell r="M476" t="str">
            <v>MARIA LOURDES</v>
          </cell>
        </row>
        <row r="477">
          <cell r="B477">
            <v>5285686</v>
          </cell>
          <cell r="C477" t="str">
            <v>ESPACO TRANSATLANTICO REST E EVENT</v>
          </cell>
          <cell r="D477">
            <v>7001</v>
          </cell>
          <cell r="E477" t="str">
            <v>0749</v>
          </cell>
          <cell r="F477" t="str">
            <v>C5</v>
          </cell>
          <cell r="G477" t="str">
            <v>SP</v>
          </cell>
          <cell r="H477" t="str">
            <v>DISTRIBUIÇÃO</v>
          </cell>
          <cell r="I477" t="str">
            <v>FOOD SERVICE</v>
          </cell>
          <cell r="J477" t="str">
            <v>FLAC 6</v>
          </cell>
          <cell r="K477" t="str">
            <v>LACTALIS</v>
          </cell>
          <cell r="L477" t="str">
            <v>RODRIGO</v>
          </cell>
          <cell r="M477" t="str">
            <v>RAQUEL BARBOSA</v>
          </cell>
        </row>
        <row r="478">
          <cell r="B478">
            <v>5169592</v>
          </cell>
          <cell r="C478" t="str">
            <v>ESQUILOS ACAI LTDA ME</v>
          </cell>
          <cell r="D478">
            <v>6001</v>
          </cell>
          <cell r="E478" t="str">
            <v>6125</v>
          </cell>
          <cell r="F478" t="str">
            <v>C1</v>
          </cell>
          <cell r="G478" t="str">
            <v>SP</v>
          </cell>
          <cell r="H478" t="str">
            <v>INGREDIENTS</v>
          </cell>
          <cell r="I478" t="str">
            <v>INGREDIENTS</v>
          </cell>
          <cell r="J478" t="str">
            <v>SP ITB FS LUIZ PEREIRA</v>
          </cell>
          <cell r="K478" t="str">
            <v>ITAMBÉ</v>
          </cell>
          <cell r="L478" t="str">
            <v>MAURICIO</v>
          </cell>
          <cell r="M478" t="str">
            <v>TATIANA NITTA</v>
          </cell>
        </row>
        <row r="479">
          <cell r="B479">
            <v>5266214</v>
          </cell>
          <cell r="C479" t="str">
            <v>ESTACAO DO CAFE T R COM DE ALIM LTD</v>
          </cell>
          <cell r="D479">
            <v>7001</v>
          </cell>
          <cell r="E479" t="str">
            <v>0749</v>
          </cell>
          <cell r="F479" t="str">
            <v>C5</v>
          </cell>
          <cell r="G479" t="str">
            <v>SP</v>
          </cell>
          <cell r="H479" t="str">
            <v>DISTRIBUIÇÃO</v>
          </cell>
          <cell r="I479" t="str">
            <v>FOOD SERVICE</v>
          </cell>
          <cell r="J479" t="str">
            <v>FLAC 3</v>
          </cell>
          <cell r="K479" t="str">
            <v>LACTALIS</v>
          </cell>
          <cell r="L479" t="str">
            <v>RODRIGO</v>
          </cell>
          <cell r="M479" t="str">
            <v>RAQUEL BARBOSA</v>
          </cell>
        </row>
        <row r="480">
          <cell r="B480">
            <v>5010128</v>
          </cell>
          <cell r="C480" t="str">
            <v>ESTANPLAZA ADM HOT E COM LTDA</v>
          </cell>
          <cell r="D480">
            <v>7001</v>
          </cell>
          <cell r="E480" t="str">
            <v>0722</v>
          </cell>
          <cell r="F480" t="str">
            <v>C1</v>
          </cell>
          <cell r="G480" t="str">
            <v>SP</v>
          </cell>
          <cell r="H480" t="str">
            <v>DISTRIBUIÇÃO</v>
          </cell>
          <cell r="I480" t="str">
            <v>FOOD SERVICE</v>
          </cell>
          <cell r="J480" t="str">
            <v>SP ITB FS FLAC REP.E COMERCIO</v>
          </cell>
          <cell r="K480" t="str">
            <v>LACTALIS</v>
          </cell>
          <cell r="L480" t="str">
            <v>RODRIGO</v>
          </cell>
          <cell r="M480" t="str">
            <v>RAQUEL BARBOSA</v>
          </cell>
        </row>
        <row r="481">
          <cell r="B481">
            <v>5017000</v>
          </cell>
          <cell r="C481" t="str">
            <v>ESTANPLAZA ADM HOT E COM LTDA</v>
          </cell>
          <cell r="D481">
            <v>7001</v>
          </cell>
          <cell r="E481" t="str">
            <v>0749</v>
          </cell>
          <cell r="F481" t="str">
            <v>C5</v>
          </cell>
          <cell r="G481" t="str">
            <v>SP</v>
          </cell>
          <cell r="H481" t="str">
            <v>QSR</v>
          </cell>
          <cell r="I481" t="str">
            <v>FOOD SERVICE</v>
          </cell>
          <cell r="J481" t="str">
            <v>NUTRI</v>
          </cell>
          <cell r="K481" t="str">
            <v>LACTALIS</v>
          </cell>
          <cell r="L481" t="str">
            <v>PEDRO</v>
          </cell>
          <cell r="M481" t="str">
            <v>VAGO QSR</v>
          </cell>
        </row>
        <row r="482">
          <cell r="B482">
            <v>5161660</v>
          </cell>
          <cell r="C482" t="str">
            <v>ESTANPLAZA ADM HOTELEIRA E COM</v>
          </cell>
          <cell r="D482">
            <v>7001</v>
          </cell>
          <cell r="E482" t="str">
            <v>0749</v>
          </cell>
          <cell r="F482" t="str">
            <v>C5</v>
          </cell>
          <cell r="G482" t="str">
            <v>SP</v>
          </cell>
          <cell r="H482" t="str">
            <v>DISTRIBUIÇÃO</v>
          </cell>
          <cell r="I482" t="str">
            <v>FOOD SERVICE</v>
          </cell>
          <cell r="J482" t="str">
            <v>SP ITB FS FLAC REP.E COMERCIO</v>
          </cell>
          <cell r="K482" t="str">
            <v>LACTALIS</v>
          </cell>
          <cell r="L482" t="str">
            <v>RODRIGO</v>
          </cell>
          <cell r="M482" t="str">
            <v>RAQUEL BARBOSA</v>
          </cell>
        </row>
        <row r="483">
          <cell r="B483">
            <v>5161651</v>
          </cell>
          <cell r="C483" t="str">
            <v>ESTANPLAZA ADM HOTELEIRA E COML LTD</v>
          </cell>
          <cell r="D483">
            <v>7001</v>
          </cell>
          <cell r="E483" t="str">
            <v>0749</v>
          </cell>
          <cell r="F483" t="str">
            <v>C5</v>
          </cell>
          <cell r="G483" t="str">
            <v>SP</v>
          </cell>
          <cell r="H483" t="str">
            <v>QSR</v>
          </cell>
          <cell r="I483" t="str">
            <v>FOOD SERVICE</v>
          </cell>
          <cell r="J483" t="str">
            <v>NUTRI</v>
          </cell>
          <cell r="K483" t="str">
            <v>LACTALIS</v>
          </cell>
          <cell r="L483" t="str">
            <v>PEDRO</v>
          </cell>
          <cell r="M483" t="str">
            <v>VAGO QSR</v>
          </cell>
        </row>
        <row r="484">
          <cell r="B484">
            <v>5161653</v>
          </cell>
          <cell r="C484" t="str">
            <v>ESTANPLAZA ADM HOTELEIRA E COML LTD</v>
          </cell>
          <cell r="D484">
            <v>7001</v>
          </cell>
          <cell r="E484" t="str">
            <v>0749</v>
          </cell>
          <cell r="F484" t="str">
            <v>C5</v>
          </cell>
          <cell r="G484" t="str">
            <v>SP</v>
          </cell>
          <cell r="H484" t="str">
            <v>QSR</v>
          </cell>
          <cell r="I484" t="str">
            <v>FOOD SERVICE</v>
          </cell>
          <cell r="J484" t="str">
            <v>NUTRI</v>
          </cell>
          <cell r="K484" t="str">
            <v>LACTALIS</v>
          </cell>
          <cell r="L484" t="str">
            <v>PEDRO</v>
          </cell>
          <cell r="M484" t="str">
            <v>VAGO QSR</v>
          </cell>
        </row>
        <row r="485">
          <cell r="B485">
            <v>5161612</v>
          </cell>
          <cell r="C485" t="str">
            <v>ESTANPLAZA ADMI HOTELEIRA E COML LT</v>
          </cell>
          <cell r="D485">
            <v>7001</v>
          </cell>
          <cell r="E485" t="str">
            <v>0749</v>
          </cell>
          <cell r="F485" t="str">
            <v>C5</v>
          </cell>
          <cell r="G485" t="str">
            <v>SP</v>
          </cell>
          <cell r="H485" t="str">
            <v>QSR</v>
          </cell>
          <cell r="I485" t="str">
            <v>FOOD SERVICE</v>
          </cell>
          <cell r="J485" t="str">
            <v>NUTRI</v>
          </cell>
          <cell r="K485" t="str">
            <v>LACTALIS</v>
          </cell>
          <cell r="L485" t="str">
            <v>PEDRO</v>
          </cell>
          <cell r="M485" t="str">
            <v>VAGO QSR</v>
          </cell>
        </row>
        <row r="486">
          <cell r="B486">
            <v>5194959</v>
          </cell>
          <cell r="C486" t="str">
            <v>EXATA COM E DIST DE MATERIA EM</v>
          </cell>
          <cell r="D486">
            <v>3001</v>
          </cell>
          <cell r="E486" t="str">
            <v>0169</v>
          </cell>
          <cell r="F486" t="str">
            <v>C1</v>
          </cell>
          <cell r="G486" t="str">
            <v>RJ</v>
          </cell>
          <cell r="H486" t="str">
            <v>DISTRIBUIÇÃO</v>
          </cell>
          <cell r="I486" t="str">
            <v>FOOD SERVICE</v>
          </cell>
          <cell r="J486" t="str">
            <v>LUCIANA MARTINS</v>
          </cell>
          <cell r="K486" t="str">
            <v>ITAMBÉ</v>
          </cell>
          <cell r="L486" t="str">
            <v>RODRIGO</v>
          </cell>
          <cell r="M486" t="str">
            <v>JESSICA</v>
          </cell>
        </row>
        <row r="487">
          <cell r="B487">
            <v>5248463</v>
          </cell>
          <cell r="C487" t="str">
            <v>EXCELLENCE BAR E RESTAURANTE LTDA</v>
          </cell>
          <cell r="D487">
            <v>7001</v>
          </cell>
          <cell r="E487" t="str">
            <v>0749</v>
          </cell>
          <cell r="F487" t="str">
            <v>C5</v>
          </cell>
          <cell r="G487" t="str">
            <v>SP</v>
          </cell>
          <cell r="H487" t="str">
            <v>DISTRIBUIÇÃO</v>
          </cell>
          <cell r="I487" t="str">
            <v>FOOD SERVICE</v>
          </cell>
          <cell r="J487" t="str">
            <v>FLAC 3</v>
          </cell>
          <cell r="K487" t="str">
            <v>LACTALIS</v>
          </cell>
          <cell r="L487" t="str">
            <v>RODRIGO</v>
          </cell>
          <cell r="M487" t="str">
            <v>RAQUEL BARBOSA</v>
          </cell>
        </row>
        <row r="488">
          <cell r="B488">
            <v>8010001</v>
          </cell>
          <cell r="C488" t="str">
            <v>EXP</v>
          </cell>
          <cell r="D488">
            <v>3001</v>
          </cell>
          <cell r="E488" t="str">
            <v>0062</v>
          </cell>
          <cell r="F488" t="str">
            <v>C1</v>
          </cell>
          <cell r="G488" t="str">
            <v/>
          </cell>
          <cell r="H488" t="str">
            <v>OUTROS</v>
          </cell>
          <cell r="I488" t="str">
            <v>OUTROS</v>
          </cell>
          <cell r="J488" t="str">
            <v>INTERCOMPANY EXP</v>
          </cell>
          <cell r="K488" t="str">
            <v>OUTROS</v>
          </cell>
          <cell r="L488" t="str">
            <v>OUTROS</v>
          </cell>
          <cell r="M488" t="str">
            <v>INTERCOMPANY</v>
          </cell>
        </row>
        <row r="489">
          <cell r="B489">
            <v>8010002</v>
          </cell>
          <cell r="C489" t="str">
            <v>EXP</v>
          </cell>
          <cell r="D489">
            <v>3001</v>
          </cell>
          <cell r="E489" t="str">
            <v>0062</v>
          </cell>
          <cell r="F489" t="str">
            <v>C1</v>
          </cell>
          <cell r="G489" t="str">
            <v/>
          </cell>
          <cell r="H489" t="str">
            <v>OUTROS</v>
          </cell>
          <cell r="I489" t="str">
            <v>OUTROS</v>
          </cell>
          <cell r="J489" t="str">
            <v>INTERCOMPANY EXP</v>
          </cell>
          <cell r="K489" t="str">
            <v>OUTROS</v>
          </cell>
          <cell r="L489" t="str">
            <v>OUTROS</v>
          </cell>
          <cell r="M489" t="str">
            <v>INTERCOMPANY</v>
          </cell>
        </row>
        <row r="490">
          <cell r="B490">
            <v>8010007</v>
          </cell>
          <cell r="C490" t="str">
            <v>EXP</v>
          </cell>
          <cell r="D490">
            <v>3001</v>
          </cell>
          <cell r="E490" t="str">
            <v>0062</v>
          </cell>
          <cell r="F490" t="str">
            <v>C1</v>
          </cell>
          <cell r="G490" t="str">
            <v/>
          </cell>
          <cell r="H490" t="str">
            <v>OUTROS</v>
          </cell>
          <cell r="I490" t="str">
            <v>OUTROS</v>
          </cell>
          <cell r="J490" t="str">
            <v>INTERCOMPANY EXP</v>
          </cell>
          <cell r="K490" t="str">
            <v>OUTROS</v>
          </cell>
          <cell r="L490" t="str">
            <v>OUTROS</v>
          </cell>
          <cell r="M490" t="str">
            <v>INTERCOMPANY</v>
          </cell>
        </row>
        <row r="491">
          <cell r="B491">
            <v>8010010</v>
          </cell>
          <cell r="C491" t="str">
            <v>EXP</v>
          </cell>
          <cell r="D491">
            <v>3001</v>
          </cell>
          <cell r="E491" t="str">
            <v>0062</v>
          </cell>
          <cell r="F491" t="str">
            <v>C1</v>
          </cell>
          <cell r="G491" t="str">
            <v/>
          </cell>
          <cell r="H491" t="str">
            <v>OUTROS</v>
          </cell>
          <cell r="I491" t="str">
            <v>OUTROS</v>
          </cell>
          <cell r="J491" t="str">
            <v>INTERCOMPANY EXP</v>
          </cell>
          <cell r="K491" t="str">
            <v>OUTROS</v>
          </cell>
          <cell r="L491" t="str">
            <v>OUTROS</v>
          </cell>
          <cell r="M491" t="str">
            <v>INTERCOMPANY</v>
          </cell>
        </row>
        <row r="492">
          <cell r="B492">
            <v>8010015</v>
          </cell>
          <cell r="C492" t="str">
            <v>EXP</v>
          </cell>
          <cell r="D492">
            <v>3001</v>
          </cell>
          <cell r="E492" t="str">
            <v>0062</v>
          </cell>
          <cell r="F492" t="str">
            <v>C1</v>
          </cell>
          <cell r="G492" t="str">
            <v/>
          </cell>
          <cell r="H492" t="str">
            <v>OUTROS</v>
          </cell>
          <cell r="I492" t="str">
            <v>OUTROS</v>
          </cell>
          <cell r="J492" t="str">
            <v>INTERCOMPANY EXP</v>
          </cell>
          <cell r="K492" t="str">
            <v>OUTROS</v>
          </cell>
          <cell r="L492" t="str">
            <v>OUTROS</v>
          </cell>
          <cell r="M492" t="str">
            <v>INTERCOMPANY</v>
          </cell>
        </row>
        <row r="493">
          <cell r="B493">
            <v>5318914</v>
          </cell>
          <cell r="C493" t="str">
            <v>EXPANSAO COMERCIO DE BOLOS E DO</v>
          </cell>
          <cell r="D493">
            <v>7001</v>
          </cell>
          <cell r="E493" t="str">
            <v>0749</v>
          </cell>
          <cell r="F493" t="str">
            <v>C5</v>
          </cell>
          <cell r="G493" t="str">
            <v>SP</v>
          </cell>
          <cell r="H493" t="str">
            <v>DISTRIBUIÇÃO</v>
          </cell>
          <cell r="I493" t="str">
            <v>FOOD SERVICE</v>
          </cell>
          <cell r="J493" t="str">
            <v>FLAC 6</v>
          </cell>
          <cell r="K493" t="str">
            <v>LACTALIS</v>
          </cell>
          <cell r="L493" t="str">
            <v>RODRIGO</v>
          </cell>
          <cell r="M493" t="str">
            <v>RAQUEL BARBOSA</v>
          </cell>
        </row>
        <row r="494">
          <cell r="B494">
            <v>5028457</v>
          </cell>
          <cell r="C494" t="str">
            <v>F L EMBALAGENS LTDA</v>
          </cell>
          <cell r="D494">
            <v>3001</v>
          </cell>
          <cell r="E494" t="str">
            <v>0169</v>
          </cell>
          <cell r="F494" t="str">
            <v>C1</v>
          </cell>
          <cell r="G494" t="str">
            <v>ES</v>
          </cell>
          <cell r="H494" t="str">
            <v>DISTRIBUIÇÃO</v>
          </cell>
          <cell r="I494" t="str">
            <v>FOOD SERVICE</v>
          </cell>
          <cell r="J494" t="str">
            <v>MARCELO DUARTE</v>
          </cell>
          <cell r="K494" t="str">
            <v>ITAMBÉ</v>
          </cell>
          <cell r="L494" t="str">
            <v>RODRIGO</v>
          </cell>
          <cell r="M494" t="str">
            <v>JESSICA</v>
          </cell>
        </row>
        <row r="495">
          <cell r="B495">
            <v>5028457</v>
          </cell>
          <cell r="C495" t="str">
            <v>F L EMBALAGENS LTDA</v>
          </cell>
          <cell r="D495">
            <v>4001</v>
          </cell>
          <cell r="E495" t="str">
            <v>0423</v>
          </cell>
          <cell r="F495" t="str">
            <v>C5</v>
          </cell>
          <cell r="G495" t="str">
            <v>ES</v>
          </cell>
          <cell r="H495" t="str">
            <v>DISTRIBUIÇÃO</v>
          </cell>
          <cell r="I495" t="str">
            <v>FOOD SERVICE</v>
          </cell>
          <cell r="J495" t="str">
            <v>MARCELO DUARTE</v>
          </cell>
          <cell r="K495" t="str">
            <v>LACTALIS</v>
          </cell>
          <cell r="L495" t="str">
            <v>RODRIGO</v>
          </cell>
          <cell r="M495" t="str">
            <v>JESSICA</v>
          </cell>
        </row>
        <row r="496">
          <cell r="B496">
            <v>5213440</v>
          </cell>
          <cell r="C496" t="str">
            <v>DOCE INDUSTRIA DE BISCOITOS LTD</v>
          </cell>
          <cell r="D496">
            <v>3001</v>
          </cell>
          <cell r="E496" t="str">
            <v>0123</v>
          </cell>
          <cell r="F496" t="str">
            <v>C1</v>
          </cell>
          <cell r="G496" t="str">
            <v>DF</v>
          </cell>
          <cell r="H496" t="str">
            <v>DISTRIBUIÇÃO</v>
          </cell>
          <cell r="I496" t="str">
            <v>FOOD SERVICE</v>
          </cell>
          <cell r="J496" t="str">
            <v>CLAUDIO JORGE</v>
          </cell>
          <cell r="K496" t="str">
            <v>ITAMBÉ</v>
          </cell>
          <cell r="L496" t="str">
            <v>RODRIGO</v>
          </cell>
          <cell r="M496" t="str">
            <v>MARCO AURELIO</v>
          </cell>
        </row>
        <row r="497">
          <cell r="B497">
            <v>5221359</v>
          </cell>
          <cell r="C497" t="str">
            <v>FABRICACAO DE PRODUTOS DE PADAR</v>
          </cell>
          <cell r="D497">
            <v>3001</v>
          </cell>
          <cell r="E497" t="str">
            <v>0127</v>
          </cell>
          <cell r="F497" t="str">
            <v>C1</v>
          </cell>
          <cell r="G497" t="str">
            <v>BA</v>
          </cell>
          <cell r="H497" t="str">
            <v>DISTRIBUIÇÃO</v>
          </cell>
          <cell r="I497" t="str">
            <v>FOOD SERVICE</v>
          </cell>
          <cell r="J497" t="str">
            <v>CLAUDIO JORGE/LUIZ</v>
          </cell>
          <cell r="K497" t="str">
            <v>ITAMBÉ</v>
          </cell>
          <cell r="L497" t="str">
            <v>RODRIGO</v>
          </cell>
          <cell r="M497" t="str">
            <v>MARIA LOURDES</v>
          </cell>
        </row>
        <row r="498">
          <cell r="B498">
            <v>5114457</v>
          </cell>
          <cell r="C498" t="str">
            <v>FAMILIA ANDRADE MERC PANI LTDA</v>
          </cell>
          <cell r="D498">
            <v>3001</v>
          </cell>
          <cell r="E498" t="str">
            <v>0127</v>
          </cell>
          <cell r="F498" t="str">
            <v>C1</v>
          </cell>
          <cell r="G498" t="str">
            <v>BA</v>
          </cell>
          <cell r="H498" t="str">
            <v>DISTRIBUIÇÃO</v>
          </cell>
          <cell r="I498" t="str">
            <v>FOOD SERVICE</v>
          </cell>
          <cell r="J498" t="str">
            <v>CLAUDIO JORGE/LUIZ</v>
          </cell>
          <cell r="K498" t="str">
            <v>ITAMBÉ</v>
          </cell>
          <cell r="L498" t="str">
            <v>RODRIGO</v>
          </cell>
          <cell r="M498" t="str">
            <v>MARIA LOURDES</v>
          </cell>
        </row>
        <row r="499">
          <cell r="B499">
            <v>5261269</v>
          </cell>
          <cell r="C499" t="str">
            <v>FAMILIA DALLOGIO ROTISSERIE LTDA ME</v>
          </cell>
          <cell r="D499">
            <v>7001</v>
          </cell>
          <cell r="E499" t="str">
            <v>0749</v>
          </cell>
          <cell r="F499" t="str">
            <v>C5</v>
          </cell>
          <cell r="G499" t="str">
            <v>SP</v>
          </cell>
          <cell r="H499" t="str">
            <v>DISTRIBUIÇÃO</v>
          </cell>
          <cell r="I499" t="str">
            <v>FOOD SERVICE</v>
          </cell>
          <cell r="J499" t="str">
            <v>FLAC 2</v>
          </cell>
          <cell r="K499" t="str">
            <v>LACTALIS</v>
          </cell>
          <cell r="L499" t="str">
            <v>RODRIGO</v>
          </cell>
          <cell r="M499" t="str">
            <v>RAQUEL BARBOSA</v>
          </cell>
        </row>
        <row r="500">
          <cell r="B500">
            <v>5312880</v>
          </cell>
          <cell r="C500" t="str">
            <v>FAMILIA SOARES LATICINIOS LTDA</v>
          </cell>
          <cell r="D500">
            <v>7001</v>
          </cell>
          <cell r="E500" t="str">
            <v>0749</v>
          </cell>
          <cell r="F500" t="str">
            <v>C5</v>
          </cell>
          <cell r="G500" t="str">
            <v>SP</v>
          </cell>
          <cell r="H500" t="str">
            <v>DISTRIBUIÇÃO</v>
          </cell>
          <cell r="I500" t="str">
            <v>FOOD SERVICE</v>
          </cell>
          <cell r="J500" t="str">
            <v>FLAC 2</v>
          </cell>
          <cell r="K500" t="str">
            <v>LACTALIS</v>
          </cell>
          <cell r="L500" t="str">
            <v>RODRIGO</v>
          </cell>
          <cell r="M500" t="str">
            <v>RAQUEL BARBOSA</v>
          </cell>
        </row>
        <row r="501">
          <cell r="B501">
            <v>5261730</v>
          </cell>
          <cell r="C501" t="str">
            <v>FAS CE FAB E COM DE SORVETES LTDA</v>
          </cell>
          <cell r="D501">
            <v>7001</v>
          </cell>
          <cell r="E501" t="str">
            <v>0749</v>
          </cell>
          <cell r="F501" t="str">
            <v>C5</v>
          </cell>
          <cell r="G501" t="str">
            <v>SP</v>
          </cell>
          <cell r="H501" t="str">
            <v>DISTRIBUIÇÃO</v>
          </cell>
          <cell r="I501" t="str">
            <v>FOOD SERVICE</v>
          </cell>
          <cell r="J501" t="str">
            <v>FLAC 3</v>
          </cell>
          <cell r="K501" t="str">
            <v>LACTALIS</v>
          </cell>
          <cell r="L501" t="str">
            <v>RODRIGO</v>
          </cell>
          <cell r="M501" t="str">
            <v>RAQUEL BARBOSA</v>
          </cell>
        </row>
        <row r="502">
          <cell r="B502">
            <v>5235442</v>
          </cell>
          <cell r="C502" t="str">
            <v>FASTBURGUER LANCHES E RESTAURANTE L</v>
          </cell>
          <cell r="D502">
            <v>7001</v>
          </cell>
          <cell r="E502" t="str">
            <v>0749</v>
          </cell>
          <cell r="F502" t="str">
            <v>C5</v>
          </cell>
          <cell r="G502" t="str">
            <v>SP</v>
          </cell>
          <cell r="H502" t="str">
            <v>DISTRIBUIÇÃO</v>
          </cell>
          <cell r="I502" t="str">
            <v>FOOD SERVICE</v>
          </cell>
          <cell r="J502" t="str">
            <v>FLAC 2</v>
          </cell>
          <cell r="K502" t="str">
            <v>LACTALIS</v>
          </cell>
          <cell r="L502" t="str">
            <v>RODRIGO</v>
          </cell>
          <cell r="M502" t="str">
            <v>RAQUEL BARBOSA</v>
          </cell>
        </row>
        <row r="503">
          <cell r="B503">
            <v>5316901</v>
          </cell>
          <cell r="C503" t="str">
            <v>FAUSTOLLO HAMBURGUERIA LTDA</v>
          </cell>
          <cell r="D503">
            <v>7001</v>
          </cell>
          <cell r="E503" t="str">
            <v>0749</v>
          </cell>
          <cell r="F503" t="str">
            <v>C5</v>
          </cell>
          <cell r="G503" t="str">
            <v>SP</v>
          </cell>
          <cell r="H503" t="str">
            <v>DISTRIBUIÇÃO</v>
          </cell>
          <cell r="I503" t="str">
            <v>FOOD SERVICE</v>
          </cell>
          <cell r="J503" t="str">
            <v>FLAC 6</v>
          </cell>
          <cell r="K503" t="str">
            <v>LACTALIS</v>
          </cell>
          <cell r="L503" t="str">
            <v>RODRIGO</v>
          </cell>
          <cell r="M503" t="str">
            <v>RAQUEL BARBOSA</v>
          </cell>
        </row>
        <row r="504">
          <cell r="B504">
            <v>5325192</v>
          </cell>
          <cell r="C504" t="str">
            <v>FAZ GELATO VILA NOVA CONCEICAO CO</v>
          </cell>
          <cell r="D504">
            <v>7001</v>
          </cell>
          <cell r="E504" t="str">
            <v>0749</v>
          </cell>
          <cell r="F504" t="str">
            <v>C5</v>
          </cell>
          <cell r="G504" t="str">
            <v>SP</v>
          </cell>
          <cell r="H504" t="str">
            <v>DISTRIBUIÇÃO</v>
          </cell>
          <cell r="I504" t="str">
            <v>FOOD SERVICE</v>
          </cell>
          <cell r="J504" t="str">
            <v>FLAC 6</v>
          </cell>
          <cell r="K504" t="str">
            <v>LACTALIS</v>
          </cell>
          <cell r="L504" t="str">
            <v>RODRIGO</v>
          </cell>
          <cell r="M504" t="str">
            <v>RAQUEL BARBOSA</v>
          </cell>
        </row>
        <row r="505">
          <cell r="B505">
            <v>5230104</v>
          </cell>
          <cell r="C505" t="str">
            <v>FC DISTRIBUIDORA DE CHOCOLATES LTDA</v>
          </cell>
          <cell r="D505">
            <v>3001</v>
          </cell>
          <cell r="E505" t="str">
            <v>0126</v>
          </cell>
          <cell r="F505" t="str">
            <v>C1</v>
          </cell>
          <cell r="G505" t="str">
            <v>PR</v>
          </cell>
          <cell r="H505" t="str">
            <v>DISTRIBUIÇÃO</v>
          </cell>
          <cell r="I505" t="str">
            <v>FOOD SERVICE</v>
          </cell>
          <cell r="J505" t="str">
            <v>ANGELICA BATISTELA</v>
          </cell>
          <cell r="K505" t="str">
            <v>ITAMBÉ</v>
          </cell>
          <cell r="L505" t="str">
            <v>RODRIGO</v>
          </cell>
          <cell r="M505" t="str">
            <v>ANGELICA BATISTELA</v>
          </cell>
        </row>
        <row r="506">
          <cell r="B506">
            <v>5292598</v>
          </cell>
          <cell r="C506" t="str">
            <v>FEITO A MAO PAD ART SAO PAULO LTDA</v>
          </cell>
          <cell r="D506">
            <v>7001</v>
          </cell>
          <cell r="E506" t="str">
            <v>0749</v>
          </cell>
          <cell r="F506" t="str">
            <v>C5</v>
          </cell>
          <cell r="G506" t="str">
            <v>SP</v>
          </cell>
          <cell r="H506" t="str">
            <v>DISTRIBUIÇÃO</v>
          </cell>
          <cell r="I506" t="str">
            <v>FOOD SERVICE</v>
          </cell>
          <cell r="J506" t="str">
            <v>FLAC 6</v>
          </cell>
          <cell r="K506" t="str">
            <v>LACTALIS</v>
          </cell>
          <cell r="L506" t="str">
            <v>RODRIGO</v>
          </cell>
          <cell r="M506" t="str">
            <v>RAQUEL BARBOSA</v>
          </cell>
        </row>
        <row r="507">
          <cell r="B507">
            <v>5270949</v>
          </cell>
          <cell r="C507" t="str">
            <v>FELIPE LOPES TEXEIRA GOMES</v>
          </cell>
          <cell r="D507">
            <v>7001</v>
          </cell>
          <cell r="E507" t="str">
            <v>0749</v>
          </cell>
          <cell r="F507" t="str">
            <v>C5</v>
          </cell>
          <cell r="G507" t="str">
            <v>SP</v>
          </cell>
          <cell r="H507" t="str">
            <v>DISTRIBUIÇÃO</v>
          </cell>
          <cell r="I507" t="str">
            <v>FOOD SERVICE</v>
          </cell>
          <cell r="J507" t="str">
            <v>FLAC 7</v>
          </cell>
          <cell r="K507" t="str">
            <v>LACTALIS</v>
          </cell>
          <cell r="L507" t="str">
            <v>RODRIGO</v>
          </cell>
          <cell r="M507" t="str">
            <v>RAQUEL BARBOSA</v>
          </cell>
        </row>
        <row r="508">
          <cell r="B508">
            <v>5303071</v>
          </cell>
          <cell r="C508" t="str">
            <v>FELIPE SALGUEIRO DE ARAUJO 42551622</v>
          </cell>
          <cell r="D508">
            <v>7001</v>
          </cell>
          <cell r="E508" t="str">
            <v>0749</v>
          </cell>
          <cell r="F508" t="str">
            <v>C5</v>
          </cell>
          <cell r="G508" t="str">
            <v>SP</v>
          </cell>
          <cell r="H508" t="str">
            <v>DISTRIBUIÇÃO</v>
          </cell>
          <cell r="I508" t="str">
            <v>FOOD SERVICE</v>
          </cell>
          <cell r="J508" t="str">
            <v>FLAC 6</v>
          </cell>
          <cell r="K508" t="str">
            <v>LACTALIS</v>
          </cell>
          <cell r="L508" t="str">
            <v>RODRIGO</v>
          </cell>
          <cell r="M508" t="str">
            <v>RAQUEL BARBOSA</v>
          </cell>
        </row>
        <row r="509">
          <cell r="B509">
            <v>5311373</v>
          </cell>
          <cell r="C509" t="str">
            <v>FENIX FOODS ALIMENTOS LTDA</v>
          </cell>
          <cell r="D509">
            <v>7001</v>
          </cell>
          <cell r="E509" t="str">
            <v>0749</v>
          </cell>
          <cell r="F509" t="str">
            <v>C5</v>
          </cell>
          <cell r="G509" t="str">
            <v>SP</v>
          </cell>
          <cell r="H509" t="str">
            <v>DISTRIBUIÇÃO</v>
          </cell>
          <cell r="I509" t="str">
            <v>FOOD SERVICE</v>
          </cell>
          <cell r="J509" t="str">
            <v>FLAC 1</v>
          </cell>
          <cell r="K509" t="str">
            <v>LACTALIS</v>
          </cell>
          <cell r="L509" t="str">
            <v>RODRIGO</v>
          </cell>
          <cell r="M509" t="str">
            <v>RAQUEL BARBOSA</v>
          </cell>
        </row>
        <row r="510">
          <cell r="B510">
            <v>5026400</v>
          </cell>
          <cell r="C510" t="str">
            <v>FERMISUL FERMENTOSE PROD PARA PANIF</v>
          </cell>
          <cell r="D510">
            <v>3001</v>
          </cell>
          <cell r="E510" t="str">
            <v>0126</v>
          </cell>
          <cell r="F510" t="str">
            <v>C1</v>
          </cell>
          <cell r="G510" t="str">
            <v>PR</v>
          </cell>
          <cell r="H510" t="str">
            <v>DISTRIBUIÇÃO</v>
          </cell>
          <cell r="I510" t="str">
            <v>FOOD SERVICE</v>
          </cell>
          <cell r="J510" t="str">
            <v>ANGELICA BATISTELA</v>
          </cell>
          <cell r="K510" t="str">
            <v>ITAMBÉ</v>
          </cell>
          <cell r="L510" t="str">
            <v>RODRIGO</v>
          </cell>
          <cell r="M510" t="str">
            <v>ANGELICA BATISTELA</v>
          </cell>
        </row>
        <row r="511">
          <cell r="B511">
            <v>5267798</v>
          </cell>
          <cell r="C511" t="str">
            <v>FERNANDO ESTANISLAU DO AMARAL DE AR</v>
          </cell>
          <cell r="D511">
            <v>7001</v>
          </cell>
          <cell r="E511" t="str">
            <v>0749</v>
          </cell>
          <cell r="F511" t="str">
            <v>C5</v>
          </cell>
          <cell r="G511" t="str">
            <v>SP</v>
          </cell>
          <cell r="H511" t="str">
            <v>DISTRIBUIÇÃO</v>
          </cell>
          <cell r="I511" t="str">
            <v>FOOD SERVICE</v>
          </cell>
          <cell r="J511" t="str">
            <v>FLAC 2</v>
          </cell>
          <cell r="K511" t="str">
            <v>LACTALIS</v>
          </cell>
          <cell r="L511" t="str">
            <v>RODRIGO</v>
          </cell>
          <cell r="M511" t="str">
            <v>RAQUEL BARBOSA</v>
          </cell>
        </row>
        <row r="512">
          <cell r="B512">
            <v>5316683</v>
          </cell>
          <cell r="C512" t="str">
            <v>FERNANDO PEREIRA DOS SANTOS 3639985</v>
          </cell>
          <cell r="D512">
            <v>7001</v>
          </cell>
          <cell r="E512" t="str">
            <v>0749</v>
          </cell>
          <cell r="F512" t="str">
            <v>C5</v>
          </cell>
          <cell r="G512" t="str">
            <v>SP</v>
          </cell>
          <cell r="H512" t="str">
            <v>DISTRIBUIÇÃO</v>
          </cell>
          <cell r="I512" t="str">
            <v>FOOD SERVICE</v>
          </cell>
          <cell r="J512" t="str">
            <v>FLAC 3</v>
          </cell>
          <cell r="K512" t="str">
            <v>LACTALIS</v>
          </cell>
          <cell r="L512" t="str">
            <v>RODRIGO</v>
          </cell>
          <cell r="M512" t="str">
            <v>RAQUEL BARBOSA</v>
          </cell>
        </row>
        <row r="513">
          <cell r="B513">
            <v>5109682</v>
          </cell>
          <cell r="C513" t="str">
            <v>FERPEREZ COMERCIO DE ALIMENTOS</v>
          </cell>
          <cell r="D513">
            <v>6001</v>
          </cell>
          <cell r="E513" t="str">
            <v>6125</v>
          </cell>
          <cell r="F513" t="str">
            <v>C1</v>
          </cell>
          <cell r="G513" t="str">
            <v>SP</v>
          </cell>
          <cell r="H513" t="str">
            <v>DISTRIBUIÇÃO</v>
          </cell>
          <cell r="I513" t="str">
            <v>FOOD SERVICE</v>
          </cell>
          <cell r="J513" t="str">
            <v>VAGO SP</v>
          </cell>
          <cell r="K513" t="str">
            <v>ITAMBÉ</v>
          </cell>
          <cell r="L513" t="str">
            <v>RODRIGO</v>
          </cell>
          <cell r="M513" t="str">
            <v>RAQUEL BARBOSA</v>
          </cell>
        </row>
        <row r="514">
          <cell r="B514">
            <v>5167088</v>
          </cell>
          <cell r="C514" t="str">
            <v>FERRARIPAN DIST DE PROD ALIM LTDA</v>
          </cell>
          <cell r="D514">
            <v>3001</v>
          </cell>
          <cell r="E514" t="str">
            <v>0126</v>
          </cell>
          <cell r="F514" t="str">
            <v>C1</v>
          </cell>
          <cell r="G514" t="str">
            <v>PR</v>
          </cell>
          <cell r="H514" t="str">
            <v>DISTRIBUIÇÃO</v>
          </cell>
          <cell r="I514" t="str">
            <v>FOOD SERVICE</v>
          </cell>
          <cell r="J514" t="str">
            <v>ANGELICA BATISTELA</v>
          </cell>
          <cell r="K514" t="str">
            <v>ITAMBÉ</v>
          </cell>
          <cell r="L514" t="str">
            <v>RODRIGO</v>
          </cell>
          <cell r="M514" t="str">
            <v>ANGELICA BATISTELA</v>
          </cell>
        </row>
        <row r="515">
          <cell r="B515">
            <v>5133641</v>
          </cell>
          <cell r="C515" t="str">
            <v>FESTA MIX COMERCIO LTDA</v>
          </cell>
          <cell r="D515">
            <v>3001</v>
          </cell>
          <cell r="E515" t="str">
            <v>0169</v>
          </cell>
          <cell r="F515" t="str">
            <v>C1</v>
          </cell>
          <cell r="G515" t="str">
            <v>ES</v>
          </cell>
          <cell r="H515" t="str">
            <v>DISTRIBUIÇÃO</v>
          </cell>
          <cell r="I515" t="str">
            <v>FOOD SERVICE</v>
          </cell>
          <cell r="J515" t="str">
            <v>MARCELO DUARTE</v>
          </cell>
          <cell r="K515" t="str">
            <v>ITAMBÉ</v>
          </cell>
          <cell r="L515" t="str">
            <v>RODRIGO</v>
          </cell>
          <cell r="M515" t="str">
            <v>JESSICA</v>
          </cell>
        </row>
        <row r="516">
          <cell r="B516">
            <v>5234382</v>
          </cell>
          <cell r="C516" t="str">
            <v>FF CAFE EXPRESSO LTDA</v>
          </cell>
          <cell r="D516">
            <v>7001</v>
          </cell>
          <cell r="E516" t="str">
            <v>0749</v>
          </cell>
          <cell r="F516" t="str">
            <v>C5</v>
          </cell>
          <cell r="G516" t="str">
            <v>SP</v>
          </cell>
          <cell r="H516" t="str">
            <v>DISTRIBUIÇÃO</v>
          </cell>
          <cell r="I516" t="str">
            <v>FOOD SERVICE</v>
          </cell>
          <cell r="J516" t="str">
            <v>FLAC 4</v>
          </cell>
          <cell r="K516" t="str">
            <v>LACTALIS</v>
          </cell>
          <cell r="L516" t="str">
            <v>RODRIGO</v>
          </cell>
          <cell r="M516" t="str">
            <v>RAQUEL BARBOSA</v>
          </cell>
        </row>
        <row r="517">
          <cell r="B517">
            <v>5341189</v>
          </cell>
          <cell r="C517" t="str">
            <v>FIGUEIRAS REST E COM DE ALIM LT</v>
          </cell>
          <cell r="D517">
            <v>7001</v>
          </cell>
          <cell r="E517" t="str">
            <v>0749</v>
          </cell>
          <cell r="F517" t="str">
            <v>C5</v>
          </cell>
          <cell r="G517" t="str">
            <v>SP</v>
          </cell>
          <cell r="H517" t="str">
            <v>DISTRIBUIÇÃO</v>
          </cell>
          <cell r="I517" t="str">
            <v>FOOD SERVICE</v>
          </cell>
          <cell r="J517" t="str">
            <v>FLAC 2</v>
          </cell>
          <cell r="K517" t="str">
            <v>LACTALIS</v>
          </cell>
          <cell r="L517" t="str">
            <v>RODRIGO</v>
          </cell>
          <cell r="M517" t="str">
            <v>RAQUEL BARBOSA</v>
          </cell>
        </row>
        <row r="518">
          <cell r="B518">
            <v>5259536</v>
          </cell>
          <cell r="C518" t="str">
            <v>FINA FARINHA PAES E DOCES EIRELI</v>
          </cell>
          <cell r="D518">
            <v>7001</v>
          </cell>
          <cell r="E518" t="str">
            <v>0749</v>
          </cell>
          <cell r="F518" t="str">
            <v>C5</v>
          </cell>
          <cell r="G518" t="str">
            <v>SP</v>
          </cell>
          <cell r="H518" t="str">
            <v>DISTRIBUIÇÃO</v>
          </cell>
          <cell r="I518" t="str">
            <v>FOOD SERVICE</v>
          </cell>
          <cell r="J518" t="str">
            <v>FLAC 2</v>
          </cell>
          <cell r="K518" t="str">
            <v>LACTALIS</v>
          </cell>
          <cell r="L518" t="str">
            <v>RODRIGO</v>
          </cell>
          <cell r="M518" t="str">
            <v>RAQUEL BARBOSA</v>
          </cell>
        </row>
        <row r="519">
          <cell r="B519">
            <v>5026953</v>
          </cell>
          <cell r="C519" t="str">
            <v>FINELINE DISTRIBUTORS LTDA</v>
          </cell>
          <cell r="D519">
            <v>3001</v>
          </cell>
          <cell r="E519" t="str">
            <v>0062</v>
          </cell>
          <cell r="F519" t="str">
            <v>C1</v>
          </cell>
          <cell r="G519" t="str">
            <v/>
          </cell>
          <cell r="H519" t="str">
            <v>OUTROS</v>
          </cell>
          <cell r="I519" t="str">
            <v>OUTROS</v>
          </cell>
          <cell r="J519" t="str">
            <v>ITAMBE ALIMENTOS SA - EXPORTAC</v>
          </cell>
          <cell r="K519" t="str">
            <v>OUTROS</v>
          </cell>
          <cell r="L519" t="str">
            <v>OUTROS</v>
          </cell>
          <cell r="M519" t="str">
            <v>EXPORTAÇÃO</v>
          </cell>
        </row>
        <row r="520">
          <cell r="B520">
            <v>5066049</v>
          </cell>
          <cell r="C520" t="str">
            <v>FIORETTA COMERCIO DE PRODUTOS ALIME</v>
          </cell>
          <cell r="D520">
            <v>7001</v>
          </cell>
          <cell r="E520" t="str">
            <v>0749</v>
          </cell>
          <cell r="F520" t="str">
            <v>C5</v>
          </cell>
          <cell r="G520" t="str">
            <v>SP</v>
          </cell>
          <cell r="H520" t="str">
            <v>DISTRIBUIÇÃO</v>
          </cell>
          <cell r="I520" t="str">
            <v>FOOD SERVICE</v>
          </cell>
          <cell r="J520" t="str">
            <v>FLAC 6</v>
          </cell>
          <cell r="K520" t="str">
            <v>LACTALIS</v>
          </cell>
          <cell r="L520" t="str">
            <v>RODRIGO</v>
          </cell>
          <cell r="M520" t="str">
            <v>RAQUEL BARBOSA</v>
          </cell>
        </row>
        <row r="521">
          <cell r="B521">
            <v>5279284</v>
          </cell>
          <cell r="C521" t="str">
            <v>FLAC REPRESENTACAO E COMERCIO LTDA</v>
          </cell>
          <cell r="D521">
            <v>7001</v>
          </cell>
          <cell r="E521" t="str">
            <v>0749</v>
          </cell>
          <cell r="F521" t="str">
            <v>C5</v>
          </cell>
          <cell r="G521" t="str">
            <v>SP</v>
          </cell>
          <cell r="H521" t="str">
            <v>DISTRIBUIÇÃO</v>
          </cell>
          <cell r="I521" t="str">
            <v>FOOD SERVICE</v>
          </cell>
          <cell r="J521" t="str">
            <v>FLAC 1</v>
          </cell>
          <cell r="K521" t="str">
            <v>LACTALIS</v>
          </cell>
          <cell r="L521" t="str">
            <v>RODRIGO</v>
          </cell>
          <cell r="M521" t="str">
            <v>RAQUEL BARBOSA</v>
          </cell>
        </row>
        <row r="522">
          <cell r="B522">
            <v>5035471</v>
          </cell>
          <cell r="C522" t="str">
            <v>FLASH RIO PRODUTOS PARA PANIF LTDA</v>
          </cell>
          <cell r="D522">
            <v>3001</v>
          </cell>
          <cell r="E522" t="str">
            <v>0169</v>
          </cell>
          <cell r="F522" t="str">
            <v>C1</v>
          </cell>
          <cell r="G522" t="str">
            <v>RJ</v>
          </cell>
          <cell r="H522" t="str">
            <v>DISTRIBUIÇÃO</v>
          </cell>
          <cell r="I522" t="str">
            <v>FOOD SERVICE</v>
          </cell>
          <cell r="J522" t="str">
            <v>JULIANA CORDEIRO</v>
          </cell>
          <cell r="K522" t="str">
            <v>ITAMBÉ</v>
          </cell>
          <cell r="L522" t="str">
            <v>RODRIGO</v>
          </cell>
          <cell r="M522" t="str">
            <v>JESSICA</v>
          </cell>
        </row>
        <row r="523">
          <cell r="B523">
            <v>5260967</v>
          </cell>
          <cell r="C523" t="str">
            <v>FLAVIO AUD CATEB EVENTOS</v>
          </cell>
          <cell r="D523">
            <v>7001</v>
          </cell>
          <cell r="E523" t="str">
            <v>0749</v>
          </cell>
          <cell r="F523" t="str">
            <v>C5</v>
          </cell>
          <cell r="G523" t="str">
            <v>SP</v>
          </cell>
          <cell r="H523" t="str">
            <v>DISTRIBUIÇÃO</v>
          </cell>
          <cell r="I523" t="str">
            <v>FOOD SERVICE</v>
          </cell>
          <cell r="J523" t="str">
            <v>FLAC 6</v>
          </cell>
          <cell r="K523" t="str">
            <v>LACTALIS</v>
          </cell>
          <cell r="L523" t="str">
            <v>RODRIGO</v>
          </cell>
          <cell r="M523" t="str">
            <v>RAQUEL BARBOSA</v>
          </cell>
        </row>
        <row r="524">
          <cell r="B524">
            <v>5302766</v>
          </cell>
          <cell r="C524" t="str">
            <v>FLAVORATI ALIMENTOS LTDA</v>
          </cell>
          <cell r="D524">
            <v>7001</v>
          </cell>
          <cell r="E524" t="str">
            <v>0749</v>
          </cell>
          <cell r="F524" t="str">
            <v>C5</v>
          </cell>
          <cell r="G524" t="str">
            <v>SP</v>
          </cell>
          <cell r="H524" t="str">
            <v>DISTRIBUIÇÃO</v>
          </cell>
          <cell r="I524" t="str">
            <v>FOOD SERVICE</v>
          </cell>
          <cell r="J524" t="str">
            <v>FLAC 6</v>
          </cell>
          <cell r="K524" t="str">
            <v>LACTALIS</v>
          </cell>
          <cell r="L524" t="str">
            <v>RODRIGO</v>
          </cell>
          <cell r="M524" t="str">
            <v>RAQUEL BARBOSA</v>
          </cell>
        </row>
        <row r="525">
          <cell r="B525">
            <v>5183807</v>
          </cell>
          <cell r="C525" t="str">
            <v>FLEIPAN LTDA</v>
          </cell>
          <cell r="D525">
            <v>3001</v>
          </cell>
          <cell r="E525" t="str">
            <v>0122</v>
          </cell>
          <cell r="F525" t="str">
            <v>C1</v>
          </cell>
          <cell r="G525" t="str">
            <v>MG</v>
          </cell>
          <cell r="H525" t="str">
            <v>DISTRIBUIÇÃO</v>
          </cell>
          <cell r="I525" t="str">
            <v>FOOD SERVICE</v>
          </cell>
          <cell r="J525" t="str">
            <v>MARCELO SILVA</v>
          </cell>
          <cell r="K525" t="str">
            <v>ITAMBÉ</v>
          </cell>
          <cell r="L525" t="str">
            <v>RODRIGO</v>
          </cell>
          <cell r="M525" t="str">
            <v>CELIO MARTINS</v>
          </cell>
        </row>
        <row r="526">
          <cell r="B526">
            <v>5336764</v>
          </cell>
          <cell r="C526" t="str">
            <v>FLORENCA MASSAS ITALIANAS LTDA</v>
          </cell>
          <cell r="D526">
            <v>7001</v>
          </cell>
          <cell r="E526" t="str">
            <v>0749</v>
          </cell>
          <cell r="F526" t="str">
            <v>C5</v>
          </cell>
          <cell r="G526" t="str">
            <v>SP</v>
          </cell>
          <cell r="H526" t="str">
            <v>DISTRIBUIÇÃO</v>
          </cell>
          <cell r="I526" t="str">
            <v>FOOD SERVICE</v>
          </cell>
          <cell r="J526" t="str">
            <v>FLAC 3</v>
          </cell>
          <cell r="K526" t="str">
            <v>LACTALIS</v>
          </cell>
          <cell r="L526" t="str">
            <v>RODRIGO</v>
          </cell>
          <cell r="M526" t="str">
            <v>RAQUEL BARBOSA</v>
          </cell>
        </row>
        <row r="527">
          <cell r="B527">
            <v>5327948</v>
          </cell>
          <cell r="C527" t="str">
            <v>FNH JK RESTAURANTE LTDA</v>
          </cell>
          <cell r="D527">
            <v>7001</v>
          </cell>
          <cell r="E527" t="str">
            <v>0749</v>
          </cell>
          <cell r="F527" t="str">
            <v>C5</v>
          </cell>
          <cell r="G527" t="str">
            <v>SP</v>
          </cell>
          <cell r="H527" t="str">
            <v>DISTRIBUIÇÃO</v>
          </cell>
          <cell r="I527" t="str">
            <v>FOOD SERVICE</v>
          </cell>
          <cell r="J527" t="str">
            <v>FLAC 2</v>
          </cell>
          <cell r="K527" t="str">
            <v>LACTALIS</v>
          </cell>
          <cell r="L527" t="str">
            <v>RODRIGO</v>
          </cell>
          <cell r="M527" t="str">
            <v>RAQUEL BARBOSA</v>
          </cell>
        </row>
        <row r="528">
          <cell r="B528">
            <v>5219000</v>
          </cell>
          <cell r="C528" t="str">
            <v>FONTENELLE IND E COM DE ALIM LT</v>
          </cell>
          <cell r="D528">
            <v>3001</v>
          </cell>
          <cell r="E528" t="str">
            <v>0127</v>
          </cell>
          <cell r="F528" t="str">
            <v>C1</v>
          </cell>
          <cell r="G528" t="str">
            <v>CE</v>
          </cell>
          <cell r="H528" t="str">
            <v>DISTRIBUIÇÃO</v>
          </cell>
          <cell r="I528" t="str">
            <v>FOOD SERVICE</v>
          </cell>
          <cell r="J528" t="str">
            <v>WH FOOD SERVICE CE</v>
          </cell>
          <cell r="K528" t="str">
            <v>ITAMBÉ</v>
          </cell>
          <cell r="L528" t="str">
            <v>RODRIGO</v>
          </cell>
          <cell r="M528" t="str">
            <v>MARIA LOURDES</v>
          </cell>
        </row>
        <row r="529">
          <cell r="B529">
            <v>5326522</v>
          </cell>
          <cell r="C529" t="str">
            <v>FOOD CARE LTDA</v>
          </cell>
          <cell r="D529">
            <v>7001</v>
          </cell>
          <cell r="E529" t="str">
            <v>0749</v>
          </cell>
          <cell r="F529" t="str">
            <v>C5</v>
          </cell>
          <cell r="G529" t="str">
            <v>SP</v>
          </cell>
          <cell r="H529" t="str">
            <v>DISTRIBUIÇÃO</v>
          </cell>
          <cell r="I529" t="str">
            <v>FOOD SERVICE</v>
          </cell>
          <cell r="J529" t="str">
            <v>FLAC 4</v>
          </cell>
          <cell r="K529" t="str">
            <v>LACTALIS</v>
          </cell>
          <cell r="L529" t="str">
            <v>RODRIGO</v>
          </cell>
          <cell r="M529" t="str">
            <v>RAQUEL BARBOSA</v>
          </cell>
        </row>
        <row r="530">
          <cell r="B530">
            <v>5247982</v>
          </cell>
          <cell r="C530" t="str">
            <v>FORLI COM ALIM BEBIDAS LTDA</v>
          </cell>
          <cell r="D530">
            <v>7001</v>
          </cell>
          <cell r="E530" t="str">
            <v>0749</v>
          </cell>
          <cell r="F530" t="str">
            <v>C5</v>
          </cell>
          <cell r="G530" t="str">
            <v>SP</v>
          </cell>
          <cell r="H530" t="str">
            <v>DISTRIBUIÇÃO</v>
          </cell>
          <cell r="I530" t="str">
            <v>FOOD SERVICE</v>
          </cell>
          <cell r="J530" t="str">
            <v>FLAC 6</v>
          </cell>
          <cell r="K530" t="str">
            <v>LACTALIS</v>
          </cell>
          <cell r="L530" t="str">
            <v>RODRIGO</v>
          </cell>
          <cell r="M530" t="str">
            <v>RAQUEL BARBOSA</v>
          </cell>
        </row>
        <row r="531">
          <cell r="B531">
            <v>5151341</v>
          </cell>
          <cell r="C531" t="str">
            <v>FORMAGGIO DISTRIBUICAO AL</v>
          </cell>
          <cell r="D531">
            <v>3001</v>
          </cell>
          <cell r="E531" t="str">
            <v>0127</v>
          </cell>
          <cell r="F531" t="str">
            <v>C1</v>
          </cell>
          <cell r="G531" t="str">
            <v>PE</v>
          </cell>
          <cell r="H531" t="str">
            <v>DISTRIBUIÇÃO</v>
          </cell>
          <cell r="I531" t="str">
            <v>FOOD SERVICE</v>
          </cell>
          <cell r="J531" t="str">
            <v>CLAUDIO JORGE</v>
          </cell>
          <cell r="K531" t="str">
            <v>ITAMBÉ</v>
          </cell>
          <cell r="L531" t="str">
            <v>RODRIGO</v>
          </cell>
          <cell r="M531" t="str">
            <v>MARIA LOURDES</v>
          </cell>
        </row>
        <row r="532">
          <cell r="B532">
            <v>5043935</v>
          </cell>
          <cell r="C532" t="str">
            <v>FORNO DE MINAS ALIMENTOS SA</v>
          </cell>
          <cell r="D532">
            <v>3001</v>
          </cell>
          <cell r="E532" t="str">
            <v>0028</v>
          </cell>
          <cell r="F532" t="str">
            <v>C1</v>
          </cell>
          <cell r="G532" t="str">
            <v>MG</v>
          </cell>
          <cell r="H532" t="str">
            <v>INGREDIENTS</v>
          </cell>
          <cell r="I532" t="str">
            <v>INGREDIENTS</v>
          </cell>
          <cell r="J532" t="str">
            <v>JOEL ELEOTÉRIO</v>
          </cell>
          <cell r="K532" t="str">
            <v>ITAMBÉ</v>
          </cell>
          <cell r="L532" t="str">
            <v>MAURICIO</v>
          </cell>
          <cell r="M532" t="str">
            <v>JOEL</v>
          </cell>
        </row>
        <row r="533">
          <cell r="B533">
            <v>5043935</v>
          </cell>
          <cell r="C533" t="str">
            <v>FORNO DE MINAS ALIMENTOS SA</v>
          </cell>
          <cell r="D533">
            <v>4001</v>
          </cell>
          <cell r="E533" t="str">
            <v>0437</v>
          </cell>
          <cell r="F533" t="str">
            <v>C1</v>
          </cell>
          <cell r="G533" t="str">
            <v>MG</v>
          </cell>
          <cell r="H533" t="str">
            <v>INGREDIENTS</v>
          </cell>
          <cell r="I533" t="str">
            <v>INGREDIENTS</v>
          </cell>
          <cell r="J533" t="str">
            <v>JOEL ELEOTÉRIO</v>
          </cell>
          <cell r="K533" t="str">
            <v>LACTALIS</v>
          </cell>
          <cell r="L533" t="str">
            <v>MAURICIO</v>
          </cell>
          <cell r="M533" t="str">
            <v>JOEL</v>
          </cell>
        </row>
        <row r="534">
          <cell r="B534">
            <v>5043935</v>
          </cell>
          <cell r="C534" t="str">
            <v>FORNO DE MINAS ALIMENTOS SA</v>
          </cell>
          <cell r="D534">
            <v>3001</v>
          </cell>
          <cell r="E534" t="str">
            <v>0122</v>
          </cell>
          <cell r="F534" t="str">
            <v>C1</v>
          </cell>
          <cell r="G534" t="str">
            <v>MG</v>
          </cell>
          <cell r="H534" t="str">
            <v>INGREDIENTS</v>
          </cell>
          <cell r="I534" t="str">
            <v>INGREDIENTS</v>
          </cell>
          <cell r="J534" t="str">
            <v>JOEL ELEOTÉRIO</v>
          </cell>
          <cell r="K534" t="str">
            <v>ITAMBÉ</v>
          </cell>
          <cell r="L534" t="str">
            <v>MAURICIO</v>
          </cell>
          <cell r="M534" t="str">
            <v>JOEL</v>
          </cell>
        </row>
        <row r="535">
          <cell r="B535">
            <v>5043935</v>
          </cell>
          <cell r="C535" t="str">
            <v>FORNO DE MINAS ALIMENTOS SA</v>
          </cell>
          <cell r="D535">
            <v>4001</v>
          </cell>
          <cell r="E535" t="str">
            <v>0458</v>
          </cell>
          <cell r="F535" t="str">
            <v>C1</v>
          </cell>
          <cell r="G535" t="str">
            <v>MG</v>
          </cell>
          <cell r="H535" t="str">
            <v>INGREDIENTS</v>
          </cell>
          <cell r="I535" t="str">
            <v>INGREDIENTS</v>
          </cell>
          <cell r="J535" t="str">
            <v>JOEL ELEOTÉRIO</v>
          </cell>
          <cell r="K535" t="str">
            <v>LACTALIS</v>
          </cell>
          <cell r="L535" t="str">
            <v>MAURICIO</v>
          </cell>
          <cell r="M535" t="str">
            <v>JOEL</v>
          </cell>
        </row>
        <row r="536">
          <cell r="B536">
            <v>5328586</v>
          </cell>
          <cell r="C536" t="str">
            <v>FORNU PAES ARTESANAIS LTDA</v>
          </cell>
          <cell r="D536">
            <v>7001</v>
          </cell>
          <cell r="E536" t="str">
            <v>0749</v>
          </cell>
          <cell r="F536" t="str">
            <v>C5</v>
          </cell>
          <cell r="G536" t="str">
            <v>SP</v>
          </cell>
          <cell r="H536" t="str">
            <v>DISTRIBUIÇÃO</v>
          </cell>
          <cell r="I536" t="str">
            <v>FOOD SERVICE</v>
          </cell>
          <cell r="J536" t="str">
            <v>FLAC 2</v>
          </cell>
          <cell r="K536" t="str">
            <v>LACTALIS</v>
          </cell>
          <cell r="L536" t="str">
            <v>RODRIGO</v>
          </cell>
          <cell r="M536" t="str">
            <v>RAQUEL BARBOSA</v>
          </cell>
        </row>
        <row r="537">
          <cell r="B537">
            <v>5128991</v>
          </cell>
          <cell r="C537" t="str">
            <v>FORPAN FORTALEZA PAO LTDA</v>
          </cell>
          <cell r="D537">
            <v>3001</v>
          </cell>
          <cell r="E537" t="str">
            <v>0127</v>
          </cell>
          <cell r="F537" t="str">
            <v>C1</v>
          </cell>
          <cell r="G537" t="str">
            <v>CE</v>
          </cell>
          <cell r="H537" t="str">
            <v>DISTRIBUIÇÃO</v>
          </cell>
          <cell r="I537" t="str">
            <v>FOOD SERVICE</v>
          </cell>
          <cell r="J537" t="str">
            <v>WH FOOD SERVICE CE</v>
          </cell>
          <cell r="K537" t="str">
            <v>ITAMBÉ</v>
          </cell>
          <cell r="L537" t="str">
            <v>RODRIGO</v>
          </cell>
          <cell r="M537" t="str">
            <v>MARIA LOURDES</v>
          </cell>
        </row>
        <row r="538">
          <cell r="B538">
            <v>5026768</v>
          </cell>
          <cell r="C538" t="str">
            <v>FORTALI DIST DE ALIMENTOS LTDA</v>
          </cell>
          <cell r="D538">
            <v>3001</v>
          </cell>
          <cell r="E538" t="str">
            <v>0127</v>
          </cell>
          <cell r="F538" t="str">
            <v>C1</v>
          </cell>
          <cell r="G538" t="str">
            <v>CE</v>
          </cell>
          <cell r="H538" t="str">
            <v>DISTRIBUIÇÃO</v>
          </cell>
          <cell r="I538" t="str">
            <v>FOOD SERVICE</v>
          </cell>
          <cell r="J538" t="str">
            <v>WH FOOD SERVICE CE</v>
          </cell>
          <cell r="K538" t="str">
            <v>ITAMBÉ</v>
          </cell>
          <cell r="L538" t="str">
            <v>RODRIGO</v>
          </cell>
          <cell r="M538" t="str">
            <v>MARIA LOURDES</v>
          </cell>
        </row>
        <row r="539">
          <cell r="B539">
            <v>5026768</v>
          </cell>
          <cell r="C539" t="str">
            <v>FORTALI DIST DE ALIMENTOS LTDA</v>
          </cell>
          <cell r="D539">
            <v>3001</v>
          </cell>
          <cell r="E539" t="str">
            <v>0075</v>
          </cell>
          <cell r="F539" t="str">
            <v>C1</v>
          </cell>
          <cell r="G539" t="str">
            <v>CE</v>
          </cell>
          <cell r="H539" t="str">
            <v>DISTRIBUIÇÃO</v>
          </cell>
          <cell r="I539" t="str">
            <v>FOOD SERVICE</v>
          </cell>
          <cell r="J539" t="str">
            <v>WH FOOD SERVICE CE</v>
          </cell>
          <cell r="K539" t="str">
            <v>ITAMBÉ</v>
          </cell>
          <cell r="L539" t="str">
            <v>RODRIGO</v>
          </cell>
          <cell r="M539" t="str">
            <v>MARIA LOURDES</v>
          </cell>
        </row>
        <row r="540">
          <cell r="B540">
            <v>5227605</v>
          </cell>
          <cell r="C540" t="str">
            <v>FORTE DIST DE GENERO ALIM DES E LIM</v>
          </cell>
          <cell r="D540">
            <v>3001</v>
          </cell>
          <cell r="E540" t="str">
            <v>0127</v>
          </cell>
          <cell r="F540" t="str">
            <v>C1</v>
          </cell>
          <cell r="G540" t="str">
            <v>BA</v>
          </cell>
          <cell r="H540" t="str">
            <v>DISTRIBUIÇÃO</v>
          </cell>
          <cell r="I540" t="str">
            <v>FOOD SERVICE</v>
          </cell>
          <cell r="J540" t="str">
            <v>CLAUDIO JORGE/LUIZ</v>
          </cell>
          <cell r="K540" t="str">
            <v>ITAMBÉ</v>
          </cell>
          <cell r="L540" t="str">
            <v>RODRIGO</v>
          </cell>
          <cell r="M540" t="str">
            <v>MARIA LOURDES</v>
          </cell>
        </row>
        <row r="541">
          <cell r="B541">
            <v>5247942</v>
          </cell>
          <cell r="C541" t="str">
            <v>FORTUNA RESTAURANTES E BUFFET LTDA</v>
          </cell>
          <cell r="D541">
            <v>7001</v>
          </cell>
          <cell r="E541" t="str">
            <v>0749</v>
          </cell>
          <cell r="F541" t="str">
            <v>C5</v>
          </cell>
          <cell r="G541" t="str">
            <v>SP</v>
          </cell>
          <cell r="H541" t="str">
            <v>DISTRIBUIÇÃO</v>
          </cell>
          <cell r="I541" t="str">
            <v>FOOD SERVICE</v>
          </cell>
          <cell r="J541" t="str">
            <v>FLAC 2</v>
          </cell>
          <cell r="K541" t="str">
            <v>LACTALIS</v>
          </cell>
          <cell r="L541" t="str">
            <v>RODRIGO</v>
          </cell>
          <cell r="M541" t="str">
            <v>RAQUEL BARBOSA</v>
          </cell>
        </row>
        <row r="542">
          <cell r="B542">
            <v>5316970</v>
          </cell>
          <cell r="C542" t="str">
            <v>FOTOPOULOS COMIDA GREGA LTDA</v>
          </cell>
          <cell r="D542">
            <v>7001</v>
          </cell>
          <cell r="E542" t="str">
            <v>0749</v>
          </cell>
          <cell r="F542" t="str">
            <v>C5</v>
          </cell>
          <cell r="G542" t="str">
            <v>SP</v>
          </cell>
          <cell r="H542" t="str">
            <v>DISTRIBUIÇÃO</v>
          </cell>
          <cell r="I542" t="str">
            <v>FOOD SERVICE</v>
          </cell>
          <cell r="J542" t="str">
            <v>FLAC 5</v>
          </cell>
          <cell r="K542" t="str">
            <v>LACTALIS</v>
          </cell>
          <cell r="L542" t="str">
            <v>RODRIGO</v>
          </cell>
          <cell r="M542" t="str">
            <v>RAQUEL BARBOSA</v>
          </cell>
        </row>
        <row r="543">
          <cell r="B543">
            <v>5263607</v>
          </cell>
          <cell r="C543" t="str">
            <v>FP3 FABRICACAO DE PROD DE PAN LTDA</v>
          </cell>
          <cell r="D543">
            <v>7001</v>
          </cell>
          <cell r="E543" t="str">
            <v>0749</v>
          </cell>
          <cell r="F543" t="str">
            <v>C5</v>
          </cell>
          <cell r="G543" t="str">
            <v>SP</v>
          </cell>
          <cell r="H543" t="str">
            <v>DISTRIBUIÇÃO</v>
          </cell>
          <cell r="I543" t="str">
            <v>FOOD SERVICE</v>
          </cell>
          <cell r="J543" t="str">
            <v>FLAC 2</v>
          </cell>
          <cell r="K543" t="str">
            <v>LACTALIS</v>
          </cell>
          <cell r="L543" t="str">
            <v>RODRIGO</v>
          </cell>
          <cell r="M543" t="str">
            <v>RAQUEL BARBOSA</v>
          </cell>
        </row>
        <row r="544">
          <cell r="B544">
            <v>5263654</v>
          </cell>
          <cell r="C544" t="str">
            <v>FRANCE PANIFICACAO LTDA</v>
          </cell>
          <cell r="D544">
            <v>7001</v>
          </cell>
          <cell r="E544" t="str">
            <v>0749</v>
          </cell>
          <cell r="F544" t="str">
            <v>C5</v>
          </cell>
          <cell r="G544" t="str">
            <v>SP</v>
          </cell>
          <cell r="H544" t="str">
            <v>DISTRIBUIÇÃO</v>
          </cell>
          <cell r="I544" t="str">
            <v>FOOD SERVICE</v>
          </cell>
          <cell r="J544" t="str">
            <v>FLAC 2</v>
          </cell>
          <cell r="K544" t="str">
            <v>LACTALIS</v>
          </cell>
          <cell r="L544" t="str">
            <v>RODRIGO</v>
          </cell>
          <cell r="M544" t="str">
            <v>RAQUEL BARBOSA</v>
          </cell>
        </row>
        <row r="545">
          <cell r="B545">
            <v>5229985</v>
          </cell>
          <cell r="C545" t="str">
            <v>FRANCISCO C LIMA DISTRIB DE ALI</v>
          </cell>
          <cell r="D545">
            <v>3001</v>
          </cell>
          <cell r="E545" t="str">
            <v>0127</v>
          </cell>
          <cell r="F545" t="str">
            <v>C1</v>
          </cell>
          <cell r="G545" t="str">
            <v>CE</v>
          </cell>
          <cell r="H545" t="str">
            <v>DISTRIBUIÇÃO</v>
          </cell>
          <cell r="I545" t="str">
            <v>FOOD SERVICE</v>
          </cell>
          <cell r="J545" t="str">
            <v>WH FOOD SERVICE CE</v>
          </cell>
          <cell r="K545" t="str">
            <v>ITAMBÉ</v>
          </cell>
          <cell r="L545" t="str">
            <v>RODRIGO</v>
          </cell>
          <cell r="M545" t="str">
            <v>MARIA LOURDES</v>
          </cell>
        </row>
        <row r="546">
          <cell r="B546">
            <v>5329878</v>
          </cell>
          <cell r="C546" t="str">
            <v>FRANCISCO J C DE OLIVEIRA 05833</v>
          </cell>
          <cell r="D546">
            <v>7001</v>
          </cell>
          <cell r="E546" t="str">
            <v>0749</v>
          </cell>
          <cell r="F546" t="str">
            <v>C5</v>
          </cell>
          <cell r="G546" t="str">
            <v>SP</v>
          </cell>
          <cell r="H546" t="str">
            <v>DISTRIBUIÇÃO</v>
          </cell>
          <cell r="I546" t="str">
            <v>FOOD SERVICE</v>
          </cell>
          <cell r="J546" t="str">
            <v>FLAC 2</v>
          </cell>
          <cell r="K546" t="str">
            <v>LACTALIS</v>
          </cell>
          <cell r="L546" t="str">
            <v>RODRIGO</v>
          </cell>
          <cell r="M546" t="str">
            <v>RAQUEL BARBOSA</v>
          </cell>
        </row>
        <row r="547">
          <cell r="B547">
            <v>5284837</v>
          </cell>
          <cell r="C547" t="str">
            <v>FRIMESA COOPERATIVA CENTRAL</v>
          </cell>
          <cell r="D547">
            <v>4001</v>
          </cell>
          <cell r="E547" t="str">
            <v>0437</v>
          </cell>
          <cell r="F547" t="str">
            <v>C1</v>
          </cell>
          <cell r="G547" t="str">
            <v>PR</v>
          </cell>
          <cell r="H547" t="str">
            <v>INGREDIENTS</v>
          </cell>
          <cell r="I547" t="str">
            <v>INGREDIENTS</v>
          </cell>
          <cell r="J547" t="str">
            <v>MARCELO RODRIGUES</v>
          </cell>
          <cell r="K547" t="str">
            <v>LACTALIS</v>
          </cell>
          <cell r="L547" t="str">
            <v>MAURICIO</v>
          </cell>
          <cell r="M547" t="str">
            <v>MARCELO</v>
          </cell>
        </row>
        <row r="548">
          <cell r="B548">
            <v>5283460</v>
          </cell>
          <cell r="C548" t="str">
            <v>FRIMESA COOPERATIVA CENTRAL</v>
          </cell>
          <cell r="D548">
            <v>4001</v>
          </cell>
          <cell r="E548" t="str">
            <v>0437</v>
          </cell>
          <cell r="F548" t="str">
            <v>C1</v>
          </cell>
          <cell r="G548" t="str">
            <v>PR</v>
          </cell>
          <cell r="H548" t="str">
            <v>INGREDIENTS</v>
          </cell>
          <cell r="I548" t="str">
            <v>INGREDIENTS</v>
          </cell>
          <cell r="J548" t="str">
            <v>MARCELO RODRIGUES</v>
          </cell>
          <cell r="K548" t="str">
            <v>LACTALIS</v>
          </cell>
          <cell r="L548" t="str">
            <v>MAURICIO</v>
          </cell>
          <cell r="M548" t="str">
            <v>MARCELO</v>
          </cell>
        </row>
        <row r="549">
          <cell r="B549">
            <v>5172313</v>
          </cell>
          <cell r="C549" t="str">
            <v>FRONERI BRASIL DIST DE SORV E CONG</v>
          </cell>
          <cell r="D549">
            <v>3001</v>
          </cell>
          <cell r="E549" t="str">
            <v>0028</v>
          </cell>
          <cell r="F549" t="str">
            <v>C1</v>
          </cell>
          <cell r="G549" t="str">
            <v>RJ</v>
          </cell>
          <cell r="H549" t="str">
            <v>INGREDIENTS</v>
          </cell>
          <cell r="I549" t="str">
            <v>INGREDIENTS</v>
          </cell>
          <cell r="J549" t="str">
            <v>JOEL ELEOTÉRIO</v>
          </cell>
          <cell r="K549" t="str">
            <v>ITAMBÉ</v>
          </cell>
          <cell r="L549" t="str">
            <v>MAURICIO</v>
          </cell>
          <cell r="M549" t="str">
            <v>JOEL</v>
          </cell>
        </row>
        <row r="550">
          <cell r="B550">
            <v>5224634</v>
          </cell>
          <cell r="C550" t="str">
            <v>FRUBANA COM E DIST DE ALIM LTDA</v>
          </cell>
          <cell r="D550">
            <v>3001</v>
          </cell>
          <cell r="E550" t="str">
            <v>0122</v>
          </cell>
          <cell r="F550" t="str">
            <v>C1</v>
          </cell>
          <cell r="G550" t="str">
            <v>MG</v>
          </cell>
          <cell r="H550" t="str">
            <v>OUTROS</v>
          </cell>
          <cell r="I550" t="str">
            <v>OUTROS</v>
          </cell>
          <cell r="J550" t="str">
            <v>E-COMMERCE</v>
          </cell>
          <cell r="K550" t="str">
            <v>OUTROS</v>
          </cell>
          <cell r="L550" t="str">
            <v>OUTROS</v>
          </cell>
          <cell r="M550" t="str">
            <v>E-COMMERCE</v>
          </cell>
        </row>
        <row r="551">
          <cell r="B551">
            <v>5309389</v>
          </cell>
          <cell r="C551" t="str">
            <v>FRUBANA COMERCIO E DISTRIBUICAO</v>
          </cell>
          <cell r="D551">
            <v>3001</v>
          </cell>
          <cell r="E551" t="str">
            <v>0125</v>
          </cell>
          <cell r="F551" t="str">
            <v>C1</v>
          </cell>
          <cell r="G551" t="str">
            <v>SP</v>
          </cell>
          <cell r="H551" t="str">
            <v>OUTROS</v>
          </cell>
          <cell r="I551" t="str">
            <v>OUTROS</v>
          </cell>
          <cell r="J551" t="str">
            <v>E-COMMERCE</v>
          </cell>
          <cell r="K551" t="str">
            <v>OUTROS</v>
          </cell>
          <cell r="L551" t="str">
            <v>OUTROS</v>
          </cell>
          <cell r="M551" t="str">
            <v>E-COMMERCE</v>
          </cell>
        </row>
        <row r="552">
          <cell r="B552">
            <v>5309390</v>
          </cell>
          <cell r="C552" t="str">
            <v>FRUBANA COMERCIO E DISTRIBUICAO</v>
          </cell>
          <cell r="D552">
            <v>3001</v>
          </cell>
          <cell r="E552" t="str">
            <v>0125</v>
          </cell>
          <cell r="F552" t="str">
            <v>C1</v>
          </cell>
          <cell r="G552" t="str">
            <v>SP</v>
          </cell>
          <cell r="H552" t="str">
            <v>OUTROS</v>
          </cell>
          <cell r="I552" t="str">
            <v>OUTROS</v>
          </cell>
          <cell r="J552" t="str">
            <v>E-COMMERCE</v>
          </cell>
          <cell r="K552" t="str">
            <v>OUTROS</v>
          </cell>
          <cell r="L552" t="str">
            <v>OUTROS</v>
          </cell>
          <cell r="M552" t="str">
            <v>E-COMMERCE</v>
          </cell>
        </row>
        <row r="553">
          <cell r="B553">
            <v>5309389</v>
          </cell>
          <cell r="C553" t="str">
            <v>FRUBANA COMERCIO E DISTRIBUICAO</v>
          </cell>
          <cell r="D553">
            <v>3001</v>
          </cell>
          <cell r="E553" t="str">
            <v>6125</v>
          </cell>
          <cell r="F553" t="str">
            <v>C1</v>
          </cell>
          <cell r="G553" t="str">
            <v>SP</v>
          </cell>
          <cell r="H553" t="str">
            <v>OUTROS</v>
          </cell>
          <cell r="I553" t="str">
            <v>OUTROS</v>
          </cell>
          <cell r="J553" t="str">
            <v>E-COMMERCE</v>
          </cell>
          <cell r="K553" t="str">
            <v>OUTROS</v>
          </cell>
          <cell r="L553" t="str">
            <v>OUTROS</v>
          </cell>
          <cell r="M553" t="str">
            <v>E-COMMERCE</v>
          </cell>
        </row>
        <row r="554">
          <cell r="B554">
            <v>5309390</v>
          </cell>
          <cell r="C554" t="str">
            <v>FRUBANA COMERCIO E DISTRIBUICAO</v>
          </cell>
          <cell r="D554">
            <v>3001</v>
          </cell>
          <cell r="E554" t="str">
            <v>6125</v>
          </cell>
          <cell r="F554" t="str">
            <v>C1</v>
          </cell>
          <cell r="G554" t="str">
            <v>SP</v>
          </cell>
          <cell r="H554" t="str">
            <v>OUTROS</v>
          </cell>
          <cell r="I554" t="str">
            <v>OUTROS</v>
          </cell>
          <cell r="J554" t="str">
            <v>E-COMMERCE</v>
          </cell>
          <cell r="K554" t="str">
            <v>OUTROS</v>
          </cell>
          <cell r="L554" t="str">
            <v>OUTROS</v>
          </cell>
          <cell r="M554" t="str">
            <v>E-COMMERCE</v>
          </cell>
        </row>
        <row r="555">
          <cell r="B555">
            <v>5309389</v>
          </cell>
          <cell r="C555" t="str">
            <v>FRUBANA COMERCIO E DISTRIBUICAO</v>
          </cell>
          <cell r="D555">
            <v>6001</v>
          </cell>
          <cell r="E555" t="str">
            <v>6125</v>
          </cell>
          <cell r="F555" t="str">
            <v>C1</v>
          </cell>
          <cell r="G555" t="str">
            <v>SP</v>
          </cell>
          <cell r="H555" t="str">
            <v>OUTROS</v>
          </cell>
          <cell r="I555" t="str">
            <v>OUTROS</v>
          </cell>
          <cell r="J555" t="str">
            <v>E-COMMERCE</v>
          </cell>
          <cell r="K555" t="str">
            <v>OUTROS</v>
          </cell>
          <cell r="L555" t="str">
            <v>OUTROS</v>
          </cell>
          <cell r="M555" t="str">
            <v>E-COMMERCE</v>
          </cell>
        </row>
        <row r="556">
          <cell r="B556">
            <v>5309390</v>
          </cell>
          <cell r="C556" t="str">
            <v>FRUBANA COMERCIO E DISTRIBUICAO</v>
          </cell>
          <cell r="D556">
            <v>6001</v>
          </cell>
          <cell r="E556" t="str">
            <v>6125</v>
          </cell>
          <cell r="F556" t="str">
            <v>C1</v>
          </cell>
          <cell r="G556" t="str">
            <v>SP</v>
          </cell>
          <cell r="H556" t="str">
            <v>OUTROS</v>
          </cell>
          <cell r="I556" t="str">
            <v>OUTROS</v>
          </cell>
          <cell r="J556" t="str">
            <v>E-COMMERCE</v>
          </cell>
          <cell r="K556" t="str">
            <v>OUTROS</v>
          </cell>
          <cell r="L556" t="str">
            <v>OUTROS</v>
          </cell>
          <cell r="M556" t="str">
            <v>E-COMMERCE</v>
          </cell>
        </row>
        <row r="557">
          <cell r="B557">
            <v>5309392</v>
          </cell>
          <cell r="C557" t="str">
            <v>FRUBANA COMERCIO E DISTRIBUICAO DE</v>
          </cell>
          <cell r="D557">
            <v>6001</v>
          </cell>
          <cell r="E557" t="str">
            <v>6125</v>
          </cell>
          <cell r="F557" t="str">
            <v>C1</v>
          </cell>
          <cell r="G557" t="str">
            <v>SP</v>
          </cell>
          <cell r="H557" t="str">
            <v>OUTROS</v>
          </cell>
          <cell r="I557" t="str">
            <v>OUTROS</v>
          </cell>
          <cell r="J557" t="str">
            <v>E-COMMERCE</v>
          </cell>
          <cell r="K557" t="str">
            <v>OUTROS</v>
          </cell>
          <cell r="L557" t="str">
            <v>OUTROS</v>
          </cell>
          <cell r="M557" t="str">
            <v>E-COMMERCE</v>
          </cell>
        </row>
        <row r="558">
          <cell r="B558">
            <v>5309391</v>
          </cell>
          <cell r="C558" t="str">
            <v>FRUBANA COMERCIO E DISTRIBUICAO DE</v>
          </cell>
          <cell r="D558">
            <v>6001</v>
          </cell>
          <cell r="E558" t="str">
            <v>6125</v>
          </cell>
          <cell r="F558" t="str">
            <v>C1</v>
          </cell>
          <cell r="G558" t="str">
            <v>SP</v>
          </cell>
          <cell r="H558" t="str">
            <v>OUTROS</v>
          </cell>
          <cell r="I558" t="str">
            <v>OUTROS</v>
          </cell>
          <cell r="J558" t="str">
            <v>E-COMMERCE</v>
          </cell>
          <cell r="K558" t="str">
            <v>OUTROS</v>
          </cell>
          <cell r="L558" t="str">
            <v>OUTROS</v>
          </cell>
          <cell r="M558" t="str">
            <v>E-COMMERCE</v>
          </cell>
        </row>
        <row r="559">
          <cell r="B559">
            <v>5217383</v>
          </cell>
          <cell r="C559" t="str">
            <v>FRUTAL INDUSTRIA E COMERCIO LTD</v>
          </cell>
          <cell r="D559">
            <v>4001</v>
          </cell>
          <cell r="E559" t="str">
            <v>0423</v>
          </cell>
          <cell r="F559" t="str">
            <v>C5</v>
          </cell>
          <cell r="G559" t="str">
            <v>AM</v>
          </cell>
          <cell r="H559" t="str">
            <v>INGREDIENTS</v>
          </cell>
          <cell r="I559" t="str">
            <v>INGREDIENTS</v>
          </cell>
          <cell r="J559" t="str">
            <v>JOEL ELEOTÉRIO</v>
          </cell>
          <cell r="K559" t="str">
            <v>LACTALIS</v>
          </cell>
          <cell r="L559" t="str">
            <v>MAURICIO</v>
          </cell>
          <cell r="M559" t="str">
            <v>JOEL</v>
          </cell>
        </row>
        <row r="560">
          <cell r="B560">
            <v>5217383</v>
          </cell>
          <cell r="C560" t="str">
            <v>FRUTAL INDUSTRIA E COMERCIO LTD</v>
          </cell>
          <cell r="D560">
            <v>3001</v>
          </cell>
          <cell r="E560" t="str">
            <v>0128</v>
          </cell>
          <cell r="F560" t="str">
            <v>C1</v>
          </cell>
          <cell r="G560" t="str">
            <v>AM</v>
          </cell>
          <cell r="H560" t="str">
            <v>INGREDIENTS</v>
          </cell>
          <cell r="I560" t="str">
            <v>INGREDIENTS</v>
          </cell>
          <cell r="J560" t="str">
            <v>JOEL ELEOTÉRIO</v>
          </cell>
          <cell r="K560" t="str">
            <v>ITAMBÉ</v>
          </cell>
          <cell r="L560" t="str">
            <v>MAURICIO</v>
          </cell>
          <cell r="M560" t="str">
            <v>JOEL</v>
          </cell>
        </row>
        <row r="561">
          <cell r="B561">
            <v>5300112</v>
          </cell>
          <cell r="C561" t="str">
            <v>FRUTARIA PITAYA RESTAURANTE LTDA</v>
          </cell>
          <cell r="D561">
            <v>7001</v>
          </cell>
          <cell r="E561" t="str">
            <v>0749</v>
          </cell>
          <cell r="F561" t="str">
            <v>C5</v>
          </cell>
          <cell r="G561" t="str">
            <v>SP</v>
          </cell>
          <cell r="H561" t="str">
            <v>DISTRIBUIÇÃO</v>
          </cell>
          <cell r="I561" t="str">
            <v>FOOD SERVICE</v>
          </cell>
          <cell r="J561" t="str">
            <v>FLAC 3</v>
          </cell>
          <cell r="K561" t="str">
            <v>LACTALIS</v>
          </cell>
          <cell r="L561" t="str">
            <v>RODRIGO</v>
          </cell>
          <cell r="M561" t="str">
            <v>RAQUEL BARBOSA</v>
          </cell>
        </row>
        <row r="562">
          <cell r="B562">
            <v>5212486</v>
          </cell>
          <cell r="C562" t="str">
            <v>FRUTAROM DO BRASIL IND E COM LTDA</v>
          </cell>
          <cell r="D562">
            <v>3001</v>
          </cell>
          <cell r="E562" t="str">
            <v>0122</v>
          </cell>
          <cell r="F562" t="str">
            <v>C1</v>
          </cell>
          <cell r="G562" t="str">
            <v>MG</v>
          </cell>
          <cell r="H562" t="str">
            <v>INGREDIENTS</v>
          </cell>
          <cell r="I562" t="str">
            <v>INGREDIENTS</v>
          </cell>
          <cell r="J562" t="str">
            <v>HENRIQUE FERREIRA</v>
          </cell>
          <cell r="K562" t="str">
            <v>ITAMBÉ</v>
          </cell>
          <cell r="L562" t="str">
            <v>MAURICIO</v>
          </cell>
          <cell r="M562" t="str">
            <v>JOEL</v>
          </cell>
        </row>
        <row r="563">
          <cell r="B563">
            <v>5019245</v>
          </cell>
          <cell r="C563" t="str">
            <v>FRUTT CENTER DIST P FRUTAS FRIOS EI</v>
          </cell>
          <cell r="D563">
            <v>3001</v>
          </cell>
          <cell r="E563" t="str">
            <v>0123</v>
          </cell>
          <cell r="F563" t="str">
            <v>C1</v>
          </cell>
          <cell r="G563" t="str">
            <v>GO</v>
          </cell>
          <cell r="H563" t="str">
            <v>DISTRIBUIÇÃO</v>
          </cell>
          <cell r="I563" t="str">
            <v>FOOD SERVICE</v>
          </cell>
          <cell r="J563" t="str">
            <v>CLAUDIO JORGE</v>
          </cell>
          <cell r="K563" t="str">
            <v>ITAMBÉ</v>
          </cell>
          <cell r="L563" t="str">
            <v>RODRIGO</v>
          </cell>
          <cell r="M563" t="str">
            <v>MARCO AURELIO</v>
          </cell>
        </row>
        <row r="564">
          <cell r="B564">
            <v>5178175</v>
          </cell>
          <cell r="C564" t="str">
            <v>FRUTTO DA TERRA COMERCIO LTDA ME</v>
          </cell>
          <cell r="D564">
            <v>7001</v>
          </cell>
          <cell r="E564" t="str">
            <v>0749</v>
          </cell>
          <cell r="F564" t="str">
            <v>C5</v>
          </cell>
          <cell r="G564" t="str">
            <v>SP</v>
          </cell>
          <cell r="H564" t="str">
            <v>DISTRIBUIÇÃO</v>
          </cell>
          <cell r="I564" t="str">
            <v>FOOD SERVICE</v>
          </cell>
          <cell r="J564" t="str">
            <v>FLAC 3</v>
          </cell>
          <cell r="K564" t="str">
            <v>LACTALIS</v>
          </cell>
          <cell r="L564" t="str">
            <v>RODRIGO</v>
          </cell>
          <cell r="M564" t="str">
            <v>RAQUEL BARBOSA</v>
          </cell>
        </row>
        <row r="565">
          <cell r="B565">
            <v>5189702</v>
          </cell>
          <cell r="C565" t="str">
            <v>FRUTTO DA TERRA COMERCIO LTDA ME</v>
          </cell>
          <cell r="D565">
            <v>7001</v>
          </cell>
          <cell r="E565" t="str">
            <v>0749</v>
          </cell>
          <cell r="F565" t="str">
            <v>C5</v>
          </cell>
          <cell r="G565" t="str">
            <v>SP</v>
          </cell>
          <cell r="H565" t="str">
            <v>DISTRIBUIÇÃO</v>
          </cell>
          <cell r="I565" t="str">
            <v>FOOD SERVICE</v>
          </cell>
          <cell r="J565" t="str">
            <v>FLAC 3</v>
          </cell>
          <cell r="K565" t="str">
            <v>LACTALIS</v>
          </cell>
          <cell r="L565" t="str">
            <v>RODRIGO</v>
          </cell>
          <cell r="M565" t="str">
            <v>RAQUEL BARBOSA</v>
          </cell>
        </row>
        <row r="566">
          <cell r="B566">
            <v>5159289</v>
          </cell>
          <cell r="C566" t="str">
            <v>FUNCHAL IND COM DE PAPEIS LT</v>
          </cell>
          <cell r="D566">
            <v>6001</v>
          </cell>
          <cell r="E566" t="str">
            <v>6125</v>
          </cell>
          <cell r="F566" t="str">
            <v>C1</v>
          </cell>
          <cell r="G566" t="str">
            <v>SP</v>
          </cell>
          <cell r="H566" t="str">
            <v>DISTRIBUIÇÃO</v>
          </cell>
          <cell r="I566" t="str">
            <v>FOOD SERVICE</v>
          </cell>
          <cell r="J566" t="str">
            <v>VAGO SP</v>
          </cell>
          <cell r="K566" t="str">
            <v>ITAMBÉ</v>
          </cell>
          <cell r="L566" t="str">
            <v>RODRIGO</v>
          </cell>
          <cell r="M566" t="str">
            <v>RAQUEL BARBOSA</v>
          </cell>
        </row>
        <row r="567">
          <cell r="B567">
            <v>5286332</v>
          </cell>
          <cell r="C567" t="str">
            <v>FUNDACAO BRADESCO</v>
          </cell>
          <cell r="D567">
            <v>7001</v>
          </cell>
          <cell r="E567" t="str">
            <v>0749</v>
          </cell>
          <cell r="F567" t="str">
            <v>C5</v>
          </cell>
          <cell r="G567" t="str">
            <v>SP</v>
          </cell>
          <cell r="H567" t="str">
            <v>QSR</v>
          </cell>
          <cell r="I567" t="str">
            <v>FOOD SERVICE</v>
          </cell>
          <cell r="J567" t="str">
            <v>NUTRI</v>
          </cell>
          <cell r="K567" t="str">
            <v>LACTALIS</v>
          </cell>
          <cell r="L567" t="str">
            <v>PEDRO</v>
          </cell>
          <cell r="M567" t="str">
            <v>VAGO QSR</v>
          </cell>
        </row>
        <row r="568">
          <cell r="B568">
            <v>5262782</v>
          </cell>
          <cell r="C568" t="str">
            <v>FUTURO REFEITORIO LTDA</v>
          </cell>
          <cell r="D568">
            <v>7001</v>
          </cell>
          <cell r="E568" t="str">
            <v>0749</v>
          </cell>
          <cell r="F568" t="str">
            <v>C5</v>
          </cell>
          <cell r="G568" t="str">
            <v>SP</v>
          </cell>
          <cell r="H568" t="str">
            <v>DISTRIBUIÇÃO</v>
          </cell>
          <cell r="I568" t="str">
            <v>FOOD SERVICE</v>
          </cell>
          <cell r="J568" t="str">
            <v>FLAC 6</v>
          </cell>
          <cell r="K568" t="str">
            <v>LACTALIS</v>
          </cell>
          <cell r="L568" t="str">
            <v>RODRIGO</v>
          </cell>
          <cell r="M568" t="str">
            <v>RAQUEL BARBOSA</v>
          </cell>
        </row>
        <row r="569">
          <cell r="B569">
            <v>5216557</v>
          </cell>
          <cell r="C569" t="str">
            <v>G A R DE LUCENA</v>
          </cell>
          <cell r="D569">
            <v>7001</v>
          </cell>
          <cell r="E569" t="str">
            <v>0722</v>
          </cell>
          <cell r="F569" t="str">
            <v>C1</v>
          </cell>
          <cell r="G569" t="str">
            <v>SP</v>
          </cell>
          <cell r="H569" t="str">
            <v>DISTRIBUIÇÃO</v>
          </cell>
          <cell r="I569" t="str">
            <v>FOOD SERVICE</v>
          </cell>
          <cell r="J569" t="str">
            <v>VAGO SP</v>
          </cell>
          <cell r="K569" t="str">
            <v>LACTALIS</v>
          </cell>
          <cell r="L569" t="str">
            <v>RODRIGO</v>
          </cell>
          <cell r="M569" t="str">
            <v>RAQUEL BARBOSA</v>
          </cell>
        </row>
        <row r="570">
          <cell r="B570">
            <v>5216557</v>
          </cell>
          <cell r="C570" t="str">
            <v>G A R DE LUCENA</v>
          </cell>
          <cell r="D570">
            <v>6001</v>
          </cell>
          <cell r="E570" t="str">
            <v>6125</v>
          </cell>
          <cell r="F570" t="str">
            <v>C1</v>
          </cell>
          <cell r="G570" t="str">
            <v>SP</v>
          </cell>
          <cell r="H570" t="str">
            <v>DISTRIBUIÇÃO</v>
          </cell>
          <cell r="I570" t="str">
            <v>FOOD SERVICE</v>
          </cell>
          <cell r="J570" t="str">
            <v>VAGO SP</v>
          </cell>
          <cell r="K570" t="str">
            <v>ITAMBÉ</v>
          </cell>
          <cell r="L570" t="str">
            <v>RODRIGO</v>
          </cell>
          <cell r="M570" t="str">
            <v>RAQUEL BARBOSA</v>
          </cell>
        </row>
        <row r="571">
          <cell r="B571">
            <v>5137371</v>
          </cell>
          <cell r="C571" t="str">
            <v>G ACTION IND E COM DE SUP ALIM LTDA</v>
          </cell>
          <cell r="D571">
            <v>3001</v>
          </cell>
          <cell r="E571" t="str">
            <v>0126</v>
          </cell>
          <cell r="F571" t="str">
            <v>C1</v>
          </cell>
          <cell r="G571" t="str">
            <v>PR</v>
          </cell>
          <cell r="H571" t="str">
            <v>INGREDIENTS</v>
          </cell>
          <cell r="I571" t="str">
            <v>INGREDIENTS</v>
          </cell>
          <cell r="J571" t="str">
            <v>MARCELO RODRIGUES</v>
          </cell>
          <cell r="K571" t="str">
            <v>ITAMBÉ</v>
          </cell>
          <cell r="L571" t="str">
            <v>MAURICIO</v>
          </cell>
          <cell r="M571" t="str">
            <v>MARCELO</v>
          </cell>
        </row>
        <row r="572">
          <cell r="B572">
            <v>5195393</v>
          </cell>
          <cell r="C572" t="str">
            <v>G GENNIUS BR PROD DE COM DE ALI</v>
          </cell>
          <cell r="D572">
            <v>7001</v>
          </cell>
          <cell r="E572" t="str">
            <v>0722</v>
          </cell>
          <cell r="F572" t="str">
            <v>C1</v>
          </cell>
          <cell r="G572" t="str">
            <v>SP</v>
          </cell>
          <cell r="H572" t="str">
            <v>QSR</v>
          </cell>
          <cell r="I572" t="str">
            <v>FOOD SERVICE</v>
          </cell>
          <cell r="J572" t="str">
            <v>ANA MENIQUETE</v>
          </cell>
          <cell r="K572" t="str">
            <v>LACTALIS</v>
          </cell>
          <cell r="L572" t="str">
            <v>PEDRO</v>
          </cell>
          <cell r="M572" t="str">
            <v>ANA MENIQUETE</v>
          </cell>
        </row>
        <row r="573">
          <cell r="B573">
            <v>5194321</v>
          </cell>
          <cell r="C573" t="str">
            <v>G PIEROTTI SHIP SUPPLIER LTDA</v>
          </cell>
          <cell r="D573">
            <v>7001</v>
          </cell>
          <cell r="E573" t="str">
            <v>0749</v>
          </cell>
          <cell r="F573" t="str">
            <v>C5</v>
          </cell>
          <cell r="G573" t="str">
            <v>SP</v>
          </cell>
          <cell r="H573" t="str">
            <v>QSR</v>
          </cell>
          <cell r="I573" t="str">
            <v>FOOD SERVICE</v>
          </cell>
          <cell r="J573" t="str">
            <v>NUTRI</v>
          </cell>
          <cell r="K573" t="str">
            <v>LACTALIS</v>
          </cell>
          <cell r="L573" t="str">
            <v>PEDRO</v>
          </cell>
          <cell r="M573" t="str">
            <v>VAGO QSR</v>
          </cell>
        </row>
        <row r="574">
          <cell r="B574">
            <v>5191490</v>
          </cell>
          <cell r="C574" t="str">
            <v>G S LIMA ALIMENTOS</v>
          </cell>
          <cell r="D574">
            <v>3001</v>
          </cell>
          <cell r="E574" t="str">
            <v>0127</v>
          </cell>
          <cell r="F574" t="str">
            <v>C1</v>
          </cell>
          <cell r="G574" t="str">
            <v>CE</v>
          </cell>
          <cell r="H574" t="str">
            <v>DISTRIBUIÇÃO</v>
          </cell>
          <cell r="I574" t="str">
            <v>FOOD SERVICE</v>
          </cell>
          <cell r="J574" t="str">
            <v>WH FOOD SERVICE CE</v>
          </cell>
          <cell r="K574" t="str">
            <v>ITAMBÉ</v>
          </cell>
          <cell r="L574" t="str">
            <v>RODRIGO</v>
          </cell>
          <cell r="M574" t="str">
            <v>MARIA LOURDES</v>
          </cell>
        </row>
        <row r="575">
          <cell r="B575">
            <v>5335192</v>
          </cell>
          <cell r="C575" t="str">
            <v>G2 DESENVOLVIMENTO E PRODUCAO DE DO</v>
          </cell>
          <cell r="D575">
            <v>7001</v>
          </cell>
          <cell r="E575" t="str">
            <v>0749</v>
          </cell>
          <cell r="F575" t="str">
            <v>C5</v>
          </cell>
          <cell r="G575" t="str">
            <v>SP</v>
          </cell>
          <cell r="H575" t="str">
            <v>DISTRIBUIÇÃO</v>
          </cell>
          <cell r="I575" t="str">
            <v>FOOD SERVICE</v>
          </cell>
          <cell r="J575" t="str">
            <v>FLAC 6</v>
          </cell>
          <cell r="K575" t="str">
            <v>LACTALIS</v>
          </cell>
          <cell r="L575" t="str">
            <v>RODRIGO</v>
          </cell>
          <cell r="M575" t="str">
            <v>RAQUEL BARBOSA</v>
          </cell>
        </row>
        <row r="576">
          <cell r="B576">
            <v>5185042</v>
          </cell>
          <cell r="C576" t="str">
            <v>GA INDUSTRIA E COMERCIO DE ALIMENTO</v>
          </cell>
          <cell r="D576">
            <v>3001</v>
          </cell>
          <cell r="E576" t="str">
            <v>0127</v>
          </cell>
          <cell r="F576" t="str">
            <v>C1</v>
          </cell>
          <cell r="G576" t="str">
            <v>BA</v>
          </cell>
          <cell r="H576" t="str">
            <v>DISTRIBUIÇÃO</v>
          </cell>
          <cell r="I576" t="str">
            <v>FOOD SERVICE</v>
          </cell>
          <cell r="J576" t="str">
            <v>CLAUDIO JORGE/LUIZ</v>
          </cell>
          <cell r="K576" t="str">
            <v>ITAMBÉ</v>
          </cell>
          <cell r="L576" t="str">
            <v>RODRIGO</v>
          </cell>
          <cell r="M576" t="str">
            <v>MARIA LOURDES</v>
          </cell>
        </row>
        <row r="577">
          <cell r="B577">
            <v>5186251</v>
          </cell>
          <cell r="C577" t="str">
            <v>GABRIELA MACHADO MATOS</v>
          </cell>
          <cell r="D577">
            <v>3001</v>
          </cell>
          <cell r="E577" t="str">
            <v>0028</v>
          </cell>
          <cell r="F577" t="str">
            <v>C1</v>
          </cell>
          <cell r="G577" t="str">
            <v>MS</v>
          </cell>
          <cell r="H577" t="str">
            <v>INGREDIENTS</v>
          </cell>
          <cell r="I577" t="str">
            <v>INGREDIENTS</v>
          </cell>
          <cell r="J577" t="str">
            <v>DUAS RODAS</v>
          </cell>
          <cell r="K577" t="str">
            <v>ITAMBÉ</v>
          </cell>
          <cell r="L577" t="str">
            <v>MAURICIO</v>
          </cell>
          <cell r="M577" t="str">
            <v>MARCELO</v>
          </cell>
        </row>
        <row r="578">
          <cell r="B578">
            <v>5223692</v>
          </cell>
          <cell r="C578" t="str">
            <v>GALILEO FOODS LLC</v>
          </cell>
          <cell r="D578">
            <v>3001</v>
          </cell>
          <cell r="E578" t="str">
            <v>0062</v>
          </cell>
          <cell r="F578" t="str">
            <v>C1</v>
          </cell>
          <cell r="G578" t="str">
            <v/>
          </cell>
          <cell r="H578" t="str">
            <v>OUTROS</v>
          </cell>
          <cell r="I578" t="str">
            <v>OUTROS</v>
          </cell>
          <cell r="J578" t="str">
            <v>ITAMBE - EXPORTACAO</v>
          </cell>
          <cell r="K578" t="str">
            <v>OUTROS</v>
          </cell>
          <cell r="L578" t="str">
            <v>OUTROS</v>
          </cell>
          <cell r="M578" t="str">
            <v>EXPORTAÇÃO</v>
          </cell>
        </row>
        <row r="579">
          <cell r="B579">
            <v>5263210</v>
          </cell>
          <cell r="C579" t="str">
            <v>GANSARAL CASA DA CULTURA LTDA</v>
          </cell>
          <cell r="D579">
            <v>7001</v>
          </cell>
          <cell r="E579" t="str">
            <v>0749</v>
          </cell>
          <cell r="F579" t="str">
            <v>C5</v>
          </cell>
          <cell r="G579" t="str">
            <v>SP</v>
          </cell>
          <cell r="H579" t="str">
            <v>DISTRIBUIÇÃO</v>
          </cell>
          <cell r="I579" t="str">
            <v>FOOD SERVICE</v>
          </cell>
          <cell r="J579" t="str">
            <v>FLAC 2</v>
          </cell>
          <cell r="K579" t="str">
            <v>LACTALIS</v>
          </cell>
          <cell r="L579" t="str">
            <v>RODRIGO</v>
          </cell>
          <cell r="M579" t="str">
            <v>RAQUEL BARBOSA</v>
          </cell>
        </row>
        <row r="580">
          <cell r="B580">
            <v>5338214</v>
          </cell>
          <cell r="C580" t="str">
            <v>GAPEIXOTO DIST DE PROD ALIM LTD</v>
          </cell>
          <cell r="D580">
            <v>7001</v>
          </cell>
          <cell r="E580" t="str">
            <v>0722</v>
          </cell>
          <cell r="F580" t="str">
            <v>C1</v>
          </cell>
          <cell r="G580" t="str">
            <v>SP</v>
          </cell>
          <cell r="H580" t="str">
            <v>DISTRIBUIÇÃO</v>
          </cell>
          <cell r="I580" t="str">
            <v>FOOD SERVICE</v>
          </cell>
          <cell r="J580" t="str">
            <v>VAGO SP</v>
          </cell>
          <cell r="K580" t="str">
            <v>LACTALIS</v>
          </cell>
          <cell r="L580" t="str">
            <v>RODRIGO</v>
          </cell>
          <cell r="M580" t="str">
            <v>RAQUEL BARBOSA</v>
          </cell>
        </row>
        <row r="581">
          <cell r="B581">
            <v>5226500</v>
          </cell>
          <cell r="C581" t="str">
            <v>GARRA COMERCIO ATACADISTA DE ALIM L</v>
          </cell>
          <cell r="D581">
            <v>3001</v>
          </cell>
          <cell r="E581" t="str">
            <v>0123</v>
          </cell>
          <cell r="F581" t="str">
            <v>C1</v>
          </cell>
          <cell r="G581" t="str">
            <v>DF</v>
          </cell>
          <cell r="H581" t="str">
            <v>DISTRIBUIÇÃO</v>
          </cell>
          <cell r="I581" t="str">
            <v>FOOD SERVICE</v>
          </cell>
          <cell r="J581" t="str">
            <v>CLAUDIO JORGE</v>
          </cell>
          <cell r="K581" t="str">
            <v>ITAMBÉ</v>
          </cell>
          <cell r="L581" t="str">
            <v>RODRIGO</v>
          </cell>
          <cell r="M581" t="str">
            <v>MARCO AURELIO</v>
          </cell>
        </row>
        <row r="582">
          <cell r="B582">
            <v>5315549</v>
          </cell>
          <cell r="C582" t="str">
            <v>GASTRONOMIA SOLUCOES ALIMENT LT</v>
          </cell>
          <cell r="D582">
            <v>7001</v>
          </cell>
          <cell r="E582" t="str">
            <v>0749</v>
          </cell>
          <cell r="F582" t="str">
            <v>C5</v>
          </cell>
          <cell r="G582" t="str">
            <v>SP</v>
          </cell>
          <cell r="H582" t="str">
            <v>QSR</v>
          </cell>
          <cell r="I582" t="str">
            <v>FOOD SERVICE</v>
          </cell>
          <cell r="J582" t="str">
            <v>NUTRI</v>
          </cell>
          <cell r="K582" t="str">
            <v>LACTALIS</v>
          </cell>
          <cell r="L582" t="str">
            <v>PEDRO</v>
          </cell>
          <cell r="M582" t="str">
            <v>VAGO QSR</v>
          </cell>
        </row>
        <row r="583">
          <cell r="B583">
            <v>5059971</v>
          </cell>
          <cell r="C583" t="str">
            <v>GATE GOURMET LT</v>
          </cell>
          <cell r="D583">
            <v>6001</v>
          </cell>
          <cell r="E583" t="str">
            <v>6125</v>
          </cell>
          <cell r="F583" t="str">
            <v>C1</v>
          </cell>
          <cell r="G583" t="str">
            <v>SP</v>
          </cell>
          <cell r="H583" t="str">
            <v>QSR</v>
          </cell>
          <cell r="I583" t="str">
            <v>FOOD SERVICE</v>
          </cell>
          <cell r="J583" t="str">
            <v>ANA MENIQUETE</v>
          </cell>
          <cell r="K583" t="str">
            <v>ITAMBÉ</v>
          </cell>
          <cell r="L583" t="str">
            <v>PEDRO</v>
          </cell>
          <cell r="M583" t="str">
            <v>ANA MENIQUETE</v>
          </cell>
        </row>
        <row r="584">
          <cell r="B584">
            <v>5059971</v>
          </cell>
          <cell r="C584" t="str">
            <v>GATE GOURMET LT</v>
          </cell>
          <cell r="D584">
            <v>7001</v>
          </cell>
          <cell r="E584" t="str">
            <v>0722</v>
          </cell>
          <cell r="F584" t="str">
            <v>C1</v>
          </cell>
          <cell r="G584" t="str">
            <v>SP</v>
          </cell>
          <cell r="H584" t="str">
            <v>QSR</v>
          </cell>
          <cell r="I584" t="str">
            <v>FOOD SERVICE</v>
          </cell>
          <cell r="J584" t="str">
            <v>ANA MENIQUETE</v>
          </cell>
          <cell r="K584" t="str">
            <v>LACTALIS</v>
          </cell>
          <cell r="L584" t="str">
            <v>PEDRO</v>
          </cell>
          <cell r="M584" t="str">
            <v>ANA MENIQUETE</v>
          </cell>
        </row>
        <row r="585">
          <cell r="B585">
            <v>5001794</v>
          </cell>
          <cell r="C585" t="str">
            <v>GATE GOURMET LTDA</v>
          </cell>
          <cell r="D585">
            <v>4001</v>
          </cell>
          <cell r="E585" t="str">
            <v>0439</v>
          </cell>
          <cell r="F585" t="str">
            <v>C1</v>
          </cell>
          <cell r="G585" t="str">
            <v>RJ</v>
          </cell>
          <cell r="H585" t="str">
            <v>QSR</v>
          </cell>
          <cell r="I585" t="str">
            <v>FOOD SERVICE</v>
          </cell>
          <cell r="J585" t="str">
            <v>ANA MENIQUETE</v>
          </cell>
          <cell r="K585" t="str">
            <v>LACTALIS</v>
          </cell>
          <cell r="L585" t="str">
            <v>PEDRO</v>
          </cell>
          <cell r="M585" t="str">
            <v>ANA MENIQUETE</v>
          </cell>
        </row>
        <row r="586">
          <cell r="B586">
            <v>5327179</v>
          </cell>
          <cell r="C586" t="str">
            <v>GDM COMERCIO DE PRODUTOS ALIMENTICIOS L</v>
          </cell>
          <cell r="D586">
            <v>3001</v>
          </cell>
          <cell r="E586" t="str">
            <v>0127</v>
          </cell>
          <cell r="F586" t="str">
            <v>C1</v>
          </cell>
          <cell r="G586" t="str">
            <v>BA</v>
          </cell>
          <cell r="H586" t="str">
            <v>DISTRIBUIÇÃO</v>
          </cell>
          <cell r="I586" t="str">
            <v>FOOD SERVICE</v>
          </cell>
          <cell r="J586" t="str">
            <v>CLAUDIO JORGE/LUIZ</v>
          </cell>
          <cell r="K586" t="str">
            <v>ITAMBÉ</v>
          </cell>
          <cell r="L586" t="str">
            <v>RODRIGO</v>
          </cell>
          <cell r="M586" t="str">
            <v>MARIA LOURDES</v>
          </cell>
        </row>
        <row r="587">
          <cell r="B587">
            <v>5229467</v>
          </cell>
          <cell r="C587" t="str">
            <v>GEBON SORVETES LTDA</v>
          </cell>
          <cell r="D587">
            <v>3001</v>
          </cell>
          <cell r="E587" t="str">
            <v>0126</v>
          </cell>
          <cell r="F587" t="str">
            <v>C1</v>
          </cell>
          <cell r="G587" t="str">
            <v>PR</v>
          </cell>
          <cell r="H587" t="str">
            <v>INGREDIENTS</v>
          </cell>
          <cell r="I587" t="str">
            <v>INGREDIENTS</v>
          </cell>
          <cell r="J587" t="str">
            <v>MARCELO RODRIGUES</v>
          </cell>
          <cell r="K587" t="str">
            <v>ITAMBÉ</v>
          </cell>
          <cell r="L587" t="str">
            <v>MAURICIO</v>
          </cell>
          <cell r="M587" t="str">
            <v>MARCELO</v>
          </cell>
        </row>
        <row r="588">
          <cell r="B588">
            <v>5226360</v>
          </cell>
          <cell r="C588" t="str">
            <v>GELA GOURMET LTDA</v>
          </cell>
          <cell r="D588">
            <v>3001</v>
          </cell>
          <cell r="E588" t="str">
            <v>0127</v>
          </cell>
          <cell r="F588" t="str">
            <v>C1</v>
          </cell>
          <cell r="G588" t="str">
            <v>BA</v>
          </cell>
          <cell r="H588" t="str">
            <v>DISTRIBUIÇÃO</v>
          </cell>
          <cell r="I588" t="str">
            <v>FOOD SERVICE</v>
          </cell>
          <cell r="J588" t="str">
            <v>CLAUDIO JORGE/LUIZ</v>
          </cell>
          <cell r="K588" t="str">
            <v>ITAMBÉ</v>
          </cell>
          <cell r="L588" t="str">
            <v>RODRIGO</v>
          </cell>
          <cell r="M588" t="str">
            <v>MARIA LOURDES</v>
          </cell>
        </row>
        <row r="589">
          <cell r="B589">
            <v>5220998</v>
          </cell>
          <cell r="C589" t="str">
            <v>GELADOM SORVETES LTDA</v>
          </cell>
          <cell r="D589">
            <v>3001</v>
          </cell>
          <cell r="E589" t="str">
            <v>0127</v>
          </cell>
          <cell r="F589" t="str">
            <v>C1</v>
          </cell>
          <cell r="G589" t="str">
            <v>BA</v>
          </cell>
          <cell r="H589" t="str">
            <v>DISTRIBUIÇÃO</v>
          </cell>
          <cell r="I589" t="str">
            <v>FOOD SERVICE</v>
          </cell>
          <cell r="J589" t="str">
            <v>CLAUDIO JORGE/LUIZ</v>
          </cell>
          <cell r="K589" t="str">
            <v>ITAMBÉ</v>
          </cell>
          <cell r="L589" t="str">
            <v>RODRIGO</v>
          </cell>
          <cell r="M589" t="str">
            <v>MARIA LOURDES</v>
          </cell>
        </row>
        <row r="590">
          <cell r="B590">
            <v>5323873</v>
          </cell>
          <cell r="C590" t="str">
            <v>GELATERIA DIVERA LTDA</v>
          </cell>
          <cell r="D590">
            <v>7001</v>
          </cell>
          <cell r="E590" t="str">
            <v>0749</v>
          </cell>
          <cell r="F590" t="str">
            <v>C5</v>
          </cell>
          <cell r="G590" t="str">
            <v>SP</v>
          </cell>
          <cell r="H590" t="str">
            <v>DISTRIBUIÇÃO</v>
          </cell>
          <cell r="I590" t="str">
            <v>FOOD SERVICE</v>
          </cell>
          <cell r="J590" t="str">
            <v>FLAC 6</v>
          </cell>
          <cell r="K590" t="str">
            <v>LACTALIS</v>
          </cell>
          <cell r="L590" t="str">
            <v>RODRIGO</v>
          </cell>
          <cell r="M590" t="str">
            <v>RAQUEL BARBOSA</v>
          </cell>
        </row>
        <row r="591">
          <cell r="B591">
            <v>5192442</v>
          </cell>
          <cell r="C591" t="str">
            <v>GELATERIE LOFORESE 1922 LTDA</v>
          </cell>
          <cell r="D591">
            <v>7001</v>
          </cell>
          <cell r="E591" t="str">
            <v>0749</v>
          </cell>
          <cell r="F591" t="str">
            <v>C5</v>
          </cell>
          <cell r="G591" t="str">
            <v>SP</v>
          </cell>
          <cell r="H591" t="str">
            <v>DISTRIBUIÇÃO</v>
          </cell>
          <cell r="I591" t="str">
            <v>FOOD SERVICE</v>
          </cell>
          <cell r="J591" t="str">
            <v>FLAC 6</v>
          </cell>
          <cell r="K591" t="str">
            <v>LACTALIS</v>
          </cell>
          <cell r="L591" t="str">
            <v>RODRIGO</v>
          </cell>
          <cell r="M591" t="str">
            <v>RAQUEL BARBOSA</v>
          </cell>
        </row>
        <row r="592">
          <cell r="B592">
            <v>5098945</v>
          </cell>
          <cell r="C592" t="str">
            <v>GELATI INDUSTRIA E COM DE SORVETES LTDA</v>
          </cell>
          <cell r="D592">
            <v>4001</v>
          </cell>
          <cell r="E592" t="str">
            <v>0455</v>
          </cell>
          <cell r="F592" t="str">
            <v>C1</v>
          </cell>
          <cell r="G592" t="str">
            <v>PR</v>
          </cell>
          <cell r="H592" t="str">
            <v>INGREDIENTS</v>
          </cell>
          <cell r="I592" t="str">
            <v>INGREDIENTS</v>
          </cell>
          <cell r="J592" t="str">
            <v>MARCELO RODRIGUES</v>
          </cell>
          <cell r="K592" t="str">
            <v>LACTALIS</v>
          </cell>
          <cell r="L592" t="str">
            <v>MAURICIO</v>
          </cell>
          <cell r="M592" t="str">
            <v>MARCELO</v>
          </cell>
        </row>
        <row r="593">
          <cell r="B593">
            <v>5263269</v>
          </cell>
          <cell r="C593" t="str">
            <v>GELATO D AMORE MMS VAREJO E DELIVER</v>
          </cell>
          <cell r="D593">
            <v>7001</v>
          </cell>
          <cell r="E593" t="str">
            <v>0749</v>
          </cell>
          <cell r="F593" t="str">
            <v>C5</v>
          </cell>
          <cell r="G593" t="str">
            <v>SP</v>
          </cell>
          <cell r="H593" t="str">
            <v>DISTRIBUIÇÃO</v>
          </cell>
          <cell r="I593" t="str">
            <v>FOOD SERVICE</v>
          </cell>
          <cell r="J593" t="str">
            <v>FLAC 6</v>
          </cell>
          <cell r="K593" t="str">
            <v>LACTALIS</v>
          </cell>
          <cell r="L593" t="str">
            <v>RODRIGO</v>
          </cell>
          <cell r="M593" t="str">
            <v>RAQUEL BARBOSA</v>
          </cell>
        </row>
        <row r="594">
          <cell r="B594">
            <v>5209966</v>
          </cell>
          <cell r="C594" t="str">
            <v>GENERAL GOODS LTDA</v>
          </cell>
          <cell r="D594">
            <v>3001</v>
          </cell>
          <cell r="E594" t="str">
            <v>0127</v>
          </cell>
          <cell r="F594" t="str">
            <v>C1</v>
          </cell>
          <cell r="G594" t="str">
            <v>PE</v>
          </cell>
          <cell r="H594" t="str">
            <v>DISTRIBUIÇÃO</v>
          </cell>
          <cell r="I594" t="str">
            <v>FOOD SERVICE</v>
          </cell>
          <cell r="J594" t="str">
            <v>CLAUDIO JORGE</v>
          </cell>
          <cell r="K594" t="str">
            <v>ITAMBÉ</v>
          </cell>
          <cell r="L594" t="str">
            <v>RODRIGO</v>
          </cell>
          <cell r="M594" t="str">
            <v>MARIA LOURDES</v>
          </cell>
        </row>
        <row r="595">
          <cell r="B595">
            <v>5334288</v>
          </cell>
          <cell r="C595" t="str">
            <v>GF4 PARTICIPACOES LTDA</v>
          </cell>
          <cell r="D595">
            <v>7001</v>
          </cell>
          <cell r="E595" t="str">
            <v>0749</v>
          </cell>
          <cell r="F595" t="str">
            <v>C5</v>
          </cell>
          <cell r="G595" t="str">
            <v>SP</v>
          </cell>
          <cell r="H595" t="str">
            <v>DISTRIBUIÇÃO</v>
          </cell>
          <cell r="I595" t="str">
            <v>FOOD SERVICE</v>
          </cell>
          <cell r="J595" t="str">
            <v>FLAC 7</v>
          </cell>
          <cell r="K595" t="str">
            <v>LACTALIS</v>
          </cell>
          <cell r="L595" t="str">
            <v>RODRIGO</v>
          </cell>
          <cell r="M595" t="str">
            <v>RAQUEL BARBOSA</v>
          </cell>
        </row>
        <row r="596">
          <cell r="B596">
            <v>5320895</v>
          </cell>
          <cell r="C596" t="str">
            <v>GHR RESTAURANTE LTDA</v>
          </cell>
          <cell r="D596">
            <v>7001</v>
          </cell>
          <cell r="E596" t="str">
            <v>0749</v>
          </cell>
          <cell r="F596" t="str">
            <v>C5</v>
          </cell>
          <cell r="G596" t="str">
            <v>SP</v>
          </cell>
          <cell r="H596" t="str">
            <v>DISTRIBUIÇÃO</v>
          </cell>
          <cell r="I596" t="str">
            <v>FOOD SERVICE</v>
          </cell>
          <cell r="J596" t="str">
            <v>FLAC 6</v>
          </cell>
          <cell r="K596" t="str">
            <v>LACTALIS</v>
          </cell>
          <cell r="L596" t="str">
            <v>RODRIGO</v>
          </cell>
          <cell r="M596" t="str">
            <v>RAQUEL BARBOSA</v>
          </cell>
        </row>
        <row r="597">
          <cell r="B597">
            <v>5020468</v>
          </cell>
          <cell r="C597" t="str">
            <v>GIAS DISTRIBUTION</v>
          </cell>
          <cell r="D597">
            <v>3001</v>
          </cell>
          <cell r="E597" t="str">
            <v>0062</v>
          </cell>
          <cell r="F597" t="str">
            <v>C1</v>
          </cell>
          <cell r="G597" t="str">
            <v/>
          </cell>
          <cell r="H597" t="str">
            <v>OUTROS</v>
          </cell>
          <cell r="I597" t="str">
            <v>OUTROS</v>
          </cell>
          <cell r="J597" t="str">
            <v>ITAMBE - EXPORTACAO</v>
          </cell>
          <cell r="K597" t="str">
            <v>OUTROS</v>
          </cell>
          <cell r="L597" t="str">
            <v>OUTROS</v>
          </cell>
          <cell r="M597" t="str">
            <v>EXPORTAÇÃO</v>
          </cell>
        </row>
        <row r="598">
          <cell r="B598">
            <v>5027659</v>
          </cell>
          <cell r="C598" t="str">
            <v>GILBERTO KAJEVSKI &amp; CIA LTDA EPP</v>
          </cell>
          <cell r="D598">
            <v>3001</v>
          </cell>
          <cell r="E598" t="str">
            <v>0126</v>
          </cell>
          <cell r="F598" t="str">
            <v>C1</v>
          </cell>
          <cell r="G598" t="str">
            <v>SC</v>
          </cell>
          <cell r="H598" t="str">
            <v>DISTRIBUIÇÃO</v>
          </cell>
          <cell r="I598" t="str">
            <v>FOOD SERVICE</v>
          </cell>
          <cell r="J598" t="str">
            <v>ANGELICA BATISTELA</v>
          </cell>
          <cell r="K598" t="str">
            <v>ITAMBÉ</v>
          </cell>
          <cell r="L598" t="str">
            <v>RODRIGO</v>
          </cell>
          <cell r="M598" t="str">
            <v>ANGELICA BATISTELA</v>
          </cell>
        </row>
        <row r="599">
          <cell r="B599">
            <v>5261769</v>
          </cell>
          <cell r="C599" t="str">
            <v>GILMAR SOARES DE SANTANA</v>
          </cell>
          <cell r="D599">
            <v>7001</v>
          </cell>
          <cell r="E599" t="str">
            <v>0749</v>
          </cell>
          <cell r="F599" t="str">
            <v>C5</v>
          </cell>
          <cell r="G599" t="str">
            <v>SP</v>
          </cell>
          <cell r="H599" t="str">
            <v>DISTRIBUIÇÃO</v>
          </cell>
          <cell r="I599" t="str">
            <v>FOOD SERVICE</v>
          </cell>
          <cell r="J599" t="str">
            <v>FLAC 3</v>
          </cell>
          <cell r="K599" t="str">
            <v>LACTALIS</v>
          </cell>
          <cell r="L599" t="str">
            <v>RODRIGO</v>
          </cell>
          <cell r="M599" t="str">
            <v>RAQUEL BARBOSA</v>
          </cell>
        </row>
        <row r="600">
          <cell r="B600">
            <v>5285696</v>
          </cell>
          <cell r="C600" t="str">
            <v>GIRADINO PIZZARIA LTDA ME</v>
          </cell>
          <cell r="D600">
            <v>7001</v>
          </cell>
          <cell r="E600" t="str">
            <v>0749</v>
          </cell>
          <cell r="F600" t="str">
            <v>C5</v>
          </cell>
          <cell r="G600" t="str">
            <v>SP</v>
          </cell>
          <cell r="H600" t="str">
            <v>DISTRIBUIÇÃO</v>
          </cell>
          <cell r="I600" t="str">
            <v>FOOD SERVICE</v>
          </cell>
          <cell r="J600" t="str">
            <v>FLAC 6</v>
          </cell>
          <cell r="K600" t="str">
            <v>LACTALIS</v>
          </cell>
          <cell r="L600" t="str">
            <v>RODRIGO</v>
          </cell>
          <cell r="M600" t="str">
            <v>RAQUEL BARBOSA</v>
          </cell>
        </row>
        <row r="601">
          <cell r="B601">
            <v>5318502</v>
          </cell>
          <cell r="C601" t="str">
            <v>GIRO VILA OLIMPIA COMERCIO DE ALIME</v>
          </cell>
          <cell r="D601">
            <v>7001</v>
          </cell>
          <cell r="E601" t="str">
            <v>0749</v>
          </cell>
          <cell r="F601" t="str">
            <v>C5</v>
          </cell>
          <cell r="G601" t="str">
            <v>SP</v>
          </cell>
          <cell r="H601" t="str">
            <v>DISTRIBUIÇÃO</v>
          </cell>
          <cell r="I601" t="str">
            <v>FOOD SERVICE</v>
          </cell>
          <cell r="J601" t="str">
            <v>FLAC 6</v>
          </cell>
          <cell r="K601" t="str">
            <v>LACTALIS</v>
          </cell>
          <cell r="L601" t="str">
            <v>RODRIGO</v>
          </cell>
          <cell r="M601" t="str">
            <v>RAQUEL BARBOSA</v>
          </cell>
        </row>
        <row r="602">
          <cell r="B602">
            <v>5264406</v>
          </cell>
          <cell r="C602" t="str">
            <v>GMENDES HOTEIS E PARTICIPACOES LTDA</v>
          </cell>
          <cell r="D602">
            <v>7001</v>
          </cell>
          <cell r="E602" t="str">
            <v>0749</v>
          </cell>
          <cell r="F602" t="str">
            <v>C5</v>
          </cell>
          <cell r="G602" t="str">
            <v>SP</v>
          </cell>
          <cell r="H602" t="str">
            <v>DISTRIBUIÇÃO</v>
          </cell>
          <cell r="I602" t="str">
            <v>FOOD SERVICE</v>
          </cell>
          <cell r="J602" t="str">
            <v>FLAC 2</v>
          </cell>
          <cell r="K602" t="str">
            <v>LACTALIS</v>
          </cell>
          <cell r="L602" t="str">
            <v>RODRIGO</v>
          </cell>
          <cell r="M602" t="str">
            <v>RAQUEL BARBOSA</v>
          </cell>
        </row>
        <row r="603">
          <cell r="B603">
            <v>5185158</v>
          </cell>
          <cell r="C603" t="str">
            <v>GMO CAFE COMERCIO DE ALIMENTOS LTDA</v>
          </cell>
          <cell r="D603">
            <v>7001</v>
          </cell>
          <cell r="E603" t="str">
            <v>0749</v>
          </cell>
          <cell r="F603" t="str">
            <v>C5</v>
          </cell>
          <cell r="G603" t="str">
            <v>SP</v>
          </cell>
          <cell r="H603" t="str">
            <v>DISTRIBUIÇÃO</v>
          </cell>
          <cell r="I603" t="str">
            <v>FOOD SERVICE</v>
          </cell>
          <cell r="J603" t="str">
            <v>FLAC 6</v>
          </cell>
          <cell r="K603" t="str">
            <v>LACTALIS</v>
          </cell>
          <cell r="L603" t="str">
            <v>RODRIGO</v>
          </cell>
          <cell r="M603" t="str">
            <v>RAQUEL BARBOSA</v>
          </cell>
        </row>
        <row r="604">
          <cell r="B604">
            <v>5138388</v>
          </cell>
          <cell r="C604" t="str">
            <v>GOIASMINAS INDUSTRIA DE LATICIN</v>
          </cell>
          <cell r="D604">
            <v>3001</v>
          </cell>
          <cell r="E604" t="str">
            <v>0123</v>
          </cell>
          <cell r="F604" t="str">
            <v>C1</v>
          </cell>
          <cell r="G604" t="str">
            <v>GO</v>
          </cell>
          <cell r="H604" t="str">
            <v>INGREDIENTS</v>
          </cell>
          <cell r="I604" t="str">
            <v>INGREDIENTS</v>
          </cell>
          <cell r="J604" t="str">
            <v>JOEL ELEOTÉRIO</v>
          </cell>
          <cell r="K604" t="str">
            <v>ITAMBÉ</v>
          </cell>
          <cell r="L604" t="str">
            <v>MAURICIO</v>
          </cell>
          <cell r="M604" t="str">
            <v>JOEL</v>
          </cell>
        </row>
        <row r="605">
          <cell r="B605">
            <v>5023870</v>
          </cell>
          <cell r="C605" t="str">
            <v>GOLD INDUSTRIA E COMERCIO LTDA</v>
          </cell>
          <cell r="D605">
            <v>3001</v>
          </cell>
          <cell r="E605" t="str">
            <v>0126</v>
          </cell>
          <cell r="F605" t="str">
            <v>C1</v>
          </cell>
          <cell r="G605" t="str">
            <v>PR</v>
          </cell>
          <cell r="H605" t="str">
            <v>DISTRIBUIÇÃO</v>
          </cell>
          <cell r="I605" t="str">
            <v>FOOD SERVICE</v>
          </cell>
          <cell r="J605" t="str">
            <v>ANGELICA BATISTELA</v>
          </cell>
          <cell r="K605" t="str">
            <v>ITAMBÉ</v>
          </cell>
          <cell r="L605" t="str">
            <v>RODRIGO</v>
          </cell>
          <cell r="M605" t="str">
            <v>ANGELICA BATISTELA</v>
          </cell>
        </row>
        <row r="606">
          <cell r="B606">
            <v>5269521</v>
          </cell>
          <cell r="C606" t="str">
            <v>GONCALVES E FREIRE PAES ARTESANAIS</v>
          </cell>
          <cell r="D606">
            <v>7001</v>
          </cell>
          <cell r="E606" t="str">
            <v>0749</v>
          </cell>
          <cell r="F606" t="str">
            <v>C5</v>
          </cell>
          <cell r="G606" t="str">
            <v>SP</v>
          </cell>
          <cell r="H606" t="str">
            <v>DISTRIBUIÇÃO</v>
          </cell>
          <cell r="I606" t="str">
            <v>FOOD SERVICE</v>
          </cell>
          <cell r="J606" t="str">
            <v>FLAC 2</v>
          </cell>
          <cell r="K606" t="str">
            <v>LACTALIS</v>
          </cell>
          <cell r="L606" t="str">
            <v>RODRIGO</v>
          </cell>
          <cell r="M606" t="str">
            <v>RAQUEL BARBOSA</v>
          </cell>
        </row>
        <row r="607">
          <cell r="B607">
            <v>5179610</v>
          </cell>
          <cell r="C607" t="str">
            <v>GP EMBALAGENS EIRELI EPP</v>
          </cell>
          <cell r="D607">
            <v>3001</v>
          </cell>
          <cell r="E607" t="str">
            <v>0123</v>
          </cell>
          <cell r="F607" t="str">
            <v>C1</v>
          </cell>
          <cell r="G607" t="str">
            <v>MS</v>
          </cell>
          <cell r="H607" t="str">
            <v>DISTRIBUIÇÃO</v>
          </cell>
          <cell r="I607" t="str">
            <v>FOOD SERVICE</v>
          </cell>
          <cell r="J607" t="str">
            <v>CLAUDIO JORGE</v>
          </cell>
          <cell r="K607" t="str">
            <v>ITAMBÉ</v>
          </cell>
          <cell r="L607" t="str">
            <v>RODRIGO</v>
          </cell>
          <cell r="M607" t="str">
            <v>MARCO AURELIO</v>
          </cell>
        </row>
        <row r="608">
          <cell r="B608">
            <v>5228955</v>
          </cell>
          <cell r="C608" t="str">
            <v>GP SORVETERIA DISTRIBUIDORA LTDA</v>
          </cell>
          <cell r="D608">
            <v>3001</v>
          </cell>
          <cell r="E608" t="str">
            <v>0169</v>
          </cell>
          <cell r="F608" t="str">
            <v>C1</v>
          </cell>
          <cell r="G608" t="str">
            <v>ES</v>
          </cell>
          <cell r="H608" t="str">
            <v>DISTRIBUIÇÃO</v>
          </cell>
          <cell r="I608" t="str">
            <v>FOOD SERVICE</v>
          </cell>
          <cell r="J608" t="str">
            <v>MARCELO DUARTE</v>
          </cell>
          <cell r="K608" t="str">
            <v>ITAMBÉ</v>
          </cell>
          <cell r="L608" t="str">
            <v>RODRIGO</v>
          </cell>
          <cell r="M608" t="str">
            <v>JESSICA</v>
          </cell>
        </row>
        <row r="609">
          <cell r="B609">
            <v>5002086</v>
          </cell>
          <cell r="C609" t="str">
            <v>GR SA</v>
          </cell>
          <cell r="D609">
            <v>3001</v>
          </cell>
          <cell r="E609" t="str">
            <v>0028</v>
          </cell>
          <cell r="F609" t="str">
            <v>C1</v>
          </cell>
          <cell r="G609" t="str">
            <v>MG</v>
          </cell>
          <cell r="H609" t="str">
            <v>QSR</v>
          </cell>
          <cell r="I609" t="str">
            <v>FOOD SERVICE</v>
          </cell>
          <cell r="J609" t="str">
            <v>NUTRI</v>
          </cell>
          <cell r="K609" t="str">
            <v>ITAMBÉ</v>
          </cell>
          <cell r="L609" t="str">
            <v>PEDRO</v>
          </cell>
          <cell r="M609" t="str">
            <v>VAGO QSR</v>
          </cell>
        </row>
        <row r="610">
          <cell r="B610">
            <v>5008636</v>
          </cell>
          <cell r="C610" t="str">
            <v>GR SERVICOS E ALIMENTACAO LTDA</v>
          </cell>
          <cell r="D610">
            <v>3001</v>
          </cell>
          <cell r="E610" t="str">
            <v>0028</v>
          </cell>
          <cell r="F610" t="str">
            <v>C1</v>
          </cell>
          <cell r="G610" t="str">
            <v>RJ</v>
          </cell>
          <cell r="H610" t="str">
            <v>QSR</v>
          </cell>
          <cell r="I610" t="str">
            <v>FOOD SERVICE</v>
          </cell>
          <cell r="J610" t="str">
            <v>NUTRI</v>
          </cell>
          <cell r="K610" t="str">
            <v>ITAMBÉ</v>
          </cell>
          <cell r="L610" t="str">
            <v>PEDRO</v>
          </cell>
          <cell r="M610" t="str">
            <v>VAGO QSR</v>
          </cell>
        </row>
        <row r="611">
          <cell r="B611">
            <v>5131661</v>
          </cell>
          <cell r="C611" t="str">
            <v>GR SERVICOS E ALIMENTACAO LTDA</v>
          </cell>
          <cell r="D611">
            <v>3001</v>
          </cell>
          <cell r="E611" t="str">
            <v>0028</v>
          </cell>
          <cell r="F611" t="str">
            <v>C1</v>
          </cell>
          <cell r="G611" t="str">
            <v>RJ</v>
          </cell>
          <cell r="H611" t="str">
            <v>QSR</v>
          </cell>
          <cell r="I611" t="str">
            <v>FOOD SERVICE</v>
          </cell>
          <cell r="J611" t="str">
            <v>NUTRI</v>
          </cell>
          <cell r="K611" t="str">
            <v>ITAMBÉ</v>
          </cell>
          <cell r="L611" t="str">
            <v>PEDRO</v>
          </cell>
          <cell r="M611" t="str">
            <v>VAGO QSR</v>
          </cell>
        </row>
        <row r="612">
          <cell r="B612">
            <v>5171786</v>
          </cell>
          <cell r="C612" t="str">
            <v>GR SERVICOS E ALIMENTACAO LTDA</v>
          </cell>
          <cell r="D612">
            <v>3001</v>
          </cell>
          <cell r="E612" t="str">
            <v>0028</v>
          </cell>
          <cell r="F612" t="str">
            <v>C1</v>
          </cell>
          <cell r="G612" t="str">
            <v>PR</v>
          </cell>
          <cell r="H612" t="str">
            <v>QSR</v>
          </cell>
          <cell r="I612" t="str">
            <v>FOOD SERVICE</v>
          </cell>
          <cell r="J612" t="str">
            <v>NUTRI</v>
          </cell>
          <cell r="K612" t="str">
            <v>ITAMBÉ</v>
          </cell>
          <cell r="L612" t="str">
            <v>PEDRO</v>
          </cell>
          <cell r="M612" t="str">
            <v>VAGO QSR</v>
          </cell>
        </row>
        <row r="613">
          <cell r="B613">
            <v>5135612</v>
          </cell>
          <cell r="C613" t="str">
            <v>GR SERVICOS E ALIMENTACAO LTDA</v>
          </cell>
          <cell r="D613">
            <v>3001</v>
          </cell>
          <cell r="E613" t="str">
            <v>0028</v>
          </cell>
          <cell r="F613" t="str">
            <v>C1</v>
          </cell>
          <cell r="G613" t="str">
            <v>DF</v>
          </cell>
          <cell r="H613" t="str">
            <v>QSR</v>
          </cell>
          <cell r="I613" t="str">
            <v>FOOD SERVICE</v>
          </cell>
          <cell r="J613" t="str">
            <v>NUTRI</v>
          </cell>
          <cell r="K613" t="str">
            <v>ITAMBÉ</v>
          </cell>
          <cell r="L613" t="str">
            <v>PEDRO</v>
          </cell>
          <cell r="M613" t="str">
            <v>VAGO QSR</v>
          </cell>
        </row>
        <row r="614">
          <cell r="B614">
            <v>5129139</v>
          </cell>
          <cell r="C614" t="str">
            <v>GR SERVICOS E ALIMENTACAO LTDA</v>
          </cell>
          <cell r="D614">
            <v>3001</v>
          </cell>
          <cell r="E614" t="str">
            <v>0028</v>
          </cell>
          <cell r="F614" t="str">
            <v>C1</v>
          </cell>
          <cell r="G614" t="str">
            <v>BA</v>
          </cell>
          <cell r="H614" t="str">
            <v>QSR</v>
          </cell>
          <cell r="I614" t="str">
            <v>FOOD SERVICE</v>
          </cell>
          <cell r="J614" t="str">
            <v>NUTRI</v>
          </cell>
          <cell r="K614" t="str">
            <v>ITAMBÉ</v>
          </cell>
          <cell r="L614" t="str">
            <v>PEDRO</v>
          </cell>
          <cell r="M614" t="str">
            <v>VAGO QSR</v>
          </cell>
        </row>
        <row r="615">
          <cell r="B615">
            <v>5036304</v>
          </cell>
          <cell r="C615" t="str">
            <v>GR SERVICOS E ALIMENTACAO LTDA</v>
          </cell>
          <cell r="D615">
            <v>3001</v>
          </cell>
          <cell r="E615" t="str">
            <v>0028</v>
          </cell>
          <cell r="F615" t="str">
            <v>C1</v>
          </cell>
          <cell r="G615" t="str">
            <v>AM</v>
          </cell>
          <cell r="H615" t="str">
            <v>QSR</v>
          </cell>
          <cell r="I615" t="str">
            <v>FOOD SERVICE</v>
          </cell>
          <cell r="J615" t="str">
            <v>NUTRI</v>
          </cell>
          <cell r="K615" t="str">
            <v>ITAMBÉ</v>
          </cell>
          <cell r="L615" t="str">
            <v>PEDRO</v>
          </cell>
          <cell r="M615" t="str">
            <v>VAGO QSR</v>
          </cell>
        </row>
        <row r="616">
          <cell r="B616">
            <v>5133254</v>
          </cell>
          <cell r="C616" t="str">
            <v>GR SERVICOS E ALIMENTACAO LTDA</v>
          </cell>
          <cell r="D616">
            <v>3001</v>
          </cell>
          <cell r="E616" t="str">
            <v>0127</v>
          </cell>
          <cell r="F616" t="str">
            <v>C1</v>
          </cell>
          <cell r="G616" t="str">
            <v>PE</v>
          </cell>
          <cell r="H616" t="str">
            <v>QSR</v>
          </cell>
          <cell r="I616" t="str">
            <v>FOOD SERVICE</v>
          </cell>
          <cell r="J616" t="str">
            <v>NUTRI</v>
          </cell>
          <cell r="K616" t="str">
            <v>ITAMBÉ</v>
          </cell>
          <cell r="L616" t="str">
            <v>PEDRO</v>
          </cell>
          <cell r="M616" t="str">
            <v>VAGO QSR</v>
          </cell>
        </row>
        <row r="617">
          <cell r="B617">
            <v>5008636</v>
          </cell>
          <cell r="C617" t="str">
            <v>GR SERVICOS E ALIMENTACAO LTDA</v>
          </cell>
          <cell r="D617">
            <v>4001</v>
          </cell>
          <cell r="E617" t="str">
            <v>0450</v>
          </cell>
          <cell r="F617" t="str">
            <v>C5</v>
          </cell>
          <cell r="G617" t="str">
            <v>RJ</v>
          </cell>
          <cell r="H617" t="str">
            <v>QSR</v>
          </cell>
          <cell r="I617" t="str">
            <v>FOOD SERVICE</v>
          </cell>
          <cell r="J617" t="str">
            <v>NUTRI</v>
          </cell>
          <cell r="K617" t="str">
            <v>LACTALIS</v>
          </cell>
          <cell r="L617" t="str">
            <v>PEDRO</v>
          </cell>
          <cell r="M617" t="str">
            <v>VAGO QSR</v>
          </cell>
        </row>
        <row r="618">
          <cell r="B618">
            <v>5171786</v>
          </cell>
          <cell r="C618" t="str">
            <v>GR SERVICOS E ALIMENTACAO LTDA</v>
          </cell>
          <cell r="D618">
            <v>4001</v>
          </cell>
          <cell r="E618" t="str">
            <v>0452</v>
          </cell>
          <cell r="F618" t="str">
            <v>C5</v>
          </cell>
          <cell r="G618" t="str">
            <v>PR</v>
          </cell>
          <cell r="H618" t="str">
            <v>QSR</v>
          </cell>
          <cell r="I618" t="str">
            <v>FOOD SERVICE</v>
          </cell>
          <cell r="J618" t="str">
            <v>NUTRI</v>
          </cell>
          <cell r="K618" t="str">
            <v>LACTALIS</v>
          </cell>
          <cell r="L618" t="str">
            <v>PEDRO</v>
          </cell>
          <cell r="M618" t="str">
            <v>VAGO QSR</v>
          </cell>
        </row>
        <row r="619">
          <cell r="B619">
            <v>5249172</v>
          </cell>
          <cell r="C619" t="str">
            <v>GRAEX LOJA DE CONVENIENCIA LTDA</v>
          </cell>
          <cell r="D619">
            <v>7001</v>
          </cell>
          <cell r="E619" t="str">
            <v>0749</v>
          </cell>
          <cell r="F619" t="str">
            <v>C5</v>
          </cell>
          <cell r="G619" t="str">
            <v>SP</v>
          </cell>
          <cell r="H619" t="str">
            <v>DISTRIBUIÇÃO</v>
          </cell>
          <cell r="I619" t="str">
            <v>FOOD SERVICE</v>
          </cell>
          <cell r="J619" t="str">
            <v>FLAC 6</v>
          </cell>
          <cell r="K619" t="str">
            <v>LACTALIS</v>
          </cell>
          <cell r="L619" t="str">
            <v>RODRIGO</v>
          </cell>
          <cell r="M619" t="str">
            <v>RAQUEL BARBOSA</v>
          </cell>
        </row>
        <row r="620">
          <cell r="B620">
            <v>5224838</v>
          </cell>
          <cell r="C620" t="str">
            <v>GRAMALLA SL</v>
          </cell>
          <cell r="D620">
            <v>3001</v>
          </cell>
          <cell r="E620" t="str">
            <v>0062</v>
          </cell>
          <cell r="F620" t="str">
            <v>C1</v>
          </cell>
          <cell r="G620" t="str">
            <v/>
          </cell>
          <cell r="H620" t="str">
            <v>OUTROS</v>
          </cell>
          <cell r="I620" t="str">
            <v>OUTROS</v>
          </cell>
          <cell r="J620" t="str">
            <v>INTERCOMPANY EXP</v>
          </cell>
          <cell r="K620" t="str">
            <v>OUTROS</v>
          </cell>
          <cell r="L620" t="str">
            <v>OUTROS</v>
          </cell>
          <cell r="M620" t="str">
            <v>INTERCOMPANY</v>
          </cell>
        </row>
        <row r="621">
          <cell r="B621">
            <v>5297860</v>
          </cell>
          <cell r="C621" t="str">
            <v>GRAN SAPORE BR BRASIL S A</v>
          </cell>
          <cell r="D621">
            <v>3001</v>
          </cell>
          <cell r="E621" t="str">
            <v>0028</v>
          </cell>
          <cell r="F621" t="str">
            <v>C1</v>
          </cell>
          <cell r="G621" t="str">
            <v>DF</v>
          </cell>
          <cell r="H621" t="str">
            <v>QSR</v>
          </cell>
          <cell r="I621" t="str">
            <v>FOOD SERVICE</v>
          </cell>
          <cell r="J621" t="str">
            <v>NUTRI</v>
          </cell>
          <cell r="K621" t="str">
            <v>ITAMBÉ</v>
          </cell>
          <cell r="L621" t="str">
            <v>PEDRO</v>
          </cell>
          <cell r="M621" t="str">
            <v>VAGO QSR</v>
          </cell>
        </row>
        <row r="622">
          <cell r="B622">
            <v>5161553</v>
          </cell>
          <cell r="C622" t="str">
            <v>SAPORE SA</v>
          </cell>
          <cell r="D622">
            <v>4001</v>
          </cell>
          <cell r="E622" t="str">
            <v>0452</v>
          </cell>
          <cell r="F622" t="str">
            <v>C5</v>
          </cell>
          <cell r="G622" t="str">
            <v>PR</v>
          </cell>
          <cell r="H622" t="str">
            <v>QSR</v>
          </cell>
          <cell r="I622" t="str">
            <v>FOOD SERVICE</v>
          </cell>
          <cell r="J622" t="str">
            <v>NUTRI</v>
          </cell>
          <cell r="K622" t="str">
            <v>LACTALIS</v>
          </cell>
          <cell r="L622" t="str">
            <v>PEDRO</v>
          </cell>
          <cell r="M622" t="str">
            <v>VAGO QSR</v>
          </cell>
        </row>
        <row r="623">
          <cell r="B623">
            <v>5208306</v>
          </cell>
          <cell r="C623" t="str">
            <v>GRAN SAPORE BR BRASIL SA</v>
          </cell>
          <cell r="D623">
            <v>4001</v>
          </cell>
          <cell r="E623" t="str">
            <v>0453</v>
          </cell>
          <cell r="F623" t="str">
            <v>C5</v>
          </cell>
          <cell r="G623" t="str">
            <v>RS</v>
          </cell>
          <cell r="H623" t="str">
            <v>QSR</v>
          </cell>
          <cell r="I623" t="str">
            <v>FOOD SERVICE</v>
          </cell>
          <cell r="J623" t="str">
            <v>NUTRI</v>
          </cell>
          <cell r="K623" t="str">
            <v>LACTALIS</v>
          </cell>
          <cell r="L623" t="str">
            <v>PEDRO</v>
          </cell>
          <cell r="M623" t="str">
            <v>VAGO QSR</v>
          </cell>
        </row>
        <row r="624">
          <cell r="B624">
            <v>5309001</v>
          </cell>
          <cell r="C624" t="str">
            <v>GRAND FINALE ATELIE DE DOCES</v>
          </cell>
          <cell r="D624">
            <v>7001</v>
          </cell>
          <cell r="E624" t="str">
            <v>0749</v>
          </cell>
          <cell r="F624" t="str">
            <v>C5</v>
          </cell>
          <cell r="G624" t="str">
            <v>SP</v>
          </cell>
          <cell r="H624" t="str">
            <v>DISTRIBUIÇÃO</v>
          </cell>
          <cell r="I624" t="str">
            <v>FOOD SERVICE</v>
          </cell>
          <cell r="J624" t="str">
            <v>FLAC 4</v>
          </cell>
          <cell r="K624" t="str">
            <v>LACTALIS</v>
          </cell>
          <cell r="L624" t="str">
            <v>RODRIGO</v>
          </cell>
          <cell r="M624" t="str">
            <v>RAQUEL BARBOSA</v>
          </cell>
        </row>
        <row r="625">
          <cell r="B625">
            <v>5131101</v>
          </cell>
          <cell r="C625" t="str">
            <v>GRANO NICOLETTI COM ALIM LTDA</v>
          </cell>
          <cell r="D625">
            <v>6001</v>
          </cell>
          <cell r="E625" t="str">
            <v>6125</v>
          </cell>
          <cell r="F625" t="str">
            <v>C1</v>
          </cell>
          <cell r="G625" t="str">
            <v>SP</v>
          </cell>
          <cell r="H625" t="str">
            <v>DISTRIBUIÇÃO</v>
          </cell>
          <cell r="I625" t="str">
            <v>FOOD SERVICE</v>
          </cell>
          <cell r="J625" t="str">
            <v>VAGO SP</v>
          </cell>
          <cell r="K625" t="str">
            <v>ITAMBÉ</v>
          </cell>
          <cell r="L625" t="str">
            <v>RODRIGO</v>
          </cell>
          <cell r="M625" t="str">
            <v>RAQUEL BARBOSA</v>
          </cell>
        </row>
        <row r="626">
          <cell r="B626">
            <v>5252814</v>
          </cell>
          <cell r="C626" t="str">
            <v>GREMIO RECREATIVOFORMTAP</v>
          </cell>
          <cell r="D626">
            <v>7001</v>
          </cell>
          <cell r="E626" t="str">
            <v>0749</v>
          </cell>
          <cell r="F626" t="str">
            <v>C5</v>
          </cell>
          <cell r="G626" t="str">
            <v>SP</v>
          </cell>
          <cell r="H626" t="str">
            <v>DISTRIBUIÇÃO</v>
          </cell>
          <cell r="I626" t="str">
            <v>FOOD SERVICE</v>
          </cell>
          <cell r="J626" t="str">
            <v>FLAC 6</v>
          </cell>
          <cell r="K626" t="str">
            <v>LACTALIS</v>
          </cell>
          <cell r="L626" t="str">
            <v>RODRIGO</v>
          </cell>
          <cell r="M626" t="str">
            <v>RAQUEL BARBOSA</v>
          </cell>
        </row>
        <row r="627">
          <cell r="B627">
            <v>5270158</v>
          </cell>
          <cell r="C627" t="str">
            <v>GRESPANETTO COMERCIO DE ALIMENTOS L</v>
          </cell>
          <cell r="D627">
            <v>7001</v>
          </cell>
          <cell r="E627" t="str">
            <v>0749</v>
          </cell>
          <cell r="F627" t="str">
            <v>C5</v>
          </cell>
          <cell r="G627" t="str">
            <v>SP</v>
          </cell>
          <cell r="H627" t="str">
            <v>DISTRIBUIÇÃO</v>
          </cell>
          <cell r="I627" t="str">
            <v>FOOD SERVICE</v>
          </cell>
          <cell r="J627" t="str">
            <v>FLAC 6</v>
          </cell>
          <cell r="K627" t="str">
            <v>LACTALIS</v>
          </cell>
          <cell r="L627" t="str">
            <v>RODRIGO</v>
          </cell>
          <cell r="M627" t="str">
            <v>RAQUEL BARBOSA</v>
          </cell>
        </row>
        <row r="628">
          <cell r="B628">
            <v>5339184</v>
          </cell>
          <cell r="C628" t="str">
            <v>GRIFFOOD BRASIL ALIM S A</v>
          </cell>
          <cell r="D628">
            <v>4001</v>
          </cell>
          <cell r="E628" t="str">
            <v>0437</v>
          </cell>
          <cell r="F628" t="str">
            <v>C1</v>
          </cell>
          <cell r="G628" t="str">
            <v>SP</v>
          </cell>
          <cell r="H628" t="str">
            <v>INGREDIENTS</v>
          </cell>
          <cell r="I628" t="str">
            <v>INGREDIENTS</v>
          </cell>
          <cell r="J628" t="str">
            <v>JOEL ELEOTÉRIO</v>
          </cell>
          <cell r="K628" t="str">
            <v>LACTALIS</v>
          </cell>
          <cell r="L628" t="str">
            <v>MAURICIO</v>
          </cell>
          <cell r="M628" t="str">
            <v>JOEL</v>
          </cell>
        </row>
        <row r="629">
          <cell r="B629">
            <v>5272670</v>
          </cell>
          <cell r="C629" t="str">
            <v>GROSELHA COMERCIO DE ALIM EIRELI</v>
          </cell>
          <cell r="D629">
            <v>7001</v>
          </cell>
          <cell r="E629" t="str">
            <v>0749</v>
          </cell>
          <cell r="F629" t="str">
            <v>C5</v>
          </cell>
          <cell r="G629" t="str">
            <v>SP</v>
          </cell>
          <cell r="H629" t="str">
            <v>DISTRIBUIÇÃO</v>
          </cell>
          <cell r="I629" t="str">
            <v>FOOD SERVICE</v>
          </cell>
          <cell r="J629" t="str">
            <v>FLAC 6</v>
          </cell>
          <cell r="K629" t="str">
            <v>LACTALIS</v>
          </cell>
          <cell r="L629" t="str">
            <v>RODRIGO</v>
          </cell>
          <cell r="M629" t="str">
            <v>RAQUEL BARBOSA</v>
          </cell>
        </row>
        <row r="630">
          <cell r="B630">
            <v>5256512</v>
          </cell>
          <cell r="C630" t="str">
            <v>GU LANCHONETE LTDA ME</v>
          </cell>
          <cell r="D630">
            <v>7001</v>
          </cell>
          <cell r="E630" t="str">
            <v>0749</v>
          </cell>
          <cell r="F630" t="str">
            <v>C5</v>
          </cell>
          <cell r="G630" t="str">
            <v>SP</v>
          </cell>
          <cell r="H630" t="str">
            <v>DISTRIBUIÇÃO</v>
          </cell>
          <cell r="I630" t="str">
            <v>FOOD SERVICE</v>
          </cell>
          <cell r="J630" t="str">
            <v>FLAC 5</v>
          </cell>
          <cell r="K630" t="str">
            <v>LACTALIS</v>
          </cell>
          <cell r="L630" t="str">
            <v>RODRIGO</v>
          </cell>
          <cell r="M630" t="str">
            <v>RAQUEL BARBOSA</v>
          </cell>
        </row>
        <row r="631">
          <cell r="B631">
            <v>5307426</v>
          </cell>
          <cell r="C631" t="str">
            <v>GUARUJA MOTEL LTDA</v>
          </cell>
          <cell r="D631">
            <v>7001</v>
          </cell>
          <cell r="E631" t="str">
            <v>0749</v>
          </cell>
          <cell r="F631" t="str">
            <v>C5</v>
          </cell>
          <cell r="G631" t="str">
            <v>SP</v>
          </cell>
          <cell r="H631" t="str">
            <v>DISTRIBUIÇÃO</v>
          </cell>
          <cell r="I631" t="str">
            <v>FOOD SERVICE</v>
          </cell>
          <cell r="J631" t="str">
            <v>FLAC 6</v>
          </cell>
          <cell r="K631" t="str">
            <v>LACTALIS</v>
          </cell>
          <cell r="L631" t="str">
            <v>RODRIGO</v>
          </cell>
          <cell r="M631" t="str">
            <v>RAQUEL BARBOSA</v>
          </cell>
        </row>
        <row r="632">
          <cell r="B632">
            <v>5197746</v>
          </cell>
          <cell r="C632" t="str">
            <v>GUILATO FAB E COM SORV EIRELI ME</v>
          </cell>
          <cell r="D632">
            <v>3001</v>
          </cell>
          <cell r="E632" t="str">
            <v>0127</v>
          </cell>
          <cell r="F632" t="str">
            <v>C1</v>
          </cell>
          <cell r="G632" t="str">
            <v>CE</v>
          </cell>
          <cell r="H632" t="str">
            <v>DISTRIBUIÇÃO</v>
          </cell>
          <cell r="I632" t="str">
            <v>FOOD SERVICE</v>
          </cell>
          <cell r="J632" t="str">
            <v>WH FOOD SERVICE CE</v>
          </cell>
          <cell r="K632" t="str">
            <v>ITAMBÉ</v>
          </cell>
          <cell r="L632" t="str">
            <v>RODRIGO</v>
          </cell>
          <cell r="M632" t="str">
            <v>MARIA LOURDES</v>
          </cell>
        </row>
        <row r="633">
          <cell r="B633">
            <v>5200068</v>
          </cell>
          <cell r="C633" t="str">
            <v>GULA COM DE REF E BEB LTDA</v>
          </cell>
          <cell r="D633">
            <v>3001</v>
          </cell>
          <cell r="E633" t="str">
            <v>0127</v>
          </cell>
          <cell r="F633" t="str">
            <v>C1</v>
          </cell>
          <cell r="G633" t="str">
            <v>CE</v>
          </cell>
          <cell r="H633" t="str">
            <v>DISTRIBUIÇÃO</v>
          </cell>
          <cell r="I633" t="str">
            <v>FOOD SERVICE</v>
          </cell>
          <cell r="J633" t="str">
            <v>WH FOOD SERVICE CE</v>
          </cell>
          <cell r="K633" t="str">
            <v>ITAMBÉ</v>
          </cell>
          <cell r="L633" t="str">
            <v>RODRIGO</v>
          </cell>
          <cell r="M633" t="str">
            <v>MARIA LOURDES</v>
          </cell>
        </row>
        <row r="634">
          <cell r="B634">
            <v>5194018</v>
          </cell>
          <cell r="C634" t="str">
            <v>GURIRI EMBALAGENS LTDA ME</v>
          </cell>
          <cell r="D634">
            <v>3001</v>
          </cell>
          <cell r="E634" t="str">
            <v>0169</v>
          </cell>
          <cell r="F634" t="str">
            <v>C1</v>
          </cell>
          <cell r="G634" t="str">
            <v>ES</v>
          </cell>
          <cell r="H634" t="str">
            <v>DISTRIBUIÇÃO</v>
          </cell>
          <cell r="I634" t="str">
            <v>FOOD SERVICE</v>
          </cell>
          <cell r="J634" t="str">
            <v>MARCELO DUARTE</v>
          </cell>
          <cell r="K634" t="str">
            <v>ITAMBÉ</v>
          </cell>
          <cell r="L634" t="str">
            <v>RODRIGO</v>
          </cell>
          <cell r="M634" t="str">
            <v>JESSICA</v>
          </cell>
        </row>
        <row r="635">
          <cell r="B635">
            <v>5318719</v>
          </cell>
          <cell r="C635" t="str">
            <v>GW BOLOS E DOCES LTDA</v>
          </cell>
          <cell r="D635">
            <v>7001</v>
          </cell>
          <cell r="E635" t="str">
            <v>0749</v>
          </cell>
          <cell r="F635" t="str">
            <v>C5</v>
          </cell>
          <cell r="G635" t="str">
            <v>SP</v>
          </cell>
          <cell r="H635" t="str">
            <v>DISTRIBUIÇÃO</v>
          </cell>
          <cell r="I635" t="str">
            <v>FOOD SERVICE</v>
          </cell>
          <cell r="J635" t="str">
            <v>FLAC 6</v>
          </cell>
          <cell r="K635" t="str">
            <v>LACTALIS</v>
          </cell>
          <cell r="L635" t="str">
            <v>RODRIGO</v>
          </cell>
          <cell r="M635" t="str">
            <v>RAQUEL BARBOSA</v>
          </cell>
        </row>
        <row r="636">
          <cell r="B636">
            <v>5263054</v>
          </cell>
          <cell r="C636" t="str">
            <v>H G DE CAMPOS CARDOSO ME</v>
          </cell>
          <cell r="D636">
            <v>7001</v>
          </cell>
          <cell r="E636" t="str">
            <v>0749</v>
          </cell>
          <cell r="F636" t="str">
            <v>C5</v>
          </cell>
          <cell r="G636" t="str">
            <v>SP</v>
          </cell>
          <cell r="H636" t="str">
            <v>QSR</v>
          </cell>
          <cell r="I636" t="str">
            <v>FOOD SERVICE</v>
          </cell>
          <cell r="J636" t="str">
            <v>NUTRI</v>
          </cell>
          <cell r="K636" t="str">
            <v>LACTALIS</v>
          </cell>
          <cell r="L636" t="str">
            <v>PEDRO</v>
          </cell>
          <cell r="M636" t="str">
            <v>VAGO QSR</v>
          </cell>
        </row>
        <row r="637">
          <cell r="B637">
            <v>5139324</v>
          </cell>
          <cell r="C637" t="str">
            <v>H P EMABALAGENS LTDA ME</v>
          </cell>
          <cell r="D637">
            <v>3001</v>
          </cell>
          <cell r="E637" t="str">
            <v>0169</v>
          </cell>
          <cell r="F637" t="str">
            <v>C1</v>
          </cell>
          <cell r="G637" t="str">
            <v>ES</v>
          </cell>
          <cell r="H637" t="str">
            <v>INGREDIENTS</v>
          </cell>
          <cell r="I637" t="str">
            <v>INGREDIENTS</v>
          </cell>
          <cell r="J637" t="str">
            <v>DUAS RODAS</v>
          </cell>
          <cell r="K637" t="str">
            <v>ITAMBÉ</v>
          </cell>
          <cell r="L637" t="str">
            <v>MAURICIO</v>
          </cell>
          <cell r="M637" t="str">
            <v>TATIANA NITTA</v>
          </cell>
        </row>
        <row r="638">
          <cell r="B638">
            <v>5265966</v>
          </cell>
          <cell r="C638" t="str">
            <v>HACHI CREPE E CAFE LTDA</v>
          </cell>
          <cell r="D638">
            <v>7001</v>
          </cell>
          <cell r="E638" t="str">
            <v>0749</v>
          </cell>
          <cell r="F638" t="str">
            <v>C5</v>
          </cell>
          <cell r="G638" t="str">
            <v>SP</v>
          </cell>
          <cell r="H638" t="str">
            <v>DISTRIBUIÇÃO</v>
          </cell>
          <cell r="I638" t="str">
            <v>FOOD SERVICE</v>
          </cell>
          <cell r="J638" t="str">
            <v>FLAC 3</v>
          </cell>
          <cell r="K638" t="str">
            <v>LACTALIS</v>
          </cell>
          <cell r="L638" t="str">
            <v>RODRIGO</v>
          </cell>
          <cell r="M638" t="str">
            <v>RAQUEL BARBOSA</v>
          </cell>
        </row>
        <row r="639">
          <cell r="B639">
            <v>5339231</v>
          </cell>
          <cell r="C639" t="str">
            <v>HAKKO PAD E COM DE ALI E BEB LT</v>
          </cell>
          <cell r="D639">
            <v>7001</v>
          </cell>
          <cell r="E639" t="str">
            <v>0749</v>
          </cell>
          <cell r="F639" t="str">
            <v>C5</v>
          </cell>
          <cell r="G639" t="str">
            <v>SP</v>
          </cell>
          <cell r="H639" t="str">
            <v>DISTRIBUIÇÃO</v>
          </cell>
          <cell r="I639" t="str">
            <v>FOOD SERVICE</v>
          </cell>
          <cell r="J639" t="str">
            <v>FLAC 4</v>
          </cell>
          <cell r="K639" t="str">
            <v>LACTALIS</v>
          </cell>
          <cell r="L639" t="str">
            <v>RODRIGO</v>
          </cell>
          <cell r="M639" t="str">
            <v>RAQUEL BARBOSA</v>
          </cell>
        </row>
        <row r="640">
          <cell r="B640">
            <v>5211888</v>
          </cell>
          <cell r="C640" t="str">
            <v>HAPPY FROST COMERCIO DE PRODUTOS LT</v>
          </cell>
          <cell r="D640">
            <v>3001</v>
          </cell>
          <cell r="E640" t="str">
            <v>0126</v>
          </cell>
          <cell r="F640" t="str">
            <v>C1</v>
          </cell>
          <cell r="G640" t="str">
            <v>PR</v>
          </cell>
          <cell r="H640" t="str">
            <v>INGREDIENTS</v>
          </cell>
          <cell r="I640" t="str">
            <v>INGREDIENTS</v>
          </cell>
          <cell r="J640" t="str">
            <v>MARCELO RODRIGUES</v>
          </cell>
          <cell r="K640" t="str">
            <v>ITAMBÉ</v>
          </cell>
          <cell r="L640" t="str">
            <v>MAURICIO</v>
          </cell>
          <cell r="M640" t="str">
            <v>MARCELO</v>
          </cell>
        </row>
        <row r="641">
          <cell r="B641">
            <v>5201973</v>
          </cell>
          <cell r="C641" t="str">
            <v>HARUS COM VAREJ DE COSM LTDA</v>
          </cell>
          <cell r="D641">
            <v>3001</v>
          </cell>
          <cell r="E641" t="str">
            <v>0127</v>
          </cell>
          <cell r="F641" t="str">
            <v>C1</v>
          </cell>
          <cell r="G641" t="str">
            <v>CE</v>
          </cell>
          <cell r="H641" t="str">
            <v>DISTRIBUIÇÃO</v>
          </cell>
          <cell r="I641" t="str">
            <v>FOOD SERVICE</v>
          </cell>
          <cell r="J641" t="str">
            <v>WH FOOD SERVICE CE</v>
          </cell>
          <cell r="K641" t="str">
            <v>ITAMBÉ</v>
          </cell>
          <cell r="L641" t="str">
            <v>RODRIGO</v>
          </cell>
          <cell r="M641" t="str">
            <v>MARIA LOURDES</v>
          </cell>
        </row>
        <row r="642">
          <cell r="B642">
            <v>5226476</v>
          </cell>
          <cell r="C642" t="str">
            <v>HARUS FOOD BAHIA LTDA</v>
          </cell>
          <cell r="D642">
            <v>3001</v>
          </cell>
          <cell r="E642" t="str">
            <v>0127</v>
          </cell>
          <cell r="F642" t="str">
            <v>C1</v>
          </cell>
          <cell r="G642" t="str">
            <v>BA</v>
          </cell>
          <cell r="H642" t="str">
            <v>DISTRIBUIÇÃO</v>
          </cell>
          <cell r="I642" t="str">
            <v>FOOD SERVICE</v>
          </cell>
          <cell r="J642" t="str">
            <v>CLAUDIO JORGE/LUIZ</v>
          </cell>
          <cell r="K642" t="str">
            <v>ITAMBÉ</v>
          </cell>
          <cell r="L642" t="str">
            <v>RODRIGO</v>
          </cell>
          <cell r="M642" t="str">
            <v>MARIA LOURDES</v>
          </cell>
        </row>
        <row r="643">
          <cell r="B643">
            <v>5213484</v>
          </cell>
          <cell r="C643" t="str">
            <v>HAVANA COMERCIO DE BEBIDAS LTDA</v>
          </cell>
          <cell r="D643">
            <v>6001</v>
          </cell>
          <cell r="E643" t="str">
            <v>6125</v>
          </cell>
          <cell r="F643" t="str">
            <v>C1</v>
          </cell>
          <cell r="G643" t="str">
            <v>SP</v>
          </cell>
          <cell r="H643" t="str">
            <v>DISTRIBUIÇÃO</v>
          </cell>
          <cell r="I643" t="str">
            <v>FOOD SERVICE</v>
          </cell>
          <cell r="J643" t="str">
            <v>SP ITB FS FLAC REP.E COMERCIO</v>
          </cell>
          <cell r="K643" t="str">
            <v>ITAMBÉ</v>
          </cell>
          <cell r="L643" t="str">
            <v>RODRIGO</v>
          </cell>
          <cell r="M643" t="str">
            <v>RAQUEL BARBOSA</v>
          </cell>
        </row>
        <row r="644">
          <cell r="B644">
            <v>5223799</v>
          </cell>
          <cell r="C644" t="str">
            <v>HBR 33 INVESTIMENTOS IMOBILIARIOS L</v>
          </cell>
          <cell r="D644">
            <v>7001</v>
          </cell>
          <cell r="E644" t="str">
            <v>0749</v>
          </cell>
          <cell r="F644" t="str">
            <v>C5</v>
          </cell>
          <cell r="G644" t="str">
            <v>SP</v>
          </cell>
          <cell r="H644" t="str">
            <v>DISTRIBUIÇÃO</v>
          </cell>
          <cell r="I644" t="str">
            <v>FOOD SERVICE</v>
          </cell>
          <cell r="J644" t="str">
            <v>FLAC 5</v>
          </cell>
          <cell r="K644" t="str">
            <v>LACTALIS</v>
          </cell>
          <cell r="L644" t="str">
            <v>RODRIGO</v>
          </cell>
          <cell r="M644" t="str">
            <v>RAQUEL BARBOSA</v>
          </cell>
        </row>
        <row r="645">
          <cell r="B645">
            <v>5164717</v>
          </cell>
          <cell r="C645" t="str">
            <v>HENDUPAN COM DE PROD CON LTDA</v>
          </cell>
          <cell r="D645">
            <v>6001</v>
          </cell>
          <cell r="E645" t="str">
            <v>6125</v>
          </cell>
          <cell r="F645" t="str">
            <v>C1</v>
          </cell>
          <cell r="G645" t="str">
            <v>SP</v>
          </cell>
          <cell r="H645" t="str">
            <v>DISTRIBUIÇÃO</v>
          </cell>
          <cell r="I645" t="str">
            <v>FOOD SERVICE</v>
          </cell>
          <cell r="J645" t="str">
            <v>SP ITB FS FLAC REP.E COMERCIO</v>
          </cell>
          <cell r="K645" t="str">
            <v>ITAMBÉ</v>
          </cell>
          <cell r="L645" t="str">
            <v>RODRIGO</v>
          </cell>
          <cell r="M645" t="str">
            <v>RAQUEL BARBOSA</v>
          </cell>
        </row>
        <row r="646">
          <cell r="B646">
            <v>5263976</v>
          </cell>
          <cell r="C646" t="str">
            <v>HENRI S CREPERIA ARTESANAL EIRELI M</v>
          </cell>
          <cell r="D646">
            <v>7001</v>
          </cell>
          <cell r="E646" t="str">
            <v>0749</v>
          </cell>
          <cell r="F646" t="str">
            <v>C5</v>
          </cell>
          <cell r="G646" t="str">
            <v>SP</v>
          </cell>
          <cell r="H646" t="str">
            <v>DISTRIBUIÇÃO</v>
          </cell>
          <cell r="I646" t="str">
            <v>FOOD SERVICE</v>
          </cell>
          <cell r="J646" t="str">
            <v>FLAC 6</v>
          </cell>
          <cell r="K646" t="str">
            <v>LACTALIS</v>
          </cell>
          <cell r="L646" t="str">
            <v>RODRIGO</v>
          </cell>
          <cell r="M646" t="str">
            <v>RAQUEL BARBOSA</v>
          </cell>
        </row>
        <row r="647">
          <cell r="B647">
            <v>5224404</v>
          </cell>
          <cell r="C647" t="str">
            <v>HJA DISTRIBUIDORA E ATACADISTA LTDA</v>
          </cell>
          <cell r="D647">
            <v>3001</v>
          </cell>
          <cell r="E647" t="str">
            <v>0122</v>
          </cell>
          <cell r="F647" t="str">
            <v>C1</v>
          </cell>
          <cell r="G647" t="str">
            <v>MG</v>
          </cell>
          <cell r="H647" t="str">
            <v>DISTRIBUIÇÃO</v>
          </cell>
          <cell r="I647" t="str">
            <v>FOOD SERVICE</v>
          </cell>
          <cell r="J647" t="str">
            <v>MARCELO SILVA</v>
          </cell>
          <cell r="K647" t="str">
            <v>ITAMBÉ</v>
          </cell>
          <cell r="L647" t="str">
            <v>RODRIGO</v>
          </cell>
          <cell r="M647" t="str">
            <v>CELIO MARTINS</v>
          </cell>
        </row>
        <row r="648">
          <cell r="B648">
            <v>5317592</v>
          </cell>
          <cell r="C648" t="str">
            <v>HM REFEICAO CORPORATIVA LTDA</v>
          </cell>
          <cell r="D648">
            <v>7001</v>
          </cell>
          <cell r="E648" t="str">
            <v>0749</v>
          </cell>
          <cell r="F648" t="str">
            <v>C5</v>
          </cell>
          <cell r="G648" t="str">
            <v>SP</v>
          </cell>
          <cell r="H648" t="str">
            <v>QSR</v>
          </cell>
          <cell r="I648" t="str">
            <v>FOOD SERVICE</v>
          </cell>
          <cell r="J648" t="str">
            <v>NUTRI</v>
          </cell>
          <cell r="K648" t="str">
            <v>LACTALIS</v>
          </cell>
          <cell r="L648" t="str">
            <v>PEDRO</v>
          </cell>
          <cell r="M648" t="str">
            <v>VAGO QSR</v>
          </cell>
        </row>
        <row r="649">
          <cell r="B649">
            <v>5322114</v>
          </cell>
          <cell r="C649" t="str">
            <v>HMFOOD CAFE LTDA</v>
          </cell>
          <cell r="D649">
            <v>7001</v>
          </cell>
          <cell r="E649" t="str">
            <v>0749</v>
          </cell>
          <cell r="F649" t="str">
            <v>C5</v>
          </cell>
          <cell r="G649" t="str">
            <v>SP</v>
          </cell>
          <cell r="H649" t="str">
            <v>DISTRIBUIÇÃO</v>
          </cell>
          <cell r="I649" t="str">
            <v>FOOD SERVICE</v>
          </cell>
          <cell r="J649" t="str">
            <v>FLAC 4</v>
          </cell>
          <cell r="K649" t="str">
            <v>LACTALIS</v>
          </cell>
          <cell r="L649" t="str">
            <v>RODRIGO</v>
          </cell>
          <cell r="M649" t="str">
            <v>RAQUEL BARBOSA</v>
          </cell>
        </row>
        <row r="650">
          <cell r="B650">
            <v>5262549</v>
          </cell>
          <cell r="C650" t="str">
            <v>HOKKAIDO COMERCIO DE ALIMENTOS LTDA</v>
          </cell>
          <cell r="D650">
            <v>7001</v>
          </cell>
          <cell r="E650" t="str">
            <v>0749</v>
          </cell>
          <cell r="F650" t="str">
            <v>C5</v>
          </cell>
          <cell r="G650" t="str">
            <v>SP</v>
          </cell>
          <cell r="H650" t="str">
            <v>DISTRIBUIÇÃO</v>
          </cell>
          <cell r="I650" t="str">
            <v>FOOD SERVICE</v>
          </cell>
          <cell r="J650" t="str">
            <v>FLAC 5</v>
          </cell>
          <cell r="K650" t="str">
            <v>LACTALIS</v>
          </cell>
          <cell r="L650" t="str">
            <v>RODRIGO</v>
          </cell>
          <cell r="M650" t="str">
            <v>RAQUEL BARBOSA</v>
          </cell>
        </row>
        <row r="651">
          <cell r="B651">
            <v>5226643</v>
          </cell>
          <cell r="C651" t="str">
            <v>HOSPITAL MATER DEI SA</v>
          </cell>
          <cell r="D651">
            <v>3001</v>
          </cell>
          <cell r="E651" t="str">
            <v>0127</v>
          </cell>
          <cell r="F651" t="str">
            <v>C1</v>
          </cell>
          <cell r="G651" t="str">
            <v>BA</v>
          </cell>
          <cell r="H651" t="str">
            <v>DISTRIBUIÇÃO</v>
          </cell>
          <cell r="I651" t="str">
            <v>FOOD SERVICE</v>
          </cell>
          <cell r="J651" t="str">
            <v>CLAUDIO JORGE/LUIZ</v>
          </cell>
          <cell r="K651" t="str">
            <v>ITAMBÉ</v>
          </cell>
          <cell r="L651" t="str">
            <v>RODRIGO</v>
          </cell>
          <cell r="M651" t="str">
            <v>MARIA LOURDES</v>
          </cell>
        </row>
        <row r="652">
          <cell r="B652">
            <v>5316375</v>
          </cell>
          <cell r="C652" t="str">
            <v>HOTEL DOWNTOWN SAO PAULO LTDA</v>
          </cell>
          <cell r="D652">
            <v>7001</v>
          </cell>
          <cell r="E652" t="str">
            <v>0749</v>
          </cell>
          <cell r="F652" t="str">
            <v>C5</v>
          </cell>
          <cell r="G652" t="str">
            <v>SP</v>
          </cell>
          <cell r="H652" t="str">
            <v>DISTRIBUIÇÃO</v>
          </cell>
          <cell r="I652" t="str">
            <v>FOOD SERVICE</v>
          </cell>
          <cell r="J652" t="str">
            <v>FLAC 6</v>
          </cell>
          <cell r="K652" t="str">
            <v>LACTALIS</v>
          </cell>
          <cell r="L652" t="str">
            <v>RODRIGO</v>
          </cell>
          <cell r="M652" t="str">
            <v>RAQUEL BARBOSA</v>
          </cell>
        </row>
        <row r="653">
          <cell r="B653">
            <v>5263271</v>
          </cell>
          <cell r="C653" t="str">
            <v>HOTEL E RESTAURANTE WZ JARDINS 1 LT</v>
          </cell>
          <cell r="D653">
            <v>7001</v>
          </cell>
          <cell r="E653" t="str">
            <v>0749</v>
          </cell>
          <cell r="F653" t="str">
            <v>C5</v>
          </cell>
          <cell r="G653" t="str">
            <v>SP</v>
          </cell>
          <cell r="H653" t="str">
            <v>DISTRIBUIÇÃO</v>
          </cell>
          <cell r="I653" t="str">
            <v>FOOD SERVICE</v>
          </cell>
          <cell r="J653" t="str">
            <v>FLAC 4</v>
          </cell>
          <cell r="K653" t="str">
            <v>LACTALIS</v>
          </cell>
          <cell r="L653" t="str">
            <v>RODRIGO</v>
          </cell>
          <cell r="M653" t="str">
            <v>RAQUEL BARBOSA</v>
          </cell>
        </row>
        <row r="654">
          <cell r="B654">
            <v>5002471</v>
          </cell>
          <cell r="C654" t="str">
            <v>HOTEL GRAN CORONA LTDA</v>
          </cell>
          <cell r="D654">
            <v>7001</v>
          </cell>
          <cell r="E654" t="str">
            <v>0749</v>
          </cell>
          <cell r="F654" t="str">
            <v>C5</v>
          </cell>
          <cell r="G654" t="str">
            <v>SP</v>
          </cell>
          <cell r="H654" t="str">
            <v>DISTRIBUIÇÃO</v>
          </cell>
          <cell r="I654" t="str">
            <v>FOOD SERVICE</v>
          </cell>
          <cell r="J654" t="str">
            <v>FLAC 5</v>
          </cell>
          <cell r="K654" t="str">
            <v>LACTALIS</v>
          </cell>
          <cell r="L654" t="str">
            <v>RODRIGO</v>
          </cell>
          <cell r="M654" t="str">
            <v>RAQUEL BARBOSA</v>
          </cell>
        </row>
        <row r="655">
          <cell r="B655">
            <v>5336921</v>
          </cell>
          <cell r="C655" t="str">
            <v>HOTEL INTERNACIONAL GUARULHOS L</v>
          </cell>
          <cell r="D655">
            <v>7001</v>
          </cell>
          <cell r="E655" t="str">
            <v>0749</v>
          </cell>
          <cell r="F655" t="str">
            <v>C5</v>
          </cell>
          <cell r="G655" t="str">
            <v>SP</v>
          </cell>
          <cell r="H655" t="str">
            <v>DISTRIBUIÇÃO</v>
          </cell>
          <cell r="I655" t="str">
            <v>FOOD SERVICE</v>
          </cell>
          <cell r="J655" t="str">
            <v>FLAC 5</v>
          </cell>
          <cell r="K655" t="str">
            <v>LACTALIS</v>
          </cell>
          <cell r="L655" t="str">
            <v>RODRIGO</v>
          </cell>
          <cell r="M655" t="str">
            <v>RAQUEL BARBOSA</v>
          </cell>
        </row>
        <row r="656">
          <cell r="B656">
            <v>5324423</v>
          </cell>
          <cell r="C656" t="str">
            <v>HOTEL MONREALE GUARULHOS LTDA</v>
          </cell>
          <cell r="D656">
            <v>7001</v>
          </cell>
          <cell r="E656" t="str">
            <v>0749</v>
          </cell>
          <cell r="F656" t="str">
            <v>C5</v>
          </cell>
          <cell r="G656" t="str">
            <v>SP</v>
          </cell>
          <cell r="H656" t="str">
            <v>DISTRIBUIÇÃO</v>
          </cell>
          <cell r="I656" t="str">
            <v>FOOD SERVICE</v>
          </cell>
          <cell r="J656" t="str">
            <v>FLAC 6</v>
          </cell>
          <cell r="K656" t="str">
            <v>LACTALIS</v>
          </cell>
          <cell r="L656" t="str">
            <v>RODRIGO</v>
          </cell>
          <cell r="M656" t="str">
            <v>RAQUEL BARBOSA</v>
          </cell>
        </row>
        <row r="657">
          <cell r="B657">
            <v>5330147</v>
          </cell>
          <cell r="C657" t="str">
            <v>HOTEL NACIONAL DUTRA LTDA</v>
          </cell>
          <cell r="D657">
            <v>7001</v>
          </cell>
          <cell r="E657" t="str">
            <v>0749</v>
          </cell>
          <cell r="F657" t="str">
            <v>C5</v>
          </cell>
          <cell r="G657" t="str">
            <v>SP</v>
          </cell>
          <cell r="H657" t="str">
            <v>DISTRIBUIÇÃO</v>
          </cell>
          <cell r="I657" t="str">
            <v>FOOD SERVICE</v>
          </cell>
          <cell r="J657" t="str">
            <v>FLAC 7</v>
          </cell>
          <cell r="K657" t="str">
            <v>LACTALIS</v>
          </cell>
          <cell r="L657" t="str">
            <v>RODRIGO</v>
          </cell>
          <cell r="M657" t="str">
            <v>RAQUEL BARBOSA</v>
          </cell>
        </row>
        <row r="658">
          <cell r="B658">
            <v>5020555</v>
          </cell>
          <cell r="C658" t="str">
            <v>HOTEL NACIONAL INN BH LTDA</v>
          </cell>
          <cell r="D658">
            <v>3001</v>
          </cell>
          <cell r="E658" t="str">
            <v>0122</v>
          </cell>
          <cell r="F658" t="str">
            <v>C1</v>
          </cell>
          <cell r="G658" t="str">
            <v>MG</v>
          </cell>
          <cell r="H658" t="str">
            <v>DISTRIBUIÇÃO</v>
          </cell>
          <cell r="I658" t="str">
            <v>FOOD SERVICE</v>
          </cell>
          <cell r="J658" t="str">
            <v>MARCELO SILVA</v>
          </cell>
          <cell r="K658" t="str">
            <v>ITAMBÉ</v>
          </cell>
          <cell r="L658" t="str">
            <v>RODRIGO</v>
          </cell>
          <cell r="M658" t="str">
            <v>CELIO MARTINS</v>
          </cell>
        </row>
        <row r="659">
          <cell r="B659">
            <v>5247932</v>
          </cell>
          <cell r="C659" t="str">
            <v>HOTEL PANAMBY LTDA</v>
          </cell>
          <cell r="D659">
            <v>7001</v>
          </cell>
          <cell r="E659" t="str">
            <v>0749</v>
          </cell>
          <cell r="F659" t="str">
            <v>C5</v>
          </cell>
          <cell r="G659" t="str">
            <v>SP</v>
          </cell>
          <cell r="H659" t="str">
            <v>DISTRIBUIÇÃO</v>
          </cell>
          <cell r="I659" t="str">
            <v>FOOD SERVICE</v>
          </cell>
          <cell r="J659" t="str">
            <v>FLAC 6</v>
          </cell>
          <cell r="K659" t="str">
            <v>LACTALIS</v>
          </cell>
          <cell r="L659" t="str">
            <v>RODRIGO</v>
          </cell>
          <cell r="M659" t="str">
            <v>RAQUEL BARBOSA</v>
          </cell>
        </row>
        <row r="660">
          <cell r="B660">
            <v>5285369</v>
          </cell>
          <cell r="C660" t="str">
            <v>HOTEL ROJAS LTDA ME</v>
          </cell>
          <cell r="D660">
            <v>7001</v>
          </cell>
          <cell r="E660" t="str">
            <v>0749</v>
          </cell>
          <cell r="F660" t="str">
            <v>C5</v>
          </cell>
          <cell r="G660" t="str">
            <v>SP</v>
          </cell>
          <cell r="H660" t="str">
            <v>DISTRIBUIÇÃO</v>
          </cell>
          <cell r="I660" t="str">
            <v>FOOD SERVICE</v>
          </cell>
          <cell r="J660" t="str">
            <v>FLAC 6</v>
          </cell>
          <cell r="K660" t="str">
            <v>LACTALIS</v>
          </cell>
          <cell r="L660" t="str">
            <v>RODRIGO</v>
          </cell>
          <cell r="M660" t="str">
            <v>RAQUEL BARBOSA</v>
          </cell>
        </row>
        <row r="661">
          <cell r="B661">
            <v>5184474</v>
          </cell>
          <cell r="C661" t="str">
            <v>HOTEL SAO PAULO ADMINISTRADOR HOTEL</v>
          </cell>
          <cell r="D661">
            <v>3001</v>
          </cell>
          <cell r="E661" t="str">
            <v>0122</v>
          </cell>
          <cell r="F661" t="str">
            <v>C1</v>
          </cell>
          <cell r="G661" t="str">
            <v>MG</v>
          </cell>
          <cell r="H661" t="str">
            <v>DISTRIBUIÇÃO</v>
          </cell>
          <cell r="I661" t="str">
            <v>FOOD SERVICE</v>
          </cell>
          <cell r="J661" t="str">
            <v>MARCELO SILVA</v>
          </cell>
          <cell r="K661" t="str">
            <v>ITAMBÉ</v>
          </cell>
          <cell r="L661" t="str">
            <v>RODRIGO</v>
          </cell>
          <cell r="M661" t="str">
            <v>CELIO MARTINS</v>
          </cell>
        </row>
        <row r="662">
          <cell r="B662">
            <v>5182399</v>
          </cell>
          <cell r="C662" t="str">
            <v>HOTELARIA ACCOR BRASIL SA</v>
          </cell>
          <cell r="D662">
            <v>7001</v>
          </cell>
          <cell r="E662" t="str">
            <v>0749</v>
          </cell>
          <cell r="F662" t="str">
            <v>C5</v>
          </cell>
          <cell r="G662" t="str">
            <v>SP</v>
          </cell>
          <cell r="H662" t="str">
            <v>DISTRIBUIÇÃO</v>
          </cell>
          <cell r="I662" t="str">
            <v>FOOD SERVICE</v>
          </cell>
          <cell r="J662" t="str">
            <v>FLAC 3</v>
          </cell>
          <cell r="K662" t="str">
            <v>LACTALIS</v>
          </cell>
          <cell r="L662" t="str">
            <v>RODRIGO</v>
          </cell>
          <cell r="M662" t="str">
            <v>RAQUEL BARBOSA</v>
          </cell>
        </row>
        <row r="663">
          <cell r="B663">
            <v>5252388</v>
          </cell>
          <cell r="C663" t="str">
            <v>HOTELARIA ACCOR BRASIL SA</v>
          </cell>
          <cell r="D663">
            <v>7001</v>
          </cell>
          <cell r="E663" t="str">
            <v>0749</v>
          </cell>
          <cell r="F663" t="str">
            <v>C5</v>
          </cell>
          <cell r="G663" t="str">
            <v>SP</v>
          </cell>
          <cell r="H663" t="str">
            <v>DISTRIBUIÇÃO</v>
          </cell>
          <cell r="I663" t="str">
            <v>FOOD SERVICE</v>
          </cell>
          <cell r="J663" t="str">
            <v>FLAC 2</v>
          </cell>
          <cell r="K663" t="str">
            <v>LACTALIS</v>
          </cell>
          <cell r="L663" t="str">
            <v>RODRIGO</v>
          </cell>
          <cell r="M663" t="str">
            <v>RAQUEL BARBOSA</v>
          </cell>
        </row>
        <row r="664">
          <cell r="B664">
            <v>5248235</v>
          </cell>
          <cell r="C664" t="str">
            <v>HOTELARIA ACCOR BRASIL SA</v>
          </cell>
          <cell r="D664">
            <v>7001</v>
          </cell>
          <cell r="E664" t="str">
            <v>0749</v>
          </cell>
          <cell r="F664" t="str">
            <v>C5</v>
          </cell>
          <cell r="G664" t="str">
            <v>SP</v>
          </cell>
          <cell r="H664" t="str">
            <v>DISTRIBUIÇÃO</v>
          </cell>
          <cell r="I664" t="str">
            <v>FOOD SERVICE</v>
          </cell>
          <cell r="J664" t="str">
            <v>FLAC 5</v>
          </cell>
          <cell r="K664" t="str">
            <v>LACTALIS</v>
          </cell>
          <cell r="L664" t="str">
            <v>RODRIGO</v>
          </cell>
          <cell r="M664" t="str">
            <v>RAQUEL BARBOSA</v>
          </cell>
        </row>
        <row r="665">
          <cell r="B665">
            <v>5262002</v>
          </cell>
          <cell r="C665" t="str">
            <v>HOTELARIA ACCOR BRASIL SA</v>
          </cell>
          <cell r="D665">
            <v>7001</v>
          </cell>
          <cell r="E665" t="str">
            <v>0749</v>
          </cell>
          <cell r="F665" t="str">
            <v>C5</v>
          </cell>
          <cell r="G665" t="str">
            <v>SP</v>
          </cell>
          <cell r="H665" t="str">
            <v>DISTRIBUIÇÃO</v>
          </cell>
          <cell r="I665" t="str">
            <v>FOOD SERVICE</v>
          </cell>
          <cell r="J665" t="str">
            <v>FLAC 3</v>
          </cell>
          <cell r="K665" t="str">
            <v>LACTALIS</v>
          </cell>
          <cell r="L665" t="str">
            <v>RODRIGO</v>
          </cell>
          <cell r="M665" t="str">
            <v>RAQUEL BARBOSA</v>
          </cell>
        </row>
        <row r="666">
          <cell r="B666">
            <v>5298640</v>
          </cell>
          <cell r="C666" t="str">
            <v>HOTELARIA ACCOR BRASIL SA</v>
          </cell>
          <cell r="D666">
            <v>7001</v>
          </cell>
          <cell r="E666" t="str">
            <v>0749</v>
          </cell>
          <cell r="F666" t="str">
            <v>C5</v>
          </cell>
          <cell r="G666" t="str">
            <v>SP</v>
          </cell>
          <cell r="H666" t="str">
            <v>DISTRIBUIÇÃO</v>
          </cell>
          <cell r="I666" t="str">
            <v>FOOD SERVICE</v>
          </cell>
          <cell r="J666" t="str">
            <v>FLAC 6</v>
          </cell>
          <cell r="K666" t="str">
            <v>LACTALIS</v>
          </cell>
          <cell r="L666" t="str">
            <v>RODRIGO</v>
          </cell>
          <cell r="M666" t="str">
            <v>RAQUEL BARBOSA</v>
          </cell>
        </row>
        <row r="667">
          <cell r="B667">
            <v>5261548</v>
          </cell>
          <cell r="C667" t="str">
            <v>HOTELARIA ACCOR BRASIL SA</v>
          </cell>
          <cell r="D667">
            <v>7001</v>
          </cell>
          <cell r="E667" t="str">
            <v>0749</v>
          </cell>
          <cell r="F667" t="str">
            <v>C5</v>
          </cell>
          <cell r="G667" t="str">
            <v>SP</v>
          </cell>
          <cell r="H667" t="str">
            <v>DISTRIBUIÇÃO</v>
          </cell>
          <cell r="I667" t="str">
            <v>FOOD SERVICE</v>
          </cell>
          <cell r="J667" t="str">
            <v>FLAC 3</v>
          </cell>
          <cell r="K667" t="str">
            <v>LACTALIS</v>
          </cell>
          <cell r="L667" t="str">
            <v>RODRIGO</v>
          </cell>
          <cell r="M667" t="str">
            <v>RAQUEL BARBOSA</v>
          </cell>
        </row>
        <row r="668">
          <cell r="B668">
            <v>5300785</v>
          </cell>
          <cell r="C668" t="str">
            <v>HOTELARIA ACCOR BRASIL SA</v>
          </cell>
          <cell r="D668">
            <v>7001</v>
          </cell>
          <cell r="E668" t="str">
            <v>0749</v>
          </cell>
          <cell r="F668" t="str">
            <v>C5</v>
          </cell>
          <cell r="G668" t="str">
            <v>SP</v>
          </cell>
          <cell r="H668" t="str">
            <v>DISTRIBUIÇÃO</v>
          </cell>
          <cell r="I668" t="str">
            <v>FOOD SERVICE</v>
          </cell>
          <cell r="J668" t="str">
            <v>FLAC 3</v>
          </cell>
          <cell r="K668" t="str">
            <v>LACTALIS</v>
          </cell>
          <cell r="L668" t="str">
            <v>RODRIGO</v>
          </cell>
          <cell r="M668" t="str">
            <v>RAQUEL BARBOSA</v>
          </cell>
        </row>
        <row r="669">
          <cell r="B669">
            <v>5248711</v>
          </cell>
          <cell r="C669" t="str">
            <v>HOTELARIA ACCOR BRASIL SA</v>
          </cell>
          <cell r="D669">
            <v>7001</v>
          </cell>
          <cell r="E669" t="str">
            <v>0749</v>
          </cell>
          <cell r="F669" t="str">
            <v>C5</v>
          </cell>
          <cell r="G669" t="str">
            <v>SP</v>
          </cell>
          <cell r="H669" t="str">
            <v>DISTRIBUIÇÃO</v>
          </cell>
          <cell r="I669" t="str">
            <v>FOOD SERVICE</v>
          </cell>
          <cell r="J669" t="str">
            <v>FLAC 2</v>
          </cell>
          <cell r="K669" t="str">
            <v>LACTALIS</v>
          </cell>
          <cell r="L669" t="str">
            <v>RODRIGO</v>
          </cell>
          <cell r="M669" t="str">
            <v>RAQUEL BARBOSA</v>
          </cell>
        </row>
        <row r="670">
          <cell r="B670">
            <v>5252843</v>
          </cell>
          <cell r="C670" t="str">
            <v>HOTELARIA ACCOR BRASIL SA</v>
          </cell>
          <cell r="D670">
            <v>7001</v>
          </cell>
          <cell r="E670" t="str">
            <v>0749</v>
          </cell>
          <cell r="F670" t="str">
            <v>C5</v>
          </cell>
          <cell r="G670" t="str">
            <v>SP</v>
          </cell>
          <cell r="H670" t="str">
            <v>DISTRIBUIÇÃO</v>
          </cell>
          <cell r="I670" t="str">
            <v>FOOD SERVICE</v>
          </cell>
          <cell r="J670" t="str">
            <v>FLAC 6</v>
          </cell>
          <cell r="K670" t="str">
            <v>LACTALIS</v>
          </cell>
          <cell r="L670" t="str">
            <v>RODRIGO</v>
          </cell>
          <cell r="M670" t="str">
            <v>RAQUEL BARBOSA</v>
          </cell>
        </row>
        <row r="671">
          <cell r="B671">
            <v>5266735</v>
          </cell>
          <cell r="C671" t="str">
            <v>HOTELARIA ACCOR BRASIL SA</v>
          </cell>
          <cell r="D671">
            <v>7001</v>
          </cell>
          <cell r="E671" t="str">
            <v>0749</v>
          </cell>
          <cell r="F671" t="str">
            <v>C5</v>
          </cell>
          <cell r="G671" t="str">
            <v>SP</v>
          </cell>
          <cell r="H671" t="str">
            <v>DISTRIBUIÇÃO</v>
          </cell>
          <cell r="I671" t="str">
            <v>FOOD SERVICE</v>
          </cell>
          <cell r="J671" t="str">
            <v>FLAC 3</v>
          </cell>
          <cell r="K671" t="str">
            <v>LACTALIS</v>
          </cell>
          <cell r="L671" t="str">
            <v>RODRIGO</v>
          </cell>
          <cell r="M671" t="str">
            <v>RAQUEL BARBOSA</v>
          </cell>
        </row>
        <row r="672">
          <cell r="B672">
            <v>5158914</v>
          </cell>
          <cell r="C672" t="str">
            <v>HOTELARIA ACCORINVEST BRASIL S A</v>
          </cell>
          <cell r="D672">
            <v>7001</v>
          </cell>
          <cell r="E672" t="str">
            <v>0749</v>
          </cell>
          <cell r="F672" t="str">
            <v>C5</v>
          </cell>
          <cell r="G672" t="str">
            <v>SP</v>
          </cell>
          <cell r="H672" t="str">
            <v>DISTRIBUIÇÃO</v>
          </cell>
          <cell r="I672" t="str">
            <v>FOOD SERVICE</v>
          </cell>
          <cell r="J672" t="str">
            <v>FLAC 3</v>
          </cell>
          <cell r="K672" t="str">
            <v>LACTALIS</v>
          </cell>
          <cell r="L672" t="str">
            <v>RODRIGO</v>
          </cell>
          <cell r="M672" t="str">
            <v>RAQUEL BARBOSA</v>
          </cell>
        </row>
        <row r="673">
          <cell r="B673">
            <v>5195658</v>
          </cell>
          <cell r="C673" t="str">
            <v>HOTELARIA ACCORINVEST BRASIL S A</v>
          </cell>
          <cell r="D673">
            <v>7001</v>
          </cell>
          <cell r="E673" t="str">
            <v>0749</v>
          </cell>
          <cell r="F673" t="str">
            <v>C5</v>
          </cell>
          <cell r="G673" t="str">
            <v>SP</v>
          </cell>
          <cell r="H673" t="str">
            <v>DISTRIBUIÇÃO</v>
          </cell>
          <cell r="I673" t="str">
            <v>FOOD SERVICE</v>
          </cell>
          <cell r="J673" t="str">
            <v>FLAC 6</v>
          </cell>
          <cell r="K673" t="str">
            <v>LACTALIS</v>
          </cell>
          <cell r="L673" t="str">
            <v>RODRIGO</v>
          </cell>
          <cell r="M673" t="str">
            <v>RAQUEL BARBOSA</v>
          </cell>
        </row>
        <row r="674">
          <cell r="B674">
            <v>5262079</v>
          </cell>
          <cell r="C674" t="str">
            <v>HOTELARIA ACCORINVEST BRASIL SA</v>
          </cell>
          <cell r="D674">
            <v>7001</v>
          </cell>
          <cell r="E674" t="str">
            <v>0749</v>
          </cell>
          <cell r="F674" t="str">
            <v>C5</v>
          </cell>
          <cell r="G674" t="str">
            <v>SP</v>
          </cell>
          <cell r="H674" t="str">
            <v>DISTRIBUIÇÃO</v>
          </cell>
          <cell r="I674" t="str">
            <v>FOOD SERVICE</v>
          </cell>
          <cell r="J674" t="str">
            <v>FLAC 2</v>
          </cell>
          <cell r="K674" t="str">
            <v>LACTALIS</v>
          </cell>
          <cell r="L674" t="str">
            <v>RODRIGO</v>
          </cell>
          <cell r="M674" t="str">
            <v>RAQUEL BARBOSA</v>
          </cell>
        </row>
        <row r="675">
          <cell r="B675">
            <v>5262094</v>
          </cell>
          <cell r="C675" t="str">
            <v>HOTELARIA ACCORINVEST BRASIL SA</v>
          </cell>
          <cell r="D675">
            <v>7001</v>
          </cell>
          <cell r="E675" t="str">
            <v>0749</v>
          </cell>
          <cell r="F675" t="str">
            <v>C5</v>
          </cell>
          <cell r="G675" t="str">
            <v>SP</v>
          </cell>
          <cell r="H675" t="str">
            <v>DISTRIBUIÇÃO</v>
          </cell>
          <cell r="I675" t="str">
            <v>FOOD SERVICE</v>
          </cell>
          <cell r="J675" t="str">
            <v>FLAC 5</v>
          </cell>
          <cell r="K675" t="str">
            <v>LACTALIS</v>
          </cell>
          <cell r="L675" t="str">
            <v>RODRIGO</v>
          </cell>
          <cell r="M675" t="str">
            <v>RAQUEL BARBOSA</v>
          </cell>
        </row>
        <row r="676">
          <cell r="B676">
            <v>5262269</v>
          </cell>
          <cell r="C676" t="str">
            <v>HOTELARIA ACCORINVEST BRASIL SA</v>
          </cell>
          <cell r="D676">
            <v>7001</v>
          </cell>
          <cell r="E676" t="str">
            <v>0749</v>
          </cell>
          <cell r="F676" t="str">
            <v>C5</v>
          </cell>
          <cell r="G676" t="str">
            <v>SP</v>
          </cell>
          <cell r="H676" t="str">
            <v>DISTRIBUIÇÃO</v>
          </cell>
          <cell r="I676" t="str">
            <v>FOOD SERVICE</v>
          </cell>
          <cell r="J676" t="str">
            <v>FLAC 6</v>
          </cell>
          <cell r="K676" t="str">
            <v>LACTALIS</v>
          </cell>
          <cell r="L676" t="str">
            <v>RODRIGO</v>
          </cell>
          <cell r="M676" t="str">
            <v>RAQUEL BARBOSA</v>
          </cell>
        </row>
        <row r="677">
          <cell r="B677">
            <v>5180555</v>
          </cell>
          <cell r="C677" t="str">
            <v>HOTELARIA ACCORINVEST BRASIL SA</v>
          </cell>
          <cell r="D677">
            <v>7001</v>
          </cell>
          <cell r="E677" t="str">
            <v>0749</v>
          </cell>
          <cell r="F677" t="str">
            <v>C5</v>
          </cell>
          <cell r="G677" t="str">
            <v>SP</v>
          </cell>
          <cell r="H677" t="str">
            <v>DISTRIBUIÇÃO</v>
          </cell>
          <cell r="I677" t="str">
            <v>FOOD SERVICE</v>
          </cell>
          <cell r="J677" t="str">
            <v>FLAC 6</v>
          </cell>
          <cell r="K677" t="str">
            <v>LACTALIS</v>
          </cell>
          <cell r="L677" t="str">
            <v>RODRIGO</v>
          </cell>
          <cell r="M677" t="str">
            <v>RAQUEL BARBOSA</v>
          </cell>
        </row>
        <row r="678">
          <cell r="B678">
            <v>5253561</v>
          </cell>
          <cell r="C678" t="str">
            <v>HOTELARIA BRASIL LTDA</v>
          </cell>
          <cell r="D678">
            <v>7001</v>
          </cell>
          <cell r="E678" t="str">
            <v>0749</v>
          </cell>
          <cell r="F678" t="str">
            <v>C5</v>
          </cell>
          <cell r="G678" t="str">
            <v>SP</v>
          </cell>
          <cell r="H678" t="str">
            <v>DISTRIBUIÇÃO</v>
          </cell>
          <cell r="I678" t="str">
            <v>FOOD SERVICE</v>
          </cell>
          <cell r="J678" t="str">
            <v>FLAC 4</v>
          </cell>
          <cell r="K678" t="str">
            <v>LACTALIS</v>
          </cell>
          <cell r="L678" t="str">
            <v>RODRIGO</v>
          </cell>
          <cell r="M678" t="str">
            <v>RAQUEL BARBOSA</v>
          </cell>
        </row>
        <row r="679">
          <cell r="B679">
            <v>5293310</v>
          </cell>
          <cell r="C679" t="str">
            <v>HP PLUS GESTAO HOSPITALAR SA</v>
          </cell>
          <cell r="D679">
            <v>7001</v>
          </cell>
          <cell r="E679" t="str">
            <v>0749</v>
          </cell>
          <cell r="F679" t="str">
            <v>C5</v>
          </cell>
          <cell r="G679" t="str">
            <v>SP</v>
          </cell>
          <cell r="H679" t="str">
            <v>DISTRIBUIÇÃO</v>
          </cell>
          <cell r="I679" t="str">
            <v>FOOD SERVICE</v>
          </cell>
          <cell r="J679" t="str">
            <v>FLAC 6</v>
          </cell>
          <cell r="K679" t="str">
            <v>LACTALIS</v>
          </cell>
          <cell r="L679" t="str">
            <v>RODRIGO</v>
          </cell>
          <cell r="M679" t="str">
            <v>RAQUEL BARBOSA</v>
          </cell>
        </row>
        <row r="680">
          <cell r="B680">
            <v>5226129</v>
          </cell>
          <cell r="C680" t="str">
            <v>HSBL COMERCIO DE DESCARTAVEIS EIREL</v>
          </cell>
          <cell r="D680">
            <v>3001</v>
          </cell>
          <cell r="E680" t="str">
            <v>0169</v>
          </cell>
          <cell r="F680" t="str">
            <v>C1</v>
          </cell>
          <cell r="G680" t="str">
            <v>ES</v>
          </cell>
          <cell r="H680" t="str">
            <v>DISTRIBUIÇÃO</v>
          </cell>
          <cell r="I680" t="str">
            <v>FOOD SERVICE</v>
          </cell>
          <cell r="J680" t="str">
            <v>MARCELO DUARTE</v>
          </cell>
          <cell r="K680" t="str">
            <v>ITAMBÉ</v>
          </cell>
          <cell r="L680" t="str">
            <v>RODRIGO</v>
          </cell>
          <cell r="M680" t="str">
            <v>JESSICA</v>
          </cell>
        </row>
        <row r="681">
          <cell r="B681">
            <v>5264124</v>
          </cell>
          <cell r="C681" t="str">
            <v>HTL SP PARTICIPACOES SA</v>
          </cell>
          <cell r="D681">
            <v>7001</v>
          </cell>
          <cell r="E681" t="str">
            <v>0749</v>
          </cell>
          <cell r="F681" t="str">
            <v>C5</v>
          </cell>
          <cell r="G681" t="str">
            <v>SP</v>
          </cell>
          <cell r="H681" t="str">
            <v>DISTRIBUIÇÃO</v>
          </cell>
          <cell r="I681" t="str">
            <v>FOOD SERVICE</v>
          </cell>
          <cell r="J681" t="str">
            <v>FLAC 2</v>
          </cell>
          <cell r="K681" t="str">
            <v>LACTALIS</v>
          </cell>
          <cell r="L681" t="str">
            <v>RODRIGO</v>
          </cell>
          <cell r="M681" t="str">
            <v>RAQUEL BARBOSA</v>
          </cell>
        </row>
        <row r="682">
          <cell r="B682">
            <v>5269911</v>
          </cell>
          <cell r="C682" t="str">
            <v>I C FOODS FORNECIMENTO DE ALIM</v>
          </cell>
          <cell r="D682">
            <v>7001</v>
          </cell>
          <cell r="E682" t="str">
            <v>0749</v>
          </cell>
          <cell r="F682" t="str">
            <v>C5</v>
          </cell>
          <cell r="G682" t="str">
            <v>SP</v>
          </cell>
          <cell r="H682" t="str">
            <v>DISTRIBUIÇÃO</v>
          </cell>
          <cell r="I682" t="str">
            <v>FOOD SERVICE</v>
          </cell>
          <cell r="J682" t="str">
            <v>FLAC 5</v>
          </cell>
          <cell r="K682" t="str">
            <v>LACTALIS</v>
          </cell>
          <cell r="L682" t="str">
            <v>RODRIGO</v>
          </cell>
          <cell r="M682" t="str">
            <v>RAQUEL BARBOSA</v>
          </cell>
        </row>
        <row r="683">
          <cell r="B683">
            <v>5248697</v>
          </cell>
          <cell r="C683" t="str">
            <v>IANONI E MENDES REST LTDA</v>
          </cell>
          <cell r="D683">
            <v>7001</v>
          </cell>
          <cell r="E683" t="str">
            <v>0749</v>
          </cell>
          <cell r="F683" t="str">
            <v>C5</v>
          </cell>
          <cell r="G683" t="str">
            <v>SP</v>
          </cell>
          <cell r="H683" t="str">
            <v>DISTRIBUIÇÃO</v>
          </cell>
          <cell r="I683" t="str">
            <v>FOOD SERVICE</v>
          </cell>
          <cell r="J683" t="str">
            <v>FLAC 2</v>
          </cell>
          <cell r="K683" t="str">
            <v>LACTALIS</v>
          </cell>
          <cell r="L683" t="str">
            <v>RODRIGO</v>
          </cell>
          <cell r="M683" t="str">
            <v>RAQUEL BARBOSA</v>
          </cell>
        </row>
        <row r="684">
          <cell r="B684">
            <v>5157826</v>
          </cell>
          <cell r="C684" t="str">
            <v>IBAC INDUSTRIA BRASILEIRA DE ALIM C</v>
          </cell>
          <cell r="D684">
            <v>3001</v>
          </cell>
          <cell r="E684" t="str">
            <v>0028</v>
          </cell>
          <cell r="F684" t="str">
            <v>C1</v>
          </cell>
          <cell r="G684" t="str">
            <v>SP</v>
          </cell>
          <cell r="H684" t="str">
            <v>INGREDIENTS</v>
          </cell>
          <cell r="I684" t="str">
            <v>INGREDIENTS</v>
          </cell>
          <cell r="J684" t="str">
            <v>TATIANA NITTA</v>
          </cell>
          <cell r="K684" t="str">
            <v>ITAMBÉ</v>
          </cell>
          <cell r="L684" t="str">
            <v>MAURICIO</v>
          </cell>
          <cell r="M684" t="str">
            <v>TATIANA NITTA</v>
          </cell>
        </row>
        <row r="685">
          <cell r="B685">
            <v>5157826</v>
          </cell>
          <cell r="C685" t="str">
            <v>IBAC INDUSTRIA BRASILEIRA DE ALIM C</v>
          </cell>
          <cell r="D685">
            <v>6001</v>
          </cell>
          <cell r="E685" t="str">
            <v>6125</v>
          </cell>
          <cell r="F685" t="str">
            <v>C1</v>
          </cell>
          <cell r="G685" t="str">
            <v>SP</v>
          </cell>
          <cell r="H685" t="str">
            <v>INGREDIENTS</v>
          </cell>
          <cell r="I685" t="str">
            <v>INGREDIENTS</v>
          </cell>
          <cell r="J685" t="str">
            <v>TATIANA NITTA</v>
          </cell>
          <cell r="K685" t="str">
            <v>ITAMBÉ</v>
          </cell>
          <cell r="L685" t="str">
            <v>MAURICIO</v>
          </cell>
          <cell r="M685" t="str">
            <v>TATIANA NITTA</v>
          </cell>
        </row>
        <row r="686">
          <cell r="B686">
            <v>5338667</v>
          </cell>
          <cell r="C686" t="str">
            <v>IBAE IND BRASILEIRA DE ALI ESP LTDA</v>
          </cell>
          <cell r="D686">
            <v>3001</v>
          </cell>
          <cell r="E686" t="str">
            <v>0169</v>
          </cell>
          <cell r="F686" t="str">
            <v>C1</v>
          </cell>
          <cell r="G686" t="str">
            <v>ES</v>
          </cell>
          <cell r="H686" t="str">
            <v>INGREDIENTS</v>
          </cell>
          <cell r="I686" t="str">
            <v>INGREDIENTS</v>
          </cell>
          <cell r="J686" t="str">
            <v>TATIANA NITTA</v>
          </cell>
          <cell r="K686" t="str">
            <v>ITAMBÉ</v>
          </cell>
          <cell r="L686" t="str">
            <v>MAURICIO</v>
          </cell>
          <cell r="M686" t="str">
            <v>TATIANA NITTA</v>
          </cell>
        </row>
        <row r="687">
          <cell r="B687">
            <v>5284452</v>
          </cell>
          <cell r="C687" t="str">
            <v>IBIRAPUERA PARK HOTEL LTDA</v>
          </cell>
          <cell r="D687">
            <v>7001</v>
          </cell>
          <cell r="E687" t="str">
            <v>0749</v>
          </cell>
          <cell r="F687" t="str">
            <v>C5</v>
          </cell>
          <cell r="G687" t="str">
            <v>SP</v>
          </cell>
          <cell r="H687" t="str">
            <v>DISTRIBUIÇÃO</v>
          </cell>
          <cell r="I687" t="str">
            <v>FOOD SERVICE</v>
          </cell>
          <cell r="J687" t="str">
            <v>FLAC 2</v>
          </cell>
          <cell r="K687" t="str">
            <v>LACTALIS</v>
          </cell>
          <cell r="L687" t="str">
            <v>RODRIGO</v>
          </cell>
          <cell r="M687" t="str">
            <v>RAQUEL BARBOSA</v>
          </cell>
        </row>
        <row r="688">
          <cell r="B688">
            <v>5315284</v>
          </cell>
          <cell r="C688" t="str">
            <v>IC ADMINISTRADORA HOTELEIRA LTDA</v>
          </cell>
          <cell r="D688">
            <v>7001</v>
          </cell>
          <cell r="E688" t="str">
            <v>0749</v>
          </cell>
          <cell r="F688" t="str">
            <v>C5</v>
          </cell>
          <cell r="G688" t="str">
            <v>SP</v>
          </cell>
          <cell r="H688" t="str">
            <v>DISTRIBUIÇÃO</v>
          </cell>
          <cell r="I688" t="str">
            <v>FOOD SERVICE</v>
          </cell>
          <cell r="J688" t="str">
            <v>FLAC 4</v>
          </cell>
          <cell r="K688" t="str">
            <v>LACTALIS</v>
          </cell>
          <cell r="L688" t="str">
            <v>RODRIGO</v>
          </cell>
          <cell r="M688" t="str">
            <v>RAQUEL BARBOSA</v>
          </cell>
        </row>
        <row r="689">
          <cell r="B689">
            <v>5254128</v>
          </cell>
          <cell r="C689" t="str">
            <v>ICE MELLO LEITE DER FLAMBOYANT</v>
          </cell>
          <cell r="D689">
            <v>4001</v>
          </cell>
          <cell r="E689" t="str">
            <v>0437</v>
          </cell>
          <cell r="F689" t="str">
            <v>C1</v>
          </cell>
          <cell r="G689" t="str">
            <v>PA</v>
          </cell>
          <cell r="H689" t="str">
            <v>INGREDIENTS</v>
          </cell>
          <cell r="I689" t="str">
            <v>INGREDIENTS</v>
          </cell>
          <cell r="J689" t="str">
            <v>JOEL ELEOTÉRIO</v>
          </cell>
          <cell r="K689" t="str">
            <v>LACTALIS</v>
          </cell>
          <cell r="L689" t="str">
            <v>MAURICIO</v>
          </cell>
          <cell r="M689" t="str">
            <v>JOEL</v>
          </cell>
        </row>
        <row r="690">
          <cell r="B690">
            <v>5319203</v>
          </cell>
          <cell r="C690" t="str">
            <v>ICY GELATO DE AMERICANA LTDA</v>
          </cell>
          <cell r="D690">
            <v>7001</v>
          </cell>
          <cell r="E690" t="str">
            <v>0749</v>
          </cell>
          <cell r="F690" t="str">
            <v>C5</v>
          </cell>
          <cell r="G690" t="str">
            <v>SP</v>
          </cell>
          <cell r="H690" t="str">
            <v>DISTRIBUIÇÃO</v>
          </cell>
          <cell r="I690" t="str">
            <v>FOOD SERVICE</v>
          </cell>
          <cell r="J690" t="str">
            <v>FLAC 7</v>
          </cell>
          <cell r="K690" t="str">
            <v>LACTALIS</v>
          </cell>
          <cell r="L690" t="str">
            <v>RODRIGO</v>
          </cell>
          <cell r="M690" t="str">
            <v>RAQUEL BARBOSA</v>
          </cell>
        </row>
        <row r="691">
          <cell r="B691">
            <v>5266506</v>
          </cell>
          <cell r="C691" t="str">
            <v>ICY GELATO DO BRASIL LTDA</v>
          </cell>
          <cell r="D691">
            <v>7001</v>
          </cell>
          <cell r="E691" t="str">
            <v>0749</v>
          </cell>
          <cell r="F691" t="str">
            <v>C5</v>
          </cell>
          <cell r="G691" t="str">
            <v>SP</v>
          </cell>
          <cell r="H691" t="str">
            <v>DISTRIBUIÇÃO</v>
          </cell>
          <cell r="I691" t="str">
            <v>FOOD SERVICE</v>
          </cell>
          <cell r="J691" t="str">
            <v>FLAC 7</v>
          </cell>
          <cell r="K691" t="str">
            <v>LACTALIS</v>
          </cell>
          <cell r="L691" t="str">
            <v>RODRIGO</v>
          </cell>
          <cell r="M691" t="str">
            <v>RAQUEL BARBOSA</v>
          </cell>
        </row>
        <row r="692">
          <cell r="B692">
            <v>5117626</v>
          </cell>
          <cell r="C692" t="str">
            <v>IMA INDUSTRIA DE MASSAS ALIMENT</v>
          </cell>
          <cell r="D692">
            <v>4001</v>
          </cell>
          <cell r="E692" t="str">
            <v>0437</v>
          </cell>
          <cell r="F692" t="str">
            <v>C1</v>
          </cell>
          <cell r="G692" t="str">
            <v>MG</v>
          </cell>
          <cell r="H692" t="str">
            <v>INGREDIENTS</v>
          </cell>
          <cell r="I692" t="str">
            <v>INGREDIENTS</v>
          </cell>
          <cell r="J692" t="str">
            <v>HENRIQUE FERREIRA</v>
          </cell>
          <cell r="K692" t="str">
            <v>LACTALIS</v>
          </cell>
          <cell r="L692" t="str">
            <v>MAURICIO</v>
          </cell>
          <cell r="M692" t="str">
            <v>JOEL</v>
          </cell>
        </row>
        <row r="693">
          <cell r="B693">
            <v>5231717</v>
          </cell>
          <cell r="C693" t="str">
            <v>IMM PRODUTOS NATURAIS LTDA</v>
          </cell>
          <cell r="D693">
            <v>3001</v>
          </cell>
          <cell r="E693" t="str">
            <v>0169</v>
          </cell>
          <cell r="F693" t="str">
            <v>C1</v>
          </cell>
          <cell r="G693" t="str">
            <v>ES</v>
          </cell>
          <cell r="H693" t="str">
            <v>DISTRIBUIÇÃO</v>
          </cell>
          <cell r="I693" t="str">
            <v>FOOD SERVICE</v>
          </cell>
          <cell r="J693" t="str">
            <v>MARCELO DUARTE</v>
          </cell>
          <cell r="K693" t="str">
            <v>ITAMBÉ</v>
          </cell>
          <cell r="L693" t="str">
            <v>RODRIGO</v>
          </cell>
          <cell r="M693" t="str">
            <v>JESSICA</v>
          </cell>
        </row>
        <row r="694">
          <cell r="B694">
            <v>5173913</v>
          </cell>
          <cell r="C694" t="str">
            <v>IMPERATRIZ ALIMENTOS BEBIDAS LTDA</v>
          </cell>
          <cell r="D694">
            <v>7001</v>
          </cell>
          <cell r="E694" t="str">
            <v>0749</v>
          </cell>
          <cell r="F694" t="str">
            <v>C5</v>
          </cell>
          <cell r="G694" t="str">
            <v>SP</v>
          </cell>
          <cell r="H694" t="str">
            <v>DISTRIBUIÇÃO</v>
          </cell>
          <cell r="I694" t="str">
            <v>FOOD SERVICE</v>
          </cell>
          <cell r="J694" t="str">
            <v>FLAC 3</v>
          </cell>
          <cell r="K694" t="str">
            <v>LACTALIS</v>
          </cell>
          <cell r="L694" t="str">
            <v>RODRIGO</v>
          </cell>
          <cell r="M694" t="str">
            <v>RAQUEL BARBOSA</v>
          </cell>
        </row>
        <row r="695">
          <cell r="B695">
            <v>5034828</v>
          </cell>
          <cell r="C695" t="str">
            <v>IMPERIO DOS DOCES CONFEITARIA LTDA</v>
          </cell>
          <cell r="D695">
            <v>3001</v>
          </cell>
          <cell r="E695" t="str">
            <v>0169</v>
          </cell>
          <cell r="F695" t="str">
            <v>C1</v>
          </cell>
          <cell r="G695" t="str">
            <v>RJ</v>
          </cell>
          <cell r="H695" t="str">
            <v>DISTRIBUIÇÃO</v>
          </cell>
          <cell r="I695" t="str">
            <v>FOOD SERVICE</v>
          </cell>
          <cell r="J695" t="str">
            <v>JULIANA CORDEIRO</v>
          </cell>
          <cell r="K695" t="str">
            <v>ITAMBÉ</v>
          </cell>
          <cell r="L695" t="str">
            <v>RODRIGO</v>
          </cell>
          <cell r="M695" t="str">
            <v>JESSICA</v>
          </cell>
        </row>
        <row r="696">
          <cell r="B696">
            <v>5317967</v>
          </cell>
          <cell r="C696" t="str">
            <v>IND COM IMP EXPORT ALIMENT MULT</v>
          </cell>
          <cell r="D696">
            <v>4001</v>
          </cell>
          <cell r="E696" t="str">
            <v>0437</v>
          </cell>
          <cell r="F696" t="str">
            <v>C1</v>
          </cell>
          <cell r="G696" t="str">
            <v>MS</v>
          </cell>
          <cell r="H696" t="str">
            <v>INGREDIENTS</v>
          </cell>
          <cell r="I696" t="str">
            <v>INGREDIENTS</v>
          </cell>
          <cell r="J696" t="str">
            <v>JOEL ELEOTÉRIO</v>
          </cell>
          <cell r="K696" t="str">
            <v>LACTALIS</v>
          </cell>
          <cell r="L696" t="str">
            <v>MAURICIO</v>
          </cell>
          <cell r="M696" t="str">
            <v>JOEL</v>
          </cell>
        </row>
        <row r="697">
          <cell r="B697">
            <v>5317967</v>
          </cell>
          <cell r="C697" t="str">
            <v>IND COM IMP EXPORT ALIMENT MULT</v>
          </cell>
          <cell r="D697">
            <v>4001</v>
          </cell>
          <cell r="E697" t="str">
            <v>0423</v>
          </cell>
          <cell r="F697" t="str">
            <v>C5</v>
          </cell>
          <cell r="G697" t="str">
            <v>MS</v>
          </cell>
          <cell r="H697" t="str">
            <v>INGREDIENTS</v>
          </cell>
          <cell r="I697" t="str">
            <v>INGREDIENTS</v>
          </cell>
          <cell r="J697" t="str">
            <v>JOEL ELEOTÉRIO</v>
          </cell>
          <cell r="K697" t="str">
            <v>LACTALIS</v>
          </cell>
          <cell r="L697" t="str">
            <v>MAURICIO</v>
          </cell>
          <cell r="M697" t="str">
            <v>JOEL</v>
          </cell>
        </row>
        <row r="698">
          <cell r="B698">
            <v>5317967</v>
          </cell>
          <cell r="C698" t="str">
            <v>IND COM IMP EXPORT ALIMENT MULT</v>
          </cell>
          <cell r="D698">
            <v>3001</v>
          </cell>
          <cell r="E698" t="str">
            <v>0028</v>
          </cell>
          <cell r="F698" t="str">
            <v>C1</v>
          </cell>
          <cell r="G698" t="str">
            <v>MS</v>
          </cell>
          <cell r="H698" t="str">
            <v>INGREDIENTS</v>
          </cell>
          <cell r="I698" t="str">
            <v>INGREDIENTS</v>
          </cell>
          <cell r="J698" t="str">
            <v>JOEL ELEOTÉRIO</v>
          </cell>
          <cell r="K698" t="str">
            <v>ITAMBÉ</v>
          </cell>
          <cell r="L698" t="str">
            <v>MAURICIO</v>
          </cell>
          <cell r="M698" t="str">
            <v>JOEL</v>
          </cell>
        </row>
        <row r="699">
          <cell r="B699">
            <v>5279013</v>
          </cell>
          <cell r="C699" t="str">
            <v>IND DE PANIFICACAO PAO D OURO LT</v>
          </cell>
          <cell r="D699">
            <v>7001</v>
          </cell>
          <cell r="E699" t="str">
            <v>0749</v>
          </cell>
          <cell r="F699" t="str">
            <v>C5</v>
          </cell>
          <cell r="G699" t="str">
            <v>SP</v>
          </cell>
          <cell r="H699" t="str">
            <v>DISTRIBUIÇÃO</v>
          </cell>
          <cell r="I699" t="str">
            <v>FOOD SERVICE</v>
          </cell>
          <cell r="J699" t="str">
            <v>FLAC 3</v>
          </cell>
          <cell r="K699" t="str">
            <v>LACTALIS</v>
          </cell>
          <cell r="L699" t="str">
            <v>RODRIGO</v>
          </cell>
          <cell r="M699" t="str">
            <v>RAQUEL BARBOSA</v>
          </cell>
        </row>
        <row r="700">
          <cell r="B700">
            <v>5221487</v>
          </cell>
          <cell r="C700" t="str">
            <v>IND E COM DE PROD ALIMENTICIOS FRUT</v>
          </cell>
          <cell r="D700">
            <v>4001</v>
          </cell>
          <cell r="E700" t="str">
            <v>0423</v>
          </cell>
          <cell r="F700" t="str">
            <v>C5</v>
          </cell>
          <cell r="G700" t="str">
            <v>SP</v>
          </cell>
          <cell r="H700" t="str">
            <v>INGREDIENTS</v>
          </cell>
          <cell r="I700" t="str">
            <v>INGREDIENTS</v>
          </cell>
          <cell r="J700" t="str">
            <v>JOEL ELEOTÉRIO</v>
          </cell>
          <cell r="K700" t="str">
            <v>LACTALIS</v>
          </cell>
          <cell r="L700" t="str">
            <v>MAURICIO</v>
          </cell>
          <cell r="M700" t="str">
            <v>JOEL</v>
          </cell>
        </row>
        <row r="701">
          <cell r="B701">
            <v>5221487</v>
          </cell>
          <cell r="C701" t="str">
            <v>IND E COM DE PROD ALIMENTICIOS FRUT</v>
          </cell>
          <cell r="D701">
            <v>4001</v>
          </cell>
          <cell r="E701" t="str">
            <v>0437</v>
          </cell>
          <cell r="F701" t="str">
            <v>C1</v>
          </cell>
          <cell r="G701" t="str">
            <v>SP</v>
          </cell>
          <cell r="H701" t="str">
            <v>INGREDIENTS</v>
          </cell>
          <cell r="I701" t="str">
            <v>INGREDIENTS</v>
          </cell>
          <cell r="J701" t="str">
            <v>JOEL ELEOTÉRIO</v>
          </cell>
          <cell r="K701" t="str">
            <v>LACTALIS</v>
          </cell>
          <cell r="L701" t="str">
            <v>MAURICIO</v>
          </cell>
          <cell r="M701" t="str">
            <v>JOEL</v>
          </cell>
        </row>
        <row r="702">
          <cell r="B702">
            <v>5206830</v>
          </cell>
          <cell r="C702" t="str">
            <v>IND E COM DE SORVETES FRUTAMIX LTDA</v>
          </cell>
          <cell r="D702">
            <v>3001</v>
          </cell>
          <cell r="E702" t="str">
            <v>0122</v>
          </cell>
          <cell r="F702" t="str">
            <v>C1</v>
          </cell>
          <cell r="G702" t="str">
            <v>MG</v>
          </cell>
          <cell r="H702" t="str">
            <v>INGREDIENTS</v>
          </cell>
          <cell r="I702" t="str">
            <v>INGREDIENTS</v>
          </cell>
          <cell r="J702" t="str">
            <v>HENRIQUE FERREIRA</v>
          </cell>
          <cell r="K702" t="str">
            <v>ITAMBÉ</v>
          </cell>
          <cell r="L702" t="str">
            <v>MAURICIO</v>
          </cell>
          <cell r="M702" t="str">
            <v>JOEL</v>
          </cell>
        </row>
        <row r="703">
          <cell r="B703">
            <v>5206830</v>
          </cell>
          <cell r="C703" t="str">
            <v>IND E COM DE SORVETES FRUTAMIX LTDA</v>
          </cell>
          <cell r="D703">
            <v>4001</v>
          </cell>
          <cell r="E703" t="str">
            <v>0437</v>
          </cell>
          <cell r="F703" t="str">
            <v>C1</v>
          </cell>
          <cell r="G703" t="str">
            <v>MG</v>
          </cell>
          <cell r="H703" t="str">
            <v>INGREDIENTS</v>
          </cell>
          <cell r="I703" t="str">
            <v>INGREDIENTS</v>
          </cell>
          <cell r="J703" t="str">
            <v>HENRIQUE FERREIRA</v>
          </cell>
          <cell r="K703" t="str">
            <v>LACTALIS</v>
          </cell>
          <cell r="L703" t="str">
            <v>MAURICIO</v>
          </cell>
          <cell r="M703" t="str">
            <v>JOEL</v>
          </cell>
        </row>
        <row r="704">
          <cell r="B704">
            <v>5031564</v>
          </cell>
          <cell r="C704" t="str">
            <v>INDEGA SA</v>
          </cell>
          <cell r="D704">
            <v>3001</v>
          </cell>
          <cell r="E704" t="str">
            <v>0062</v>
          </cell>
          <cell r="F704" t="str">
            <v>C1</v>
          </cell>
          <cell r="G704" t="str">
            <v/>
          </cell>
          <cell r="H704" t="str">
            <v>OUTROS</v>
          </cell>
          <cell r="I704" t="str">
            <v>OUTROS</v>
          </cell>
          <cell r="J704" t="str">
            <v>ITAMBE - EXPORTACAO</v>
          </cell>
          <cell r="K704" t="str">
            <v>OUTROS</v>
          </cell>
          <cell r="L704" t="str">
            <v>OUTROS</v>
          </cell>
          <cell r="M704" t="str">
            <v>EXPORTAÇÃO</v>
          </cell>
        </row>
        <row r="705">
          <cell r="B705">
            <v>8010005</v>
          </cell>
          <cell r="C705" t="str">
            <v>INDULAC INDUSTRIA LACTEA VENEZO</v>
          </cell>
          <cell r="D705">
            <v>3001</v>
          </cell>
          <cell r="E705" t="str">
            <v>0062</v>
          </cell>
          <cell r="F705" t="str">
            <v>C1</v>
          </cell>
          <cell r="G705" t="str">
            <v/>
          </cell>
          <cell r="H705" t="str">
            <v>OUTROS</v>
          </cell>
          <cell r="I705" t="str">
            <v>OUTROS</v>
          </cell>
          <cell r="J705" t="str">
            <v>INTERCOMPANY EXP</v>
          </cell>
          <cell r="K705" t="str">
            <v>OUTROS</v>
          </cell>
          <cell r="L705" t="str">
            <v>OUTROS</v>
          </cell>
          <cell r="M705" t="str">
            <v>INTERCOMPANY</v>
          </cell>
        </row>
        <row r="706">
          <cell r="B706">
            <v>5181144</v>
          </cell>
          <cell r="C706" t="str">
            <v>INDUSTRIA DE SORVETES CAMAGIVA LTDA</v>
          </cell>
          <cell r="D706">
            <v>7001</v>
          </cell>
          <cell r="E706" t="str">
            <v>0737</v>
          </cell>
          <cell r="F706" t="str">
            <v>C1</v>
          </cell>
          <cell r="G706" t="str">
            <v>SP</v>
          </cell>
          <cell r="H706" t="str">
            <v>QSR</v>
          </cell>
          <cell r="I706" t="str">
            <v>FOOD SERVICE</v>
          </cell>
          <cell r="J706" t="str">
            <v>ANA MENIQUETE</v>
          </cell>
          <cell r="K706" t="str">
            <v>LACTALIS</v>
          </cell>
          <cell r="L706" t="str">
            <v>PEDRO</v>
          </cell>
          <cell r="M706" t="str">
            <v>ANA MENIQUETE</v>
          </cell>
        </row>
        <row r="707">
          <cell r="B707">
            <v>5182672</v>
          </cell>
          <cell r="C707" t="str">
            <v>INDUSTRIA DE SORVETES GELUY LTDA</v>
          </cell>
          <cell r="D707">
            <v>3001</v>
          </cell>
          <cell r="E707" t="str">
            <v>0126</v>
          </cell>
          <cell r="F707" t="str">
            <v>C1</v>
          </cell>
          <cell r="G707" t="str">
            <v>SC</v>
          </cell>
          <cell r="H707" t="str">
            <v>INGREDIENTS</v>
          </cell>
          <cell r="I707" t="str">
            <v>INGREDIENTS</v>
          </cell>
          <cell r="J707" t="str">
            <v>DUAS RODAS</v>
          </cell>
          <cell r="K707" t="str">
            <v>ITAMBÉ</v>
          </cell>
          <cell r="L707" t="str">
            <v>MAURICIO</v>
          </cell>
          <cell r="M707" t="str">
            <v>MARCELO</v>
          </cell>
        </row>
        <row r="708">
          <cell r="B708">
            <v>5177778</v>
          </cell>
          <cell r="C708" t="str">
            <v>INDUSTRIA DE SORVETES ZAZINI LTDA</v>
          </cell>
          <cell r="D708">
            <v>6001</v>
          </cell>
          <cell r="E708" t="str">
            <v>6125</v>
          </cell>
          <cell r="F708" t="str">
            <v>C1</v>
          </cell>
          <cell r="G708" t="str">
            <v>SP</v>
          </cell>
          <cell r="H708" t="str">
            <v>INGREDIENTS</v>
          </cell>
          <cell r="I708" t="str">
            <v>INGREDIENTS</v>
          </cell>
          <cell r="J708" t="str">
            <v>JOEL ELEOTÉRIO</v>
          </cell>
          <cell r="K708" t="str">
            <v>ITAMBÉ</v>
          </cell>
          <cell r="L708" t="str">
            <v>MAURICIO</v>
          </cell>
          <cell r="M708" t="str">
            <v>JOEL</v>
          </cell>
        </row>
        <row r="709">
          <cell r="B709">
            <v>5186248</v>
          </cell>
          <cell r="C709" t="str">
            <v>INDUSTRIA E COMERCIO VILLA CAFE LTD</v>
          </cell>
          <cell r="D709">
            <v>3001</v>
          </cell>
          <cell r="E709" t="str">
            <v>0122</v>
          </cell>
          <cell r="F709" t="str">
            <v>C1</v>
          </cell>
          <cell r="G709" t="str">
            <v>MG</v>
          </cell>
          <cell r="H709" t="str">
            <v>INGREDIENTS</v>
          </cell>
          <cell r="I709" t="str">
            <v>INGREDIENTS</v>
          </cell>
          <cell r="J709" t="str">
            <v>HENRIQUE FERREIRA</v>
          </cell>
          <cell r="K709" t="str">
            <v>ITAMBÉ</v>
          </cell>
          <cell r="L709" t="str">
            <v>MAURICIO</v>
          </cell>
          <cell r="M709" t="str">
            <v>JOEL</v>
          </cell>
        </row>
        <row r="710">
          <cell r="B710">
            <v>5285409</v>
          </cell>
          <cell r="C710" t="str">
            <v>ING COMERCIO DE ALIMENTOS LTDA</v>
          </cell>
          <cell r="D710">
            <v>7001</v>
          </cell>
          <cell r="E710" t="str">
            <v>0749</v>
          </cell>
          <cell r="F710" t="str">
            <v>C5</v>
          </cell>
          <cell r="G710" t="str">
            <v>SP</v>
          </cell>
          <cell r="H710" t="str">
            <v>DISTRIBUIÇÃO</v>
          </cell>
          <cell r="I710" t="str">
            <v>FOOD SERVICE</v>
          </cell>
          <cell r="J710" t="str">
            <v>FLAC 6</v>
          </cell>
          <cell r="K710" t="str">
            <v>LACTALIS</v>
          </cell>
          <cell r="L710" t="str">
            <v>RODRIGO</v>
          </cell>
          <cell r="M710" t="str">
            <v>RAQUEL BARBOSA</v>
          </cell>
        </row>
        <row r="711">
          <cell r="B711">
            <v>5003633</v>
          </cell>
          <cell r="C711" t="str">
            <v>INST DAS PEQ MISS DE M IMACULADA</v>
          </cell>
          <cell r="D711">
            <v>3001</v>
          </cell>
          <cell r="E711" t="str">
            <v>0122</v>
          </cell>
          <cell r="F711" t="str">
            <v>C1</v>
          </cell>
          <cell r="G711" t="str">
            <v>MG</v>
          </cell>
          <cell r="H711" t="str">
            <v>DISTRIBUIÇÃO</v>
          </cell>
          <cell r="I711" t="str">
            <v>FOOD SERVICE</v>
          </cell>
          <cell r="J711" t="str">
            <v>MARCELO SILVA</v>
          </cell>
          <cell r="K711" t="str">
            <v>ITAMBÉ</v>
          </cell>
          <cell r="L711" t="str">
            <v>RODRIGO</v>
          </cell>
          <cell r="M711" t="str">
            <v>CELIO MARTINS</v>
          </cell>
        </row>
        <row r="712">
          <cell r="B712">
            <v>5282216</v>
          </cell>
          <cell r="C712" t="str">
            <v>INST VISITACAO DE STA MARIA</v>
          </cell>
          <cell r="D712">
            <v>7001</v>
          </cell>
          <cell r="E712" t="str">
            <v>0749</v>
          </cell>
          <cell r="F712" t="str">
            <v>C5</v>
          </cell>
          <cell r="G712" t="str">
            <v>SP</v>
          </cell>
          <cell r="H712" t="str">
            <v>DISTRIBUIÇÃO</v>
          </cell>
          <cell r="I712" t="str">
            <v>FOOD SERVICE</v>
          </cell>
          <cell r="J712" t="str">
            <v>FLAC 6</v>
          </cell>
          <cell r="K712" t="str">
            <v>LACTALIS</v>
          </cell>
          <cell r="L712" t="str">
            <v>RODRIGO</v>
          </cell>
          <cell r="M712" t="str">
            <v>RAQUEL BARBOSA</v>
          </cell>
        </row>
        <row r="713">
          <cell r="B713">
            <v>5333580</v>
          </cell>
          <cell r="C713" t="str">
            <v>INSTITUTO LARIAMOR</v>
          </cell>
          <cell r="D713">
            <v>7001</v>
          </cell>
          <cell r="E713" t="str">
            <v>0749</v>
          </cell>
          <cell r="F713" t="str">
            <v>C5</v>
          </cell>
          <cell r="G713" t="str">
            <v>SP</v>
          </cell>
          <cell r="H713" t="str">
            <v>DISTRIBUIÇÃO</v>
          </cell>
          <cell r="I713" t="str">
            <v>FOOD SERVICE</v>
          </cell>
          <cell r="J713" t="str">
            <v>FLAC 2</v>
          </cell>
          <cell r="K713" t="str">
            <v>LACTALIS</v>
          </cell>
          <cell r="L713" t="str">
            <v>RODRIGO</v>
          </cell>
          <cell r="M713" t="str">
            <v>RAQUEL BARBOSA</v>
          </cell>
        </row>
        <row r="714">
          <cell r="B714">
            <v>5061612</v>
          </cell>
          <cell r="C714" t="str">
            <v>INSTITUTO MATERNO INFANTIL DE MG SA</v>
          </cell>
          <cell r="D714">
            <v>3001</v>
          </cell>
          <cell r="E714" t="str">
            <v>0122</v>
          </cell>
          <cell r="F714" t="str">
            <v>C1</v>
          </cell>
          <cell r="G714" t="str">
            <v>MG</v>
          </cell>
          <cell r="H714" t="str">
            <v>DISTRIBUIÇÃO</v>
          </cell>
          <cell r="I714" t="str">
            <v>FOOD SERVICE</v>
          </cell>
          <cell r="J714" t="str">
            <v>MARCELO SILVA</v>
          </cell>
          <cell r="K714" t="str">
            <v>ITAMBÉ</v>
          </cell>
          <cell r="L714" t="str">
            <v>RODRIGO</v>
          </cell>
          <cell r="M714" t="str">
            <v>CELIO MARTINS</v>
          </cell>
        </row>
        <row r="715">
          <cell r="B715">
            <v>5337341</v>
          </cell>
          <cell r="C715" t="str">
            <v>INTEGRACAO COMERCIO DE BOLOS E DOCE</v>
          </cell>
          <cell r="D715">
            <v>7001</v>
          </cell>
          <cell r="E715" t="str">
            <v>0749</v>
          </cell>
          <cell r="F715" t="str">
            <v>C5</v>
          </cell>
          <cell r="G715" t="str">
            <v>SP</v>
          </cell>
          <cell r="H715" t="str">
            <v>DISTRIBUIÇÃO</v>
          </cell>
          <cell r="I715" t="str">
            <v>FOOD SERVICE</v>
          </cell>
          <cell r="J715" t="str">
            <v>FLAC 6</v>
          </cell>
          <cell r="K715" t="str">
            <v>LACTALIS</v>
          </cell>
          <cell r="L715" t="str">
            <v>RODRIGO</v>
          </cell>
          <cell r="M715" t="str">
            <v>RAQUEL BARBOSA</v>
          </cell>
        </row>
        <row r="716">
          <cell r="B716">
            <v>5248300</v>
          </cell>
          <cell r="C716" t="str">
            <v>INTEGRAL ALIM COM E SERVICOS LT</v>
          </cell>
          <cell r="D716">
            <v>7001</v>
          </cell>
          <cell r="E716" t="str">
            <v>0749</v>
          </cell>
          <cell r="F716" t="str">
            <v>C5</v>
          </cell>
          <cell r="G716" t="str">
            <v>SP</v>
          </cell>
          <cell r="H716" t="str">
            <v>DISTRIBUIÇÃO</v>
          </cell>
          <cell r="I716" t="str">
            <v>FOOD SERVICE</v>
          </cell>
          <cell r="J716" t="str">
            <v>FLAC 3</v>
          </cell>
          <cell r="K716" t="str">
            <v>LACTALIS</v>
          </cell>
          <cell r="L716" t="str">
            <v>RODRIGO</v>
          </cell>
          <cell r="M716" t="str">
            <v>RAQUEL BARBOSA</v>
          </cell>
        </row>
        <row r="717">
          <cell r="B717">
            <v>5331926</v>
          </cell>
          <cell r="C717" t="str">
            <v>INTERBRANDS FOODS LTDA</v>
          </cell>
          <cell r="D717">
            <v>7001</v>
          </cell>
          <cell r="E717" t="str">
            <v>0749</v>
          </cell>
          <cell r="F717" t="str">
            <v>C5</v>
          </cell>
          <cell r="G717" t="str">
            <v>SP</v>
          </cell>
          <cell r="H717" t="str">
            <v>DISTRIBUIÇÃO</v>
          </cell>
          <cell r="I717" t="str">
            <v>FOOD SERVICE</v>
          </cell>
          <cell r="J717" t="str">
            <v>FLAC 1</v>
          </cell>
          <cell r="K717" t="str">
            <v>LACTALIS</v>
          </cell>
          <cell r="L717" t="str">
            <v>RODRIGO</v>
          </cell>
          <cell r="M717" t="str">
            <v>RAQUEL BARBOSA</v>
          </cell>
        </row>
        <row r="718">
          <cell r="B718">
            <v>5315360</v>
          </cell>
          <cell r="C718" t="str">
            <v>INTERBRANDS FOODS LTDA</v>
          </cell>
          <cell r="D718">
            <v>7001</v>
          </cell>
          <cell r="E718" t="str">
            <v>0749</v>
          </cell>
          <cell r="F718" t="str">
            <v>C5</v>
          </cell>
          <cell r="G718" t="str">
            <v>SP</v>
          </cell>
          <cell r="H718" t="str">
            <v>DISTRIBUIÇÃO</v>
          </cell>
          <cell r="I718" t="str">
            <v>FOOD SERVICE</v>
          </cell>
          <cell r="J718" t="str">
            <v>FLAC 1</v>
          </cell>
          <cell r="K718" t="str">
            <v>LACTALIS</v>
          </cell>
          <cell r="L718" t="str">
            <v>RODRIGO</v>
          </cell>
          <cell r="M718" t="str">
            <v>RAQUEL BARBOSA</v>
          </cell>
        </row>
        <row r="719">
          <cell r="B719">
            <v>5283807</v>
          </cell>
          <cell r="C719" t="str">
            <v>INTERCOFFEE COMERCIO E INDUSTRI</v>
          </cell>
          <cell r="D719">
            <v>4001</v>
          </cell>
          <cell r="E719" t="str">
            <v>0423</v>
          </cell>
          <cell r="F719" t="str">
            <v>C5</v>
          </cell>
          <cell r="G719" t="str">
            <v>SP</v>
          </cell>
          <cell r="H719" t="str">
            <v>INGREDIENTS</v>
          </cell>
          <cell r="I719" t="str">
            <v>INGREDIENTS</v>
          </cell>
          <cell r="J719" t="str">
            <v>JOEL ELEOTÉRIO</v>
          </cell>
          <cell r="K719" t="str">
            <v>LACTALIS</v>
          </cell>
          <cell r="L719" t="str">
            <v>MAURICIO</v>
          </cell>
          <cell r="M719" t="str">
            <v>JOEL</v>
          </cell>
        </row>
        <row r="720">
          <cell r="B720">
            <v>5282200</v>
          </cell>
          <cell r="C720" t="str">
            <v>INTERCOLOR IND E COM DE PLAST LT</v>
          </cell>
          <cell r="D720">
            <v>7001</v>
          </cell>
          <cell r="E720" t="str">
            <v>0749</v>
          </cell>
          <cell r="F720" t="str">
            <v>C5</v>
          </cell>
          <cell r="G720" t="str">
            <v>SP</v>
          </cell>
          <cell r="H720" t="str">
            <v>DISTRIBUIÇÃO</v>
          </cell>
          <cell r="I720" t="str">
            <v>FOOD SERVICE</v>
          </cell>
          <cell r="J720" t="str">
            <v>FLAC 6</v>
          </cell>
          <cell r="K720" t="str">
            <v>LACTALIS</v>
          </cell>
          <cell r="L720" t="str">
            <v>RODRIGO</v>
          </cell>
          <cell r="M720" t="str">
            <v>RAQUEL BARBOSA</v>
          </cell>
        </row>
        <row r="721">
          <cell r="B721">
            <v>5261089</v>
          </cell>
          <cell r="C721" t="str">
            <v>INTERFRIOS COM FRIOS LATCINIOS</v>
          </cell>
          <cell r="D721">
            <v>6001</v>
          </cell>
          <cell r="E721" t="str">
            <v>6125</v>
          </cell>
          <cell r="F721" t="str">
            <v>C1</v>
          </cell>
          <cell r="G721" t="str">
            <v>SP</v>
          </cell>
          <cell r="H721" t="str">
            <v>DISTRIBUIÇÃO</v>
          </cell>
          <cell r="I721" t="str">
            <v>FOOD SERVICE</v>
          </cell>
          <cell r="J721" t="str">
            <v>GUILHERME NASCIMENTO</v>
          </cell>
          <cell r="K721" t="str">
            <v>ITAMBÉ</v>
          </cell>
          <cell r="L721" t="str">
            <v>RODRIGO</v>
          </cell>
          <cell r="M721" t="str">
            <v>ALEXANDRO</v>
          </cell>
        </row>
        <row r="722">
          <cell r="B722">
            <v>5319782</v>
          </cell>
          <cell r="C722" t="str">
            <v>INTERLAC COM E IND DE ALIMENTOS</v>
          </cell>
          <cell r="D722">
            <v>6001</v>
          </cell>
          <cell r="E722" t="str">
            <v>6125</v>
          </cell>
          <cell r="F722" t="str">
            <v>C1</v>
          </cell>
          <cell r="G722" t="str">
            <v>SP</v>
          </cell>
          <cell r="H722" t="str">
            <v>INGREDIENTS</v>
          </cell>
          <cell r="I722" t="str">
            <v>INGREDIENTS</v>
          </cell>
          <cell r="J722" t="str">
            <v>HENRIQUE FERREIRA</v>
          </cell>
          <cell r="K722" t="str">
            <v>ITAMBÉ</v>
          </cell>
          <cell r="L722" t="str">
            <v>MAURICIO</v>
          </cell>
          <cell r="M722" t="str">
            <v>JOEL</v>
          </cell>
        </row>
        <row r="723">
          <cell r="B723">
            <v>5141863</v>
          </cell>
          <cell r="C723" t="str">
            <v>INTERNATIONAL MEAL COMPANY ALIMENTA</v>
          </cell>
          <cell r="D723">
            <v>3001</v>
          </cell>
          <cell r="E723" t="str">
            <v>0122</v>
          </cell>
          <cell r="F723" t="str">
            <v>C1</v>
          </cell>
          <cell r="G723" t="str">
            <v>MG</v>
          </cell>
          <cell r="H723" t="str">
            <v>QSR</v>
          </cell>
          <cell r="I723" t="str">
            <v>FOOD SERVICE</v>
          </cell>
          <cell r="J723" t="str">
            <v>VAGO QSR</v>
          </cell>
          <cell r="K723" t="str">
            <v>ITAMBÉ</v>
          </cell>
          <cell r="L723" t="str">
            <v>PEDRO</v>
          </cell>
          <cell r="M723" t="str">
            <v>VAGO QSR</v>
          </cell>
        </row>
        <row r="724">
          <cell r="B724">
            <v>5108984</v>
          </cell>
          <cell r="C724" t="str">
            <v>IRMAOS BENASSI PROD E DIST DE F</v>
          </cell>
          <cell r="D724">
            <v>4001</v>
          </cell>
          <cell r="E724" t="str">
            <v>0439</v>
          </cell>
          <cell r="F724" t="str">
            <v>C1</v>
          </cell>
          <cell r="G724" t="str">
            <v>RJ</v>
          </cell>
          <cell r="H724" t="str">
            <v>DISTRIBUIÇÃO</v>
          </cell>
          <cell r="I724" t="str">
            <v>FOOD SERVICE</v>
          </cell>
          <cell r="J724" t="str">
            <v>LUCIANA MARTINS</v>
          </cell>
          <cell r="K724" t="str">
            <v>LACTALIS</v>
          </cell>
          <cell r="L724" t="str">
            <v>RODRIGO</v>
          </cell>
          <cell r="M724" t="str">
            <v>JESSICA</v>
          </cell>
        </row>
        <row r="725">
          <cell r="B725">
            <v>5108984</v>
          </cell>
          <cell r="C725" t="str">
            <v>IRMAOS BENASSI PROD E DIST DE F</v>
          </cell>
          <cell r="D725">
            <v>3001</v>
          </cell>
          <cell r="E725" t="str">
            <v>0169</v>
          </cell>
          <cell r="F725" t="str">
            <v>C1</v>
          </cell>
          <cell r="G725" t="str">
            <v>RJ</v>
          </cell>
          <cell r="H725" t="str">
            <v>DISTRIBUIÇÃO</v>
          </cell>
          <cell r="I725" t="str">
            <v>FOOD SERVICE</v>
          </cell>
          <cell r="J725" t="str">
            <v>LUCIANA MARTINS</v>
          </cell>
          <cell r="K725" t="str">
            <v>ITAMBÉ</v>
          </cell>
          <cell r="L725" t="str">
            <v>RODRIGO</v>
          </cell>
          <cell r="M725" t="str">
            <v>JESSICA</v>
          </cell>
        </row>
        <row r="726">
          <cell r="B726">
            <v>5248296</v>
          </cell>
          <cell r="C726" t="str">
            <v>ISOBATA COMERCIO DE ALIMENTOS EIREL</v>
          </cell>
          <cell r="D726">
            <v>7001</v>
          </cell>
          <cell r="E726" t="str">
            <v>0749</v>
          </cell>
          <cell r="F726" t="str">
            <v>C5</v>
          </cell>
          <cell r="G726" t="str">
            <v>SP</v>
          </cell>
          <cell r="H726" t="str">
            <v>DISTRIBUIÇÃO</v>
          </cell>
          <cell r="I726" t="str">
            <v>FOOD SERVICE</v>
          </cell>
          <cell r="J726" t="str">
            <v>FLAC 3</v>
          </cell>
          <cell r="K726" t="str">
            <v>LACTALIS</v>
          </cell>
          <cell r="L726" t="str">
            <v>RODRIGO</v>
          </cell>
          <cell r="M726" t="str">
            <v>RAQUEL BARBOSA</v>
          </cell>
        </row>
        <row r="727">
          <cell r="B727">
            <v>5339186</v>
          </cell>
          <cell r="C727" t="str">
            <v>ISRAEL YAMANISHI DOS REIS</v>
          </cell>
          <cell r="D727">
            <v>6001</v>
          </cell>
          <cell r="E727" t="str">
            <v>6125</v>
          </cell>
          <cell r="F727" t="str">
            <v>C1</v>
          </cell>
          <cell r="G727" t="str">
            <v>SP</v>
          </cell>
          <cell r="H727" t="str">
            <v>INGREDIENTS</v>
          </cell>
          <cell r="I727" t="str">
            <v>INGREDIENTS</v>
          </cell>
          <cell r="J727" t="str">
            <v>ITB FS SPLENDI REPRESENTAÇÕES</v>
          </cell>
          <cell r="K727" t="str">
            <v>ITAMBÉ</v>
          </cell>
          <cell r="L727" t="str">
            <v>MAURICIO</v>
          </cell>
          <cell r="M727" t="str">
            <v>TATIANA NITTA</v>
          </cell>
        </row>
        <row r="728">
          <cell r="B728">
            <v>5235395</v>
          </cell>
          <cell r="C728" t="str">
            <v>ITAIPUGRIL BAR E RESTAURANTE LTDA</v>
          </cell>
          <cell r="D728">
            <v>7001</v>
          </cell>
          <cell r="E728" t="str">
            <v>0749</v>
          </cell>
          <cell r="F728" t="str">
            <v>C5</v>
          </cell>
          <cell r="G728" t="str">
            <v>SP</v>
          </cell>
          <cell r="H728" t="str">
            <v>DISTRIBUIÇÃO</v>
          </cell>
          <cell r="I728" t="str">
            <v>FOOD SERVICE</v>
          </cell>
          <cell r="J728" t="str">
            <v>FLAC 2</v>
          </cell>
          <cell r="K728" t="str">
            <v>LACTALIS</v>
          </cell>
          <cell r="L728" t="str">
            <v>RODRIGO</v>
          </cell>
          <cell r="M728" t="str">
            <v>RAQUEL BARBOSA</v>
          </cell>
        </row>
        <row r="729">
          <cell r="B729">
            <v>5282212</v>
          </cell>
          <cell r="C729" t="str">
            <v>ITAL BRONZE LTDA</v>
          </cell>
          <cell r="D729">
            <v>7001</v>
          </cell>
          <cell r="E729" t="str">
            <v>0749</v>
          </cell>
          <cell r="F729" t="str">
            <v>C5</v>
          </cell>
          <cell r="G729" t="str">
            <v>SP</v>
          </cell>
          <cell r="H729" t="str">
            <v>DISTRIBUIÇÃO</v>
          </cell>
          <cell r="I729" t="str">
            <v>FOOD SERVICE</v>
          </cell>
          <cell r="J729" t="str">
            <v>FLAC 3</v>
          </cell>
          <cell r="K729" t="str">
            <v>LACTALIS</v>
          </cell>
          <cell r="L729" t="str">
            <v>RODRIGO</v>
          </cell>
          <cell r="M729" t="str">
            <v>RAQUEL BARBOSA</v>
          </cell>
        </row>
        <row r="730">
          <cell r="B730">
            <v>5221074</v>
          </cell>
          <cell r="C730" t="str">
            <v>ITATI INDUSTRIA DE ALIM E CHOC</v>
          </cell>
          <cell r="D730">
            <v>6001</v>
          </cell>
          <cell r="E730" t="str">
            <v>6125</v>
          </cell>
          <cell r="F730" t="str">
            <v>C1</v>
          </cell>
          <cell r="G730" t="str">
            <v>SP</v>
          </cell>
          <cell r="H730" t="str">
            <v>INGREDIENTS</v>
          </cell>
          <cell r="I730" t="str">
            <v>INGREDIENTS</v>
          </cell>
          <cell r="J730" t="str">
            <v>HENRIQUE FERREIRA</v>
          </cell>
          <cell r="K730" t="str">
            <v>ITAMBÉ</v>
          </cell>
          <cell r="L730" t="str">
            <v>MAURICIO</v>
          </cell>
          <cell r="M730" t="str">
            <v>JOEL</v>
          </cell>
        </row>
        <row r="731">
          <cell r="B731">
            <v>5099100</v>
          </cell>
          <cell r="C731" t="str">
            <v>J A COELHO E CIA LTDA</v>
          </cell>
          <cell r="D731">
            <v>4001</v>
          </cell>
          <cell r="E731" t="str">
            <v>0455</v>
          </cell>
          <cell r="F731" t="str">
            <v>C1</v>
          </cell>
          <cell r="G731" t="str">
            <v>PR</v>
          </cell>
          <cell r="H731" t="str">
            <v>INGREDIENTS</v>
          </cell>
          <cell r="I731" t="str">
            <v>INGREDIENTS</v>
          </cell>
          <cell r="J731" t="str">
            <v>MARCELO RODRIGUES</v>
          </cell>
          <cell r="K731" t="str">
            <v>LACTALIS</v>
          </cell>
          <cell r="L731" t="str">
            <v>MAURICIO</v>
          </cell>
          <cell r="M731" t="str">
            <v>MARCELO</v>
          </cell>
        </row>
        <row r="732">
          <cell r="B732">
            <v>5226443</v>
          </cell>
          <cell r="C732" t="str">
            <v>J A DISTRIBUIDORA LTDA</v>
          </cell>
          <cell r="D732">
            <v>3001</v>
          </cell>
          <cell r="E732" t="str">
            <v>0127</v>
          </cell>
          <cell r="F732" t="str">
            <v>C1</v>
          </cell>
          <cell r="G732" t="str">
            <v>CE</v>
          </cell>
          <cell r="H732" t="str">
            <v>DISTRIBUIÇÃO</v>
          </cell>
          <cell r="I732" t="str">
            <v>FOOD SERVICE</v>
          </cell>
          <cell r="J732" t="str">
            <v>WH FOOD SERVICE CE</v>
          </cell>
          <cell r="K732" t="str">
            <v>ITAMBÉ</v>
          </cell>
          <cell r="L732" t="str">
            <v>RODRIGO</v>
          </cell>
          <cell r="M732" t="str">
            <v>MARIA LOURDES</v>
          </cell>
        </row>
        <row r="733">
          <cell r="B733">
            <v>5115019</v>
          </cell>
          <cell r="C733" t="str">
            <v>J ARAUJO DISTRIBUIDORA IMP E EXP SA</v>
          </cell>
          <cell r="D733">
            <v>3001</v>
          </cell>
          <cell r="E733" t="str">
            <v>0169</v>
          </cell>
          <cell r="F733" t="str">
            <v>C1</v>
          </cell>
          <cell r="G733" t="str">
            <v>RJ</v>
          </cell>
          <cell r="H733" t="str">
            <v>DISTRIBUIÇÃO</v>
          </cell>
          <cell r="I733" t="str">
            <v>FOOD SERVICE</v>
          </cell>
          <cell r="J733" t="str">
            <v>JESSICA CARLA</v>
          </cell>
          <cell r="K733" t="str">
            <v>ITAMBÉ</v>
          </cell>
          <cell r="L733" t="str">
            <v>RODRIGO</v>
          </cell>
          <cell r="M733" t="str">
            <v>JESSICA</v>
          </cell>
        </row>
        <row r="734">
          <cell r="B734">
            <v>5253127</v>
          </cell>
          <cell r="C734" t="str">
            <v>J E F E RSTAURANTE</v>
          </cell>
          <cell r="D734">
            <v>7001</v>
          </cell>
          <cell r="E734" t="str">
            <v>0749</v>
          </cell>
          <cell r="F734" t="str">
            <v>C5</v>
          </cell>
          <cell r="G734" t="str">
            <v>SP</v>
          </cell>
          <cell r="H734" t="str">
            <v>DISTRIBUIÇÃO</v>
          </cell>
          <cell r="I734" t="str">
            <v>FOOD SERVICE</v>
          </cell>
          <cell r="J734" t="str">
            <v>FLAC 6</v>
          </cell>
          <cell r="K734" t="str">
            <v>LACTALIS</v>
          </cell>
          <cell r="L734" t="str">
            <v>RODRIGO</v>
          </cell>
          <cell r="M734" t="str">
            <v>RAQUEL BARBOSA</v>
          </cell>
        </row>
        <row r="735">
          <cell r="B735">
            <v>5027929</v>
          </cell>
          <cell r="C735" t="str">
            <v>J S COMERCIAL DE ALIMENTOS LTDA</v>
          </cell>
          <cell r="D735">
            <v>7001</v>
          </cell>
          <cell r="E735" t="str">
            <v>0749</v>
          </cell>
          <cell r="F735" t="str">
            <v>C5</v>
          </cell>
          <cell r="G735" t="str">
            <v>SP</v>
          </cell>
          <cell r="H735" t="str">
            <v>DISTRIBUIÇÃO</v>
          </cell>
          <cell r="I735" t="str">
            <v>FOOD SERVICE</v>
          </cell>
          <cell r="J735" t="str">
            <v>FLAC 1</v>
          </cell>
          <cell r="K735" t="str">
            <v>LACTALIS</v>
          </cell>
          <cell r="L735" t="str">
            <v>RODRIGO</v>
          </cell>
          <cell r="M735" t="str">
            <v>RAQUEL BARBOSA</v>
          </cell>
        </row>
        <row r="736">
          <cell r="B736">
            <v>5331205</v>
          </cell>
          <cell r="C736" t="str">
            <v>JA SAUDE ANIMAL AS</v>
          </cell>
          <cell r="D736">
            <v>7001</v>
          </cell>
          <cell r="E736" t="str">
            <v>0749</v>
          </cell>
          <cell r="F736" t="str">
            <v>C5</v>
          </cell>
          <cell r="G736" t="str">
            <v>SP</v>
          </cell>
          <cell r="H736" t="str">
            <v>DISTRIBUIÇÃO</v>
          </cell>
          <cell r="I736" t="str">
            <v>FOOD SERVICE</v>
          </cell>
          <cell r="J736" t="str">
            <v>FLAC 6</v>
          </cell>
          <cell r="K736" t="str">
            <v>LACTALIS</v>
          </cell>
          <cell r="L736" t="str">
            <v>RODRIGO</v>
          </cell>
          <cell r="M736" t="str">
            <v>RAQUEL BARBOSA</v>
          </cell>
        </row>
        <row r="737">
          <cell r="B737">
            <v>5199893</v>
          </cell>
          <cell r="C737" t="str">
            <v>JADE COM ATAC DE PROD EM SACHES LTD</v>
          </cell>
          <cell r="D737">
            <v>3001</v>
          </cell>
          <cell r="E737" t="str">
            <v>0126</v>
          </cell>
          <cell r="F737" t="str">
            <v>C1</v>
          </cell>
          <cell r="G737" t="str">
            <v>SC</v>
          </cell>
          <cell r="H737" t="str">
            <v>DISTRIBUIÇÃO</v>
          </cell>
          <cell r="I737" t="str">
            <v>FOOD SERVICE</v>
          </cell>
          <cell r="J737" t="str">
            <v>ANGELICA BATISTELA</v>
          </cell>
          <cell r="K737" t="str">
            <v>ITAMBÉ</v>
          </cell>
          <cell r="L737" t="str">
            <v>RODRIGO</v>
          </cell>
          <cell r="M737" t="str">
            <v>ANGELICA BATISTELA</v>
          </cell>
        </row>
        <row r="738">
          <cell r="B738">
            <v>5297137</v>
          </cell>
          <cell r="C738" t="str">
            <v>JAU PIZZA BAR TERREO LTDA</v>
          </cell>
          <cell r="D738">
            <v>7001</v>
          </cell>
          <cell r="E738" t="str">
            <v>0749</v>
          </cell>
          <cell r="F738" t="str">
            <v>C5</v>
          </cell>
          <cell r="G738" t="str">
            <v>SP</v>
          </cell>
          <cell r="H738" t="str">
            <v>DISTRIBUIÇÃO</v>
          </cell>
          <cell r="I738" t="str">
            <v>FOOD SERVICE</v>
          </cell>
          <cell r="J738" t="str">
            <v>FLAC 3</v>
          </cell>
          <cell r="K738" t="str">
            <v>LACTALIS</v>
          </cell>
          <cell r="L738" t="str">
            <v>RODRIGO</v>
          </cell>
          <cell r="M738" t="str">
            <v>RAQUEL BARBOSA</v>
          </cell>
        </row>
        <row r="739">
          <cell r="B739">
            <v>5008478</v>
          </cell>
          <cell r="C739" t="str">
            <v>JCA FOODS COM DE PROD ALIM LTDA</v>
          </cell>
          <cell r="D739">
            <v>7001</v>
          </cell>
          <cell r="E739" t="str">
            <v>0722</v>
          </cell>
          <cell r="F739" t="str">
            <v>C1</v>
          </cell>
          <cell r="G739" t="str">
            <v>SP</v>
          </cell>
          <cell r="H739" t="str">
            <v>DISTRIBUIÇÃO</v>
          </cell>
          <cell r="I739" t="str">
            <v>FOOD SERVICE</v>
          </cell>
          <cell r="J739" t="str">
            <v>VAGO SP</v>
          </cell>
          <cell r="K739" t="str">
            <v>LACTALIS</v>
          </cell>
          <cell r="L739" t="str">
            <v>RODRIGO</v>
          </cell>
          <cell r="M739" t="str">
            <v>RAQUEL BARBOSA</v>
          </cell>
        </row>
        <row r="740">
          <cell r="B740">
            <v>5225153</v>
          </cell>
          <cell r="C740" t="str">
            <v>JD DISTRIBUIDORA LTDA</v>
          </cell>
          <cell r="D740">
            <v>3001</v>
          </cell>
          <cell r="E740" t="str">
            <v>0169</v>
          </cell>
          <cell r="F740" t="str">
            <v>C1</v>
          </cell>
          <cell r="G740" t="str">
            <v>ES</v>
          </cell>
          <cell r="H740" t="str">
            <v>DISTRIBUIÇÃO</v>
          </cell>
          <cell r="I740" t="str">
            <v>FOOD SERVICE</v>
          </cell>
          <cell r="J740" t="str">
            <v>MARCELO DUARTE</v>
          </cell>
          <cell r="K740" t="str">
            <v>ITAMBÉ</v>
          </cell>
          <cell r="L740" t="str">
            <v>RODRIGO</v>
          </cell>
          <cell r="M740" t="str">
            <v>JESSICA</v>
          </cell>
        </row>
        <row r="741">
          <cell r="B741">
            <v>5204488</v>
          </cell>
          <cell r="C741" t="str">
            <v>JEFERSON AMARAL DA CUNHA</v>
          </cell>
          <cell r="D741">
            <v>3001</v>
          </cell>
          <cell r="E741" t="str">
            <v>0126</v>
          </cell>
          <cell r="F741" t="str">
            <v>C1</v>
          </cell>
          <cell r="G741" t="str">
            <v>PR</v>
          </cell>
          <cell r="H741" t="str">
            <v>INGREDIENTS</v>
          </cell>
          <cell r="I741" t="str">
            <v>INGREDIENTS</v>
          </cell>
          <cell r="J741" t="str">
            <v>DUAS RODAS</v>
          </cell>
          <cell r="K741" t="str">
            <v>ITAMBÉ</v>
          </cell>
          <cell r="L741" t="str">
            <v>MAURICIO</v>
          </cell>
          <cell r="M741" t="str">
            <v>MARCELO</v>
          </cell>
        </row>
        <row r="742">
          <cell r="B742">
            <v>5228735</v>
          </cell>
          <cell r="C742" t="str">
            <v>JETRO CA FERREIRA ME</v>
          </cell>
          <cell r="D742">
            <v>3001</v>
          </cell>
          <cell r="E742" t="str">
            <v>0126</v>
          </cell>
          <cell r="F742" t="str">
            <v>C1</v>
          </cell>
          <cell r="G742" t="str">
            <v>PR</v>
          </cell>
          <cell r="H742" t="str">
            <v>INGREDIENTS</v>
          </cell>
          <cell r="I742" t="str">
            <v>INGREDIENTS</v>
          </cell>
          <cell r="J742" t="str">
            <v>DUAS RODAS</v>
          </cell>
          <cell r="K742" t="str">
            <v>ITAMBÉ</v>
          </cell>
          <cell r="L742" t="str">
            <v>MAURICIO</v>
          </cell>
          <cell r="M742" t="str">
            <v>MARCELO</v>
          </cell>
        </row>
        <row r="743">
          <cell r="B743">
            <v>5228735</v>
          </cell>
          <cell r="C743" t="str">
            <v>JETRO CA FERREIRA ME</v>
          </cell>
          <cell r="D743">
            <v>3001</v>
          </cell>
          <cell r="E743" t="str">
            <v>0028</v>
          </cell>
          <cell r="F743" t="str">
            <v>C1</v>
          </cell>
          <cell r="G743" t="str">
            <v>PR</v>
          </cell>
          <cell r="H743" t="str">
            <v>INGREDIENTS</v>
          </cell>
          <cell r="I743" t="str">
            <v>INGREDIENTS</v>
          </cell>
          <cell r="J743" t="str">
            <v>DUAS RODAS</v>
          </cell>
          <cell r="K743" t="str">
            <v>ITAMBÉ</v>
          </cell>
          <cell r="L743" t="str">
            <v>MAURICIO</v>
          </cell>
          <cell r="M743" t="str">
            <v>MARCELO</v>
          </cell>
        </row>
        <row r="744">
          <cell r="B744">
            <v>5331354</v>
          </cell>
          <cell r="C744" t="str">
            <v>JFS ALIMENTOS LTDA</v>
          </cell>
          <cell r="D744">
            <v>6001</v>
          </cell>
          <cell r="E744" t="str">
            <v>6125</v>
          </cell>
          <cell r="F744" t="str">
            <v>C1</v>
          </cell>
          <cell r="G744" t="str">
            <v>SP</v>
          </cell>
          <cell r="H744" t="str">
            <v>INGREDIENTS</v>
          </cell>
          <cell r="I744" t="str">
            <v>INGREDIENTS</v>
          </cell>
          <cell r="J744" t="str">
            <v>MARCELO RODRIGUES</v>
          </cell>
          <cell r="K744" t="str">
            <v>ITAMBÉ</v>
          </cell>
          <cell r="L744" t="str">
            <v>MAURICIO</v>
          </cell>
          <cell r="M744" t="str">
            <v>MARCELO</v>
          </cell>
        </row>
        <row r="745">
          <cell r="B745">
            <v>5163860</v>
          </cell>
          <cell r="C745" t="str">
            <v>JG ESPACO DO CHEF LTDA</v>
          </cell>
          <cell r="D745">
            <v>3001</v>
          </cell>
          <cell r="E745" t="str">
            <v>0127</v>
          </cell>
          <cell r="F745" t="str">
            <v>C1</v>
          </cell>
          <cell r="G745" t="str">
            <v>RN</v>
          </cell>
          <cell r="H745" t="str">
            <v>DISTRIBUIÇÃO</v>
          </cell>
          <cell r="I745" t="str">
            <v>FOOD SERVICE</v>
          </cell>
          <cell r="J745" t="str">
            <v>CLAUDIO JORGE</v>
          </cell>
          <cell r="K745" t="str">
            <v>ITAMBÉ</v>
          </cell>
          <cell r="L745" t="str">
            <v>RODRIGO</v>
          </cell>
          <cell r="M745" t="str">
            <v>MARIA LOURDES</v>
          </cell>
        </row>
        <row r="746">
          <cell r="B746">
            <v>5339889</v>
          </cell>
          <cell r="C746" t="str">
            <v>JJ GELATOS LTDA</v>
          </cell>
          <cell r="D746">
            <v>7001</v>
          </cell>
          <cell r="E746" t="str">
            <v>0749</v>
          </cell>
          <cell r="F746" t="str">
            <v>C5</v>
          </cell>
          <cell r="G746" t="str">
            <v>SP</v>
          </cell>
          <cell r="H746" t="str">
            <v>DISTRIBUIÇÃO</v>
          </cell>
          <cell r="I746" t="str">
            <v>FOOD SERVICE</v>
          </cell>
          <cell r="J746" t="str">
            <v>FLAC 3</v>
          </cell>
          <cell r="K746" t="str">
            <v>LACTALIS</v>
          </cell>
          <cell r="L746" t="str">
            <v>RODRIGO</v>
          </cell>
          <cell r="M746" t="str">
            <v>RAQUEL BARBOSA</v>
          </cell>
        </row>
        <row r="747">
          <cell r="B747">
            <v>5229983</v>
          </cell>
          <cell r="C747" t="str">
            <v>JMC SERVICOS E TERCEIRIZACOES LTDA</v>
          </cell>
          <cell r="D747">
            <v>3001</v>
          </cell>
          <cell r="E747" t="str">
            <v>0127</v>
          </cell>
          <cell r="F747" t="str">
            <v>C1</v>
          </cell>
          <cell r="G747" t="str">
            <v>PE</v>
          </cell>
          <cell r="H747" t="str">
            <v>DISTRIBUIÇÃO</v>
          </cell>
          <cell r="I747" t="str">
            <v>FOOD SERVICE</v>
          </cell>
          <cell r="J747" t="str">
            <v>CLAUDIO JORGE</v>
          </cell>
          <cell r="K747" t="str">
            <v>ITAMBÉ</v>
          </cell>
          <cell r="L747" t="str">
            <v>RODRIGO</v>
          </cell>
          <cell r="M747" t="str">
            <v>MARIA LOURDES</v>
          </cell>
        </row>
        <row r="748">
          <cell r="B748">
            <v>5166159</v>
          </cell>
          <cell r="C748" t="str">
            <v>JME RAUTA COM DIST LTDA</v>
          </cell>
          <cell r="D748">
            <v>3001</v>
          </cell>
          <cell r="E748" t="str">
            <v>0169</v>
          </cell>
          <cell r="F748" t="str">
            <v>C1</v>
          </cell>
          <cell r="G748" t="str">
            <v>RJ</v>
          </cell>
          <cell r="H748" t="str">
            <v>DISTRIBUIÇÃO</v>
          </cell>
          <cell r="I748" t="str">
            <v>FOOD SERVICE</v>
          </cell>
          <cell r="J748" t="str">
            <v>LUCIANA MARTINS</v>
          </cell>
          <cell r="K748" t="str">
            <v>ITAMBÉ</v>
          </cell>
          <cell r="L748" t="str">
            <v>RODRIGO</v>
          </cell>
          <cell r="M748" t="str">
            <v>JESSICA</v>
          </cell>
        </row>
        <row r="749">
          <cell r="B749">
            <v>5220627</v>
          </cell>
          <cell r="C749" t="str">
            <v>JME RAUTA COMERCIAL DISTRIBUIDORA</v>
          </cell>
          <cell r="D749">
            <v>3001</v>
          </cell>
          <cell r="E749" t="str">
            <v>0028</v>
          </cell>
          <cell r="F749" t="str">
            <v>C1</v>
          </cell>
          <cell r="G749" t="str">
            <v>RJ</v>
          </cell>
          <cell r="H749" t="str">
            <v>DISTRIBUIÇÃO</v>
          </cell>
          <cell r="I749" t="str">
            <v>FOOD SERVICE</v>
          </cell>
          <cell r="J749" t="str">
            <v>LUCIANA MARTINS</v>
          </cell>
          <cell r="K749" t="str">
            <v>ITAMBÉ</v>
          </cell>
          <cell r="L749" t="str">
            <v>RODRIGO</v>
          </cell>
          <cell r="M749" t="str">
            <v>JESSICA</v>
          </cell>
        </row>
        <row r="750">
          <cell r="B750">
            <v>5317022</v>
          </cell>
          <cell r="C750" t="str">
            <v>JMR VAREJO DE ALIMENTOS LTDA</v>
          </cell>
          <cell r="D750">
            <v>7001</v>
          </cell>
          <cell r="E750" t="str">
            <v>0749</v>
          </cell>
          <cell r="F750" t="str">
            <v>C5</v>
          </cell>
          <cell r="G750" t="str">
            <v>SP</v>
          </cell>
          <cell r="H750" t="str">
            <v>DISTRIBUIÇÃO</v>
          </cell>
          <cell r="I750" t="str">
            <v>FOOD SERVICE</v>
          </cell>
          <cell r="J750" t="str">
            <v>FLAC 3</v>
          </cell>
          <cell r="K750" t="str">
            <v>LACTALIS</v>
          </cell>
          <cell r="L750" t="str">
            <v>RODRIGO</v>
          </cell>
          <cell r="M750" t="str">
            <v>RAQUEL BARBOSA</v>
          </cell>
        </row>
        <row r="751">
          <cell r="B751">
            <v>5234259</v>
          </cell>
          <cell r="C751" t="str">
            <v>JMW FOODS DISTRIBUIDORA DE ALIM</v>
          </cell>
          <cell r="D751">
            <v>6001</v>
          </cell>
          <cell r="E751" t="str">
            <v>6125</v>
          </cell>
          <cell r="F751" t="str">
            <v>C1</v>
          </cell>
          <cell r="G751" t="str">
            <v>SP</v>
          </cell>
          <cell r="H751" t="str">
            <v>DISTRIBUIÇÃO</v>
          </cell>
          <cell r="I751" t="str">
            <v>FOOD SERVICE</v>
          </cell>
          <cell r="J751" t="str">
            <v>GUILHERME NASCIMENTO</v>
          </cell>
          <cell r="K751" t="str">
            <v>ITAMBÉ</v>
          </cell>
          <cell r="L751" t="str">
            <v>RODRIGO</v>
          </cell>
          <cell r="M751" t="str">
            <v>ALEXANDRO</v>
          </cell>
        </row>
        <row r="752">
          <cell r="B752">
            <v>5261294</v>
          </cell>
          <cell r="C752" t="str">
            <v>JMW FOODS DISTRIBUIDORA DE ALIM LTD</v>
          </cell>
          <cell r="D752">
            <v>6001</v>
          </cell>
          <cell r="E752" t="str">
            <v>6125</v>
          </cell>
          <cell r="F752" t="str">
            <v>C1</v>
          </cell>
          <cell r="G752" t="str">
            <v>SP</v>
          </cell>
          <cell r="H752" t="str">
            <v>DISTRIBUIÇÃO</v>
          </cell>
          <cell r="I752" t="str">
            <v>FOOD SERVICE</v>
          </cell>
          <cell r="J752" t="str">
            <v>GUILHERME NASCIMENTO</v>
          </cell>
          <cell r="K752" t="str">
            <v>ITAMBÉ</v>
          </cell>
          <cell r="L752" t="str">
            <v>RODRIGO</v>
          </cell>
          <cell r="M752" t="str">
            <v>ALEXANDRO</v>
          </cell>
        </row>
        <row r="753">
          <cell r="B753">
            <v>5263514</v>
          </cell>
          <cell r="C753" t="str">
            <v>JOANA DARK MARQUES DA SILVEIRA</v>
          </cell>
          <cell r="D753">
            <v>7001</v>
          </cell>
          <cell r="E753" t="str">
            <v>0749</v>
          </cell>
          <cell r="F753" t="str">
            <v>C5</v>
          </cell>
          <cell r="G753" t="str">
            <v>SP</v>
          </cell>
          <cell r="H753" t="str">
            <v>DISTRIBUIÇÃO</v>
          </cell>
          <cell r="I753" t="str">
            <v>FOOD SERVICE</v>
          </cell>
          <cell r="J753" t="str">
            <v>FLAC 2</v>
          </cell>
          <cell r="K753" t="str">
            <v>LACTALIS</v>
          </cell>
          <cell r="L753" t="str">
            <v>RODRIGO</v>
          </cell>
          <cell r="M753" t="str">
            <v>RAQUEL BARBOSA</v>
          </cell>
        </row>
        <row r="754">
          <cell r="B754">
            <v>5248517</v>
          </cell>
          <cell r="C754" t="str">
            <v>JOEL ANGRISANI JUNIOR ME</v>
          </cell>
          <cell r="D754">
            <v>7001</v>
          </cell>
          <cell r="E754" t="str">
            <v>0749</v>
          </cell>
          <cell r="F754" t="str">
            <v>C5</v>
          </cell>
          <cell r="G754" t="str">
            <v>SP</v>
          </cell>
          <cell r="H754" t="str">
            <v>DISTRIBUIÇÃO</v>
          </cell>
          <cell r="I754" t="str">
            <v>FOOD SERVICE</v>
          </cell>
          <cell r="J754" t="str">
            <v>FLAC 6</v>
          </cell>
          <cell r="K754" t="str">
            <v>LACTALIS</v>
          </cell>
          <cell r="L754" t="str">
            <v>RODRIGO</v>
          </cell>
          <cell r="M754" t="str">
            <v>RAQUEL BARBOSA</v>
          </cell>
        </row>
        <row r="755">
          <cell r="B755">
            <v>5228686</v>
          </cell>
          <cell r="C755" t="str">
            <v>JOSE EDMAR JUNIOR GUEDES</v>
          </cell>
          <cell r="D755">
            <v>3001</v>
          </cell>
          <cell r="E755" t="str">
            <v>0127</v>
          </cell>
          <cell r="F755" t="str">
            <v>C1</v>
          </cell>
          <cell r="G755" t="str">
            <v>CE</v>
          </cell>
          <cell r="H755" t="str">
            <v>DISTRIBUIÇÃO</v>
          </cell>
          <cell r="I755" t="str">
            <v>FOOD SERVICE</v>
          </cell>
          <cell r="J755" t="str">
            <v>WH FOOD SERVICE CE</v>
          </cell>
          <cell r="K755" t="str">
            <v>ITAMBÉ</v>
          </cell>
          <cell r="L755" t="str">
            <v>RODRIGO</v>
          </cell>
          <cell r="M755" t="str">
            <v>MARIA LOURDES</v>
          </cell>
        </row>
        <row r="756">
          <cell r="B756">
            <v>5330238</v>
          </cell>
          <cell r="C756" t="str">
            <v>JOSE J SASSON BINDSEIL 00396272</v>
          </cell>
          <cell r="D756">
            <v>7001</v>
          </cell>
          <cell r="E756" t="str">
            <v>0749</v>
          </cell>
          <cell r="F756" t="str">
            <v>C5</v>
          </cell>
          <cell r="G756" t="str">
            <v>SP</v>
          </cell>
          <cell r="H756" t="str">
            <v>DISTRIBUIÇÃO</v>
          </cell>
          <cell r="I756" t="str">
            <v>FOOD SERVICE</v>
          </cell>
          <cell r="J756" t="str">
            <v>FLAC 6</v>
          </cell>
          <cell r="K756" t="str">
            <v>LACTALIS</v>
          </cell>
          <cell r="L756" t="str">
            <v>RODRIGO</v>
          </cell>
          <cell r="M756" t="str">
            <v>RAQUEL BARBOSA</v>
          </cell>
        </row>
        <row r="757">
          <cell r="B757">
            <v>5208858</v>
          </cell>
          <cell r="C757" t="str">
            <v>JOSE MARIO GALLI DESIDERATO</v>
          </cell>
          <cell r="D757">
            <v>7001</v>
          </cell>
          <cell r="E757" t="str">
            <v>0749</v>
          </cell>
          <cell r="F757" t="str">
            <v>C5</v>
          </cell>
          <cell r="G757" t="str">
            <v>SP</v>
          </cell>
          <cell r="H757" t="str">
            <v>DISTRIBUIÇÃO</v>
          </cell>
          <cell r="I757" t="str">
            <v>FOOD SERVICE</v>
          </cell>
          <cell r="J757" t="str">
            <v>FLAC 2</v>
          </cell>
          <cell r="K757" t="str">
            <v>LACTALIS</v>
          </cell>
          <cell r="L757" t="str">
            <v>RODRIGO</v>
          </cell>
          <cell r="M757" t="str">
            <v>RAQUEL BARBOSA</v>
          </cell>
        </row>
        <row r="758">
          <cell r="B758">
            <v>5301161</v>
          </cell>
          <cell r="C758" t="str">
            <v>JOWI SUCOS LTDA</v>
          </cell>
          <cell r="D758">
            <v>7001</v>
          </cell>
          <cell r="E758" t="str">
            <v>0749</v>
          </cell>
          <cell r="F758" t="str">
            <v>C5</v>
          </cell>
          <cell r="G758" t="str">
            <v>SP</v>
          </cell>
          <cell r="H758" t="str">
            <v>QSR</v>
          </cell>
          <cell r="I758" t="str">
            <v>FOOD SERVICE</v>
          </cell>
          <cell r="J758" t="str">
            <v>NUTRI</v>
          </cell>
          <cell r="K758" t="str">
            <v>LACTALIS</v>
          </cell>
          <cell r="L758" t="str">
            <v>PEDRO</v>
          </cell>
          <cell r="M758" t="str">
            <v>VAGO QSR</v>
          </cell>
        </row>
        <row r="759">
          <cell r="B759">
            <v>5261194</v>
          </cell>
          <cell r="C759" t="str">
            <v>JUICE E JUICE SUCOS E LANCHES LTDA</v>
          </cell>
          <cell r="D759">
            <v>7001</v>
          </cell>
          <cell r="E759" t="str">
            <v>0749</v>
          </cell>
          <cell r="F759" t="str">
            <v>C5</v>
          </cell>
          <cell r="G759" t="str">
            <v>SP</v>
          </cell>
          <cell r="H759" t="str">
            <v>DISTRIBUIÇÃO</v>
          </cell>
          <cell r="I759" t="str">
            <v>FOOD SERVICE</v>
          </cell>
          <cell r="J759" t="str">
            <v>FLAC 6</v>
          </cell>
          <cell r="K759" t="str">
            <v>LACTALIS</v>
          </cell>
          <cell r="L759" t="str">
            <v>RODRIGO</v>
          </cell>
          <cell r="M759" t="str">
            <v>RAQUEL BARBOSA</v>
          </cell>
        </row>
        <row r="760">
          <cell r="B760">
            <v>5190780</v>
          </cell>
          <cell r="C760" t="str">
            <v>JULES PANIFICADORA E CONFEITARIA EI</v>
          </cell>
          <cell r="D760">
            <v>7001</v>
          </cell>
          <cell r="E760" t="str">
            <v>0722</v>
          </cell>
          <cell r="F760" t="str">
            <v>C1</v>
          </cell>
          <cell r="G760" t="str">
            <v>SP</v>
          </cell>
          <cell r="H760" t="str">
            <v>DISTRIBUIÇÃO</v>
          </cell>
          <cell r="I760" t="str">
            <v>FOOD SERVICE</v>
          </cell>
          <cell r="J760" t="str">
            <v>FLAC 5</v>
          </cell>
          <cell r="K760" t="str">
            <v>LACTALIS</v>
          </cell>
          <cell r="L760" t="str">
            <v>RODRIGO</v>
          </cell>
          <cell r="M760" t="str">
            <v>RAQUEL BARBOSA</v>
          </cell>
        </row>
        <row r="761">
          <cell r="B761">
            <v>5301791</v>
          </cell>
          <cell r="C761" t="str">
            <v>JULIA NUSSBACHER</v>
          </cell>
          <cell r="D761">
            <v>7001</v>
          </cell>
          <cell r="E761" t="str">
            <v>0749</v>
          </cell>
          <cell r="F761" t="str">
            <v>C5</v>
          </cell>
          <cell r="G761" t="str">
            <v>SP</v>
          </cell>
          <cell r="H761" t="str">
            <v>DISTRIBUIÇÃO</v>
          </cell>
          <cell r="I761" t="str">
            <v>FOOD SERVICE</v>
          </cell>
          <cell r="J761" t="str">
            <v>FLAC 6</v>
          </cell>
          <cell r="K761" t="str">
            <v>LACTALIS</v>
          </cell>
          <cell r="L761" t="str">
            <v>RODRIGO</v>
          </cell>
          <cell r="M761" t="str">
            <v>RAQUEL BARBOSA</v>
          </cell>
        </row>
        <row r="762">
          <cell r="B762">
            <v>5171873</v>
          </cell>
          <cell r="C762" t="str">
            <v>JULIO YOKIO DEMIZU</v>
          </cell>
          <cell r="D762">
            <v>3001</v>
          </cell>
          <cell r="E762" t="str">
            <v>0126</v>
          </cell>
          <cell r="F762" t="str">
            <v>C1</v>
          </cell>
          <cell r="G762" t="str">
            <v>PR</v>
          </cell>
          <cell r="H762" t="str">
            <v>INGREDIENTS</v>
          </cell>
          <cell r="I762" t="str">
            <v>INGREDIENTS</v>
          </cell>
          <cell r="J762" t="str">
            <v>DUAS RODAS</v>
          </cell>
          <cell r="K762" t="str">
            <v>ITAMBÉ</v>
          </cell>
          <cell r="L762" t="str">
            <v>MAURICIO</v>
          </cell>
          <cell r="M762" t="str">
            <v>MARCELO</v>
          </cell>
        </row>
        <row r="763">
          <cell r="B763">
            <v>5255389</v>
          </cell>
          <cell r="C763" t="str">
            <v>JUST CUPCAKES CONFEITARIA E CAFETER</v>
          </cell>
          <cell r="D763">
            <v>7001</v>
          </cell>
          <cell r="E763" t="str">
            <v>0749</v>
          </cell>
          <cell r="F763" t="str">
            <v>C5</v>
          </cell>
          <cell r="G763" t="str">
            <v>SP</v>
          </cell>
          <cell r="H763" t="str">
            <v>DISTRIBUIÇÃO</v>
          </cell>
          <cell r="I763" t="str">
            <v>FOOD SERVICE</v>
          </cell>
          <cell r="J763" t="str">
            <v>FLAC 6</v>
          </cell>
          <cell r="K763" t="str">
            <v>LACTALIS</v>
          </cell>
          <cell r="L763" t="str">
            <v>RODRIGO</v>
          </cell>
          <cell r="M763" t="str">
            <v>RAQUEL BARBOSA</v>
          </cell>
        </row>
        <row r="764">
          <cell r="B764">
            <v>5167351</v>
          </cell>
          <cell r="C764" t="str">
            <v>K E L DISTRIBUIDORA DE ALIMENTO</v>
          </cell>
          <cell r="D764">
            <v>4001</v>
          </cell>
          <cell r="E764" t="str">
            <v>0437</v>
          </cell>
          <cell r="F764" t="str">
            <v>C1</v>
          </cell>
          <cell r="G764" t="str">
            <v>RS</v>
          </cell>
          <cell r="H764" t="str">
            <v>INGREDIENTS</v>
          </cell>
          <cell r="I764" t="str">
            <v>INGREDIENTS</v>
          </cell>
          <cell r="J764" t="str">
            <v>JOEL ELEOTÉRIO</v>
          </cell>
          <cell r="K764" t="str">
            <v>LACTALIS</v>
          </cell>
          <cell r="L764" t="str">
            <v>MAURICIO</v>
          </cell>
          <cell r="M764" t="str">
            <v>JOEL</v>
          </cell>
        </row>
        <row r="765">
          <cell r="B765">
            <v>5137090</v>
          </cell>
          <cell r="C765" t="str">
            <v>KARIS REPRESENTACOES LTDA</v>
          </cell>
          <cell r="D765">
            <v>3001</v>
          </cell>
          <cell r="E765" t="str">
            <v>0127</v>
          </cell>
          <cell r="F765" t="str">
            <v>C1</v>
          </cell>
          <cell r="G765" t="str">
            <v>BA</v>
          </cell>
          <cell r="H765" t="str">
            <v>DISTRIBUIÇÃO</v>
          </cell>
          <cell r="I765" t="str">
            <v>FOOD SERVICE</v>
          </cell>
          <cell r="J765" t="str">
            <v>CLAUDIO JORGE/LUIZ</v>
          </cell>
          <cell r="K765" t="str">
            <v>ITAMBÉ</v>
          </cell>
          <cell r="L765" t="str">
            <v>RODRIGO</v>
          </cell>
          <cell r="M765" t="str">
            <v>MARIA LOURDES</v>
          </cell>
        </row>
        <row r="766">
          <cell r="B766">
            <v>5335459</v>
          </cell>
          <cell r="C766" t="str">
            <v>KARLA CHRISTINA DE PAIVA SANTOS</v>
          </cell>
          <cell r="D766">
            <v>3001</v>
          </cell>
          <cell r="E766" t="str">
            <v>0122</v>
          </cell>
          <cell r="F766" t="str">
            <v>C1</v>
          </cell>
          <cell r="G766" t="str">
            <v>MG</v>
          </cell>
          <cell r="H766" t="str">
            <v>INGREDIENTS</v>
          </cell>
          <cell r="I766" t="str">
            <v>INGREDIENTS</v>
          </cell>
          <cell r="J766" t="str">
            <v>HENRIQUE FERREIRA</v>
          </cell>
          <cell r="K766" t="str">
            <v>ITAMBÉ</v>
          </cell>
          <cell r="L766" t="str">
            <v>MAURICIO</v>
          </cell>
          <cell r="M766" t="str">
            <v>JOEL</v>
          </cell>
        </row>
        <row r="767">
          <cell r="B767">
            <v>5114704</v>
          </cell>
          <cell r="C767" t="str">
            <v>KARNE KEIJO LOGISTICA INTEGRADA LTD</v>
          </cell>
          <cell r="D767">
            <v>3001</v>
          </cell>
          <cell r="E767" t="str">
            <v>0127</v>
          </cell>
          <cell r="F767" t="str">
            <v>C1</v>
          </cell>
          <cell r="G767" t="str">
            <v>PB</v>
          </cell>
          <cell r="H767" t="str">
            <v>DISTRIBUIÇÃO</v>
          </cell>
          <cell r="I767" t="str">
            <v>FOOD SERVICE</v>
          </cell>
          <cell r="J767" t="str">
            <v>CLAUDIO JORGE</v>
          </cell>
          <cell r="K767" t="str">
            <v>ITAMBÉ</v>
          </cell>
          <cell r="L767" t="str">
            <v>RODRIGO</v>
          </cell>
          <cell r="M767" t="str">
            <v>MARIA LOURDES</v>
          </cell>
        </row>
        <row r="768">
          <cell r="B768">
            <v>5292294</v>
          </cell>
          <cell r="C768" t="str">
            <v>KATO PRODUTOS DE PANIFICACAO LTDA</v>
          </cell>
          <cell r="D768">
            <v>7001</v>
          </cell>
          <cell r="E768" t="str">
            <v>0749</v>
          </cell>
          <cell r="F768" t="str">
            <v>C5</v>
          </cell>
          <cell r="G768" t="str">
            <v>SP</v>
          </cell>
          <cell r="H768" t="str">
            <v>DISTRIBUIÇÃO</v>
          </cell>
          <cell r="I768" t="str">
            <v>FOOD SERVICE</v>
          </cell>
          <cell r="J768" t="str">
            <v>FLAC 2</v>
          </cell>
          <cell r="K768" t="str">
            <v>LACTALIS</v>
          </cell>
          <cell r="L768" t="str">
            <v>RODRIGO</v>
          </cell>
          <cell r="M768" t="str">
            <v>RAQUEL BARBOSA</v>
          </cell>
        </row>
        <row r="769">
          <cell r="B769">
            <v>5143288</v>
          </cell>
          <cell r="C769" t="str">
            <v>KERRY DO BRASIL LTDA</v>
          </cell>
          <cell r="D769">
            <v>4001</v>
          </cell>
          <cell r="E769" t="str">
            <v>0437</v>
          </cell>
          <cell r="F769" t="str">
            <v>C1</v>
          </cell>
          <cell r="G769" t="str">
            <v>MG</v>
          </cell>
          <cell r="H769" t="str">
            <v>INGREDIENTS</v>
          </cell>
          <cell r="I769" t="str">
            <v>INGREDIENTS</v>
          </cell>
          <cell r="J769" t="str">
            <v>JOEL ELEOTÉRIO</v>
          </cell>
          <cell r="K769" t="str">
            <v>LACTALIS</v>
          </cell>
          <cell r="L769" t="str">
            <v>MAURICIO</v>
          </cell>
          <cell r="M769" t="str">
            <v>JOEL</v>
          </cell>
        </row>
        <row r="770">
          <cell r="B770">
            <v>5195562</v>
          </cell>
          <cell r="C770" t="str">
            <v>KERRY DO BRASIL LTDA</v>
          </cell>
          <cell r="D770">
            <v>4001</v>
          </cell>
          <cell r="E770" t="str">
            <v>0437</v>
          </cell>
          <cell r="F770" t="str">
            <v>C1</v>
          </cell>
          <cell r="G770" t="str">
            <v>SP</v>
          </cell>
          <cell r="H770" t="str">
            <v>INGREDIENTS</v>
          </cell>
          <cell r="I770" t="str">
            <v>INGREDIENTS</v>
          </cell>
          <cell r="J770" t="str">
            <v>JOEL ELEOTÉRIO</v>
          </cell>
          <cell r="K770" t="str">
            <v>LACTALIS</v>
          </cell>
          <cell r="L770" t="str">
            <v>MAURICIO</v>
          </cell>
          <cell r="M770" t="str">
            <v>JOEL</v>
          </cell>
        </row>
        <row r="771">
          <cell r="B771">
            <v>5206038</v>
          </cell>
          <cell r="C771" t="str">
            <v>KERRY DO BRASIL LTDA</v>
          </cell>
          <cell r="D771">
            <v>3001</v>
          </cell>
          <cell r="E771" t="str">
            <v>0028</v>
          </cell>
          <cell r="F771" t="str">
            <v>C1</v>
          </cell>
          <cell r="G771" t="str">
            <v>GO</v>
          </cell>
          <cell r="H771" t="str">
            <v>INGREDIENTS</v>
          </cell>
          <cell r="I771" t="str">
            <v>INGREDIENTS</v>
          </cell>
          <cell r="J771" t="str">
            <v>JOEL ELEOTÉRIO</v>
          </cell>
          <cell r="K771" t="str">
            <v>ITAMBÉ</v>
          </cell>
          <cell r="L771" t="str">
            <v>MAURICIO</v>
          </cell>
          <cell r="M771" t="str">
            <v>JOEL</v>
          </cell>
        </row>
        <row r="772">
          <cell r="B772">
            <v>5143288</v>
          </cell>
          <cell r="C772" t="str">
            <v>KERRY DO BRASIL LTDA</v>
          </cell>
          <cell r="D772">
            <v>3001</v>
          </cell>
          <cell r="E772" t="str">
            <v>0122</v>
          </cell>
          <cell r="F772" t="str">
            <v>C1</v>
          </cell>
          <cell r="G772" t="str">
            <v>MG</v>
          </cell>
          <cell r="H772" t="str">
            <v>INGREDIENTS</v>
          </cell>
          <cell r="I772" t="str">
            <v>INGREDIENTS</v>
          </cell>
          <cell r="J772" t="str">
            <v>JOEL ELEOTÉRIO</v>
          </cell>
          <cell r="K772" t="str">
            <v>ITAMBÉ</v>
          </cell>
          <cell r="L772" t="str">
            <v>MAURICIO</v>
          </cell>
          <cell r="M772" t="str">
            <v>JOEL</v>
          </cell>
        </row>
        <row r="773">
          <cell r="B773">
            <v>5206038</v>
          </cell>
          <cell r="C773" t="str">
            <v>KERRY DO BRASIL LTDA</v>
          </cell>
          <cell r="D773">
            <v>4001</v>
          </cell>
          <cell r="E773" t="str">
            <v>0437</v>
          </cell>
          <cell r="F773" t="str">
            <v>C1</v>
          </cell>
          <cell r="G773" t="str">
            <v>GO</v>
          </cell>
          <cell r="H773" t="str">
            <v>INGREDIENTS</v>
          </cell>
          <cell r="I773" t="str">
            <v>INGREDIENTS</v>
          </cell>
          <cell r="J773" t="str">
            <v>JOEL ELEOTÉRIO</v>
          </cell>
          <cell r="K773" t="str">
            <v>LACTALIS</v>
          </cell>
          <cell r="L773" t="str">
            <v>MAURICIO</v>
          </cell>
          <cell r="M773" t="str">
            <v>JOEL</v>
          </cell>
        </row>
        <row r="774">
          <cell r="B774">
            <v>5334345</v>
          </cell>
          <cell r="C774" t="str">
            <v>KEZ BAGEL 2 RESTAURANTE E LANCH</v>
          </cell>
          <cell r="D774">
            <v>7001</v>
          </cell>
          <cell r="E774" t="str">
            <v>0749</v>
          </cell>
          <cell r="F774" t="str">
            <v>C5</v>
          </cell>
          <cell r="G774" t="str">
            <v>SP</v>
          </cell>
          <cell r="H774" t="str">
            <v>DISTRIBUIÇÃO</v>
          </cell>
          <cell r="I774" t="str">
            <v>FOOD SERVICE</v>
          </cell>
          <cell r="J774" t="str">
            <v>FLAC 5</v>
          </cell>
          <cell r="K774" t="str">
            <v>LACTALIS</v>
          </cell>
          <cell r="L774" t="str">
            <v>RODRIGO</v>
          </cell>
          <cell r="M774" t="str">
            <v>RAQUEL BARBOSA</v>
          </cell>
        </row>
        <row r="775">
          <cell r="B775">
            <v>5335762</v>
          </cell>
          <cell r="C775" t="str">
            <v>KEZ BAGEL 3 RESTAURANTE E LANCHONET</v>
          </cell>
          <cell r="D775">
            <v>7001</v>
          </cell>
          <cell r="E775" t="str">
            <v>0749</v>
          </cell>
          <cell r="F775" t="str">
            <v>C5</v>
          </cell>
          <cell r="G775" t="str">
            <v>SP</v>
          </cell>
          <cell r="H775" t="str">
            <v>DISTRIBUIÇÃO</v>
          </cell>
          <cell r="I775" t="str">
            <v>FOOD SERVICE</v>
          </cell>
          <cell r="J775" t="str">
            <v>FLAC 5</v>
          </cell>
          <cell r="K775" t="str">
            <v>LACTALIS</v>
          </cell>
          <cell r="L775" t="str">
            <v>RODRIGO</v>
          </cell>
          <cell r="M775" t="str">
            <v>RAQUEL BARBOSA</v>
          </cell>
        </row>
        <row r="776">
          <cell r="B776">
            <v>5264254</v>
          </cell>
          <cell r="C776" t="str">
            <v>KID BEERUTA BUFFET LTDA ME</v>
          </cell>
          <cell r="D776">
            <v>7001</v>
          </cell>
          <cell r="E776" t="str">
            <v>0749</v>
          </cell>
          <cell r="F776" t="str">
            <v>C5</v>
          </cell>
          <cell r="G776" t="str">
            <v>SP</v>
          </cell>
          <cell r="H776" t="str">
            <v>DISTRIBUIÇÃO</v>
          </cell>
          <cell r="I776" t="str">
            <v>FOOD SERVICE</v>
          </cell>
          <cell r="J776" t="str">
            <v>FLAC 6</v>
          </cell>
          <cell r="K776" t="str">
            <v>LACTALIS</v>
          </cell>
          <cell r="L776" t="str">
            <v>RODRIGO</v>
          </cell>
          <cell r="M776" t="str">
            <v>RAQUEL BARBOSA</v>
          </cell>
        </row>
        <row r="777">
          <cell r="B777">
            <v>5337640</v>
          </cell>
          <cell r="C777" t="str">
            <v>KIMM SORVETES E ACAI LTDA</v>
          </cell>
          <cell r="D777">
            <v>6001</v>
          </cell>
          <cell r="E777" t="str">
            <v>6125</v>
          </cell>
          <cell r="F777" t="str">
            <v>C1</v>
          </cell>
          <cell r="G777" t="str">
            <v>SP</v>
          </cell>
          <cell r="H777" t="str">
            <v>INGREDIENTS</v>
          </cell>
          <cell r="I777" t="str">
            <v>INGREDIENTS</v>
          </cell>
          <cell r="J777" t="str">
            <v>SP ITB FS LUIZ PEREIRA</v>
          </cell>
          <cell r="K777" t="str">
            <v>ITAMBÉ</v>
          </cell>
          <cell r="L777" t="str">
            <v>MAURICIO</v>
          </cell>
          <cell r="M777" t="str">
            <v>TATIANA NITTA</v>
          </cell>
        </row>
        <row r="778">
          <cell r="B778">
            <v>5328529</v>
          </cell>
          <cell r="C778" t="str">
            <v>KIO BAKEHOUSE PANIFIC ARTESANAL</v>
          </cell>
          <cell r="D778">
            <v>7001</v>
          </cell>
          <cell r="E778" t="str">
            <v>0749</v>
          </cell>
          <cell r="F778" t="str">
            <v>C5</v>
          </cell>
          <cell r="G778" t="str">
            <v>SP</v>
          </cell>
          <cell r="H778" t="str">
            <v>DISTRIBUIÇÃO</v>
          </cell>
          <cell r="I778" t="str">
            <v>FOOD SERVICE</v>
          </cell>
          <cell r="J778" t="str">
            <v>FLAC 6</v>
          </cell>
          <cell r="K778" t="str">
            <v>LACTALIS</v>
          </cell>
          <cell r="L778" t="str">
            <v>RODRIGO</v>
          </cell>
          <cell r="M778" t="str">
            <v>RAQUEL BARBOSA</v>
          </cell>
        </row>
        <row r="779">
          <cell r="B779">
            <v>5191803</v>
          </cell>
          <cell r="C779" t="str">
            <v>KISTON RESTAURANTES LTDA</v>
          </cell>
          <cell r="D779">
            <v>7001</v>
          </cell>
          <cell r="E779" t="str">
            <v>0722</v>
          </cell>
          <cell r="F779" t="str">
            <v>C1</v>
          </cell>
          <cell r="G779" t="str">
            <v>SP</v>
          </cell>
          <cell r="H779" t="str">
            <v>QSR</v>
          </cell>
          <cell r="I779" t="str">
            <v>FOOD SERVICE</v>
          </cell>
          <cell r="J779" t="str">
            <v>ANA MENIQUETE</v>
          </cell>
          <cell r="K779" t="str">
            <v>LACTALIS</v>
          </cell>
          <cell r="L779" t="str">
            <v>PEDRO</v>
          </cell>
          <cell r="M779" t="str">
            <v>ANA MENIQUETE</v>
          </cell>
        </row>
        <row r="780">
          <cell r="B780">
            <v>5310066</v>
          </cell>
          <cell r="C780" t="str">
            <v>KIT FESTA ARCO IRIS MP LTDA</v>
          </cell>
          <cell r="D780">
            <v>7001</v>
          </cell>
          <cell r="E780" t="str">
            <v>0749</v>
          </cell>
          <cell r="F780" t="str">
            <v>C5</v>
          </cell>
          <cell r="G780" t="str">
            <v>SP</v>
          </cell>
          <cell r="H780" t="str">
            <v>DISTRIBUIÇÃO</v>
          </cell>
          <cell r="I780" t="str">
            <v>FOOD SERVICE</v>
          </cell>
          <cell r="J780" t="str">
            <v>FLAC 2</v>
          </cell>
          <cell r="K780" t="str">
            <v>LACTALIS</v>
          </cell>
          <cell r="L780" t="str">
            <v>RODRIGO</v>
          </cell>
          <cell r="M780" t="str">
            <v>RAQUEL BARBOSA</v>
          </cell>
        </row>
        <row r="781">
          <cell r="B781">
            <v>5162285</v>
          </cell>
          <cell r="C781" t="str">
            <v>KOB COMERCIAL LTDA</v>
          </cell>
          <cell r="D781">
            <v>4001</v>
          </cell>
          <cell r="E781" t="str">
            <v>0455</v>
          </cell>
          <cell r="F781" t="str">
            <v>C1</v>
          </cell>
          <cell r="G781" t="str">
            <v>PR</v>
          </cell>
          <cell r="H781" t="str">
            <v>DISTRIBUIÇÃO</v>
          </cell>
          <cell r="I781" t="str">
            <v>FOOD SERVICE</v>
          </cell>
          <cell r="J781" t="str">
            <v>ANGELICA BATISTELA</v>
          </cell>
          <cell r="K781" t="str">
            <v>LACTALIS</v>
          </cell>
          <cell r="L781" t="str">
            <v>RODRIGO</v>
          </cell>
          <cell r="M781" t="str">
            <v>ANGELICA BATISTELA</v>
          </cell>
        </row>
        <row r="782">
          <cell r="B782">
            <v>5162285</v>
          </cell>
          <cell r="C782" t="str">
            <v>KOB COMERCIAL LTDA</v>
          </cell>
          <cell r="D782">
            <v>3001</v>
          </cell>
          <cell r="E782" t="str">
            <v>0126</v>
          </cell>
          <cell r="F782" t="str">
            <v>C1</v>
          </cell>
          <cell r="G782" t="str">
            <v>PR</v>
          </cell>
          <cell r="H782" t="str">
            <v>DISTRIBUIÇÃO</v>
          </cell>
          <cell r="I782" t="str">
            <v>FOOD SERVICE</v>
          </cell>
          <cell r="J782" t="str">
            <v>ANGELICA BATISTELA</v>
          </cell>
          <cell r="K782" t="str">
            <v>ITAMBÉ</v>
          </cell>
          <cell r="L782" t="str">
            <v>RODRIGO</v>
          </cell>
          <cell r="M782" t="str">
            <v>ANGELICA BATISTELA</v>
          </cell>
        </row>
        <row r="783">
          <cell r="B783">
            <v>5289761</v>
          </cell>
          <cell r="C783" t="str">
            <v>KOMAH DELIVERY E SERVICOS DE ALIMEN</v>
          </cell>
          <cell r="D783">
            <v>7001</v>
          </cell>
          <cell r="E783" t="str">
            <v>0749</v>
          </cell>
          <cell r="F783" t="str">
            <v>C5</v>
          </cell>
          <cell r="G783" t="str">
            <v>SP</v>
          </cell>
          <cell r="H783" t="str">
            <v>DISTRIBUIÇÃO</v>
          </cell>
          <cell r="I783" t="str">
            <v>FOOD SERVICE</v>
          </cell>
          <cell r="J783" t="str">
            <v>FLAC 6</v>
          </cell>
          <cell r="K783" t="str">
            <v>LACTALIS</v>
          </cell>
          <cell r="L783" t="str">
            <v>RODRIGO</v>
          </cell>
          <cell r="M783" t="str">
            <v>RAQUEL BARBOSA</v>
          </cell>
        </row>
        <row r="784">
          <cell r="B784">
            <v>5263630</v>
          </cell>
          <cell r="C784" t="str">
            <v>KVIL LANCHES LTDA ME</v>
          </cell>
          <cell r="D784">
            <v>7001</v>
          </cell>
          <cell r="E784" t="str">
            <v>0749</v>
          </cell>
          <cell r="F784" t="str">
            <v>C5</v>
          </cell>
          <cell r="G784" t="str">
            <v>SP</v>
          </cell>
          <cell r="H784" t="str">
            <v>DISTRIBUIÇÃO</v>
          </cell>
          <cell r="I784" t="str">
            <v>FOOD SERVICE</v>
          </cell>
          <cell r="J784" t="str">
            <v>FLAC 3</v>
          </cell>
          <cell r="K784" t="str">
            <v>LACTALIS</v>
          </cell>
          <cell r="L784" t="str">
            <v>RODRIGO</v>
          </cell>
          <cell r="M784" t="str">
            <v>RAQUEL BARBOSA</v>
          </cell>
        </row>
        <row r="785">
          <cell r="B785">
            <v>5318961</v>
          </cell>
          <cell r="C785" t="str">
            <v>KYOTO CAFES ESPECIAIS SOC EMPRES LT</v>
          </cell>
          <cell r="D785">
            <v>7001</v>
          </cell>
          <cell r="E785" t="str">
            <v>0749</v>
          </cell>
          <cell r="F785" t="str">
            <v>C5</v>
          </cell>
          <cell r="G785" t="str">
            <v>SP</v>
          </cell>
          <cell r="H785" t="str">
            <v>DISTRIBUIÇÃO</v>
          </cell>
          <cell r="I785" t="str">
            <v>FOOD SERVICE</v>
          </cell>
          <cell r="J785" t="str">
            <v>FLAC 6</v>
          </cell>
          <cell r="K785" t="str">
            <v>LACTALIS</v>
          </cell>
          <cell r="L785" t="str">
            <v>RODRIGO</v>
          </cell>
          <cell r="M785" t="str">
            <v>RAQUEL BARBOSA</v>
          </cell>
        </row>
        <row r="786">
          <cell r="B786">
            <v>5278482</v>
          </cell>
          <cell r="C786" t="str">
            <v>L ALLEGRO REST LTDA</v>
          </cell>
          <cell r="D786">
            <v>7001</v>
          </cell>
          <cell r="E786" t="str">
            <v>0749</v>
          </cell>
          <cell r="F786" t="str">
            <v>C5</v>
          </cell>
          <cell r="G786" t="str">
            <v>SP</v>
          </cell>
          <cell r="H786" t="str">
            <v>DISTRIBUIÇÃO</v>
          </cell>
          <cell r="I786" t="str">
            <v>FOOD SERVICE</v>
          </cell>
          <cell r="J786" t="str">
            <v>FLAC 6</v>
          </cell>
          <cell r="K786" t="str">
            <v>LACTALIS</v>
          </cell>
          <cell r="L786" t="str">
            <v>RODRIGO</v>
          </cell>
          <cell r="M786" t="str">
            <v>RAQUEL BARBOSA</v>
          </cell>
        </row>
        <row r="787">
          <cell r="B787">
            <v>5248507</v>
          </cell>
          <cell r="C787" t="str">
            <v>L B C P COMERCIAL LTDA ME</v>
          </cell>
          <cell r="D787">
            <v>7001</v>
          </cell>
          <cell r="E787" t="str">
            <v>0749</v>
          </cell>
          <cell r="F787" t="str">
            <v>C5</v>
          </cell>
          <cell r="G787" t="str">
            <v>SP</v>
          </cell>
          <cell r="H787" t="str">
            <v>DISTRIBUIÇÃO</v>
          </cell>
          <cell r="I787" t="str">
            <v>FOOD SERVICE</v>
          </cell>
          <cell r="J787" t="str">
            <v>FLAC 6</v>
          </cell>
          <cell r="K787" t="str">
            <v>LACTALIS</v>
          </cell>
          <cell r="L787" t="str">
            <v>RODRIGO</v>
          </cell>
          <cell r="M787" t="str">
            <v>RAQUEL BARBOSA</v>
          </cell>
        </row>
        <row r="788">
          <cell r="B788">
            <v>5320317</v>
          </cell>
          <cell r="C788" t="str">
            <v>L F S COM E IMPORTACAO DE ALIM</v>
          </cell>
          <cell r="D788">
            <v>3001</v>
          </cell>
          <cell r="E788" t="str">
            <v>0075</v>
          </cell>
          <cell r="F788" t="str">
            <v>C1</v>
          </cell>
          <cell r="G788" t="str">
            <v>CE</v>
          </cell>
          <cell r="H788" t="str">
            <v>DISTRIBUIÇÃO</v>
          </cell>
          <cell r="I788" t="str">
            <v>FOOD SERVICE</v>
          </cell>
          <cell r="J788" t="str">
            <v>WH FOOD SERVICE CE</v>
          </cell>
          <cell r="K788" t="str">
            <v>ITAMBÉ</v>
          </cell>
          <cell r="L788" t="str">
            <v>RODRIGO</v>
          </cell>
          <cell r="M788" t="str">
            <v>MARIA LOURDES</v>
          </cell>
        </row>
        <row r="789">
          <cell r="B789">
            <v>5320317</v>
          </cell>
          <cell r="C789" t="str">
            <v>L F S COM E IMPORTACAO DE ALIM</v>
          </cell>
          <cell r="D789">
            <v>3001</v>
          </cell>
          <cell r="E789" t="str">
            <v>0127</v>
          </cell>
          <cell r="F789" t="str">
            <v>C1</v>
          </cell>
          <cell r="G789" t="str">
            <v>CE</v>
          </cell>
          <cell r="H789" t="str">
            <v>DISTRIBUIÇÃO</v>
          </cell>
          <cell r="I789" t="str">
            <v>FOOD SERVICE</v>
          </cell>
          <cell r="J789" t="str">
            <v>WH FOOD SERVICE CE</v>
          </cell>
          <cell r="K789" t="str">
            <v>ITAMBÉ</v>
          </cell>
          <cell r="L789" t="str">
            <v>RODRIGO</v>
          </cell>
          <cell r="M789" t="str">
            <v>MARIA LOURDES</v>
          </cell>
        </row>
        <row r="790">
          <cell r="B790">
            <v>5168473</v>
          </cell>
          <cell r="C790" t="str">
            <v>L F S COMERCIO E IMPORTACAO ALI</v>
          </cell>
          <cell r="D790">
            <v>3001</v>
          </cell>
          <cell r="E790" t="str">
            <v>0127</v>
          </cell>
          <cell r="F790" t="str">
            <v>C1</v>
          </cell>
          <cell r="G790" t="str">
            <v>CE</v>
          </cell>
          <cell r="H790" t="str">
            <v>DISTRIBUIÇÃO</v>
          </cell>
          <cell r="I790" t="str">
            <v>FOOD SERVICE</v>
          </cell>
          <cell r="J790" t="str">
            <v>WH FOOD SERVICE CE</v>
          </cell>
          <cell r="K790" t="str">
            <v>ITAMBÉ</v>
          </cell>
          <cell r="L790" t="str">
            <v>RODRIGO</v>
          </cell>
          <cell r="M790" t="str">
            <v>MARIA LOURDES</v>
          </cell>
        </row>
        <row r="791">
          <cell r="B791">
            <v>5263597</v>
          </cell>
          <cell r="C791" t="str">
            <v>LA TAMBOUILLE COM DE REFEICOES RAPI</v>
          </cell>
          <cell r="D791">
            <v>7001</v>
          </cell>
          <cell r="E791" t="str">
            <v>0749</v>
          </cell>
          <cell r="F791" t="str">
            <v>C5</v>
          </cell>
          <cell r="G791" t="str">
            <v>SP</v>
          </cell>
          <cell r="H791" t="str">
            <v>DISTRIBUIÇÃO</v>
          </cell>
          <cell r="I791" t="str">
            <v>FOOD SERVICE</v>
          </cell>
          <cell r="J791" t="str">
            <v>FLAC 6</v>
          </cell>
          <cell r="K791" t="str">
            <v>LACTALIS</v>
          </cell>
          <cell r="L791" t="str">
            <v>RODRIGO</v>
          </cell>
          <cell r="M791" t="str">
            <v>RAQUEL BARBOSA</v>
          </cell>
        </row>
        <row r="792">
          <cell r="B792">
            <v>5218758</v>
          </cell>
          <cell r="C792" t="str">
            <v>LACERDA ALIMENTACAO LTDA</v>
          </cell>
          <cell r="D792">
            <v>3001</v>
          </cell>
          <cell r="E792" t="str">
            <v>0122</v>
          </cell>
          <cell r="F792" t="str">
            <v>C1</v>
          </cell>
          <cell r="G792" t="str">
            <v>MG</v>
          </cell>
          <cell r="H792" t="str">
            <v>DISTRIBUIÇÃO</v>
          </cell>
          <cell r="I792" t="str">
            <v>FOOD SERVICE</v>
          </cell>
          <cell r="J792" t="str">
            <v>MARCELO SILVA</v>
          </cell>
          <cell r="K792" t="str">
            <v>ITAMBÉ</v>
          </cell>
          <cell r="L792" t="str">
            <v>RODRIGO</v>
          </cell>
          <cell r="M792" t="str">
            <v>CELIO MARTINS</v>
          </cell>
        </row>
        <row r="793">
          <cell r="B793">
            <v>5193743</v>
          </cell>
          <cell r="C793" t="str">
            <v>LACTICINIO YOGUEDES IND E COM LTDA</v>
          </cell>
          <cell r="D793">
            <v>3001</v>
          </cell>
          <cell r="E793" t="str">
            <v>0122</v>
          </cell>
          <cell r="F793" t="str">
            <v>C1</v>
          </cell>
          <cell r="G793" t="str">
            <v>MG</v>
          </cell>
          <cell r="H793" t="str">
            <v>INGREDIENTS</v>
          </cell>
          <cell r="I793" t="str">
            <v>INGREDIENTS</v>
          </cell>
          <cell r="J793" t="str">
            <v>JOEL ELEOTÉRIO</v>
          </cell>
          <cell r="K793" t="str">
            <v>ITAMBÉ</v>
          </cell>
          <cell r="L793" t="str">
            <v>MAURICIO</v>
          </cell>
          <cell r="M793" t="str">
            <v>JOEL</v>
          </cell>
        </row>
        <row r="794">
          <cell r="B794">
            <v>5278282</v>
          </cell>
          <cell r="C794" t="str">
            <v>LACTICINIOS DO VELHINHO LTDA ME</v>
          </cell>
          <cell r="D794">
            <v>7001</v>
          </cell>
          <cell r="E794" t="str">
            <v>0749</v>
          </cell>
          <cell r="F794" t="str">
            <v>C5</v>
          </cell>
          <cell r="G794" t="str">
            <v>SP</v>
          </cell>
          <cell r="H794" t="str">
            <v>DISTRIBUIÇÃO</v>
          </cell>
          <cell r="I794" t="str">
            <v>FOOD SERVICE</v>
          </cell>
          <cell r="J794" t="str">
            <v>FLAC 6</v>
          </cell>
          <cell r="K794" t="str">
            <v>LACTALIS</v>
          </cell>
          <cell r="L794" t="str">
            <v>RODRIGO</v>
          </cell>
          <cell r="M794" t="str">
            <v>RAQUEL BARBOSA</v>
          </cell>
        </row>
        <row r="795">
          <cell r="B795">
            <v>5282885</v>
          </cell>
          <cell r="C795" t="str">
            <v>LACTICINIOS TIROL LTDA</v>
          </cell>
          <cell r="D795">
            <v>4001</v>
          </cell>
          <cell r="E795" t="str">
            <v>0423</v>
          </cell>
          <cell r="F795" t="str">
            <v>C5</v>
          </cell>
          <cell r="G795" t="str">
            <v>SC</v>
          </cell>
          <cell r="H795" t="str">
            <v>OUTROS</v>
          </cell>
          <cell r="I795" t="str">
            <v>OUTROS</v>
          </cell>
          <cell r="J795" t="str">
            <v>SERVIÇO TIROL</v>
          </cell>
          <cell r="K795" t="str">
            <v>OUTROS</v>
          </cell>
          <cell r="L795" t="str">
            <v>OUTROS</v>
          </cell>
          <cell r="M795" t="str">
            <v>SERVIÇO TIROL</v>
          </cell>
        </row>
        <row r="796">
          <cell r="B796">
            <v>5282885</v>
          </cell>
          <cell r="C796" t="str">
            <v>LACTICINIOS TIROL LTDA</v>
          </cell>
          <cell r="D796">
            <v>4001</v>
          </cell>
          <cell r="E796" t="str">
            <v>0437</v>
          </cell>
          <cell r="F796" t="str">
            <v>C1</v>
          </cell>
          <cell r="G796" t="str">
            <v>SC</v>
          </cell>
          <cell r="H796" t="str">
            <v>OUTROS</v>
          </cell>
          <cell r="I796" t="str">
            <v>OUTROS</v>
          </cell>
          <cell r="J796" t="str">
            <v>SERVIÇO TIROL</v>
          </cell>
          <cell r="K796" t="str">
            <v>OUTROS</v>
          </cell>
          <cell r="L796" t="str">
            <v>OUTROS</v>
          </cell>
          <cell r="M796" t="str">
            <v>SERVIÇO TIROL</v>
          </cell>
        </row>
        <row r="797">
          <cell r="B797">
            <v>5303293</v>
          </cell>
          <cell r="C797" t="str">
            <v>LACTICINIOS TIROL LTDA</v>
          </cell>
          <cell r="D797">
            <v>4001</v>
          </cell>
          <cell r="E797" t="str">
            <v>0437</v>
          </cell>
          <cell r="F797" t="str">
            <v>C1</v>
          </cell>
          <cell r="G797" t="str">
            <v>RS</v>
          </cell>
          <cell r="H797" t="str">
            <v>OUTROS</v>
          </cell>
          <cell r="I797" t="str">
            <v>OUTROS</v>
          </cell>
          <cell r="J797" t="str">
            <v>SERVIÇO TIROL</v>
          </cell>
          <cell r="K797" t="str">
            <v>OUTROS</v>
          </cell>
          <cell r="L797" t="str">
            <v>OUTROS</v>
          </cell>
          <cell r="M797" t="str">
            <v>SERVIÇO TIROL</v>
          </cell>
        </row>
        <row r="798">
          <cell r="B798">
            <v>5303294</v>
          </cell>
          <cell r="C798" t="str">
            <v>LACTICINIOS TIROL LTDA</v>
          </cell>
          <cell r="D798">
            <v>4001</v>
          </cell>
          <cell r="E798" t="str">
            <v>0437</v>
          </cell>
          <cell r="F798" t="str">
            <v>C1</v>
          </cell>
          <cell r="G798" t="str">
            <v>SC</v>
          </cell>
          <cell r="H798" t="str">
            <v>OUTROS</v>
          </cell>
          <cell r="I798" t="str">
            <v>OUTROS</v>
          </cell>
          <cell r="J798" t="str">
            <v>SERVIÇO TIROL</v>
          </cell>
          <cell r="K798" t="str">
            <v>OUTROS</v>
          </cell>
          <cell r="L798" t="str">
            <v>OUTROS</v>
          </cell>
          <cell r="M798" t="str">
            <v>SERVIÇO TIROL</v>
          </cell>
        </row>
        <row r="799">
          <cell r="B799">
            <v>5334305</v>
          </cell>
          <cell r="C799" t="str">
            <v>LACTICINIOS TIROL LTDA</v>
          </cell>
          <cell r="D799">
            <v>4001</v>
          </cell>
          <cell r="E799" t="str">
            <v>0437</v>
          </cell>
          <cell r="F799" t="str">
            <v>C1</v>
          </cell>
          <cell r="G799" t="str">
            <v>PR</v>
          </cell>
          <cell r="H799" t="str">
            <v>OUTROS</v>
          </cell>
          <cell r="I799" t="str">
            <v>OUTROS</v>
          </cell>
          <cell r="J799" t="str">
            <v>SERVIÇO TIROL</v>
          </cell>
          <cell r="K799" t="str">
            <v>OUTROS</v>
          </cell>
          <cell r="L799" t="str">
            <v>OUTROS</v>
          </cell>
          <cell r="M799" t="str">
            <v>SERVIÇO TIROL</v>
          </cell>
        </row>
        <row r="800">
          <cell r="B800">
            <v>5282885</v>
          </cell>
          <cell r="C800" t="str">
            <v>LACTICINIOS TIROL LTDA</v>
          </cell>
          <cell r="D800">
            <v>4001</v>
          </cell>
          <cell r="E800" t="str">
            <v>0456</v>
          </cell>
          <cell r="F800" t="str">
            <v>C1</v>
          </cell>
          <cell r="G800" t="str">
            <v>SC</v>
          </cell>
          <cell r="H800" t="str">
            <v>OUTROS</v>
          </cell>
          <cell r="I800" t="str">
            <v>OUTROS</v>
          </cell>
          <cell r="J800" t="str">
            <v>SERVIÇO TIROL</v>
          </cell>
          <cell r="K800" t="str">
            <v>OUTROS</v>
          </cell>
          <cell r="L800" t="str">
            <v>OUTROS</v>
          </cell>
          <cell r="M800" t="str">
            <v>SERVIÇO TIROL</v>
          </cell>
        </row>
        <row r="801">
          <cell r="B801">
            <v>5303294</v>
          </cell>
          <cell r="C801" t="str">
            <v>LACTICINIOS TIROL LTDA</v>
          </cell>
          <cell r="D801">
            <v>4001</v>
          </cell>
          <cell r="E801" t="str">
            <v>0456</v>
          </cell>
          <cell r="F801" t="str">
            <v>C1</v>
          </cell>
          <cell r="G801" t="str">
            <v>SC</v>
          </cell>
          <cell r="H801" t="str">
            <v>OUTROS</v>
          </cell>
          <cell r="I801" t="str">
            <v>OUTROS</v>
          </cell>
          <cell r="J801" t="str">
            <v>SERVIÇO TIROL</v>
          </cell>
          <cell r="K801" t="str">
            <v>OUTROS</v>
          </cell>
          <cell r="L801" t="str">
            <v>OUTROS</v>
          </cell>
          <cell r="M801" t="str">
            <v>SERVIÇO TIROL</v>
          </cell>
        </row>
        <row r="802">
          <cell r="B802">
            <v>5337751</v>
          </cell>
          <cell r="C802" t="str">
            <v>LACTICINIOS TIROL LTDA</v>
          </cell>
          <cell r="D802">
            <v>4001</v>
          </cell>
          <cell r="E802" t="str">
            <v>0456</v>
          </cell>
          <cell r="F802" t="str">
            <v>C1</v>
          </cell>
          <cell r="G802" t="str">
            <v>SC</v>
          </cell>
          <cell r="H802" t="str">
            <v>OUTROS</v>
          </cell>
          <cell r="I802" t="str">
            <v>OUTROS</v>
          </cell>
          <cell r="J802" t="str">
            <v>SERVIÇO TIROL</v>
          </cell>
          <cell r="K802" t="str">
            <v>OUTROS</v>
          </cell>
          <cell r="L802" t="str">
            <v>OUTROS</v>
          </cell>
          <cell r="M802" t="str">
            <v>SERVIÇO TIROL</v>
          </cell>
        </row>
        <row r="803">
          <cell r="B803">
            <v>5334305</v>
          </cell>
          <cell r="C803" t="str">
            <v>LACTICINIOS TIROL LTDA</v>
          </cell>
          <cell r="D803">
            <v>4001</v>
          </cell>
          <cell r="E803" t="str">
            <v>0452</v>
          </cell>
          <cell r="F803" t="str">
            <v>C5</v>
          </cell>
          <cell r="G803" t="str">
            <v>PR</v>
          </cell>
          <cell r="H803" t="str">
            <v>OUTROS</v>
          </cell>
          <cell r="I803" t="str">
            <v>OUTROS</v>
          </cell>
          <cell r="J803" t="str">
            <v>SERVIÇO TIROL</v>
          </cell>
          <cell r="K803" t="str">
            <v>OUTROS</v>
          </cell>
          <cell r="L803" t="str">
            <v>OUTROS</v>
          </cell>
          <cell r="M803" t="str">
            <v>SERVIÇO TIROL</v>
          </cell>
        </row>
        <row r="804">
          <cell r="B804">
            <v>5334305</v>
          </cell>
          <cell r="C804" t="str">
            <v>LACTICINIOS TIROL LTDA</v>
          </cell>
          <cell r="D804">
            <v>4001</v>
          </cell>
          <cell r="E804" t="str">
            <v>0423</v>
          </cell>
          <cell r="F804" t="str">
            <v>C5</v>
          </cell>
          <cell r="G804" t="str">
            <v>PR</v>
          </cell>
          <cell r="H804" t="str">
            <v>OUTROS</v>
          </cell>
          <cell r="I804" t="str">
            <v>OUTROS</v>
          </cell>
          <cell r="J804" t="str">
            <v>SERVIÇO TIROL</v>
          </cell>
          <cell r="K804" t="str">
            <v>OUTROS</v>
          </cell>
          <cell r="L804" t="str">
            <v>OUTROS</v>
          </cell>
          <cell r="M804" t="str">
            <v>SERVIÇO TIROL</v>
          </cell>
        </row>
        <row r="805">
          <cell r="B805">
            <v>5334305</v>
          </cell>
          <cell r="C805" t="str">
            <v>LACTICINIOS TIROL LTDA</v>
          </cell>
          <cell r="D805">
            <v>4001</v>
          </cell>
          <cell r="E805" t="str">
            <v>0455</v>
          </cell>
          <cell r="F805" t="str">
            <v>C1</v>
          </cell>
          <cell r="G805" t="str">
            <v>PR</v>
          </cell>
          <cell r="H805" t="str">
            <v>OUTROS</v>
          </cell>
          <cell r="I805" t="str">
            <v>OUTROS</v>
          </cell>
          <cell r="J805" t="str">
            <v>SERVIÇO TIROL</v>
          </cell>
          <cell r="K805" t="str">
            <v>OUTROS</v>
          </cell>
          <cell r="L805" t="str">
            <v>OUTROS</v>
          </cell>
          <cell r="M805" t="str">
            <v>SERVIÇO TIROL</v>
          </cell>
        </row>
        <row r="806">
          <cell r="B806">
            <v>5335938</v>
          </cell>
          <cell r="C806" t="str">
            <v>LACTICINIOS TIROL LTDA</v>
          </cell>
          <cell r="D806">
            <v>4001</v>
          </cell>
          <cell r="E806" t="str">
            <v>0422</v>
          </cell>
          <cell r="F806" t="str">
            <v>C1</v>
          </cell>
          <cell r="G806" t="str">
            <v>SP</v>
          </cell>
          <cell r="H806" t="str">
            <v>OUTROS</v>
          </cell>
          <cell r="I806" t="str">
            <v>OUTROS</v>
          </cell>
          <cell r="J806" t="str">
            <v>SERVIÇO TIROL</v>
          </cell>
          <cell r="K806" t="str">
            <v>OUTROS</v>
          </cell>
          <cell r="L806" t="str">
            <v>OUTROS</v>
          </cell>
          <cell r="M806" t="str">
            <v>SERVIÇO TIROL</v>
          </cell>
        </row>
        <row r="807">
          <cell r="B807">
            <v>5336007</v>
          </cell>
          <cell r="C807" t="str">
            <v>LACTICINIOS TIROL LTDA</v>
          </cell>
          <cell r="D807">
            <v>4001</v>
          </cell>
          <cell r="E807" t="str">
            <v>0455</v>
          </cell>
          <cell r="F807" t="str">
            <v>C1</v>
          </cell>
          <cell r="G807" t="str">
            <v>PR</v>
          </cell>
          <cell r="H807" t="str">
            <v>OUTROS</v>
          </cell>
          <cell r="I807" t="str">
            <v>OUTROS</v>
          </cell>
          <cell r="J807" t="str">
            <v>SERVIÇO TIROL</v>
          </cell>
          <cell r="K807" t="str">
            <v>OUTROS</v>
          </cell>
          <cell r="L807" t="str">
            <v>OUTROS</v>
          </cell>
          <cell r="M807" t="str">
            <v>SERVIÇO TIROL</v>
          </cell>
        </row>
        <row r="808">
          <cell r="B808">
            <v>5303294</v>
          </cell>
          <cell r="C808" t="str">
            <v>LACTICINIOS TIROL LTDA</v>
          </cell>
          <cell r="D808">
            <v>4001</v>
          </cell>
          <cell r="E808" t="str">
            <v>0423</v>
          </cell>
          <cell r="F808" t="str">
            <v>C5</v>
          </cell>
          <cell r="G808" t="str">
            <v>SC</v>
          </cell>
          <cell r="H808" t="str">
            <v>OUTROS</v>
          </cell>
          <cell r="I808" t="str">
            <v>OUTROS</v>
          </cell>
          <cell r="J808" t="str">
            <v>SERVIÇO TIROL</v>
          </cell>
          <cell r="K808" t="str">
            <v>OUTROS</v>
          </cell>
          <cell r="L808" t="str">
            <v>OUTROS</v>
          </cell>
          <cell r="M808" t="str">
            <v>SERVIÇO TIROL</v>
          </cell>
        </row>
        <row r="809">
          <cell r="B809">
            <v>5098932</v>
          </cell>
          <cell r="C809" t="str">
            <v>LACTOJARA INDUSTRIA COM LATICINIOS LTDA</v>
          </cell>
          <cell r="D809">
            <v>4001</v>
          </cell>
          <cell r="E809" t="str">
            <v>0455</v>
          </cell>
          <cell r="F809" t="str">
            <v>C1</v>
          </cell>
          <cell r="G809" t="str">
            <v>PR</v>
          </cell>
          <cell r="H809" t="str">
            <v>INGREDIENTS</v>
          </cell>
          <cell r="I809" t="str">
            <v>INGREDIENTS</v>
          </cell>
          <cell r="J809" t="str">
            <v>MARCELO RODRIGUES</v>
          </cell>
          <cell r="K809" t="str">
            <v>LACTALIS</v>
          </cell>
          <cell r="L809" t="str">
            <v>MAURICIO</v>
          </cell>
          <cell r="M809" t="str">
            <v>MARCELO</v>
          </cell>
        </row>
        <row r="810">
          <cell r="B810">
            <v>5027657</v>
          </cell>
          <cell r="C810" t="str">
            <v>LACTUS COM DE PROD ALIMENTICIOS LTD</v>
          </cell>
          <cell r="D810">
            <v>3001</v>
          </cell>
          <cell r="E810" t="str">
            <v>0126</v>
          </cell>
          <cell r="F810" t="str">
            <v>C1</v>
          </cell>
          <cell r="G810" t="str">
            <v>SC</v>
          </cell>
          <cell r="H810" t="str">
            <v>DISTRIBUIÇÃO</v>
          </cell>
          <cell r="I810" t="str">
            <v>FOOD SERVICE</v>
          </cell>
          <cell r="J810" t="str">
            <v>ANGELICA BATISTELA</v>
          </cell>
          <cell r="K810" t="str">
            <v>ITAMBÉ</v>
          </cell>
          <cell r="L810" t="str">
            <v>RODRIGO</v>
          </cell>
          <cell r="M810" t="str">
            <v>ANGELICA BATISTELA</v>
          </cell>
        </row>
        <row r="811">
          <cell r="B811">
            <v>5303069</v>
          </cell>
          <cell r="C811" t="str">
            <v>LAGHETTO HOTEIS LTDA</v>
          </cell>
          <cell r="D811">
            <v>7001</v>
          </cell>
          <cell r="E811" t="str">
            <v>0749</v>
          </cell>
          <cell r="F811" t="str">
            <v>C5</v>
          </cell>
          <cell r="G811" t="str">
            <v>SP</v>
          </cell>
          <cell r="H811" t="str">
            <v>DISTRIBUIÇÃO</v>
          </cell>
          <cell r="I811" t="str">
            <v>FOOD SERVICE</v>
          </cell>
          <cell r="J811" t="str">
            <v>FLAC 6</v>
          </cell>
          <cell r="K811" t="str">
            <v>LACTALIS</v>
          </cell>
          <cell r="L811" t="str">
            <v>RODRIGO</v>
          </cell>
          <cell r="M811" t="str">
            <v>RAQUEL BARBOSA</v>
          </cell>
        </row>
        <row r="812">
          <cell r="B812">
            <v>5331426</v>
          </cell>
          <cell r="C812" t="str">
            <v>LAMPUR ALIMENTOS LTDA</v>
          </cell>
          <cell r="D812">
            <v>7001</v>
          </cell>
          <cell r="E812" t="str">
            <v>0749</v>
          </cell>
          <cell r="F812" t="str">
            <v>C5</v>
          </cell>
          <cell r="G812" t="str">
            <v>SP</v>
          </cell>
          <cell r="H812" t="str">
            <v>DISTRIBUIÇÃO</v>
          </cell>
          <cell r="I812" t="str">
            <v>FOOD SERVICE</v>
          </cell>
          <cell r="J812" t="str">
            <v>FLAC 6</v>
          </cell>
          <cell r="K812" t="str">
            <v>LACTALIS</v>
          </cell>
          <cell r="L812" t="str">
            <v>RODRIGO</v>
          </cell>
          <cell r="M812" t="str">
            <v>RAQUEL BARBOSA</v>
          </cell>
        </row>
        <row r="813">
          <cell r="B813">
            <v>5339674</v>
          </cell>
          <cell r="C813" t="str">
            <v>LANCH E REST BAMBARAS LTDA</v>
          </cell>
          <cell r="D813">
            <v>7001</v>
          </cell>
          <cell r="E813" t="str">
            <v>0749</v>
          </cell>
          <cell r="F813" t="str">
            <v>C5</v>
          </cell>
          <cell r="G813" t="str">
            <v>SP</v>
          </cell>
          <cell r="H813" t="str">
            <v>DISTRIBUIÇÃO</v>
          </cell>
          <cell r="I813" t="str">
            <v>FOOD SERVICE</v>
          </cell>
          <cell r="J813" t="str">
            <v>FLAC 5</v>
          </cell>
          <cell r="K813" t="str">
            <v>LACTALIS</v>
          </cell>
          <cell r="L813" t="str">
            <v>RODRIGO</v>
          </cell>
          <cell r="M813" t="str">
            <v>RAQUEL BARBOSA</v>
          </cell>
        </row>
        <row r="814">
          <cell r="B814">
            <v>5262263</v>
          </cell>
          <cell r="C814" t="str">
            <v>LANCHONETE LAGOA TROPICAL LTDA ME</v>
          </cell>
          <cell r="D814">
            <v>7001</v>
          </cell>
          <cell r="E814" t="str">
            <v>0749</v>
          </cell>
          <cell r="F814" t="str">
            <v>C5</v>
          </cell>
          <cell r="G814" t="str">
            <v>SP</v>
          </cell>
          <cell r="H814" t="str">
            <v>DISTRIBUIÇÃO</v>
          </cell>
          <cell r="I814" t="str">
            <v>FOOD SERVICE</v>
          </cell>
          <cell r="J814" t="str">
            <v>FLAC 6</v>
          </cell>
          <cell r="K814" t="str">
            <v>LACTALIS</v>
          </cell>
          <cell r="L814" t="str">
            <v>RODRIGO</v>
          </cell>
          <cell r="M814" t="str">
            <v>RAQUEL BARBOSA</v>
          </cell>
        </row>
        <row r="815">
          <cell r="B815">
            <v>5266323</v>
          </cell>
          <cell r="C815" t="str">
            <v>LANCHONETE MEGA SUCO LTDA</v>
          </cell>
          <cell r="D815">
            <v>7001</v>
          </cell>
          <cell r="E815" t="str">
            <v>0749</v>
          </cell>
          <cell r="F815" t="str">
            <v>C5</v>
          </cell>
          <cell r="G815" t="str">
            <v>SP</v>
          </cell>
          <cell r="H815" t="str">
            <v>DISTRIBUIÇÃO</v>
          </cell>
          <cell r="I815" t="str">
            <v>FOOD SERVICE</v>
          </cell>
          <cell r="J815" t="str">
            <v>FLAC 3</v>
          </cell>
          <cell r="K815" t="str">
            <v>LACTALIS</v>
          </cell>
          <cell r="L815" t="str">
            <v>RODRIGO</v>
          </cell>
          <cell r="M815" t="str">
            <v>RAQUEL BARBOSA</v>
          </cell>
        </row>
        <row r="816">
          <cell r="B816">
            <v>5330184</v>
          </cell>
          <cell r="C816" t="str">
            <v>LANCHONETE TORRE DO SOL LTDA</v>
          </cell>
          <cell r="D816">
            <v>7001</v>
          </cell>
          <cell r="E816" t="str">
            <v>0749</v>
          </cell>
          <cell r="F816" t="str">
            <v>C5</v>
          </cell>
          <cell r="G816" t="str">
            <v>SP</v>
          </cell>
          <cell r="H816" t="str">
            <v>DISTRIBUIÇÃO</v>
          </cell>
          <cell r="I816" t="str">
            <v>FOOD SERVICE</v>
          </cell>
          <cell r="J816" t="str">
            <v>FLAC 5</v>
          </cell>
          <cell r="K816" t="str">
            <v>LACTALIS</v>
          </cell>
          <cell r="L816" t="str">
            <v>RODRIGO</v>
          </cell>
          <cell r="M816" t="str">
            <v>RAQUEL BARBOSA</v>
          </cell>
        </row>
        <row r="817">
          <cell r="B817">
            <v>5278208</v>
          </cell>
          <cell r="C817" t="str">
            <v>LAT LUSO BRASILEIRO LTDA</v>
          </cell>
          <cell r="D817">
            <v>7001</v>
          </cell>
          <cell r="E817" t="str">
            <v>0722</v>
          </cell>
          <cell r="F817" t="str">
            <v>C1</v>
          </cell>
          <cell r="G817" t="str">
            <v>SP</v>
          </cell>
          <cell r="H817" t="str">
            <v>DISTRIBUIÇÃO</v>
          </cell>
          <cell r="I817" t="str">
            <v>FOOD SERVICE</v>
          </cell>
          <cell r="J817" t="str">
            <v>GUILHERME NASCIMENTO</v>
          </cell>
          <cell r="K817" t="str">
            <v>LACTALIS</v>
          </cell>
          <cell r="L817" t="str">
            <v>RODRIGO</v>
          </cell>
          <cell r="M817" t="str">
            <v>ALEXANDRO</v>
          </cell>
        </row>
        <row r="818">
          <cell r="B818">
            <v>5284531</v>
          </cell>
          <cell r="C818" t="str">
            <v>LATICINIO BELO VALE LTDA</v>
          </cell>
          <cell r="D818">
            <v>4001</v>
          </cell>
          <cell r="E818" t="str">
            <v>0423</v>
          </cell>
          <cell r="F818" t="str">
            <v>C5</v>
          </cell>
          <cell r="G818" t="str">
            <v>PB</v>
          </cell>
          <cell r="H818" t="str">
            <v>INGREDIENTS</v>
          </cell>
          <cell r="I818" t="str">
            <v>INGREDIENTS</v>
          </cell>
          <cell r="J818" t="str">
            <v>JOEL ELEOTÉRIO</v>
          </cell>
          <cell r="K818" t="str">
            <v>LACTALIS</v>
          </cell>
          <cell r="L818" t="str">
            <v>MAURICIO</v>
          </cell>
          <cell r="M818" t="str">
            <v>JOEL</v>
          </cell>
        </row>
        <row r="819">
          <cell r="B819">
            <v>5284531</v>
          </cell>
          <cell r="C819" t="str">
            <v>LATICINIO BELO VALE LTDA</v>
          </cell>
          <cell r="D819">
            <v>4001</v>
          </cell>
          <cell r="E819" t="str">
            <v>0437</v>
          </cell>
          <cell r="F819" t="str">
            <v>C1</v>
          </cell>
          <cell r="G819" t="str">
            <v>PB</v>
          </cell>
          <cell r="H819" t="str">
            <v>INGREDIENTS</v>
          </cell>
          <cell r="I819" t="str">
            <v>INGREDIENTS</v>
          </cell>
          <cell r="J819" t="str">
            <v>JOEL ELEOTÉRIO</v>
          </cell>
          <cell r="K819" t="str">
            <v>LACTALIS</v>
          </cell>
          <cell r="L819" t="str">
            <v>MAURICIO</v>
          </cell>
          <cell r="M819" t="str">
            <v>JOEL</v>
          </cell>
        </row>
        <row r="820">
          <cell r="B820">
            <v>5255675</v>
          </cell>
          <cell r="C820" t="str">
            <v>LATICINIOS BELA VISTA LTDA</v>
          </cell>
          <cell r="D820">
            <v>4001</v>
          </cell>
          <cell r="E820" t="str">
            <v>0437</v>
          </cell>
          <cell r="F820" t="str">
            <v>C1</v>
          </cell>
          <cell r="G820" t="str">
            <v>SC</v>
          </cell>
          <cell r="H820" t="str">
            <v>INGREDIENTS</v>
          </cell>
          <cell r="I820" t="str">
            <v>INGREDIENTS</v>
          </cell>
          <cell r="J820" t="str">
            <v>JOEL ELEOTÉRIO</v>
          </cell>
          <cell r="K820" t="str">
            <v>LACTALIS</v>
          </cell>
          <cell r="L820" t="str">
            <v>MAURICIO</v>
          </cell>
          <cell r="M820" t="str">
            <v>JOEL</v>
          </cell>
        </row>
        <row r="821">
          <cell r="B821">
            <v>5275630</v>
          </cell>
          <cell r="C821" t="str">
            <v>LATICINIOS BELA VISTA LTDA</v>
          </cell>
          <cell r="D821">
            <v>4001</v>
          </cell>
          <cell r="E821" t="str">
            <v>0437</v>
          </cell>
          <cell r="F821" t="str">
            <v>C1</v>
          </cell>
          <cell r="G821" t="str">
            <v>RS</v>
          </cell>
          <cell r="H821" t="str">
            <v>INGREDIENTS</v>
          </cell>
          <cell r="I821" t="str">
            <v>INGREDIENTS</v>
          </cell>
          <cell r="J821" t="str">
            <v>JOEL ELEOTÉRIO</v>
          </cell>
          <cell r="K821" t="str">
            <v>LACTALIS</v>
          </cell>
          <cell r="L821" t="str">
            <v>MAURICIO</v>
          </cell>
          <cell r="M821" t="str">
            <v>JOEL</v>
          </cell>
        </row>
        <row r="822">
          <cell r="B822">
            <v>5176278</v>
          </cell>
          <cell r="C822" t="str">
            <v>LATICINIOS BETIM LTDA</v>
          </cell>
          <cell r="D822">
            <v>3001</v>
          </cell>
          <cell r="E822" t="str">
            <v>0028</v>
          </cell>
          <cell r="F822" t="str">
            <v>C1</v>
          </cell>
          <cell r="G822" t="str">
            <v>MG</v>
          </cell>
          <cell r="H822" t="str">
            <v>INGREDIENTS</v>
          </cell>
          <cell r="I822" t="str">
            <v>INGREDIENTS</v>
          </cell>
          <cell r="J822" t="str">
            <v>HENRIQUE FERREIRA</v>
          </cell>
          <cell r="K822" t="str">
            <v>ITAMBÉ</v>
          </cell>
          <cell r="L822" t="str">
            <v>MAURICIO</v>
          </cell>
          <cell r="M822" t="str">
            <v>JOEL</v>
          </cell>
        </row>
        <row r="823">
          <cell r="B823">
            <v>5297753</v>
          </cell>
          <cell r="C823" t="str">
            <v>LATICINIOS E FRIOS BRITANI LTDA</v>
          </cell>
          <cell r="D823">
            <v>7001</v>
          </cell>
          <cell r="E823" t="str">
            <v>0749</v>
          </cell>
          <cell r="F823" t="str">
            <v>C5</v>
          </cell>
          <cell r="G823" t="str">
            <v>SP</v>
          </cell>
          <cell r="H823" t="str">
            <v>DISTRIBUIÇÃO</v>
          </cell>
          <cell r="I823" t="str">
            <v>FOOD SERVICE</v>
          </cell>
          <cell r="J823" t="str">
            <v>FLAC 3</v>
          </cell>
          <cell r="K823" t="str">
            <v>LACTALIS</v>
          </cell>
          <cell r="L823" t="str">
            <v>RODRIGO</v>
          </cell>
          <cell r="M823" t="str">
            <v>RAQUEL BARBOSA</v>
          </cell>
        </row>
        <row r="824">
          <cell r="B824">
            <v>5332694</v>
          </cell>
          <cell r="C824" t="str">
            <v>LATICINIOS JR LTDA</v>
          </cell>
          <cell r="D824">
            <v>4001</v>
          </cell>
          <cell r="E824" t="str">
            <v>0437</v>
          </cell>
          <cell r="F824" t="str">
            <v>C1</v>
          </cell>
          <cell r="G824" t="str">
            <v>SP</v>
          </cell>
          <cell r="H824" t="str">
            <v>INGREDIENTS</v>
          </cell>
          <cell r="I824" t="str">
            <v>INGREDIENTS</v>
          </cell>
          <cell r="J824" t="str">
            <v>JOEL ELEOTÉRIO</v>
          </cell>
          <cell r="K824" t="str">
            <v>LACTALIS</v>
          </cell>
          <cell r="L824" t="str">
            <v>MAURICIO</v>
          </cell>
          <cell r="M824" t="str">
            <v>JOEL</v>
          </cell>
        </row>
        <row r="825">
          <cell r="B825">
            <v>5164028</v>
          </cell>
          <cell r="C825" t="str">
            <v>LATICINIOS RUBI EIRELI</v>
          </cell>
          <cell r="D825">
            <v>7001</v>
          </cell>
          <cell r="E825" t="str">
            <v>0749</v>
          </cell>
          <cell r="F825" t="str">
            <v>C5</v>
          </cell>
          <cell r="G825" t="str">
            <v>SP</v>
          </cell>
          <cell r="H825" t="str">
            <v>DISTRIBUIÇÃO</v>
          </cell>
          <cell r="I825" t="str">
            <v>FOOD SERVICE</v>
          </cell>
          <cell r="J825" t="str">
            <v>FLAC 1</v>
          </cell>
          <cell r="K825" t="str">
            <v>LACTALIS</v>
          </cell>
          <cell r="L825" t="str">
            <v>RODRIGO</v>
          </cell>
          <cell r="M825" t="str">
            <v>RAQUEL BARBOSA</v>
          </cell>
        </row>
        <row r="826">
          <cell r="B826">
            <v>5204301</v>
          </cell>
          <cell r="C826" t="str">
            <v>LATICINIOS SANTA RITA LTDA</v>
          </cell>
          <cell r="D826">
            <v>3001</v>
          </cell>
          <cell r="E826" t="str">
            <v>0122</v>
          </cell>
          <cell r="F826" t="str">
            <v>C1</v>
          </cell>
          <cell r="G826" t="str">
            <v>MG</v>
          </cell>
          <cell r="H826" t="str">
            <v>INGREDIENTS</v>
          </cell>
          <cell r="I826" t="str">
            <v>INGREDIENTS</v>
          </cell>
          <cell r="J826" t="str">
            <v>JOEL ELEOTÉRIO</v>
          </cell>
          <cell r="K826" t="str">
            <v>ITAMBÉ</v>
          </cell>
          <cell r="L826" t="str">
            <v>MAURICIO</v>
          </cell>
          <cell r="M826" t="str">
            <v>JOEL</v>
          </cell>
        </row>
        <row r="827">
          <cell r="B827">
            <v>5181258</v>
          </cell>
          <cell r="C827" t="str">
            <v>LATICINIOS TIROLEZ LTDA</v>
          </cell>
          <cell r="D827">
            <v>3001</v>
          </cell>
          <cell r="E827" t="str">
            <v>0028</v>
          </cell>
          <cell r="F827" t="str">
            <v>C1</v>
          </cell>
          <cell r="G827" t="str">
            <v>SP</v>
          </cell>
          <cell r="H827" t="str">
            <v>INGREDIENTS</v>
          </cell>
          <cell r="I827" t="str">
            <v>INGREDIENTS</v>
          </cell>
          <cell r="J827" t="str">
            <v>MARCELO RODRIGUES</v>
          </cell>
          <cell r="K827" t="str">
            <v>ITAMBÉ</v>
          </cell>
          <cell r="L827" t="str">
            <v>MAURICIO</v>
          </cell>
          <cell r="M827" t="str">
            <v>MARCELO</v>
          </cell>
        </row>
        <row r="828">
          <cell r="B828">
            <v>5181258</v>
          </cell>
          <cell r="C828" t="str">
            <v>LATICINIOS TIROLEZ LTDA</v>
          </cell>
          <cell r="D828">
            <v>4001</v>
          </cell>
          <cell r="E828" t="str">
            <v>0455</v>
          </cell>
          <cell r="F828" t="str">
            <v>C1</v>
          </cell>
          <cell r="G828" t="str">
            <v>SP</v>
          </cell>
          <cell r="H828" t="str">
            <v>INGREDIENTS</v>
          </cell>
          <cell r="I828" t="str">
            <v>INGREDIENTS</v>
          </cell>
          <cell r="J828" t="str">
            <v>MARCELO RODRIGUES</v>
          </cell>
          <cell r="K828" t="str">
            <v>LACTALIS</v>
          </cell>
          <cell r="L828" t="str">
            <v>MAURICIO</v>
          </cell>
          <cell r="M828" t="str">
            <v>MARCELO</v>
          </cell>
        </row>
        <row r="829">
          <cell r="B829">
            <v>5143169</v>
          </cell>
          <cell r="C829" t="str">
            <v>LATICINIOS TIROLEZ LTDA</v>
          </cell>
          <cell r="D829">
            <v>4001</v>
          </cell>
          <cell r="E829" t="str">
            <v>0437</v>
          </cell>
          <cell r="F829" t="str">
            <v>C1</v>
          </cell>
          <cell r="G829" t="str">
            <v>SP</v>
          </cell>
          <cell r="H829" t="str">
            <v>INGREDIENTS</v>
          </cell>
          <cell r="I829" t="str">
            <v>INGREDIENTS</v>
          </cell>
          <cell r="J829" t="str">
            <v>MARCELO RODRIGUES</v>
          </cell>
          <cell r="K829" t="str">
            <v>LACTALIS</v>
          </cell>
          <cell r="L829" t="str">
            <v>MAURICIO</v>
          </cell>
          <cell r="M829" t="str">
            <v>MARCELO</v>
          </cell>
        </row>
        <row r="830">
          <cell r="B830">
            <v>5265736</v>
          </cell>
          <cell r="C830" t="str">
            <v>LATICINIOS VENEZA LTDA</v>
          </cell>
          <cell r="D830">
            <v>4001</v>
          </cell>
          <cell r="E830" t="str">
            <v>0437</v>
          </cell>
          <cell r="F830" t="str">
            <v>C1</v>
          </cell>
          <cell r="G830" t="str">
            <v>SC</v>
          </cell>
          <cell r="H830" t="str">
            <v>INGREDIENTS</v>
          </cell>
          <cell r="I830" t="str">
            <v>INGREDIENTS</v>
          </cell>
          <cell r="J830" t="str">
            <v>JOEL ELEOTÉRIO</v>
          </cell>
          <cell r="K830" t="str">
            <v>LACTALIS</v>
          </cell>
          <cell r="L830" t="str">
            <v>MAURICIO</v>
          </cell>
          <cell r="M830" t="str">
            <v>JOEL</v>
          </cell>
        </row>
        <row r="831">
          <cell r="B831">
            <v>5275629</v>
          </cell>
          <cell r="C831" t="str">
            <v>LATIT 13 CAFES ESP COM CAF E AC</v>
          </cell>
          <cell r="D831">
            <v>3001</v>
          </cell>
          <cell r="E831" t="str">
            <v>0127</v>
          </cell>
          <cell r="F831" t="str">
            <v>C1</v>
          </cell>
          <cell r="G831" t="str">
            <v>BA</v>
          </cell>
          <cell r="H831" t="str">
            <v>DISTRIBUIÇÃO</v>
          </cell>
          <cell r="I831" t="str">
            <v>FOOD SERVICE</v>
          </cell>
          <cell r="J831" t="str">
            <v>CLAUDIO JORGE/LUIZ</v>
          </cell>
          <cell r="K831" t="str">
            <v>ITAMBÉ</v>
          </cell>
          <cell r="L831" t="str">
            <v>RODRIGO</v>
          </cell>
          <cell r="M831" t="str">
            <v>MARIA LOURDES</v>
          </cell>
        </row>
        <row r="832">
          <cell r="B832">
            <v>5261291</v>
          </cell>
          <cell r="C832" t="str">
            <v>LATURAN SUCOS E ALIMENTOS LTDA ME</v>
          </cell>
          <cell r="D832">
            <v>7001</v>
          </cell>
          <cell r="E832" t="str">
            <v>0749</v>
          </cell>
          <cell r="F832" t="str">
            <v>C5</v>
          </cell>
          <cell r="G832" t="str">
            <v>SP</v>
          </cell>
          <cell r="H832" t="str">
            <v>QSR</v>
          </cell>
          <cell r="I832" t="str">
            <v>FOOD SERVICE</v>
          </cell>
          <cell r="J832" t="str">
            <v>NUTRI</v>
          </cell>
          <cell r="K832" t="str">
            <v>LACTALIS</v>
          </cell>
          <cell r="L832" t="str">
            <v>PEDRO</v>
          </cell>
          <cell r="M832" t="str">
            <v>VAGO QSR</v>
          </cell>
        </row>
        <row r="833">
          <cell r="B833">
            <v>5028647</v>
          </cell>
          <cell r="C833" t="str">
            <v>LAURO DELEVEDOVE</v>
          </cell>
          <cell r="D833">
            <v>3001</v>
          </cell>
          <cell r="E833" t="str">
            <v>0169</v>
          </cell>
          <cell r="F833" t="str">
            <v>C1</v>
          </cell>
          <cell r="G833" t="str">
            <v>ES</v>
          </cell>
          <cell r="H833" t="str">
            <v>DISTRIBUIÇÃO</v>
          </cell>
          <cell r="I833" t="str">
            <v>FOOD SERVICE</v>
          </cell>
          <cell r="J833" t="str">
            <v>MARCELO DUARTE</v>
          </cell>
          <cell r="K833" t="str">
            <v>ITAMBÉ</v>
          </cell>
          <cell r="L833" t="str">
            <v>RODRIGO</v>
          </cell>
          <cell r="M833" t="str">
            <v>JESSICA</v>
          </cell>
        </row>
        <row r="834">
          <cell r="B834">
            <v>5280920</v>
          </cell>
          <cell r="C834" t="str">
            <v>LBGS GRUPOS DE SERVICOS LTDA</v>
          </cell>
          <cell r="D834">
            <v>7001</v>
          </cell>
          <cell r="E834" t="str">
            <v>0749</v>
          </cell>
          <cell r="F834" t="str">
            <v>C5</v>
          </cell>
          <cell r="G834" t="str">
            <v>SP</v>
          </cell>
          <cell r="H834" t="str">
            <v>QSR</v>
          </cell>
          <cell r="I834" t="str">
            <v>FOOD SERVICE</v>
          </cell>
          <cell r="J834" t="str">
            <v>NUTRI</v>
          </cell>
          <cell r="K834" t="str">
            <v>LACTALIS</v>
          </cell>
          <cell r="L834" t="str">
            <v>PEDRO</v>
          </cell>
          <cell r="M834" t="str">
            <v>VAGO QSR</v>
          </cell>
        </row>
        <row r="835">
          <cell r="B835">
            <v>5285639</v>
          </cell>
          <cell r="C835" t="str">
            <v>LC ADMINISTRACAO DE REST LTDA</v>
          </cell>
          <cell r="D835">
            <v>7001</v>
          </cell>
          <cell r="E835" t="str">
            <v>0749</v>
          </cell>
          <cell r="F835" t="str">
            <v>C5</v>
          </cell>
          <cell r="G835" t="str">
            <v>SP</v>
          </cell>
          <cell r="H835" t="str">
            <v>QSR</v>
          </cell>
          <cell r="I835" t="str">
            <v>FOOD SERVICE</v>
          </cell>
          <cell r="J835" t="str">
            <v>NUTRI</v>
          </cell>
          <cell r="K835" t="str">
            <v>LACTALIS</v>
          </cell>
          <cell r="L835" t="str">
            <v>PEDRO</v>
          </cell>
          <cell r="M835" t="str">
            <v>VAGO QSR</v>
          </cell>
        </row>
        <row r="836">
          <cell r="B836">
            <v>5337255</v>
          </cell>
          <cell r="C836" t="str">
            <v>LC ADMINISTRACAO DE REST LTDA</v>
          </cell>
          <cell r="D836">
            <v>3001</v>
          </cell>
          <cell r="E836" t="str">
            <v>0028</v>
          </cell>
          <cell r="F836" t="str">
            <v>C1</v>
          </cell>
          <cell r="G836" t="str">
            <v>MG</v>
          </cell>
          <cell r="H836" t="str">
            <v>QSR</v>
          </cell>
          <cell r="I836" t="str">
            <v>FOOD SERVICE</v>
          </cell>
          <cell r="J836" t="str">
            <v>NUTRI</v>
          </cell>
          <cell r="K836" t="str">
            <v>ITAMBÉ</v>
          </cell>
          <cell r="L836" t="str">
            <v>PEDRO</v>
          </cell>
          <cell r="M836" t="str">
            <v>VAGO QSR</v>
          </cell>
        </row>
        <row r="837">
          <cell r="B837">
            <v>5045491</v>
          </cell>
          <cell r="C837" t="str">
            <v>LC ADMINISTRACAO DE RESTAURANTE</v>
          </cell>
          <cell r="D837">
            <v>7001</v>
          </cell>
          <cell r="E837" t="str">
            <v>0749</v>
          </cell>
          <cell r="F837" t="str">
            <v>C5</v>
          </cell>
          <cell r="G837" t="str">
            <v>SP</v>
          </cell>
          <cell r="H837" t="str">
            <v>QSR</v>
          </cell>
          <cell r="I837" t="str">
            <v>FOOD SERVICE</v>
          </cell>
          <cell r="J837" t="str">
            <v>NUTRI</v>
          </cell>
          <cell r="K837" t="str">
            <v>LACTALIS</v>
          </cell>
          <cell r="L837" t="str">
            <v>PEDRO</v>
          </cell>
          <cell r="M837" t="str">
            <v>VAGO QSR</v>
          </cell>
        </row>
        <row r="838">
          <cell r="B838">
            <v>5266154</v>
          </cell>
          <cell r="C838" t="str">
            <v>LDP JARDINS RESTAURANTE LTDA</v>
          </cell>
          <cell r="D838">
            <v>7001</v>
          </cell>
          <cell r="E838" t="str">
            <v>0749</v>
          </cell>
          <cell r="F838" t="str">
            <v>C5</v>
          </cell>
          <cell r="G838" t="str">
            <v>SP</v>
          </cell>
          <cell r="H838" t="str">
            <v>DISTRIBUIÇÃO</v>
          </cell>
          <cell r="I838" t="str">
            <v>FOOD SERVICE</v>
          </cell>
          <cell r="J838" t="str">
            <v>FLAC 3</v>
          </cell>
          <cell r="K838" t="str">
            <v>LACTALIS</v>
          </cell>
          <cell r="L838" t="str">
            <v>RODRIGO</v>
          </cell>
          <cell r="M838" t="str">
            <v>RAQUEL BARBOSA</v>
          </cell>
        </row>
        <row r="839">
          <cell r="B839">
            <v>5266577</v>
          </cell>
          <cell r="C839" t="str">
            <v>LDP JARDINS RESTAURANTE LTDA</v>
          </cell>
          <cell r="D839">
            <v>7001</v>
          </cell>
          <cell r="E839" t="str">
            <v>0749</v>
          </cell>
          <cell r="F839" t="str">
            <v>C5</v>
          </cell>
          <cell r="G839" t="str">
            <v>SP</v>
          </cell>
          <cell r="H839" t="str">
            <v>DISTRIBUIÇÃO</v>
          </cell>
          <cell r="I839" t="str">
            <v>FOOD SERVICE</v>
          </cell>
          <cell r="J839" t="str">
            <v>FLAC 3</v>
          </cell>
          <cell r="K839" t="str">
            <v>LACTALIS</v>
          </cell>
          <cell r="L839" t="str">
            <v>RODRIGO</v>
          </cell>
          <cell r="M839" t="str">
            <v>RAQUEL BARBOSA</v>
          </cell>
        </row>
        <row r="840">
          <cell r="B840">
            <v>5332941</v>
          </cell>
          <cell r="C840" t="str">
            <v>LE JAZZ BAR E RESTAURANTE LTDA</v>
          </cell>
          <cell r="D840">
            <v>7001</v>
          </cell>
          <cell r="E840" t="str">
            <v>0749</v>
          </cell>
          <cell r="F840" t="str">
            <v>C5</v>
          </cell>
          <cell r="G840" t="str">
            <v>SP</v>
          </cell>
          <cell r="H840" t="str">
            <v>DISTRIBUIÇÃO</v>
          </cell>
          <cell r="I840" t="str">
            <v>FOOD SERVICE</v>
          </cell>
          <cell r="J840" t="str">
            <v>FLAC 5</v>
          </cell>
          <cell r="K840" t="str">
            <v>LACTALIS</v>
          </cell>
          <cell r="L840" t="str">
            <v>RODRIGO</v>
          </cell>
          <cell r="M840" t="str">
            <v>RAQUEL BARBOSA</v>
          </cell>
        </row>
        <row r="841">
          <cell r="B841">
            <v>5233790</v>
          </cell>
          <cell r="C841" t="str">
            <v>LE JAZZ BOULANGERIE BAR E RESTAUR L</v>
          </cell>
          <cell r="D841">
            <v>7001</v>
          </cell>
          <cell r="E841" t="str">
            <v>0749</v>
          </cell>
          <cell r="F841" t="str">
            <v>C5</v>
          </cell>
          <cell r="G841" t="str">
            <v>SP</v>
          </cell>
          <cell r="H841" t="str">
            <v>DISTRIBUIÇÃO</v>
          </cell>
          <cell r="I841" t="str">
            <v>FOOD SERVICE</v>
          </cell>
          <cell r="J841" t="str">
            <v>FLAC 5</v>
          </cell>
          <cell r="K841" t="str">
            <v>LACTALIS</v>
          </cell>
          <cell r="L841" t="str">
            <v>RODRIGO</v>
          </cell>
          <cell r="M841" t="str">
            <v>RAQUEL BARBOSA</v>
          </cell>
        </row>
        <row r="842">
          <cell r="B842">
            <v>5286858</v>
          </cell>
          <cell r="C842" t="str">
            <v>LEO CONFEITARIA E SORVETERIA LTDA</v>
          </cell>
          <cell r="D842">
            <v>7001</v>
          </cell>
          <cell r="E842" t="str">
            <v>0749</v>
          </cell>
          <cell r="F842" t="str">
            <v>C5</v>
          </cell>
          <cell r="G842" t="str">
            <v>SP</v>
          </cell>
          <cell r="H842" t="str">
            <v>DISTRIBUIÇÃO</v>
          </cell>
          <cell r="I842" t="str">
            <v>FOOD SERVICE</v>
          </cell>
          <cell r="J842" t="str">
            <v>FLAC 6</v>
          </cell>
          <cell r="K842" t="str">
            <v>LACTALIS</v>
          </cell>
          <cell r="L842" t="str">
            <v>RODRIGO</v>
          </cell>
          <cell r="M842" t="str">
            <v>RAQUEL BARBOSA</v>
          </cell>
        </row>
        <row r="843">
          <cell r="B843">
            <v>5303066</v>
          </cell>
          <cell r="C843" t="str">
            <v>LETICIA BRESSAN ALMEIDA ROSA 401870</v>
          </cell>
          <cell r="D843">
            <v>7001</v>
          </cell>
          <cell r="E843" t="str">
            <v>0749</v>
          </cell>
          <cell r="F843" t="str">
            <v>C5</v>
          </cell>
          <cell r="G843" t="str">
            <v>SP</v>
          </cell>
          <cell r="H843" t="str">
            <v>DISTRIBUIÇÃO</v>
          </cell>
          <cell r="I843" t="str">
            <v>FOOD SERVICE</v>
          </cell>
          <cell r="J843" t="str">
            <v>FLAC 6</v>
          </cell>
          <cell r="K843" t="str">
            <v>LACTALIS</v>
          </cell>
          <cell r="L843" t="str">
            <v>RODRIGO</v>
          </cell>
          <cell r="M843" t="str">
            <v>RAQUEL BARBOSA</v>
          </cell>
        </row>
        <row r="844">
          <cell r="B844">
            <v>5301830</v>
          </cell>
          <cell r="C844" t="str">
            <v>LETOZZI GASTRONOMIA LTDA</v>
          </cell>
          <cell r="D844">
            <v>7001</v>
          </cell>
          <cell r="E844" t="str">
            <v>0749</v>
          </cell>
          <cell r="F844" t="str">
            <v>C5</v>
          </cell>
          <cell r="G844" t="str">
            <v>SP</v>
          </cell>
          <cell r="H844" t="str">
            <v>DISTRIBUIÇÃO</v>
          </cell>
          <cell r="I844" t="str">
            <v>FOOD SERVICE</v>
          </cell>
          <cell r="J844" t="str">
            <v>FLAC 2</v>
          </cell>
          <cell r="K844" t="str">
            <v>LACTALIS</v>
          </cell>
          <cell r="L844" t="str">
            <v>RODRIGO</v>
          </cell>
          <cell r="M844" t="str">
            <v>RAQUEL BARBOSA</v>
          </cell>
        </row>
        <row r="845">
          <cell r="B845">
            <v>5229525</v>
          </cell>
          <cell r="C845" t="str">
            <v>LEVE BOLOS CONFEITARIA LTDA</v>
          </cell>
          <cell r="D845">
            <v>3001</v>
          </cell>
          <cell r="E845" t="str">
            <v>0126</v>
          </cell>
          <cell r="F845" t="str">
            <v>C1</v>
          </cell>
          <cell r="G845" t="str">
            <v>PR</v>
          </cell>
          <cell r="H845" t="str">
            <v>DISTRIBUIÇÃO</v>
          </cell>
          <cell r="I845" t="str">
            <v>FOOD SERVICE</v>
          </cell>
          <cell r="J845" t="str">
            <v>ANGELICA BATISTELA</v>
          </cell>
          <cell r="K845" t="str">
            <v>ITAMBÉ</v>
          </cell>
          <cell r="L845" t="str">
            <v>RODRIGO</v>
          </cell>
          <cell r="M845" t="str">
            <v>ANGELICA BATISTELA</v>
          </cell>
        </row>
        <row r="846">
          <cell r="B846">
            <v>5128517</v>
          </cell>
          <cell r="C846" t="str">
            <v>LF FOOD S LTDA</v>
          </cell>
          <cell r="D846">
            <v>3001</v>
          </cell>
          <cell r="E846" t="str">
            <v>0127</v>
          </cell>
          <cell r="F846" t="str">
            <v>C1</v>
          </cell>
          <cell r="G846" t="str">
            <v>BA</v>
          </cell>
          <cell r="H846" t="str">
            <v>DISTRIBUIÇÃO</v>
          </cell>
          <cell r="I846" t="str">
            <v>FOOD SERVICE</v>
          </cell>
          <cell r="J846" t="str">
            <v>CLAUDIO JORGE/LUIZ</v>
          </cell>
          <cell r="K846" t="str">
            <v>ITAMBÉ</v>
          </cell>
          <cell r="L846" t="str">
            <v>RODRIGO</v>
          </cell>
          <cell r="M846" t="str">
            <v>MARIA LOURDES</v>
          </cell>
        </row>
        <row r="847">
          <cell r="B847">
            <v>5229526</v>
          </cell>
          <cell r="C847" t="str">
            <v>LIBRAGA BRANDAO &amp; CIA LTDA</v>
          </cell>
          <cell r="D847">
            <v>3001</v>
          </cell>
          <cell r="E847" t="str">
            <v>0028</v>
          </cell>
          <cell r="F847" t="str">
            <v>C1</v>
          </cell>
          <cell r="G847" t="str">
            <v>RS</v>
          </cell>
          <cell r="H847" t="str">
            <v>INGREDIENTS</v>
          </cell>
          <cell r="I847" t="str">
            <v>INGREDIENTS</v>
          </cell>
          <cell r="J847" t="str">
            <v>DUAS RODAS</v>
          </cell>
          <cell r="K847" t="str">
            <v>ITAMBÉ</v>
          </cell>
          <cell r="L847" t="str">
            <v>MAURICIO</v>
          </cell>
          <cell r="M847" t="str">
            <v>MARCELO</v>
          </cell>
        </row>
        <row r="848">
          <cell r="B848">
            <v>5279458</v>
          </cell>
          <cell r="C848" t="str">
            <v>LIGHTSWEET IND E COM DE ALIMENT</v>
          </cell>
          <cell r="D848">
            <v>3001</v>
          </cell>
          <cell r="E848" t="str">
            <v>0028</v>
          </cell>
          <cell r="F848" t="str">
            <v>C1</v>
          </cell>
          <cell r="G848" t="str">
            <v>PR</v>
          </cell>
          <cell r="H848" t="str">
            <v>INGREDIENTS</v>
          </cell>
          <cell r="I848" t="str">
            <v>INGREDIENTS</v>
          </cell>
          <cell r="J848" t="str">
            <v>MARCELO RODRIGUES</v>
          </cell>
          <cell r="K848" t="str">
            <v>ITAMBÉ</v>
          </cell>
          <cell r="L848" t="str">
            <v>MAURICIO</v>
          </cell>
          <cell r="M848" t="str">
            <v>MARCELO</v>
          </cell>
        </row>
        <row r="849">
          <cell r="B849">
            <v>5279458</v>
          </cell>
          <cell r="C849" t="str">
            <v>LIGHTSWEET IND E COM DE ALIMENT</v>
          </cell>
          <cell r="D849">
            <v>3001</v>
          </cell>
          <cell r="E849" t="str">
            <v>0126</v>
          </cell>
          <cell r="F849" t="str">
            <v>C1</v>
          </cell>
          <cell r="G849" t="str">
            <v>PR</v>
          </cell>
          <cell r="H849" t="str">
            <v>INGREDIENTS</v>
          </cell>
          <cell r="I849" t="str">
            <v>INGREDIENTS</v>
          </cell>
          <cell r="J849" t="str">
            <v>MARCELO RODRIGUES</v>
          </cell>
          <cell r="K849" t="str">
            <v>ITAMBÉ</v>
          </cell>
          <cell r="L849" t="str">
            <v>MAURICIO</v>
          </cell>
          <cell r="M849" t="str">
            <v>MARCELO</v>
          </cell>
        </row>
        <row r="850">
          <cell r="B850">
            <v>5279458</v>
          </cell>
          <cell r="C850" t="str">
            <v>LIGHTSWEET IND E COM DE ALIMENT</v>
          </cell>
          <cell r="D850">
            <v>4001</v>
          </cell>
          <cell r="E850" t="str">
            <v>0455</v>
          </cell>
          <cell r="F850" t="str">
            <v>C1</v>
          </cell>
          <cell r="G850" t="str">
            <v>PR</v>
          </cell>
          <cell r="H850" t="str">
            <v>INGREDIENTS</v>
          </cell>
          <cell r="I850" t="str">
            <v>INGREDIENTS</v>
          </cell>
          <cell r="J850" t="str">
            <v>MARCELO RODRIGUES</v>
          </cell>
          <cell r="K850" t="str">
            <v>LACTALIS</v>
          </cell>
          <cell r="L850" t="str">
            <v>MAURICIO</v>
          </cell>
          <cell r="M850" t="str">
            <v>MARCELO</v>
          </cell>
        </row>
        <row r="851">
          <cell r="B851">
            <v>5274613</v>
          </cell>
          <cell r="C851" t="str">
            <v>LILLY COMERCIO DE BOLOS EIRELI</v>
          </cell>
          <cell r="D851">
            <v>7001</v>
          </cell>
          <cell r="E851" t="str">
            <v>0749</v>
          </cell>
          <cell r="F851" t="str">
            <v>C5</v>
          </cell>
          <cell r="G851" t="str">
            <v>SP</v>
          </cell>
          <cell r="H851" t="str">
            <v>DISTRIBUIÇÃO</v>
          </cell>
          <cell r="I851" t="str">
            <v>FOOD SERVICE</v>
          </cell>
          <cell r="J851" t="str">
            <v>FLAC 6</v>
          </cell>
          <cell r="K851" t="str">
            <v>LACTALIS</v>
          </cell>
          <cell r="L851" t="str">
            <v>RODRIGO</v>
          </cell>
          <cell r="M851" t="str">
            <v>RAQUEL BARBOSA</v>
          </cell>
        </row>
        <row r="852">
          <cell r="B852">
            <v>5274388</v>
          </cell>
          <cell r="C852" t="str">
            <v>LILOCA S SUCOS LTDA</v>
          </cell>
          <cell r="D852">
            <v>7001</v>
          </cell>
          <cell r="E852" t="str">
            <v>0749</v>
          </cell>
          <cell r="F852" t="str">
            <v>C5</v>
          </cell>
          <cell r="G852" t="str">
            <v>SP</v>
          </cell>
          <cell r="H852" t="str">
            <v>DISTRIBUIÇÃO</v>
          </cell>
          <cell r="I852" t="str">
            <v>FOOD SERVICE</v>
          </cell>
          <cell r="J852" t="str">
            <v>FLAC 2</v>
          </cell>
          <cell r="K852" t="str">
            <v>LACTALIS</v>
          </cell>
          <cell r="L852" t="str">
            <v>RODRIGO</v>
          </cell>
          <cell r="M852" t="str">
            <v>RAQUEL BARBOSA</v>
          </cell>
        </row>
        <row r="853">
          <cell r="B853">
            <v>5182157</v>
          </cell>
          <cell r="C853" t="str">
            <v>LIMA COMERCIO ALIMENTICIO LTDA</v>
          </cell>
          <cell r="D853">
            <v>3001</v>
          </cell>
          <cell r="E853" t="str">
            <v>0127</v>
          </cell>
          <cell r="F853" t="str">
            <v>C1</v>
          </cell>
          <cell r="G853" t="str">
            <v>PE</v>
          </cell>
          <cell r="H853" t="str">
            <v>DISTRIBUIÇÃO</v>
          </cell>
          <cell r="I853" t="str">
            <v>FOOD SERVICE</v>
          </cell>
          <cell r="J853" t="str">
            <v>CLAUDIO JORGE</v>
          </cell>
          <cell r="K853" t="str">
            <v>ITAMBÉ</v>
          </cell>
          <cell r="L853" t="str">
            <v>RODRIGO</v>
          </cell>
          <cell r="M853" t="str">
            <v>MARIA LOURDES</v>
          </cell>
        </row>
        <row r="854">
          <cell r="B854">
            <v>5253937</v>
          </cell>
          <cell r="C854" t="str">
            <v>LIVANTTO RESTAURANTE LTDA</v>
          </cell>
          <cell r="D854">
            <v>7001</v>
          </cell>
          <cell r="E854" t="str">
            <v>0749</v>
          </cell>
          <cell r="F854" t="str">
            <v>C5</v>
          </cell>
          <cell r="G854" t="str">
            <v>SP</v>
          </cell>
          <cell r="H854" t="str">
            <v>DISTRIBUIÇÃO</v>
          </cell>
          <cell r="I854" t="str">
            <v>FOOD SERVICE</v>
          </cell>
          <cell r="J854" t="str">
            <v>FLAC 2</v>
          </cell>
          <cell r="K854" t="str">
            <v>LACTALIS</v>
          </cell>
          <cell r="L854" t="str">
            <v>RODRIGO</v>
          </cell>
          <cell r="M854" t="str">
            <v>RAQUEL BARBOSA</v>
          </cell>
        </row>
        <row r="855">
          <cell r="B855">
            <v>5316455</v>
          </cell>
          <cell r="C855" t="str">
            <v>LLINEA SERVICOS E ALIMENTACAO L</v>
          </cell>
          <cell r="D855">
            <v>7001</v>
          </cell>
          <cell r="E855" t="str">
            <v>0749</v>
          </cell>
          <cell r="F855" t="str">
            <v>C5</v>
          </cell>
          <cell r="G855" t="str">
            <v>SP</v>
          </cell>
          <cell r="H855" t="str">
            <v>DISTRIBUIÇÃO</v>
          </cell>
          <cell r="I855" t="str">
            <v>FOOD SERVICE</v>
          </cell>
          <cell r="J855" t="str">
            <v>FLAC 5</v>
          </cell>
          <cell r="K855" t="str">
            <v>LACTALIS</v>
          </cell>
          <cell r="L855" t="str">
            <v>RODRIGO</v>
          </cell>
          <cell r="M855" t="str">
            <v>RAQUEL BARBOSA</v>
          </cell>
        </row>
        <row r="856">
          <cell r="B856">
            <v>5275462</v>
          </cell>
          <cell r="C856" t="str">
            <v>LMB INDUST E COMERC DE PROD LACTEOS LTDA</v>
          </cell>
          <cell r="D856">
            <v>4001</v>
          </cell>
          <cell r="E856" t="str">
            <v>0437</v>
          </cell>
          <cell r="F856" t="str">
            <v>C1</v>
          </cell>
          <cell r="G856" t="str">
            <v>SP</v>
          </cell>
          <cell r="H856" t="str">
            <v>INGREDIENTS</v>
          </cell>
          <cell r="I856" t="str">
            <v>INGREDIENTS</v>
          </cell>
          <cell r="J856" t="str">
            <v>JOEL ELEOTÉRIO</v>
          </cell>
          <cell r="K856" t="str">
            <v>LACTALIS</v>
          </cell>
          <cell r="L856" t="str">
            <v>MAURICIO</v>
          </cell>
          <cell r="M856" t="str">
            <v>JOEL</v>
          </cell>
        </row>
        <row r="857">
          <cell r="B857">
            <v>5312815</v>
          </cell>
          <cell r="C857" t="str">
            <v>LMDR 2 COMERCIO DE ALIMENTOS LTDA</v>
          </cell>
          <cell r="D857">
            <v>7001</v>
          </cell>
          <cell r="E857" t="str">
            <v>0749</v>
          </cell>
          <cell r="F857" t="str">
            <v>C5</v>
          </cell>
          <cell r="G857" t="str">
            <v>SP</v>
          </cell>
          <cell r="H857" t="str">
            <v>DISTRIBUIÇÃO</v>
          </cell>
          <cell r="I857" t="str">
            <v>FOOD SERVICE</v>
          </cell>
          <cell r="J857" t="str">
            <v>FLAC 6</v>
          </cell>
          <cell r="K857" t="str">
            <v>LACTALIS</v>
          </cell>
          <cell r="L857" t="str">
            <v>RODRIGO</v>
          </cell>
          <cell r="M857" t="str">
            <v>RAQUEL BARBOSA</v>
          </cell>
        </row>
        <row r="858">
          <cell r="B858">
            <v>5292037</v>
          </cell>
          <cell r="C858" t="str">
            <v>LMDR COMERCIO DE ALIMENTOS LTDA</v>
          </cell>
          <cell r="D858">
            <v>7001</v>
          </cell>
          <cell r="E858" t="str">
            <v>0749</v>
          </cell>
          <cell r="F858" t="str">
            <v>C5</v>
          </cell>
          <cell r="G858" t="str">
            <v>SP</v>
          </cell>
          <cell r="H858" t="str">
            <v>DISTRIBUIÇÃO</v>
          </cell>
          <cell r="I858" t="str">
            <v>FOOD SERVICE</v>
          </cell>
          <cell r="J858" t="str">
            <v>FLAC 6</v>
          </cell>
          <cell r="K858" t="str">
            <v>LACTALIS</v>
          </cell>
          <cell r="L858" t="str">
            <v>RODRIGO</v>
          </cell>
          <cell r="M858" t="str">
            <v>RAQUEL BARBOSA</v>
          </cell>
        </row>
        <row r="859">
          <cell r="B859">
            <v>5320289</v>
          </cell>
          <cell r="C859" t="str">
            <v>LOIA FOODS II IMPORT E EXPORT LLC</v>
          </cell>
          <cell r="D859">
            <v>3001</v>
          </cell>
          <cell r="E859" t="str">
            <v>0062</v>
          </cell>
          <cell r="F859" t="str">
            <v>C1</v>
          </cell>
          <cell r="G859" t="str">
            <v>NJ</v>
          </cell>
          <cell r="H859" t="str">
            <v>OUTROS</v>
          </cell>
          <cell r="I859" t="str">
            <v>OUTROS</v>
          </cell>
          <cell r="J859" t="str">
            <v>INTERCOMPANY EXP</v>
          </cell>
          <cell r="K859" t="str">
            <v>OUTROS</v>
          </cell>
          <cell r="L859" t="str">
            <v>OUTROS</v>
          </cell>
          <cell r="M859" t="str">
            <v>INTERCOMPANY</v>
          </cell>
        </row>
        <row r="860">
          <cell r="B860">
            <v>5214670</v>
          </cell>
          <cell r="C860" t="str">
            <v>LORENZ COMERCIO E DIST DE ALIM LTDA</v>
          </cell>
          <cell r="D860">
            <v>3001</v>
          </cell>
          <cell r="E860" t="str">
            <v>0123</v>
          </cell>
          <cell r="F860" t="str">
            <v>C1</v>
          </cell>
          <cell r="G860" t="str">
            <v>MS</v>
          </cell>
          <cell r="H860" t="str">
            <v>DISTRIBUIÇÃO</v>
          </cell>
          <cell r="I860" t="str">
            <v>FOOD SERVICE</v>
          </cell>
          <cell r="J860" t="str">
            <v>CLAUDIO JORGE</v>
          </cell>
          <cell r="K860" t="str">
            <v>ITAMBÉ</v>
          </cell>
          <cell r="L860" t="str">
            <v>RODRIGO</v>
          </cell>
          <cell r="M860" t="str">
            <v>MARCO AURELIO</v>
          </cell>
        </row>
        <row r="861">
          <cell r="B861">
            <v>5202413</v>
          </cell>
          <cell r="C861" t="str">
            <v>LUA NOVA IND COM PRODS ALIM LTDA</v>
          </cell>
          <cell r="D861">
            <v>3001</v>
          </cell>
          <cell r="E861" t="str">
            <v>0169</v>
          </cell>
          <cell r="F861" t="str">
            <v>C1</v>
          </cell>
          <cell r="G861" t="str">
            <v>RJ</v>
          </cell>
          <cell r="H861" t="str">
            <v>INGREDIENTS</v>
          </cell>
          <cell r="I861" t="str">
            <v>INGREDIENTS</v>
          </cell>
          <cell r="J861" t="str">
            <v>TATIANA NITTA</v>
          </cell>
          <cell r="K861" t="str">
            <v>ITAMBÉ</v>
          </cell>
          <cell r="L861" t="str">
            <v>MAURICIO</v>
          </cell>
          <cell r="M861" t="str">
            <v>TATIANA NITTA</v>
          </cell>
        </row>
        <row r="862">
          <cell r="B862">
            <v>5202413</v>
          </cell>
          <cell r="C862" t="str">
            <v>LUA NOVA IND COM PRODS ALIM LTDA</v>
          </cell>
          <cell r="D862">
            <v>4001</v>
          </cell>
          <cell r="E862" t="str">
            <v>0437</v>
          </cell>
          <cell r="F862" t="str">
            <v>C1</v>
          </cell>
          <cell r="G862" t="str">
            <v>RJ</v>
          </cell>
          <cell r="H862" t="str">
            <v>INGREDIENTS</v>
          </cell>
          <cell r="I862" t="str">
            <v>INGREDIENTS</v>
          </cell>
          <cell r="J862" t="str">
            <v>TATIANA NITTA</v>
          </cell>
          <cell r="K862" t="str">
            <v>LACTALIS</v>
          </cell>
          <cell r="L862" t="str">
            <v>MAURICIO</v>
          </cell>
          <cell r="M862" t="str">
            <v>TATIANA NITTA</v>
          </cell>
        </row>
        <row r="863">
          <cell r="B863">
            <v>5116312</v>
          </cell>
          <cell r="C863" t="str">
            <v>LUA NOVA IND E COM DE PROD ALIM</v>
          </cell>
          <cell r="D863">
            <v>3001</v>
          </cell>
          <cell r="E863" t="str">
            <v>0028</v>
          </cell>
          <cell r="F863" t="str">
            <v>C1</v>
          </cell>
          <cell r="G863" t="str">
            <v>SP</v>
          </cell>
          <cell r="H863" t="str">
            <v>INGREDIENTS</v>
          </cell>
          <cell r="I863" t="str">
            <v>INGREDIENTS</v>
          </cell>
          <cell r="J863" t="str">
            <v>TATIANA NITTA</v>
          </cell>
          <cell r="K863" t="str">
            <v>ITAMBÉ</v>
          </cell>
          <cell r="L863" t="str">
            <v>MAURICIO</v>
          </cell>
          <cell r="M863" t="str">
            <v>TATIANA NITTA</v>
          </cell>
        </row>
        <row r="864">
          <cell r="B864">
            <v>5116312</v>
          </cell>
          <cell r="C864" t="str">
            <v>LUA NOVA IND E COM DE PROD ALIM</v>
          </cell>
          <cell r="D864">
            <v>6001</v>
          </cell>
          <cell r="E864" t="str">
            <v>6125</v>
          </cell>
          <cell r="F864" t="str">
            <v>C1</v>
          </cell>
          <cell r="G864" t="str">
            <v>SP</v>
          </cell>
          <cell r="H864" t="str">
            <v>INGREDIENTS</v>
          </cell>
          <cell r="I864" t="str">
            <v>INGREDIENTS</v>
          </cell>
          <cell r="J864" t="str">
            <v>TATIANA NITTA</v>
          </cell>
          <cell r="K864" t="str">
            <v>ITAMBÉ</v>
          </cell>
          <cell r="L864" t="str">
            <v>MAURICIO</v>
          </cell>
          <cell r="M864" t="str">
            <v>TATIANA NITTA</v>
          </cell>
        </row>
        <row r="865">
          <cell r="B865">
            <v>5116312</v>
          </cell>
          <cell r="C865" t="str">
            <v>LUA NOVA IND E COM DE PROD ALIM</v>
          </cell>
          <cell r="D865">
            <v>3001</v>
          </cell>
          <cell r="E865" t="str">
            <v>0125</v>
          </cell>
          <cell r="F865" t="str">
            <v>C1</v>
          </cell>
          <cell r="G865" t="str">
            <v>SP</v>
          </cell>
          <cell r="H865" t="str">
            <v>INGREDIENTS</v>
          </cell>
          <cell r="I865" t="str">
            <v>INGREDIENTS</v>
          </cell>
          <cell r="J865" t="str">
            <v>TATIANA NITTA</v>
          </cell>
          <cell r="K865" t="str">
            <v>ITAMBÉ</v>
          </cell>
          <cell r="L865" t="str">
            <v>MAURICIO</v>
          </cell>
          <cell r="M865" t="str">
            <v>TATIANA NITTA</v>
          </cell>
        </row>
        <row r="866">
          <cell r="B866">
            <v>5116315</v>
          </cell>
          <cell r="C866" t="str">
            <v>LUA NOVA IND E COM DE PROD ALIM LTD</v>
          </cell>
          <cell r="D866">
            <v>4001</v>
          </cell>
          <cell r="E866" t="str">
            <v>0437</v>
          </cell>
          <cell r="F866" t="str">
            <v>C1</v>
          </cell>
          <cell r="G866" t="str">
            <v>SP</v>
          </cell>
          <cell r="H866" t="str">
            <v>INGREDIENTS</v>
          </cell>
          <cell r="I866" t="str">
            <v>INGREDIENTS</v>
          </cell>
          <cell r="J866" t="str">
            <v>TATIANA NITTA</v>
          </cell>
          <cell r="K866" t="str">
            <v>LACTALIS</v>
          </cell>
          <cell r="L866" t="str">
            <v>MAURICIO</v>
          </cell>
          <cell r="M866" t="str">
            <v>TATIANA NITTA</v>
          </cell>
        </row>
        <row r="867">
          <cell r="B867">
            <v>5116312</v>
          </cell>
          <cell r="C867" t="str">
            <v>LUA NOVA IND E COM DE PROD ALIM</v>
          </cell>
          <cell r="D867">
            <v>4001</v>
          </cell>
          <cell r="E867" t="str">
            <v>0437</v>
          </cell>
          <cell r="F867" t="str">
            <v>C1</v>
          </cell>
          <cell r="G867" t="str">
            <v>SP</v>
          </cell>
          <cell r="H867" t="str">
            <v>INGREDIENTS</v>
          </cell>
          <cell r="I867" t="str">
            <v>INGREDIENTS</v>
          </cell>
          <cell r="J867" t="str">
            <v>TATIANA NITTA</v>
          </cell>
          <cell r="K867" t="str">
            <v>LACTALIS</v>
          </cell>
          <cell r="L867" t="str">
            <v>MAURICIO</v>
          </cell>
          <cell r="M867" t="str">
            <v>TATIANA NITTA</v>
          </cell>
        </row>
        <row r="868">
          <cell r="B868">
            <v>5116313</v>
          </cell>
          <cell r="C868" t="str">
            <v>LUA NOVA IND E COM DE PROD ALIM LTD</v>
          </cell>
          <cell r="D868">
            <v>4001</v>
          </cell>
          <cell r="E868" t="str">
            <v>0437</v>
          </cell>
          <cell r="F868" t="str">
            <v>C1</v>
          </cell>
          <cell r="G868" t="str">
            <v>SP</v>
          </cell>
          <cell r="H868" t="str">
            <v>INGREDIENTS</v>
          </cell>
          <cell r="I868" t="str">
            <v>INGREDIENTS</v>
          </cell>
          <cell r="J868" t="str">
            <v>TATIANA NITTA</v>
          </cell>
          <cell r="K868" t="str">
            <v>LACTALIS</v>
          </cell>
          <cell r="L868" t="str">
            <v>MAURICIO</v>
          </cell>
          <cell r="M868" t="str">
            <v>TATIANA NITTA</v>
          </cell>
        </row>
        <row r="869">
          <cell r="B869">
            <v>5149588</v>
          </cell>
          <cell r="C869" t="str">
            <v>LUA NOVA IND E COM PROD ALIM LTDA</v>
          </cell>
          <cell r="D869">
            <v>3001</v>
          </cell>
          <cell r="E869" t="str">
            <v>0126</v>
          </cell>
          <cell r="F869" t="str">
            <v>C1</v>
          </cell>
          <cell r="G869" t="str">
            <v>PR</v>
          </cell>
          <cell r="H869" t="str">
            <v>INGREDIENTS</v>
          </cell>
          <cell r="I869" t="str">
            <v>INGREDIENTS</v>
          </cell>
          <cell r="J869" t="str">
            <v>TATIANA NITTA</v>
          </cell>
          <cell r="K869" t="str">
            <v>ITAMBÉ</v>
          </cell>
          <cell r="L869" t="str">
            <v>MAURICIO</v>
          </cell>
          <cell r="M869" t="str">
            <v>TATIANA NITTA</v>
          </cell>
        </row>
        <row r="870">
          <cell r="B870">
            <v>5267409</v>
          </cell>
          <cell r="C870" t="str">
            <v>LUCCAS E THIAGO PRODUTOS ALIM LTDA</v>
          </cell>
          <cell r="D870">
            <v>7001</v>
          </cell>
          <cell r="E870" t="str">
            <v>0749</v>
          </cell>
          <cell r="F870" t="str">
            <v>C5</v>
          </cell>
          <cell r="G870" t="str">
            <v>SP</v>
          </cell>
          <cell r="H870" t="str">
            <v>DISTRIBUIÇÃO</v>
          </cell>
          <cell r="I870" t="str">
            <v>FOOD SERVICE</v>
          </cell>
          <cell r="J870" t="str">
            <v>FLAC 2</v>
          </cell>
          <cell r="K870" t="str">
            <v>LACTALIS</v>
          </cell>
          <cell r="L870" t="str">
            <v>RODRIGO</v>
          </cell>
          <cell r="M870" t="str">
            <v>RAQUEL BARBOSA</v>
          </cell>
        </row>
        <row r="871">
          <cell r="B871">
            <v>5194928</v>
          </cell>
          <cell r="C871" t="str">
            <v>LUCIANA APARECIDA CORREA TOLEDO</v>
          </cell>
          <cell r="D871">
            <v>3001</v>
          </cell>
          <cell r="E871" t="str">
            <v>0122</v>
          </cell>
          <cell r="F871" t="str">
            <v>C1</v>
          </cell>
          <cell r="G871" t="str">
            <v>MG</v>
          </cell>
          <cell r="H871" t="str">
            <v>DISTRIBUIÇÃO</v>
          </cell>
          <cell r="I871" t="str">
            <v>FOOD SERVICE</v>
          </cell>
          <cell r="J871" t="str">
            <v>MARCELO SILVA</v>
          </cell>
          <cell r="K871" t="str">
            <v>ITAMBÉ</v>
          </cell>
          <cell r="L871" t="str">
            <v>RODRIGO</v>
          </cell>
          <cell r="M871" t="str">
            <v>CELIO MARTINS</v>
          </cell>
        </row>
        <row r="872">
          <cell r="B872">
            <v>5327180</v>
          </cell>
          <cell r="C872" t="str">
            <v>LUPE SOLUCOES EMPREENDEDORAS LTDA</v>
          </cell>
          <cell r="D872">
            <v>3001</v>
          </cell>
          <cell r="E872" t="str">
            <v>0169</v>
          </cell>
          <cell r="F872" t="str">
            <v>C1</v>
          </cell>
          <cell r="G872" t="str">
            <v>RJ</v>
          </cell>
          <cell r="H872" t="str">
            <v>DISTRIBUIÇÃO</v>
          </cell>
          <cell r="I872" t="str">
            <v>FOOD SERVICE</v>
          </cell>
          <cell r="J872" t="str">
            <v>JULIANA CORDEIRO</v>
          </cell>
          <cell r="K872" t="str">
            <v>ITAMBÉ</v>
          </cell>
          <cell r="L872" t="str">
            <v>RODRIGO</v>
          </cell>
          <cell r="M872" t="str">
            <v>JESSICA</v>
          </cell>
        </row>
        <row r="873">
          <cell r="B873">
            <v>5329409</v>
          </cell>
          <cell r="C873" t="str">
            <v>M A FRANCO DE OLIVEIRA RESTAURA</v>
          </cell>
          <cell r="D873">
            <v>7001</v>
          </cell>
          <cell r="E873" t="str">
            <v>0749</v>
          </cell>
          <cell r="F873" t="str">
            <v>C5</v>
          </cell>
          <cell r="G873" t="str">
            <v>SP</v>
          </cell>
          <cell r="H873" t="str">
            <v>DISTRIBUIÇÃO</v>
          </cell>
          <cell r="I873" t="str">
            <v>FOOD SERVICE</v>
          </cell>
          <cell r="J873" t="str">
            <v>FLAC 4</v>
          </cell>
          <cell r="K873" t="str">
            <v>LACTALIS</v>
          </cell>
          <cell r="L873" t="str">
            <v>RODRIGO</v>
          </cell>
          <cell r="M873" t="str">
            <v>RAQUEL BARBOSA</v>
          </cell>
        </row>
        <row r="874">
          <cell r="B874">
            <v>5313336</v>
          </cell>
          <cell r="C874" t="str">
            <v>M C COMERCIO DE DOCES E</v>
          </cell>
          <cell r="D874">
            <v>3001</v>
          </cell>
          <cell r="E874" t="str">
            <v>0028</v>
          </cell>
          <cell r="F874" t="str">
            <v>C1</v>
          </cell>
          <cell r="G874" t="str">
            <v>AM</v>
          </cell>
          <cell r="H874" t="str">
            <v>INGREDIENTS</v>
          </cell>
          <cell r="I874" t="str">
            <v>INGREDIENTS</v>
          </cell>
          <cell r="J874" t="str">
            <v>AM ITB FS I DA SILVA SANTOS</v>
          </cell>
          <cell r="K874" t="str">
            <v>ITAMBÉ</v>
          </cell>
          <cell r="L874" t="str">
            <v>MAURICIO</v>
          </cell>
          <cell r="M874" t="str">
            <v>JOEL</v>
          </cell>
        </row>
        <row r="875">
          <cell r="B875">
            <v>5024011</v>
          </cell>
          <cell r="C875" t="str">
            <v>M C MORAES ME</v>
          </cell>
          <cell r="D875">
            <v>3001</v>
          </cell>
          <cell r="E875" t="str">
            <v>0169</v>
          </cell>
          <cell r="F875" t="str">
            <v>C1</v>
          </cell>
          <cell r="G875" t="str">
            <v>ES</v>
          </cell>
          <cell r="H875" t="str">
            <v>DISTRIBUIÇÃO</v>
          </cell>
          <cell r="I875" t="str">
            <v>FOOD SERVICE</v>
          </cell>
          <cell r="J875" t="str">
            <v>MARCELO DUARTE</v>
          </cell>
          <cell r="K875" t="str">
            <v>ITAMBÉ</v>
          </cell>
          <cell r="L875" t="str">
            <v>RODRIGO</v>
          </cell>
          <cell r="M875" t="str">
            <v>JESSICA</v>
          </cell>
        </row>
        <row r="876">
          <cell r="B876">
            <v>5318356</v>
          </cell>
          <cell r="C876" t="str">
            <v>M DIAS BRANCO S A</v>
          </cell>
          <cell r="D876">
            <v>4001</v>
          </cell>
          <cell r="E876" t="str">
            <v>0423</v>
          </cell>
          <cell r="F876" t="str">
            <v>C5</v>
          </cell>
          <cell r="G876" t="str">
            <v>BA</v>
          </cell>
          <cell r="H876" t="str">
            <v>INGREDIENTS</v>
          </cell>
          <cell r="I876" t="str">
            <v>INGREDIENTS</v>
          </cell>
          <cell r="J876" t="str">
            <v>JOEL ELEOTÉRIO</v>
          </cell>
          <cell r="K876" t="str">
            <v>LACTALIS</v>
          </cell>
          <cell r="L876" t="str">
            <v>MAURICIO</v>
          </cell>
          <cell r="M876" t="str">
            <v>JOEL</v>
          </cell>
        </row>
        <row r="877">
          <cell r="B877">
            <v>5177908</v>
          </cell>
          <cell r="C877" t="str">
            <v>M DIAS BRANCO S A IND E COM DE</v>
          </cell>
          <cell r="D877">
            <v>4001</v>
          </cell>
          <cell r="E877" t="str">
            <v>0423</v>
          </cell>
          <cell r="F877" t="str">
            <v>C5</v>
          </cell>
          <cell r="G877" t="str">
            <v>SP</v>
          </cell>
          <cell r="H877" t="str">
            <v>INGREDIENTS</v>
          </cell>
          <cell r="I877" t="str">
            <v>INGREDIENTS</v>
          </cell>
          <cell r="J877" t="str">
            <v>JOEL ELEOTÉRIO</v>
          </cell>
          <cell r="K877" t="str">
            <v>LACTALIS</v>
          </cell>
          <cell r="L877" t="str">
            <v>MAURICIO</v>
          </cell>
          <cell r="M877" t="str">
            <v>JOEL</v>
          </cell>
        </row>
        <row r="878">
          <cell r="B878">
            <v>5171893</v>
          </cell>
          <cell r="C878" t="str">
            <v>M DIAS BRANCO SA IND COM ALIM</v>
          </cell>
          <cell r="D878">
            <v>4001</v>
          </cell>
          <cell r="E878" t="str">
            <v>0423</v>
          </cell>
          <cell r="F878" t="str">
            <v>C5</v>
          </cell>
          <cell r="G878" t="str">
            <v>PE</v>
          </cell>
          <cell r="H878" t="str">
            <v>INGREDIENTS</v>
          </cell>
          <cell r="I878" t="str">
            <v>INGREDIENTS</v>
          </cell>
          <cell r="J878" t="str">
            <v>JOEL ELEOTÉRIO</v>
          </cell>
          <cell r="K878" t="str">
            <v>LACTALIS</v>
          </cell>
          <cell r="L878" t="str">
            <v>MAURICIO</v>
          </cell>
          <cell r="M878" t="str">
            <v>JOEL</v>
          </cell>
        </row>
        <row r="879">
          <cell r="B879">
            <v>5260663</v>
          </cell>
          <cell r="C879" t="str">
            <v>M DIAS BRANCO SA IND E COM DE A</v>
          </cell>
          <cell r="D879">
            <v>4001</v>
          </cell>
          <cell r="E879" t="str">
            <v>0423</v>
          </cell>
          <cell r="F879" t="str">
            <v>C5</v>
          </cell>
          <cell r="G879" t="str">
            <v>RS</v>
          </cell>
          <cell r="H879" t="str">
            <v>INGREDIENTS</v>
          </cell>
          <cell r="I879" t="str">
            <v>INGREDIENTS</v>
          </cell>
          <cell r="J879" t="str">
            <v>JOEL ELEOTÉRIO</v>
          </cell>
          <cell r="K879" t="str">
            <v>LACTALIS</v>
          </cell>
          <cell r="L879" t="str">
            <v>MAURICIO</v>
          </cell>
          <cell r="M879" t="str">
            <v>JOEL</v>
          </cell>
        </row>
        <row r="880">
          <cell r="B880">
            <v>5274406</v>
          </cell>
          <cell r="C880" t="str">
            <v>M H DE ANDRADE T DA GAMA REST EIREL</v>
          </cell>
          <cell r="D880">
            <v>7001</v>
          </cell>
          <cell r="E880" t="str">
            <v>0749</v>
          </cell>
          <cell r="F880" t="str">
            <v>C5</v>
          </cell>
          <cell r="G880" t="str">
            <v>SP</v>
          </cell>
          <cell r="H880" t="str">
            <v>DISTRIBUIÇÃO</v>
          </cell>
          <cell r="I880" t="str">
            <v>FOOD SERVICE</v>
          </cell>
          <cell r="J880" t="str">
            <v>FLAC 3</v>
          </cell>
          <cell r="K880" t="str">
            <v>LACTALIS</v>
          </cell>
          <cell r="L880" t="str">
            <v>RODRIGO</v>
          </cell>
          <cell r="M880" t="str">
            <v>RAQUEL BARBOSA</v>
          </cell>
        </row>
        <row r="881">
          <cell r="B881">
            <v>5135368</v>
          </cell>
          <cell r="C881" t="str">
            <v>M H DE ANDRADE TAVEIRA DA GAMA REST</v>
          </cell>
          <cell r="D881">
            <v>7001</v>
          </cell>
          <cell r="E881" t="str">
            <v>0749</v>
          </cell>
          <cell r="F881" t="str">
            <v>C5</v>
          </cell>
          <cell r="G881" t="str">
            <v>SP</v>
          </cell>
          <cell r="H881" t="str">
            <v>DISTRIBUIÇÃO</v>
          </cell>
          <cell r="I881" t="str">
            <v>FOOD SERVICE</v>
          </cell>
          <cell r="J881" t="str">
            <v>FLAC 2</v>
          </cell>
          <cell r="K881" t="str">
            <v>LACTALIS</v>
          </cell>
          <cell r="L881" t="str">
            <v>RODRIGO</v>
          </cell>
          <cell r="M881" t="str">
            <v>RAQUEL BARBOSA</v>
          </cell>
        </row>
        <row r="882">
          <cell r="B882">
            <v>5197137</v>
          </cell>
          <cell r="C882" t="str">
            <v>M LEILIANE M DA S LIMA ME</v>
          </cell>
          <cell r="D882">
            <v>3001</v>
          </cell>
          <cell r="E882" t="str">
            <v>0127</v>
          </cell>
          <cell r="F882" t="str">
            <v>C1</v>
          </cell>
          <cell r="G882" t="str">
            <v>CE</v>
          </cell>
          <cell r="H882" t="str">
            <v>DISTRIBUIÇÃO</v>
          </cell>
          <cell r="I882" t="str">
            <v>FOOD SERVICE</v>
          </cell>
          <cell r="J882" t="str">
            <v>WH FOOD SERVICE CE</v>
          </cell>
          <cell r="K882" t="str">
            <v>ITAMBÉ</v>
          </cell>
          <cell r="L882" t="str">
            <v>RODRIGO</v>
          </cell>
          <cell r="M882" t="str">
            <v>MARIA LOURDES</v>
          </cell>
        </row>
        <row r="883">
          <cell r="B883">
            <v>5197137</v>
          </cell>
          <cell r="C883" t="str">
            <v>M LEILIANE M DA S LIMA ME</v>
          </cell>
          <cell r="D883">
            <v>3001</v>
          </cell>
          <cell r="E883" t="str">
            <v>0075</v>
          </cell>
          <cell r="F883" t="str">
            <v>C1</v>
          </cell>
          <cell r="G883" t="str">
            <v>CE</v>
          </cell>
          <cell r="H883" t="str">
            <v>DISTRIBUIÇÃO</v>
          </cell>
          <cell r="I883" t="str">
            <v>FOOD SERVICE</v>
          </cell>
          <cell r="J883" t="str">
            <v>WH FOOD SERVICE CE</v>
          </cell>
          <cell r="K883" t="str">
            <v>ITAMBÉ</v>
          </cell>
          <cell r="L883" t="str">
            <v>RODRIGO</v>
          </cell>
          <cell r="M883" t="str">
            <v>MARIA LOURDES</v>
          </cell>
        </row>
        <row r="884">
          <cell r="B884">
            <v>5001999</v>
          </cell>
          <cell r="C884" t="str">
            <v>M M CLEMENTINO CS DE LANCHES EIRELI</v>
          </cell>
          <cell r="D884">
            <v>3001</v>
          </cell>
          <cell r="E884" t="str">
            <v>0122</v>
          </cell>
          <cell r="F884" t="str">
            <v>C1</v>
          </cell>
          <cell r="G884" t="str">
            <v>MG</v>
          </cell>
          <cell r="H884" t="str">
            <v>DISTRIBUIÇÃO</v>
          </cell>
          <cell r="I884" t="str">
            <v>FOOD SERVICE</v>
          </cell>
          <cell r="J884" t="str">
            <v>MARCELO SILVA</v>
          </cell>
          <cell r="K884" t="str">
            <v>ITAMBÉ</v>
          </cell>
          <cell r="L884" t="str">
            <v>RODRIGO</v>
          </cell>
          <cell r="M884" t="str">
            <v>CELIO MARTINS</v>
          </cell>
        </row>
        <row r="885">
          <cell r="B885">
            <v>5187116</v>
          </cell>
          <cell r="C885" t="str">
            <v>M R G MATANO SORVETERIA ME</v>
          </cell>
          <cell r="D885">
            <v>3001</v>
          </cell>
          <cell r="E885" t="str">
            <v>0126</v>
          </cell>
          <cell r="F885" t="str">
            <v>C1</v>
          </cell>
          <cell r="G885" t="str">
            <v>PR</v>
          </cell>
          <cell r="H885" t="str">
            <v>INGREDIENTS</v>
          </cell>
          <cell r="I885" t="str">
            <v>INGREDIENTS</v>
          </cell>
          <cell r="J885" t="str">
            <v>DUAS RODAS</v>
          </cell>
          <cell r="K885" t="str">
            <v>ITAMBÉ</v>
          </cell>
          <cell r="L885" t="str">
            <v>MAURICIO</v>
          </cell>
          <cell r="M885" t="str">
            <v>MARCELO</v>
          </cell>
        </row>
        <row r="886">
          <cell r="B886">
            <v>5235439</v>
          </cell>
          <cell r="C886" t="str">
            <v>MACEIO 64 H LANCHES E RESTAURANTE L</v>
          </cell>
          <cell r="D886">
            <v>7001</v>
          </cell>
          <cell r="E886" t="str">
            <v>0749</v>
          </cell>
          <cell r="F886" t="str">
            <v>C5</v>
          </cell>
          <cell r="G886" t="str">
            <v>SP</v>
          </cell>
          <cell r="H886" t="str">
            <v>DISTRIBUIÇÃO</v>
          </cell>
          <cell r="I886" t="str">
            <v>FOOD SERVICE</v>
          </cell>
          <cell r="J886" t="str">
            <v>FLAC 2</v>
          </cell>
          <cell r="K886" t="str">
            <v>LACTALIS</v>
          </cell>
          <cell r="L886" t="str">
            <v>RODRIGO</v>
          </cell>
          <cell r="M886" t="str">
            <v>RAQUEL BARBOSA</v>
          </cell>
        </row>
        <row r="887">
          <cell r="B887">
            <v>5107112</v>
          </cell>
          <cell r="C887" t="str">
            <v>MACPAN COM E DIST DE PROD ALIM LT M</v>
          </cell>
          <cell r="D887">
            <v>6001</v>
          </cell>
          <cell r="E887" t="str">
            <v>6125</v>
          </cell>
          <cell r="F887" t="str">
            <v>C1</v>
          </cell>
          <cell r="G887" t="str">
            <v>SP</v>
          </cell>
          <cell r="H887" t="str">
            <v>DISTRIBUIÇÃO</v>
          </cell>
          <cell r="I887" t="str">
            <v>FOOD SERVICE</v>
          </cell>
          <cell r="J887" t="str">
            <v>GUILHERME NASCIMENTO</v>
          </cell>
          <cell r="K887" t="str">
            <v>ITAMBÉ</v>
          </cell>
          <cell r="L887" t="str">
            <v>RODRIGO</v>
          </cell>
          <cell r="M887" t="str">
            <v>ALEXANDRO</v>
          </cell>
        </row>
        <row r="888">
          <cell r="B888">
            <v>5107112</v>
          </cell>
          <cell r="C888" t="str">
            <v>MACPAN COM E DIST DE PROD ALIM LT M</v>
          </cell>
          <cell r="D888">
            <v>7001</v>
          </cell>
          <cell r="E888" t="str">
            <v>0722</v>
          </cell>
          <cell r="F888" t="str">
            <v>C1</v>
          </cell>
          <cell r="G888" t="str">
            <v>SP</v>
          </cell>
          <cell r="H888" t="str">
            <v>DISTRIBUIÇÃO</v>
          </cell>
          <cell r="I888" t="str">
            <v>FOOD SERVICE</v>
          </cell>
          <cell r="J888" t="str">
            <v>GUILHERME NASCIMENTO</v>
          </cell>
          <cell r="K888" t="str">
            <v>LACTALIS</v>
          </cell>
          <cell r="L888" t="str">
            <v>RODRIGO</v>
          </cell>
          <cell r="M888" t="str">
            <v>ALEXANDRO</v>
          </cell>
        </row>
        <row r="889">
          <cell r="B889">
            <v>5133487</v>
          </cell>
          <cell r="C889" t="str">
            <v>MADE BY NINA CAFE E DOCERIA LTDA ME</v>
          </cell>
          <cell r="D889">
            <v>7001</v>
          </cell>
          <cell r="E889" t="str">
            <v>0749</v>
          </cell>
          <cell r="F889" t="str">
            <v>C5</v>
          </cell>
          <cell r="G889" t="str">
            <v>SP</v>
          </cell>
          <cell r="H889" t="str">
            <v>DISTRIBUIÇÃO</v>
          </cell>
          <cell r="I889" t="str">
            <v>FOOD SERVICE</v>
          </cell>
          <cell r="J889" t="str">
            <v>FLAC 6</v>
          </cell>
          <cell r="K889" t="str">
            <v>LACTALIS</v>
          </cell>
          <cell r="L889" t="str">
            <v>RODRIGO</v>
          </cell>
          <cell r="M889" t="str">
            <v>RAQUEL BARBOSA</v>
          </cell>
        </row>
        <row r="890">
          <cell r="B890">
            <v>5034664</v>
          </cell>
          <cell r="C890" t="str">
            <v>MAFRIOS DIST E IMPORTADORA LTDA</v>
          </cell>
          <cell r="D890">
            <v>3001</v>
          </cell>
          <cell r="E890" t="str">
            <v>0127</v>
          </cell>
          <cell r="F890" t="str">
            <v>C1</v>
          </cell>
          <cell r="G890" t="str">
            <v>AL</v>
          </cell>
          <cell r="H890" t="str">
            <v>DISTRIBUIÇÃO</v>
          </cell>
          <cell r="I890" t="str">
            <v>FOOD SERVICE</v>
          </cell>
          <cell r="J890" t="str">
            <v>DIGMA REPR LTDA</v>
          </cell>
          <cell r="K890" t="str">
            <v>ITAMBÉ</v>
          </cell>
          <cell r="L890" t="str">
            <v>RODRIGO</v>
          </cell>
          <cell r="M890" t="str">
            <v>MARIA LOURDES</v>
          </cell>
        </row>
        <row r="891">
          <cell r="B891">
            <v>5260577</v>
          </cell>
          <cell r="C891" t="str">
            <v>MAFRIOS DIST E IMPORTADORA LTDA</v>
          </cell>
          <cell r="D891">
            <v>3001</v>
          </cell>
          <cell r="E891" t="str">
            <v>0127</v>
          </cell>
          <cell r="F891" t="str">
            <v>C1</v>
          </cell>
          <cell r="G891" t="str">
            <v>SE</v>
          </cell>
          <cell r="H891" t="str">
            <v>DISTRIBUIÇÃO</v>
          </cell>
          <cell r="I891" t="str">
            <v>FOOD SERVICE</v>
          </cell>
          <cell r="J891" t="str">
            <v>CLAUDIO JORGE</v>
          </cell>
          <cell r="K891" t="str">
            <v>ITAMBÉ</v>
          </cell>
          <cell r="L891" t="str">
            <v>RODRIGO</v>
          </cell>
          <cell r="M891" t="str">
            <v>MARIA LOURDES</v>
          </cell>
        </row>
        <row r="892">
          <cell r="B892">
            <v>5256539</v>
          </cell>
          <cell r="C892" t="str">
            <v>MAGAZZINO DIST DE ALIMENTOS LTD</v>
          </cell>
          <cell r="D892">
            <v>3001</v>
          </cell>
          <cell r="E892" t="str">
            <v>0169</v>
          </cell>
          <cell r="F892" t="str">
            <v>C1</v>
          </cell>
          <cell r="G892" t="str">
            <v>RJ</v>
          </cell>
          <cell r="H892" t="str">
            <v>QSR</v>
          </cell>
          <cell r="I892" t="str">
            <v>FOOD SERVICE</v>
          </cell>
          <cell r="J892" t="str">
            <v>VAGO QSR</v>
          </cell>
          <cell r="K892" t="str">
            <v>ITAMBÉ</v>
          </cell>
          <cell r="L892" t="str">
            <v>PEDRO</v>
          </cell>
          <cell r="M892" t="str">
            <v>VAGO QSR</v>
          </cell>
        </row>
        <row r="893">
          <cell r="B893">
            <v>5317414</v>
          </cell>
          <cell r="C893" t="str">
            <v>MAINITI CAFE LTDA</v>
          </cell>
          <cell r="D893">
            <v>7001</v>
          </cell>
          <cell r="E893" t="str">
            <v>0749</v>
          </cell>
          <cell r="F893" t="str">
            <v>C5</v>
          </cell>
          <cell r="G893" t="str">
            <v>SP</v>
          </cell>
          <cell r="H893" t="str">
            <v>DISTRIBUIÇÃO</v>
          </cell>
          <cell r="I893" t="str">
            <v>FOOD SERVICE</v>
          </cell>
          <cell r="J893" t="str">
            <v>FLAC 6</v>
          </cell>
          <cell r="K893" t="str">
            <v>LACTALIS</v>
          </cell>
          <cell r="L893" t="str">
            <v>RODRIGO</v>
          </cell>
          <cell r="M893" t="str">
            <v>RAQUEL BARBOSA</v>
          </cell>
        </row>
        <row r="894">
          <cell r="B894">
            <v>5034427</v>
          </cell>
          <cell r="C894" t="str">
            <v>MAIS FESTA ARTIGOS PARA FESTAS LTDA</v>
          </cell>
          <cell r="D894">
            <v>3001</v>
          </cell>
          <cell r="E894" t="str">
            <v>0123</v>
          </cell>
          <cell r="F894" t="str">
            <v>C1</v>
          </cell>
          <cell r="G894" t="str">
            <v>GO</v>
          </cell>
          <cell r="H894" t="str">
            <v>DISTRIBUIÇÃO</v>
          </cell>
          <cell r="I894" t="str">
            <v>FOOD SERVICE</v>
          </cell>
          <cell r="J894" t="str">
            <v>CLAUDIO JORGE</v>
          </cell>
          <cell r="K894" t="str">
            <v>ITAMBÉ</v>
          </cell>
          <cell r="L894" t="str">
            <v>RODRIGO</v>
          </cell>
          <cell r="M894" t="str">
            <v>MARCO AURELIO</v>
          </cell>
        </row>
        <row r="895">
          <cell r="B895">
            <v>5173685</v>
          </cell>
          <cell r="C895" t="str">
            <v>MAISSPAN DISTRIBUIDORA DE ALIMENTOS</v>
          </cell>
          <cell r="D895">
            <v>3001</v>
          </cell>
          <cell r="E895" t="str">
            <v>0126</v>
          </cell>
          <cell r="F895" t="str">
            <v>C1</v>
          </cell>
          <cell r="G895" t="str">
            <v>PR</v>
          </cell>
          <cell r="H895" t="str">
            <v>DISTRIBUIÇÃO</v>
          </cell>
          <cell r="I895" t="str">
            <v>FOOD SERVICE</v>
          </cell>
          <cell r="J895" t="str">
            <v>ANGELICA BATISTELA</v>
          </cell>
          <cell r="K895" t="str">
            <v>ITAMBÉ</v>
          </cell>
          <cell r="L895" t="str">
            <v>RODRIGO</v>
          </cell>
          <cell r="M895" t="str">
            <v>ANGELICA BATISTELA</v>
          </cell>
        </row>
        <row r="896">
          <cell r="B896">
            <v>5291157</v>
          </cell>
          <cell r="C896" t="str">
            <v>MALOU COMERCIO LTDA</v>
          </cell>
          <cell r="D896">
            <v>7001</v>
          </cell>
          <cell r="E896" t="str">
            <v>0749</v>
          </cell>
          <cell r="F896" t="str">
            <v>C5</v>
          </cell>
          <cell r="G896" t="str">
            <v>SP</v>
          </cell>
          <cell r="H896" t="str">
            <v>DISTRIBUIÇÃO</v>
          </cell>
          <cell r="I896" t="str">
            <v>FOOD SERVICE</v>
          </cell>
          <cell r="J896" t="str">
            <v>FLAC 2</v>
          </cell>
          <cell r="K896" t="str">
            <v>LACTALIS</v>
          </cell>
          <cell r="L896" t="str">
            <v>RODRIGO</v>
          </cell>
          <cell r="M896" t="str">
            <v>RAQUEL BARBOSA</v>
          </cell>
        </row>
        <row r="897">
          <cell r="B897">
            <v>5330241</v>
          </cell>
          <cell r="C897" t="str">
            <v>MANDUQUE MASSAS E MACAS PASTIFICIO</v>
          </cell>
          <cell r="D897">
            <v>7001</v>
          </cell>
          <cell r="E897" t="str">
            <v>0749</v>
          </cell>
          <cell r="F897" t="str">
            <v>C5</v>
          </cell>
          <cell r="G897" t="str">
            <v>SP</v>
          </cell>
          <cell r="H897" t="str">
            <v>DISTRIBUIÇÃO</v>
          </cell>
          <cell r="I897" t="str">
            <v>FOOD SERVICE</v>
          </cell>
          <cell r="J897" t="str">
            <v>FLAC 6</v>
          </cell>
          <cell r="K897" t="str">
            <v>LACTALIS</v>
          </cell>
          <cell r="L897" t="str">
            <v>RODRIGO</v>
          </cell>
          <cell r="M897" t="str">
            <v>RAQUEL BARBOSA</v>
          </cell>
        </row>
        <row r="898">
          <cell r="B898">
            <v>5316278</v>
          </cell>
          <cell r="C898" t="str">
            <v>MANIA BOMBONIERE E ARTIGOS PARA</v>
          </cell>
          <cell r="D898">
            <v>6001</v>
          </cell>
          <cell r="E898" t="str">
            <v>6125</v>
          </cell>
          <cell r="F898" t="str">
            <v>C1</v>
          </cell>
          <cell r="G898" t="str">
            <v>SP</v>
          </cell>
          <cell r="H898" t="str">
            <v>DISTRIBUIÇÃO</v>
          </cell>
          <cell r="I898" t="str">
            <v>FOOD SERVICE</v>
          </cell>
          <cell r="J898" t="str">
            <v>SP ITB FS FLAC REP.E COMERCIO</v>
          </cell>
          <cell r="K898" t="str">
            <v>ITAMBÉ</v>
          </cell>
          <cell r="L898" t="str">
            <v>RODRIGO</v>
          </cell>
          <cell r="M898" t="str">
            <v>RAQUEL BARBOSA</v>
          </cell>
        </row>
        <row r="899">
          <cell r="B899">
            <v>5219247</v>
          </cell>
          <cell r="C899" t="str">
            <v>MARCELA PEREIRA RODRIGUES</v>
          </cell>
          <cell r="D899">
            <v>7001</v>
          </cell>
          <cell r="E899" t="str">
            <v>0749</v>
          </cell>
          <cell r="F899" t="str">
            <v>C5</v>
          </cell>
          <cell r="G899" t="str">
            <v>SP</v>
          </cell>
          <cell r="H899" t="str">
            <v>DISTRIBUIÇÃO</v>
          </cell>
          <cell r="I899" t="str">
            <v>FOOD SERVICE</v>
          </cell>
          <cell r="J899" t="str">
            <v>FLAC 6</v>
          </cell>
          <cell r="K899" t="str">
            <v>LACTALIS</v>
          </cell>
          <cell r="L899" t="str">
            <v>RODRIGO</v>
          </cell>
          <cell r="M899" t="str">
            <v>RAQUEL BARBOSA</v>
          </cell>
        </row>
        <row r="900">
          <cell r="B900">
            <v>5221163</v>
          </cell>
          <cell r="C900" t="str">
            <v>MARCOS ANTONIO FURLANETTO</v>
          </cell>
          <cell r="D900">
            <v>3001</v>
          </cell>
          <cell r="E900" t="str">
            <v>0126</v>
          </cell>
          <cell r="F900" t="str">
            <v>C1</v>
          </cell>
          <cell r="G900" t="str">
            <v>SC</v>
          </cell>
          <cell r="H900" t="str">
            <v>INGREDIENTS</v>
          </cell>
          <cell r="I900" t="str">
            <v>INGREDIENTS</v>
          </cell>
          <cell r="J900" t="str">
            <v>DUAS RODAS</v>
          </cell>
          <cell r="K900" t="str">
            <v>ITAMBÉ</v>
          </cell>
          <cell r="L900" t="str">
            <v>MAURICIO</v>
          </cell>
          <cell r="M900" t="str">
            <v>MARCELO</v>
          </cell>
        </row>
        <row r="901">
          <cell r="B901">
            <v>5162109</v>
          </cell>
          <cell r="C901" t="str">
            <v>MARCOS ARTIGOS P PANIFICACAO LT</v>
          </cell>
          <cell r="D901">
            <v>6001</v>
          </cell>
          <cell r="E901" t="str">
            <v>6125</v>
          </cell>
          <cell r="F901" t="str">
            <v>C1</v>
          </cell>
          <cell r="G901" t="str">
            <v>SP</v>
          </cell>
          <cell r="H901" t="str">
            <v>DISTRIBUIÇÃO</v>
          </cell>
          <cell r="I901" t="str">
            <v>FOOD SERVICE</v>
          </cell>
          <cell r="J901" t="str">
            <v>VAGO SP</v>
          </cell>
          <cell r="K901" t="str">
            <v>ITAMBÉ</v>
          </cell>
          <cell r="L901" t="str">
            <v>RODRIGO</v>
          </cell>
          <cell r="M901" t="str">
            <v>RAQUEL BARBOSA</v>
          </cell>
        </row>
        <row r="902">
          <cell r="B902">
            <v>5012650</v>
          </cell>
          <cell r="C902" t="str">
            <v>MARCOS ARTIGOS P PANIFIFICACAO LTDA</v>
          </cell>
          <cell r="D902">
            <v>3001</v>
          </cell>
          <cell r="E902" t="str">
            <v>0125</v>
          </cell>
          <cell r="F902" t="str">
            <v>C1</v>
          </cell>
          <cell r="G902" t="str">
            <v>SP</v>
          </cell>
          <cell r="H902" t="str">
            <v>DISTRIBUIÇÃO</v>
          </cell>
          <cell r="I902" t="str">
            <v>FOOD SERVICE</v>
          </cell>
          <cell r="J902" t="str">
            <v>VAGO SP</v>
          </cell>
          <cell r="K902" t="str">
            <v>ITAMBÉ</v>
          </cell>
          <cell r="L902" t="str">
            <v>RODRIGO</v>
          </cell>
          <cell r="M902" t="str">
            <v>RAQUEL BARBOSA</v>
          </cell>
        </row>
        <row r="903">
          <cell r="B903">
            <v>5012650</v>
          </cell>
          <cell r="C903" t="str">
            <v>MARCOS ARTIGOS P PANIFIFICACAO LTDA</v>
          </cell>
          <cell r="D903">
            <v>6001</v>
          </cell>
          <cell r="E903" t="str">
            <v>6125</v>
          </cell>
          <cell r="F903" t="str">
            <v>C1</v>
          </cell>
          <cell r="G903" t="str">
            <v>SP</v>
          </cell>
          <cell r="H903" t="str">
            <v>DISTRIBUIÇÃO</v>
          </cell>
          <cell r="I903" t="str">
            <v>FOOD SERVICE</v>
          </cell>
          <cell r="J903" t="str">
            <v>VAGO SP</v>
          </cell>
          <cell r="K903" t="str">
            <v>ITAMBÉ</v>
          </cell>
          <cell r="L903" t="str">
            <v>RODRIGO</v>
          </cell>
          <cell r="M903" t="str">
            <v>RAQUEL BARBOSA</v>
          </cell>
        </row>
        <row r="904">
          <cell r="B904">
            <v>5270331</v>
          </cell>
          <cell r="C904" t="str">
            <v>MARCOS PAULO VALE</v>
          </cell>
          <cell r="D904">
            <v>7001</v>
          </cell>
          <cell r="E904" t="str">
            <v>0749</v>
          </cell>
          <cell r="F904" t="str">
            <v>C5</v>
          </cell>
          <cell r="G904" t="str">
            <v>SP</v>
          </cell>
          <cell r="H904" t="str">
            <v>DISTRIBUIÇÃO</v>
          </cell>
          <cell r="I904" t="str">
            <v>FOOD SERVICE</v>
          </cell>
          <cell r="J904" t="str">
            <v>FLAC 6</v>
          </cell>
          <cell r="K904" t="str">
            <v>LACTALIS</v>
          </cell>
          <cell r="L904" t="str">
            <v>RODRIGO</v>
          </cell>
          <cell r="M904" t="str">
            <v>RAQUEL BARBOSA</v>
          </cell>
        </row>
        <row r="905">
          <cell r="B905">
            <v>5252779</v>
          </cell>
          <cell r="C905" t="str">
            <v>MARI MARIA LANCHONETE LTDA</v>
          </cell>
          <cell r="D905">
            <v>7001</v>
          </cell>
          <cell r="E905" t="str">
            <v>0749</v>
          </cell>
          <cell r="F905" t="str">
            <v>C5</v>
          </cell>
          <cell r="G905" t="str">
            <v>SP</v>
          </cell>
          <cell r="H905" t="str">
            <v>DISTRIBUIÇÃO</v>
          </cell>
          <cell r="I905" t="str">
            <v>FOOD SERVICE</v>
          </cell>
          <cell r="J905" t="str">
            <v>FLAC 2</v>
          </cell>
          <cell r="K905" t="str">
            <v>LACTALIS</v>
          </cell>
          <cell r="L905" t="str">
            <v>RODRIGO</v>
          </cell>
          <cell r="M905" t="str">
            <v>RAQUEL BARBOSA</v>
          </cell>
        </row>
        <row r="906">
          <cell r="B906">
            <v>5137008</v>
          </cell>
          <cell r="C906" t="str">
            <v>MARIA ANTONIETA PAD E CONFEITAR</v>
          </cell>
          <cell r="D906">
            <v>7001</v>
          </cell>
          <cell r="E906" t="str">
            <v>0749</v>
          </cell>
          <cell r="F906" t="str">
            <v>C5</v>
          </cell>
          <cell r="G906" t="str">
            <v>SP</v>
          </cell>
          <cell r="H906" t="str">
            <v>QSR</v>
          </cell>
          <cell r="I906" t="str">
            <v>FOOD SERVICE</v>
          </cell>
          <cell r="J906" t="str">
            <v>NUTRI</v>
          </cell>
          <cell r="K906" t="str">
            <v>LACTALIS</v>
          </cell>
          <cell r="L906" t="str">
            <v>PEDRO</v>
          </cell>
          <cell r="M906" t="str">
            <v>VAGO QSR</v>
          </cell>
        </row>
        <row r="907">
          <cell r="B907">
            <v>5006512</v>
          </cell>
          <cell r="C907" t="str">
            <v>MARIA ANTONIETA PAD E CONFEITAR</v>
          </cell>
          <cell r="D907">
            <v>3001</v>
          </cell>
          <cell r="E907" t="str">
            <v>0122</v>
          </cell>
          <cell r="F907" t="str">
            <v>C1</v>
          </cell>
          <cell r="G907" t="str">
            <v>MG</v>
          </cell>
          <cell r="H907" t="str">
            <v>INGREDIENTS</v>
          </cell>
          <cell r="I907" t="str">
            <v>INGREDIENTS</v>
          </cell>
          <cell r="J907" t="str">
            <v>HENRIQUE FERREIRA</v>
          </cell>
          <cell r="K907" t="str">
            <v>ITAMBÉ</v>
          </cell>
          <cell r="L907" t="str">
            <v>MAURICIO</v>
          </cell>
          <cell r="M907" t="str">
            <v>JOEL</v>
          </cell>
        </row>
        <row r="908">
          <cell r="B908">
            <v>5261586</v>
          </cell>
          <cell r="C908" t="str">
            <v>MARIA DANIELA TRUJILLO MENEGHINI EP</v>
          </cell>
          <cell r="D908">
            <v>7001</v>
          </cell>
          <cell r="E908" t="str">
            <v>0749</v>
          </cell>
          <cell r="F908" t="str">
            <v>C5</v>
          </cell>
          <cell r="G908" t="str">
            <v>SP</v>
          </cell>
          <cell r="H908" t="str">
            <v>DISTRIBUIÇÃO</v>
          </cell>
          <cell r="I908" t="str">
            <v>FOOD SERVICE</v>
          </cell>
          <cell r="J908" t="str">
            <v>FLAC 2</v>
          </cell>
          <cell r="K908" t="str">
            <v>LACTALIS</v>
          </cell>
          <cell r="L908" t="str">
            <v>RODRIGO</v>
          </cell>
          <cell r="M908" t="str">
            <v>RAQUEL BARBOSA</v>
          </cell>
        </row>
        <row r="909">
          <cell r="B909">
            <v>5234719</v>
          </cell>
          <cell r="C909" t="str">
            <v>MARIA DAS GRACAS AVANCE 03906557839</v>
          </cell>
          <cell r="D909">
            <v>7001</v>
          </cell>
          <cell r="E909" t="str">
            <v>0749</v>
          </cell>
          <cell r="F909" t="str">
            <v>C5</v>
          </cell>
          <cell r="G909" t="str">
            <v>SP</v>
          </cell>
          <cell r="H909" t="str">
            <v>DISTRIBUIÇÃO</v>
          </cell>
          <cell r="I909" t="str">
            <v>FOOD SERVICE</v>
          </cell>
          <cell r="J909" t="str">
            <v>FLAC 6</v>
          </cell>
          <cell r="K909" t="str">
            <v>LACTALIS</v>
          </cell>
          <cell r="L909" t="str">
            <v>RODRIGO</v>
          </cell>
          <cell r="M909" t="str">
            <v>RAQUEL BARBOSA</v>
          </cell>
        </row>
        <row r="910">
          <cell r="B910">
            <v>5133661</v>
          </cell>
          <cell r="C910" t="str">
            <v>MARIA MADALENA P DE SOUZA EPP</v>
          </cell>
          <cell r="D910">
            <v>3001</v>
          </cell>
          <cell r="E910" t="str">
            <v>0127</v>
          </cell>
          <cell r="F910" t="str">
            <v>C1</v>
          </cell>
          <cell r="G910" t="str">
            <v>PE</v>
          </cell>
          <cell r="H910" t="str">
            <v>DISTRIBUIÇÃO</v>
          </cell>
          <cell r="I910" t="str">
            <v>FOOD SERVICE</v>
          </cell>
          <cell r="J910" t="str">
            <v>CLAUDIO JORGE</v>
          </cell>
          <cell r="K910" t="str">
            <v>ITAMBÉ</v>
          </cell>
          <cell r="L910" t="str">
            <v>RODRIGO</v>
          </cell>
          <cell r="M910" t="str">
            <v>MARIA LOURDES</v>
          </cell>
        </row>
        <row r="911">
          <cell r="B911">
            <v>5279849</v>
          </cell>
          <cell r="C911" t="str">
            <v>MARIA MARIA LANCHONETE LTDA ME</v>
          </cell>
          <cell r="D911">
            <v>7001</v>
          </cell>
          <cell r="E911" t="str">
            <v>0749</v>
          </cell>
          <cell r="F911" t="str">
            <v>C5</v>
          </cell>
          <cell r="G911" t="str">
            <v>SP</v>
          </cell>
          <cell r="H911" t="str">
            <v>DISTRIBUIÇÃO</v>
          </cell>
          <cell r="I911" t="str">
            <v>FOOD SERVICE</v>
          </cell>
          <cell r="J911" t="str">
            <v>FLAC 3</v>
          </cell>
          <cell r="K911" t="str">
            <v>LACTALIS</v>
          </cell>
          <cell r="L911" t="str">
            <v>RODRIGO</v>
          </cell>
          <cell r="M911" t="str">
            <v>RAQUEL BARBOSA</v>
          </cell>
        </row>
        <row r="912">
          <cell r="B912">
            <v>5228300</v>
          </cell>
          <cell r="C912" t="str">
            <v>MARIANA MONEGAGLIA HELOU GIDRAO</v>
          </cell>
          <cell r="D912">
            <v>7001</v>
          </cell>
          <cell r="E912" t="str">
            <v>0749</v>
          </cell>
          <cell r="F912" t="str">
            <v>C5</v>
          </cell>
          <cell r="G912" t="str">
            <v>SP</v>
          </cell>
          <cell r="H912" t="str">
            <v>DISTRIBUIÇÃO</v>
          </cell>
          <cell r="I912" t="str">
            <v>FOOD SERVICE</v>
          </cell>
          <cell r="J912" t="str">
            <v>FLAC 3</v>
          </cell>
          <cell r="K912" t="str">
            <v>LACTALIS</v>
          </cell>
          <cell r="L912" t="str">
            <v>RODRIGO</v>
          </cell>
          <cell r="M912" t="str">
            <v>RAQUEL BARBOSA</v>
          </cell>
        </row>
        <row r="913">
          <cell r="B913">
            <v>5321728</v>
          </cell>
          <cell r="C913" t="str">
            <v>MARIGOT ALIMENTACAO LTDA</v>
          </cell>
          <cell r="D913">
            <v>7001</v>
          </cell>
          <cell r="E913" t="str">
            <v>0749</v>
          </cell>
          <cell r="F913" t="str">
            <v>C5</v>
          </cell>
          <cell r="G913" t="str">
            <v>SP</v>
          </cell>
          <cell r="H913" t="str">
            <v>DISTRIBUIÇÃO</v>
          </cell>
          <cell r="I913" t="str">
            <v>FOOD SERVICE</v>
          </cell>
          <cell r="J913" t="str">
            <v>FLAC 5</v>
          </cell>
          <cell r="K913" t="str">
            <v>LACTALIS</v>
          </cell>
          <cell r="L913" t="str">
            <v>RODRIGO</v>
          </cell>
          <cell r="M913" t="str">
            <v>RAQUEL BARBOSA</v>
          </cell>
        </row>
        <row r="914">
          <cell r="B914">
            <v>5226125</v>
          </cell>
          <cell r="C914" t="str">
            <v>MARILAN ALIMENTOS SA</v>
          </cell>
          <cell r="D914">
            <v>6001</v>
          </cell>
          <cell r="E914" t="str">
            <v>6125</v>
          </cell>
          <cell r="F914" t="str">
            <v>C1</v>
          </cell>
          <cell r="G914" t="str">
            <v>SP</v>
          </cell>
          <cell r="H914" t="str">
            <v>DISTRIBUIÇÃO</v>
          </cell>
          <cell r="I914" t="str">
            <v>FOOD SERVICE</v>
          </cell>
          <cell r="J914" t="str">
            <v>ALEXANDRO RODRIGUES</v>
          </cell>
          <cell r="K914" t="str">
            <v>ITAMBÉ</v>
          </cell>
          <cell r="L914" t="str">
            <v>RODRIGO</v>
          </cell>
          <cell r="M914" t="str">
            <v>ALEXANDRO</v>
          </cell>
        </row>
        <row r="915">
          <cell r="B915">
            <v>5180545</v>
          </cell>
          <cell r="C915" t="str">
            <v>MARILISA BASSETO SPADOTTO</v>
          </cell>
          <cell r="D915">
            <v>3001</v>
          </cell>
          <cell r="E915" t="str">
            <v>0125</v>
          </cell>
          <cell r="F915" t="str">
            <v>C1</v>
          </cell>
          <cell r="G915" t="str">
            <v>SP</v>
          </cell>
          <cell r="H915" t="str">
            <v>DISTRIBUIÇÃO</v>
          </cell>
          <cell r="I915" t="str">
            <v>FOOD SERVICE</v>
          </cell>
          <cell r="J915" t="str">
            <v>ALEXANDRO RODRIGUES</v>
          </cell>
          <cell r="K915" t="str">
            <v>ITAMBÉ</v>
          </cell>
          <cell r="L915" t="str">
            <v>RODRIGO</v>
          </cell>
          <cell r="M915" t="str">
            <v>ALEXANDRO</v>
          </cell>
        </row>
        <row r="916">
          <cell r="B916">
            <v>5264858</v>
          </cell>
          <cell r="C916" t="str">
            <v>MARINA DO NASCIMENTO SILVA</v>
          </cell>
          <cell r="D916">
            <v>7001</v>
          </cell>
          <cell r="E916" t="str">
            <v>0749</v>
          </cell>
          <cell r="F916" t="str">
            <v>C5</v>
          </cell>
          <cell r="G916" t="str">
            <v>SP</v>
          </cell>
          <cell r="H916" t="str">
            <v>DISTRIBUIÇÃO</v>
          </cell>
          <cell r="I916" t="str">
            <v>FOOD SERVICE</v>
          </cell>
          <cell r="J916" t="str">
            <v>FLAC 5</v>
          </cell>
          <cell r="K916" t="str">
            <v>LACTALIS</v>
          </cell>
          <cell r="L916" t="str">
            <v>RODRIGO</v>
          </cell>
          <cell r="M916" t="str">
            <v>RAQUEL BARBOSA</v>
          </cell>
        </row>
        <row r="917">
          <cell r="B917">
            <v>5144160</v>
          </cell>
          <cell r="C917" t="str">
            <v>MAROMA IND E COM DE SORVETES LTDA E</v>
          </cell>
          <cell r="D917">
            <v>4001</v>
          </cell>
          <cell r="E917" t="str">
            <v>0423</v>
          </cell>
          <cell r="F917" t="str">
            <v>C5</v>
          </cell>
          <cell r="G917" t="str">
            <v>SC</v>
          </cell>
          <cell r="H917" t="str">
            <v>INGREDIENTS</v>
          </cell>
          <cell r="I917" t="str">
            <v>INGREDIENTS</v>
          </cell>
          <cell r="J917" t="str">
            <v>JOEL ELEOTÉRIO</v>
          </cell>
          <cell r="K917" t="str">
            <v>LACTALIS</v>
          </cell>
          <cell r="L917" t="str">
            <v>MAURICIO</v>
          </cell>
          <cell r="M917" t="str">
            <v>JOEL</v>
          </cell>
        </row>
        <row r="918">
          <cell r="B918">
            <v>5295540</v>
          </cell>
          <cell r="C918" t="str">
            <v>MARQUES E MIRANDA COMERCIAL E D</v>
          </cell>
          <cell r="D918">
            <v>4001</v>
          </cell>
          <cell r="E918" t="str">
            <v>0437</v>
          </cell>
          <cell r="F918" t="str">
            <v>C1</v>
          </cell>
          <cell r="G918" t="str">
            <v>SP</v>
          </cell>
          <cell r="H918" t="str">
            <v>INGREDIENTS</v>
          </cell>
          <cell r="I918" t="str">
            <v>INGREDIENTS</v>
          </cell>
          <cell r="J918" t="str">
            <v>JOEL ELEOTÉRIO</v>
          </cell>
          <cell r="K918" t="str">
            <v>LACTALIS</v>
          </cell>
          <cell r="L918" t="str">
            <v>MAURICIO</v>
          </cell>
          <cell r="M918" t="str">
            <v>JOEL</v>
          </cell>
        </row>
        <row r="919">
          <cell r="B919">
            <v>5291710</v>
          </cell>
          <cell r="C919" t="str">
            <v>MARQUES FABRICACAO E COMERC ALIM LT</v>
          </cell>
          <cell r="D919">
            <v>7001</v>
          </cell>
          <cell r="E919" t="str">
            <v>0749</v>
          </cell>
          <cell r="F919" t="str">
            <v>C5</v>
          </cell>
          <cell r="G919" t="str">
            <v>SP</v>
          </cell>
          <cell r="H919" t="str">
            <v>DISTRIBUIÇÃO</v>
          </cell>
          <cell r="I919" t="str">
            <v>FOOD SERVICE</v>
          </cell>
          <cell r="J919" t="str">
            <v>FLAC 6</v>
          </cell>
          <cell r="K919" t="str">
            <v>LACTALIS</v>
          </cell>
          <cell r="L919" t="str">
            <v>RODRIGO</v>
          </cell>
          <cell r="M919" t="str">
            <v>RAQUEL BARBOSA</v>
          </cell>
        </row>
        <row r="920">
          <cell r="B920">
            <v>5266124</v>
          </cell>
          <cell r="C920" t="str">
            <v>MARSELHESA CAFE LTDA</v>
          </cell>
          <cell r="D920">
            <v>7001</v>
          </cell>
          <cell r="E920" t="str">
            <v>0749</v>
          </cell>
          <cell r="F920" t="str">
            <v>C5</v>
          </cell>
          <cell r="G920" t="str">
            <v>SP</v>
          </cell>
          <cell r="H920" t="str">
            <v>DISTRIBUIÇÃO</v>
          </cell>
          <cell r="I920" t="str">
            <v>FOOD SERVICE</v>
          </cell>
          <cell r="J920" t="str">
            <v>FLAC 2</v>
          </cell>
          <cell r="K920" t="str">
            <v>LACTALIS</v>
          </cell>
          <cell r="L920" t="str">
            <v>RODRIGO</v>
          </cell>
          <cell r="M920" t="str">
            <v>RAQUEL BARBOSA</v>
          </cell>
        </row>
        <row r="921">
          <cell r="B921">
            <v>5174977</v>
          </cell>
          <cell r="C921" t="str">
            <v>MARTINS DA COSTA E CIA LTDA</v>
          </cell>
          <cell r="D921">
            <v>6001</v>
          </cell>
          <cell r="E921" t="str">
            <v>6125</v>
          </cell>
          <cell r="F921" t="str">
            <v>C1</v>
          </cell>
          <cell r="G921" t="str">
            <v>SP</v>
          </cell>
          <cell r="H921" t="str">
            <v>QSR</v>
          </cell>
          <cell r="I921" t="str">
            <v>FOOD SERVICE</v>
          </cell>
          <cell r="J921" t="str">
            <v>ANA MENIQUETE</v>
          </cell>
          <cell r="K921" t="str">
            <v>ITAMBÉ</v>
          </cell>
          <cell r="L921" t="str">
            <v>PEDRO</v>
          </cell>
          <cell r="M921" t="str">
            <v>ANA MENIQUETE</v>
          </cell>
        </row>
        <row r="922">
          <cell r="B922">
            <v>5174977</v>
          </cell>
          <cell r="C922" t="str">
            <v>MARTINS DA COSTA E CIA LTDA</v>
          </cell>
          <cell r="D922">
            <v>7001</v>
          </cell>
          <cell r="E922" t="str">
            <v>0722</v>
          </cell>
          <cell r="F922" t="str">
            <v>C1</v>
          </cell>
          <cell r="G922" t="str">
            <v>SP</v>
          </cell>
          <cell r="H922" t="str">
            <v>QSR</v>
          </cell>
          <cell r="I922" t="str">
            <v>FOOD SERVICE</v>
          </cell>
          <cell r="J922" t="str">
            <v>ANA MENIQUETE</v>
          </cell>
          <cell r="K922" t="str">
            <v>LACTALIS</v>
          </cell>
          <cell r="L922" t="str">
            <v>PEDRO</v>
          </cell>
          <cell r="M922" t="str">
            <v>ANA MENIQUETE</v>
          </cell>
        </row>
        <row r="923">
          <cell r="B923">
            <v>5329377</v>
          </cell>
          <cell r="C923" t="str">
            <v>MARTOCA PADEIRA COMERCIO DE ALIMENT</v>
          </cell>
          <cell r="D923">
            <v>7001</v>
          </cell>
          <cell r="E923" t="str">
            <v>0749</v>
          </cell>
          <cell r="F923" t="str">
            <v>C5</v>
          </cell>
          <cell r="G923" t="str">
            <v>SP</v>
          </cell>
          <cell r="H923" t="str">
            <v>DISTRIBUIÇÃO</v>
          </cell>
          <cell r="I923" t="str">
            <v>FOOD SERVICE</v>
          </cell>
          <cell r="J923" t="str">
            <v>FLAC 2</v>
          </cell>
          <cell r="K923" t="str">
            <v>LACTALIS</v>
          </cell>
          <cell r="L923" t="str">
            <v>RODRIGO</v>
          </cell>
          <cell r="M923" t="str">
            <v>RAQUEL BARBOSA</v>
          </cell>
        </row>
        <row r="924">
          <cell r="B924">
            <v>5261487</v>
          </cell>
          <cell r="C924" t="str">
            <v>MARTS RESTAURANTE E CAFETERIA LTDA</v>
          </cell>
          <cell r="D924">
            <v>7001</v>
          </cell>
          <cell r="E924" t="str">
            <v>0749</v>
          </cell>
          <cell r="F924" t="str">
            <v>C5</v>
          </cell>
          <cell r="G924" t="str">
            <v>SP</v>
          </cell>
          <cell r="H924" t="str">
            <v>DISTRIBUIÇÃO</v>
          </cell>
          <cell r="I924" t="str">
            <v>FOOD SERVICE</v>
          </cell>
          <cell r="J924" t="str">
            <v>FLAC 6</v>
          </cell>
          <cell r="K924" t="str">
            <v>LACTALIS</v>
          </cell>
          <cell r="L924" t="str">
            <v>RODRIGO</v>
          </cell>
          <cell r="M924" t="str">
            <v>RAQUEL BARBOSA</v>
          </cell>
        </row>
        <row r="925">
          <cell r="B925">
            <v>5174117</v>
          </cell>
          <cell r="C925" t="str">
            <v>MASSIMA ALIMENTACAO SA</v>
          </cell>
          <cell r="D925">
            <v>4001</v>
          </cell>
          <cell r="E925" t="str">
            <v>0450</v>
          </cell>
          <cell r="F925" t="str">
            <v>C5</v>
          </cell>
          <cell r="G925" t="str">
            <v>RJ</v>
          </cell>
          <cell r="H925" t="str">
            <v>QSR</v>
          </cell>
          <cell r="I925" t="str">
            <v>FOOD SERVICE</v>
          </cell>
          <cell r="J925" t="str">
            <v>NUTRI</v>
          </cell>
          <cell r="K925" t="str">
            <v>LACTALIS</v>
          </cell>
          <cell r="L925" t="str">
            <v>PEDRO</v>
          </cell>
          <cell r="M925" t="str">
            <v>VAGO QSR</v>
          </cell>
        </row>
        <row r="926">
          <cell r="B926">
            <v>5175227</v>
          </cell>
          <cell r="C926" t="str">
            <v>MASSIMA SOLUCOES EM ALIMENTACAO</v>
          </cell>
          <cell r="D926">
            <v>6001</v>
          </cell>
          <cell r="E926" t="str">
            <v>6125</v>
          </cell>
          <cell r="F926" t="str">
            <v>C1</v>
          </cell>
          <cell r="G926" t="str">
            <v>SP</v>
          </cell>
          <cell r="H926" t="str">
            <v>QSR</v>
          </cell>
          <cell r="I926" t="str">
            <v>FOOD SERVICE</v>
          </cell>
          <cell r="J926" t="str">
            <v>NUTRI</v>
          </cell>
          <cell r="K926" t="str">
            <v>ITAMBÉ</v>
          </cell>
          <cell r="L926" t="str">
            <v>PEDRO</v>
          </cell>
          <cell r="M926" t="str">
            <v>VAGO QSR</v>
          </cell>
        </row>
        <row r="927">
          <cell r="B927">
            <v>5175227</v>
          </cell>
          <cell r="C927" t="str">
            <v>MASSIMA SOLUCOES EM ALIMENTACAO</v>
          </cell>
          <cell r="D927">
            <v>7001</v>
          </cell>
          <cell r="E927" t="str">
            <v>0749</v>
          </cell>
          <cell r="F927" t="str">
            <v>C5</v>
          </cell>
          <cell r="G927" t="str">
            <v>SP</v>
          </cell>
          <cell r="H927" t="str">
            <v>QSR</v>
          </cell>
          <cell r="I927" t="str">
            <v>FOOD SERVICE</v>
          </cell>
          <cell r="J927" t="str">
            <v>NUTRI</v>
          </cell>
          <cell r="K927" t="str">
            <v>LACTALIS</v>
          </cell>
          <cell r="L927" t="str">
            <v>PEDRO</v>
          </cell>
          <cell r="M927" t="str">
            <v>VAGO QSR</v>
          </cell>
        </row>
        <row r="928">
          <cell r="B928">
            <v>5319027</v>
          </cell>
          <cell r="C928" t="str">
            <v>MATHEUS TORRES FELIPPE DE SOUZA 459</v>
          </cell>
          <cell r="D928">
            <v>7001</v>
          </cell>
          <cell r="E928" t="str">
            <v>0749</v>
          </cell>
          <cell r="F928" t="str">
            <v>C5</v>
          </cell>
          <cell r="G928" t="str">
            <v>SP</v>
          </cell>
          <cell r="H928" t="str">
            <v>DISTRIBUIÇÃO</v>
          </cell>
          <cell r="I928" t="str">
            <v>FOOD SERVICE</v>
          </cell>
          <cell r="J928" t="str">
            <v>FLAC 3</v>
          </cell>
          <cell r="K928" t="str">
            <v>LACTALIS</v>
          </cell>
          <cell r="L928" t="str">
            <v>RODRIGO</v>
          </cell>
          <cell r="M928" t="str">
            <v>RAQUEL BARBOSA</v>
          </cell>
        </row>
        <row r="929">
          <cell r="B929">
            <v>5096416</v>
          </cell>
          <cell r="C929" t="str">
            <v>MAURITEX DESCARTAVEIS E TECIDOS EIR</v>
          </cell>
          <cell r="D929">
            <v>3001</v>
          </cell>
          <cell r="E929" t="str">
            <v>0122</v>
          </cell>
          <cell r="F929" t="str">
            <v>C1</v>
          </cell>
          <cell r="G929" t="str">
            <v>MG</v>
          </cell>
          <cell r="H929" t="str">
            <v>DISTRIBUIÇÃO</v>
          </cell>
          <cell r="I929" t="str">
            <v>FOOD SERVICE</v>
          </cell>
          <cell r="J929" t="str">
            <v>MARCELO SILVA</v>
          </cell>
          <cell r="K929" t="str">
            <v>ITAMBÉ</v>
          </cell>
          <cell r="L929" t="str">
            <v>RODRIGO</v>
          </cell>
          <cell r="M929" t="str">
            <v>CELIO MARTINS</v>
          </cell>
        </row>
        <row r="930">
          <cell r="B930">
            <v>5235824</v>
          </cell>
          <cell r="C930" t="str">
            <v>MAURO SIQUEIRA DE MOURA JUNIOR</v>
          </cell>
          <cell r="D930">
            <v>4001</v>
          </cell>
          <cell r="E930" t="str">
            <v>0423</v>
          </cell>
          <cell r="F930" t="str">
            <v>C5</v>
          </cell>
          <cell r="G930" t="str">
            <v>GO</v>
          </cell>
          <cell r="H930" t="str">
            <v>INGREDIENTS</v>
          </cell>
          <cell r="I930" t="str">
            <v>INGREDIENTS</v>
          </cell>
          <cell r="J930" t="str">
            <v>JOEL ELEOTÉRIO</v>
          </cell>
          <cell r="K930" t="str">
            <v>LACTALIS</v>
          </cell>
          <cell r="L930" t="str">
            <v>MAURICIO</v>
          </cell>
          <cell r="M930" t="str">
            <v>JOEL</v>
          </cell>
        </row>
        <row r="931">
          <cell r="B931">
            <v>5160357</v>
          </cell>
          <cell r="C931" t="str">
            <v>MAVSA RESORT CONVENTION SPA EIR</v>
          </cell>
          <cell r="D931">
            <v>6001</v>
          </cell>
          <cell r="E931" t="str">
            <v>6125</v>
          </cell>
          <cell r="F931" t="str">
            <v>C1</v>
          </cell>
          <cell r="G931" t="str">
            <v>SP</v>
          </cell>
          <cell r="H931" t="str">
            <v>DISTRIBUIÇÃO</v>
          </cell>
          <cell r="I931" t="str">
            <v>FOOD SERVICE</v>
          </cell>
          <cell r="J931" t="str">
            <v>ALEXANDRO RODRIGUES</v>
          </cell>
          <cell r="K931" t="str">
            <v>ITAMBÉ</v>
          </cell>
          <cell r="L931" t="str">
            <v>RODRIGO</v>
          </cell>
          <cell r="M931" t="str">
            <v>ALEXANDRO</v>
          </cell>
        </row>
        <row r="932">
          <cell r="B932">
            <v>5248758</v>
          </cell>
          <cell r="C932" t="str">
            <v>MAXI FOOD REFEICOES IND EIRELI</v>
          </cell>
          <cell r="D932">
            <v>7001</v>
          </cell>
          <cell r="E932" t="str">
            <v>0749</v>
          </cell>
          <cell r="F932" t="str">
            <v>C5</v>
          </cell>
          <cell r="G932" t="str">
            <v>SP</v>
          </cell>
          <cell r="H932" t="str">
            <v>DISTRIBUIÇÃO</v>
          </cell>
          <cell r="I932" t="str">
            <v>FOOD SERVICE</v>
          </cell>
          <cell r="J932" t="str">
            <v>FLAC 6</v>
          </cell>
          <cell r="K932" t="str">
            <v>LACTALIS</v>
          </cell>
          <cell r="L932" t="str">
            <v>RODRIGO</v>
          </cell>
          <cell r="M932" t="str">
            <v>RAQUEL BARBOSA</v>
          </cell>
        </row>
        <row r="933">
          <cell r="B933">
            <v>5326437</v>
          </cell>
          <cell r="C933" t="str">
            <v>MAXIMA ADMINISTRACAO DE HOTEIS LTDA</v>
          </cell>
          <cell r="D933">
            <v>7001</v>
          </cell>
          <cell r="E933" t="str">
            <v>0749</v>
          </cell>
          <cell r="F933" t="str">
            <v>C5</v>
          </cell>
          <cell r="G933" t="str">
            <v>SP</v>
          </cell>
          <cell r="H933" t="str">
            <v>DISTRIBUIÇÃO</v>
          </cell>
          <cell r="I933" t="str">
            <v>FOOD SERVICE</v>
          </cell>
          <cell r="J933" t="str">
            <v>FLAC 2</v>
          </cell>
          <cell r="K933" t="str">
            <v>LACTALIS</v>
          </cell>
          <cell r="L933" t="str">
            <v>RODRIGO</v>
          </cell>
          <cell r="M933" t="str">
            <v>RAQUEL BARBOSA</v>
          </cell>
        </row>
        <row r="934">
          <cell r="B934">
            <v>5224563</v>
          </cell>
          <cell r="C934" t="str">
            <v>MC DAVE S INDUSTRIA DE SORVETES</v>
          </cell>
          <cell r="D934">
            <v>3001</v>
          </cell>
          <cell r="E934" t="str">
            <v>0028</v>
          </cell>
          <cell r="F934" t="str">
            <v>C1</v>
          </cell>
          <cell r="G934" t="str">
            <v>AM</v>
          </cell>
          <cell r="H934" t="str">
            <v>INGREDIENTS</v>
          </cell>
          <cell r="I934" t="str">
            <v>INGREDIENTS</v>
          </cell>
          <cell r="J934" t="str">
            <v>AM - DUAS RODAS</v>
          </cell>
          <cell r="K934" t="str">
            <v>ITAMBÉ</v>
          </cell>
          <cell r="L934" t="str">
            <v>MAURICIO</v>
          </cell>
          <cell r="M934" t="str">
            <v>JOEL</v>
          </cell>
        </row>
        <row r="935">
          <cell r="B935">
            <v>5296842</v>
          </cell>
          <cell r="C935" t="str">
            <v>MC RESTAURANTE COM DE ALIM LTDA</v>
          </cell>
          <cell r="D935">
            <v>7001</v>
          </cell>
          <cell r="E935" t="str">
            <v>0749</v>
          </cell>
          <cell r="F935" t="str">
            <v>C5</v>
          </cell>
          <cell r="G935" t="str">
            <v>SP</v>
          </cell>
          <cell r="H935" t="str">
            <v>DISTRIBUIÇÃO</v>
          </cell>
          <cell r="I935" t="str">
            <v>FOOD SERVICE</v>
          </cell>
          <cell r="J935" t="str">
            <v>FLAC 2</v>
          </cell>
          <cell r="K935" t="str">
            <v>LACTALIS</v>
          </cell>
          <cell r="L935" t="str">
            <v>RODRIGO</v>
          </cell>
          <cell r="M935" t="str">
            <v>RAQUEL BARBOSA</v>
          </cell>
        </row>
        <row r="936">
          <cell r="B936">
            <v>5249332</v>
          </cell>
          <cell r="C936" t="str">
            <v>MCO CONFEITARIA EIRELI</v>
          </cell>
          <cell r="D936">
            <v>7001</v>
          </cell>
          <cell r="E936" t="str">
            <v>0749</v>
          </cell>
          <cell r="F936" t="str">
            <v>C5</v>
          </cell>
          <cell r="G936" t="str">
            <v>SP</v>
          </cell>
          <cell r="H936" t="str">
            <v>DISTRIBUIÇÃO</v>
          </cell>
          <cell r="I936" t="str">
            <v>FOOD SERVICE</v>
          </cell>
          <cell r="J936" t="str">
            <v>FLAC 6</v>
          </cell>
          <cell r="K936" t="str">
            <v>LACTALIS</v>
          </cell>
          <cell r="L936" t="str">
            <v>RODRIGO</v>
          </cell>
          <cell r="M936" t="str">
            <v>RAQUEL BARBOSA</v>
          </cell>
        </row>
        <row r="937">
          <cell r="B937">
            <v>5188352</v>
          </cell>
          <cell r="C937" t="str">
            <v>MDIAS BRANCO SA IND E COM DE ALIMEN</v>
          </cell>
          <cell r="D937">
            <v>4001</v>
          </cell>
          <cell r="E937" t="str">
            <v>0423</v>
          </cell>
          <cell r="F937" t="str">
            <v>C5</v>
          </cell>
          <cell r="G937" t="str">
            <v>CE</v>
          </cell>
          <cell r="H937" t="str">
            <v>INGREDIENTS</v>
          </cell>
          <cell r="I937" t="str">
            <v>INGREDIENTS</v>
          </cell>
          <cell r="J937" t="str">
            <v>JOEL ELEOTÉRIO</v>
          </cell>
          <cell r="K937" t="str">
            <v>LACTALIS</v>
          </cell>
          <cell r="L937" t="str">
            <v>MAURICIO</v>
          </cell>
          <cell r="M937" t="str">
            <v>JOEL</v>
          </cell>
        </row>
        <row r="938">
          <cell r="B938">
            <v>5264441</v>
          </cell>
          <cell r="C938" t="str">
            <v>MEC DOCES E BOLOS LTDA ME</v>
          </cell>
          <cell r="D938">
            <v>7001</v>
          </cell>
          <cell r="E938" t="str">
            <v>0749</v>
          </cell>
          <cell r="F938" t="str">
            <v>C5</v>
          </cell>
          <cell r="G938" t="str">
            <v>SP</v>
          </cell>
          <cell r="H938" t="str">
            <v>DISTRIBUIÇÃO</v>
          </cell>
          <cell r="I938" t="str">
            <v>FOOD SERVICE</v>
          </cell>
          <cell r="J938" t="str">
            <v>FLAC 6</v>
          </cell>
          <cell r="K938" t="str">
            <v>LACTALIS</v>
          </cell>
          <cell r="L938" t="str">
            <v>RODRIGO</v>
          </cell>
          <cell r="M938" t="str">
            <v>RAQUEL BARBOSA</v>
          </cell>
        </row>
        <row r="939">
          <cell r="B939">
            <v>5052329</v>
          </cell>
          <cell r="C939" t="str">
            <v>MECANO PACK EMBALAGENS SA</v>
          </cell>
          <cell r="D939">
            <v>7001</v>
          </cell>
          <cell r="E939" t="str">
            <v>0749</v>
          </cell>
          <cell r="F939" t="str">
            <v>C5</v>
          </cell>
          <cell r="G939" t="str">
            <v>SP</v>
          </cell>
          <cell r="H939" t="str">
            <v>DISTRIBUIÇÃO</v>
          </cell>
          <cell r="I939" t="str">
            <v>FOOD SERVICE</v>
          </cell>
          <cell r="J939" t="str">
            <v>FLAC 1</v>
          </cell>
          <cell r="K939" t="str">
            <v>LACTALIS</v>
          </cell>
          <cell r="L939" t="str">
            <v>RODRIGO</v>
          </cell>
          <cell r="M939" t="str">
            <v>RAQUEL BARBOSA</v>
          </cell>
        </row>
        <row r="940">
          <cell r="B940">
            <v>5042001</v>
          </cell>
          <cell r="C940" t="str">
            <v>MEGA PAN DISTRIBUIDORA ALIMENTI</v>
          </cell>
          <cell r="D940">
            <v>3001</v>
          </cell>
          <cell r="E940" t="str">
            <v>0169</v>
          </cell>
          <cell r="F940" t="str">
            <v>C1</v>
          </cell>
          <cell r="G940" t="str">
            <v>ES</v>
          </cell>
          <cell r="H940" t="str">
            <v>DISTRIBUIÇÃO</v>
          </cell>
          <cell r="I940" t="str">
            <v>FOOD SERVICE</v>
          </cell>
          <cell r="J940" t="str">
            <v>MARCELO DUARTE</v>
          </cell>
          <cell r="K940" t="str">
            <v>ITAMBÉ</v>
          </cell>
          <cell r="L940" t="str">
            <v>RODRIGO</v>
          </cell>
          <cell r="M940" t="str">
            <v>JESSICA</v>
          </cell>
        </row>
        <row r="941">
          <cell r="B941">
            <v>5213747</v>
          </cell>
          <cell r="C941" t="str">
            <v>MEGGA MANIA SORVETES</v>
          </cell>
          <cell r="D941">
            <v>6001</v>
          </cell>
          <cell r="E941" t="str">
            <v>6125</v>
          </cell>
          <cell r="F941" t="str">
            <v>C1</v>
          </cell>
          <cell r="G941" t="str">
            <v>SP</v>
          </cell>
          <cell r="H941" t="str">
            <v>INGREDIENTS</v>
          </cell>
          <cell r="I941" t="str">
            <v>INGREDIENTS</v>
          </cell>
          <cell r="J941" t="str">
            <v>SP ITB FS IKM REPRESENTACOES</v>
          </cell>
          <cell r="K941" t="str">
            <v>ITAMBÉ</v>
          </cell>
          <cell r="L941" t="str">
            <v>MAURICIO</v>
          </cell>
          <cell r="M941" t="str">
            <v>TATIANA NITTA</v>
          </cell>
        </row>
        <row r="942">
          <cell r="B942">
            <v>5168997</v>
          </cell>
          <cell r="C942" t="str">
            <v>MEIRE ELOISE TREVISAN SIQUEIRA</v>
          </cell>
          <cell r="D942">
            <v>7001</v>
          </cell>
          <cell r="E942" t="str">
            <v>0749</v>
          </cell>
          <cell r="F942" t="str">
            <v>C5</v>
          </cell>
          <cell r="G942" t="str">
            <v>SP</v>
          </cell>
          <cell r="H942" t="str">
            <v>DISTRIBUIÇÃO</v>
          </cell>
          <cell r="I942" t="str">
            <v>FOOD SERVICE</v>
          </cell>
          <cell r="J942" t="str">
            <v>FLAC 6</v>
          </cell>
          <cell r="K942" t="str">
            <v>LACTALIS</v>
          </cell>
          <cell r="L942" t="str">
            <v>RODRIGO</v>
          </cell>
          <cell r="M942" t="str">
            <v>RAQUEL BARBOSA</v>
          </cell>
        </row>
        <row r="943">
          <cell r="B943">
            <v>5220002</v>
          </cell>
          <cell r="C943" t="str">
            <v>MEIRE F P LOURENCO ME</v>
          </cell>
          <cell r="D943">
            <v>3001</v>
          </cell>
          <cell r="E943" t="str">
            <v>0126</v>
          </cell>
          <cell r="F943" t="str">
            <v>C1</v>
          </cell>
          <cell r="G943" t="str">
            <v>PR</v>
          </cell>
          <cell r="H943" t="str">
            <v>DISTRIBUIÇÃO</v>
          </cell>
          <cell r="I943" t="str">
            <v>FOOD SERVICE</v>
          </cell>
          <cell r="J943" t="str">
            <v>ANGELICA BATISTELA</v>
          </cell>
          <cell r="K943" t="str">
            <v>ITAMBÉ</v>
          </cell>
          <cell r="L943" t="str">
            <v>RODRIGO</v>
          </cell>
          <cell r="M943" t="str">
            <v>ANGELICA BATISTELA</v>
          </cell>
        </row>
        <row r="944">
          <cell r="B944">
            <v>5261759</v>
          </cell>
          <cell r="C944" t="str">
            <v>MEJI ASSISTENCIA MEDICA LTDA</v>
          </cell>
          <cell r="D944">
            <v>7001</v>
          </cell>
          <cell r="E944" t="str">
            <v>0749</v>
          </cell>
          <cell r="F944" t="str">
            <v>C5</v>
          </cell>
          <cell r="G944" t="str">
            <v>SP</v>
          </cell>
          <cell r="H944" t="str">
            <v>DISTRIBUIÇÃO</v>
          </cell>
          <cell r="I944" t="str">
            <v>FOOD SERVICE</v>
          </cell>
          <cell r="J944" t="str">
            <v>FLAC 6</v>
          </cell>
          <cell r="K944" t="str">
            <v>LACTALIS</v>
          </cell>
          <cell r="L944" t="str">
            <v>RODRIGO</v>
          </cell>
          <cell r="M944" t="str">
            <v>RAQUEL BARBOSA</v>
          </cell>
        </row>
        <row r="945">
          <cell r="B945">
            <v>5282647</v>
          </cell>
          <cell r="C945" t="str">
            <v>MELIA ADM HOTELEIRA E COMERCIAL LTD</v>
          </cell>
          <cell r="D945">
            <v>7001</v>
          </cell>
          <cell r="E945" t="str">
            <v>0749</v>
          </cell>
          <cell r="F945" t="str">
            <v>C5</v>
          </cell>
          <cell r="G945" t="str">
            <v>SP</v>
          </cell>
          <cell r="H945" t="str">
            <v>DISTRIBUIÇÃO</v>
          </cell>
          <cell r="I945" t="str">
            <v>FOOD SERVICE</v>
          </cell>
          <cell r="J945" t="str">
            <v>FLAC 2</v>
          </cell>
          <cell r="K945" t="str">
            <v>LACTALIS</v>
          </cell>
          <cell r="L945" t="str">
            <v>RODRIGO</v>
          </cell>
          <cell r="M945" t="str">
            <v>RAQUEL BARBOSA</v>
          </cell>
        </row>
        <row r="946">
          <cell r="B946">
            <v>5280106</v>
          </cell>
          <cell r="C946" t="str">
            <v>MELIA BRASIL ADM HOT E COM LTDA</v>
          </cell>
          <cell r="D946">
            <v>7001</v>
          </cell>
          <cell r="E946" t="str">
            <v>0749</v>
          </cell>
          <cell r="F946" t="str">
            <v>C5</v>
          </cell>
          <cell r="G946" t="str">
            <v>SP</v>
          </cell>
          <cell r="H946" t="str">
            <v>DISTRIBUIÇÃO</v>
          </cell>
          <cell r="I946" t="str">
            <v>FOOD SERVICE</v>
          </cell>
          <cell r="J946" t="str">
            <v>FLAC 6</v>
          </cell>
          <cell r="K946" t="str">
            <v>LACTALIS</v>
          </cell>
          <cell r="L946" t="str">
            <v>RODRIGO</v>
          </cell>
          <cell r="M946" t="str">
            <v>RAQUEL BARBOSA</v>
          </cell>
        </row>
        <row r="947">
          <cell r="B947">
            <v>5279547</v>
          </cell>
          <cell r="C947" t="str">
            <v>MELIA BRASIL ADM HOTEL COML LTDA</v>
          </cell>
          <cell r="D947">
            <v>7001</v>
          </cell>
          <cell r="E947" t="str">
            <v>0749</v>
          </cell>
          <cell r="F947" t="str">
            <v>C5</v>
          </cell>
          <cell r="G947" t="str">
            <v>SP</v>
          </cell>
          <cell r="H947" t="str">
            <v>DISTRIBUIÇÃO</v>
          </cell>
          <cell r="I947" t="str">
            <v>FOOD SERVICE</v>
          </cell>
          <cell r="J947" t="str">
            <v>FLAC 2</v>
          </cell>
          <cell r="K947" t="str">
            <v>LACTALIS</v>
          </cell>
          <cell r="L947" t="str">
            <v>RODRIGO</v>
          </cell>
          <cell r="M947" t="str">
            <v>RAQUEL BARBOSA</v>
          </cell>
        </row>
        <row r="948">
          <cell r="B948">
            <v>5227109</v>
          </cell>
          <cell r="C948" t="str">
            <v>MELIA BRASIL ADM HOTELARIA C LTDA</v>
          </cell>
          <cell r="D948">
            <v>7001</v>
          </cell>
          <cell r="E948" t="str">
            <v>0749</v>
          </cell>
          <cell r="F948" t="str">
            <v>C5</v>
          </cell>
          <cell r="G948" t="str">
            <v>SP</v>
          </cell>
          <cell r="H948" t="str">
            <v>DISTRIBUIÇÃO</v>
          </cell>
          <cell r="I948" t="str">
            <v>FOOD SERVICE</v>
          </cell>
          <cell r="J948" t="str">
            <v>FLAC 6</v>
          </cell>
          <cell r="K948" t="str">
            <v>LACTALIS</v>
          </cell>
          <cell r="L948" t="str">
            <v>RODRIGO</v>
          </cell>
          <cell r="M948" t="str">
            <v>RAQUEL BARBOSA</v>
          </cell>
        </row>
        <row r="949">
          <cell r="B949">
            <v>5282908</v>
          </cell>
          <cell r="C949" t="str">
            <v>MELIA BRASIL ADM HOTELEIRA E COML L</v>
          </cell>
          <cell r="D949">
            <v>7001</v>
          </cell>
          <cell r="E949" t="str">
            <v>0749</v>
          </cell>
          <cell r="F949" t="str">
            <v>C5</v>
          </cell>
          <cell r="G949" t="str">
            <v>SP</v>
          </cell>
          <cell r="H949" t="str">
            <v>DISTRIBUIÇÃO</v>
          </cell>
          <cell r="I949" t="str">
            <v>FOOD SERVICE</v>
          </cell>
          <cell r="J949" t="str">
            <v>FLAC 2</v>
          </cell>
          <cell r="K949" t="str">
            <v>LACTALIS</v>
          </cell>
          <cell r="L949" t="str">
            <v>RODRIGO</v>
          </cell>
          <cell r="M949" t="str">
            <v>RAQUEL BARBOSA</v>
          </cell>
        </row>
        <row r="950">
          <cell r="B950">
            <v>5180079</v>
          </cell>
          <cell r="C950" t="str">
            <v>MELIA BRASIL ADMIN HOTELEIRA E COML</v>
          </cell>
          <cell r="D950">
            <v>7001</v>
          </cell>
          <cell r="E950" t="str">
            <v>0749</v>
          </cell>
          <cell r="F950" t="str">
            <v>C5</v>
          </cell>
          <cell r="G950" t="str">
            <v>SP</v>
          </cell>
          <cell r="H950" t="str">
            <v>DISTRIBUIÇÃO</v>
          </cell>
          <cell r="I950" t="str">
            <v>FOOD SERVICE</v>
          </cell>
          <cell r="J950" t="str">
            <v>FLAC 2</v>
          </cell>
          <cell r="K950" t="str">
            <v>LACTALIS</v>
          </cell>
          <cell r="L950" t="str">
            <v>RODRIGO</v>
          </cell>
          <cell r="M950" t="str">
            <v>RAQUEL BARBOSA</v>
          </cell>
        </row>
        <row r="951">
          <cell r="B951">
            <v>5286165</v>
          </cell>
          <cell r="C951" t="str">
            <v>MELIA BRASIL ADMINISTR HOTELEIRA C</v>
          </cell>
          <cell r="D951">
            <v>7001</v>
          </cell>
          <cell r="E951" t="str">
            <v>0749</v>
          </cell>
          <cell r="F951" t="str">
            <v>C5</v>
          </cell>
          <cell r="G951" t="str">
            <v>SP</v>
          </cell>
          <cell r="H951" t="str">
            <v>DISTRIBUIÇÃO</v>
          </cell>
          <cell r="I951" t="str">
            <v>FOOD SERVICE</v>
          </cell>
          <cell r="J951" t="str">
            <v>FLAC 2</v>
          </cell>
          <cell r="K951" t="str">
            <v>LACTALIS</v>
          </cell>
          <cell r="L951" t="str">
            <v>RODRIGO</v>
          </cell>
          <cell r="M951" t="str">
            <v>RAQUEL BARBOSA</v>
          </cell>
        </row>
        <row r="952">
          <cell r="B952">
            <v>5253475</v>
          </cell>
          <cell r="C952" t="str">
            <v>MENDES E FERRARINI IND DE BEBIDAS L</v>
          </cell>
          <cell r="D952">
            <v>7001</v>
          </cell>
          <cell r="E952" t="str">
            <v>0749</v>
          </cell>
          <cell r="F952" t="str">
            <v>C5</v>
          </cell>
          <cell r="G952" t="str">
            <v>SP</v>
          </cell>
          <cell r="H952" t="str">
            <v>DISTRIBUIÇÃO</v>
          </cell>
          <cell r="I952" t="str">
            <v>FOOD SERVICE</v>
          </cell>
          <cell r="J952" t="str">
            <v>FLAC 3</v>
          </cell>
          <cell r="K952" t="str">
            <v>LACTALIS</v>
          </cell>
          <cell r="L952" t="str">
            <v>RODRIGO</v>
          </cell>
          <cell r="M952" t="str">
            <v>RAQUEL BARBOSA</v>
          </cell>
        </row>
        <row r="953">
          <cell r="B953">
            <v>5185743</v>
          </cell>
          <cell r="C953" t="str">
            <v>MEQSO FRANGO COM DE PROD ALIM L</v>
          </cell>
          <cell r="D953">
            <v>7001</v>
          </cell>
          <cell r="E953" t="str">
            <v>0722</v>
          </cell>
          <cell r="F953" t="str">
            <v>C1</v>
          </cell>
          <cell r="G953" t="str">
            <v>SP</v>
          </cell>
          <cell r="H953" t="str">
            <v>DISTRIBUIÇÃO</v>
          </cell>
          <cell r="I953" t="str">
            <v>FOOD SERVICE</v>
          </cell>
          <cell r="J953" t="str">
            <v>VAGO SP</v>
          </cell>
          <cell r="K953" t="str">
            <v>LACTALIS</v>
          </cell>
          <cell r="L953" t="str">
            <v>RODRIGO</v>
          </cell>
          <cell r="M953" t="str">
            <v>RAQUEL BARBOSA</v>
          </cell>
        </row>
        <row r="954">
          <cell r="B954">
            <v>5117795</v>
          </cell>
          <cell r="C954" t="str">
            <v>MERCANTIL SANTA PAULA LTDA</v>
          </cell>
          <cell r="D954">
            <v>7001</v>
          </cell>
          <cell r="E954" t="str">
            <v>0749</v>
          </cell>
          <cell r="F954" t="str">
            <v>C5</v>
          </cell>
          <cell r="G954" t="str">
            <v>SP</v>
          </cell>
          <cell r="H954" t="str">
            <v>DISTRIBUIÇÃO</v>
          </cell>
          <cell r="I954" t="str">
            <v>FOOD SERVICE</v>
          </cell>
          <cell r="J954" t="str">
            <v>FLAC 1</v>
          </cell>
          <cell r="K954" t="str">
            <v>LACTALIS</v>
          </cell>
          <cell r="L954" t="str">
            <v>RODRIGO</v>
          </cell>
          <cell r="M954" t="str">
            <v>RAQUEL BARBOSA</v>
          </cell>
        </row>
        <row r="955">
          <cell r="B955">
            <v>5006835</v>
          </cell>
          <cell r="C955" t="str">
            <v>MERPAN COMERCIAL LTDA</v>
          </cell>
          <cell r="D955">
            <v>3001</v>
          </cell>
          <cell r="E955" t="str">
            <v>0122</v>
          </cell>
          <cell r="F955" t="str">
            <v>C1</v>
          </cell>
          <cell r="G955" t="str">
            <v>MG</v>
          </cell>
          <cell r="H955" t="str">
            <v>DISTRIBUIÇÃO</v>
          </cell>
          <cell r="I955" t="str">
            <v>FOOD SERVICE</v>
          </cell>
          <cell r="J955" t="str">
            <v>MARCELO SILVA</v>
          </cell>
          <cell r="K955" t="str">
            <v>ITAMBÉ</v>
          </cell>
          <cell r="L955" t="str">
            <v>RODRIGO</v>
          </cell>
          <cell r="M955" t="str">
            <v>CELIO MARTINS</v>
          </cell>
        </row>
        <row r="956">
          <cell r="B956">
            <v>5337882</v>
          </cell>
          <cell r="C956" t="str">
            <v>MH CAFETERIA E SERV DE ALIMENTO</v>
          </cell>
          <cell r="D956">
            <v>7001</v>
          </cell>
          <cell r="E956" t="str">
            <v>0749</v>
          </cell>
          <cell r="F956" t="str">
            <v>C5</v>
          </cell>
          <cell r="G956" t="str">
            <v>SP</v>
          </cell>
          <cell r="H956" t="str">
            <v>DISTRIBUIÇÃO</v>
          </cell>
          <cell r="I956" t="str">
            <v>FOOD SERVICE</v>
          </cell>
          <cell r="J956" t="str">
            <v>FLAC 2</v>
          </cell>
          <cell r="K956" t="str">
            <v>LACTALIS</v>
          </cell>
          <cell r="L956" t="str">
            <v>RODRIGO</v>
          </cell>
          <cell r="M956" t="str">
            <v>RAQUEL BARBOSA</v>
          </cell>
        </row>
        <row r="957">
          <cell r="B957">
            <v>5337884</v>
          </cell>
          <cell r="C957" t="str">
            <v>MICAFE CAF E SERV DE ALIMENTOS</v>
          </cell>
          <cell r="D957">
            <v>7001</v>
          </cell>
          <cell r="E957" t="str">
            <v>0749</v>
          </cell>
          <cell r="F957" t="str">
            <v>C5</v>
          </cell>
          <cell r="G957" t="str">
            <v>SP</v>
          </cell>
          <cell r="H957" t="str">
            <v>DISTRIBUIÇÃO</v>
          </cell>
          <cell r="I957" t="str">
            <v>FOOD SERVICE</v>
          </cell>
          <cell r="J957" t="str">
            <v>FLAC 3</v>
          </cell>
          <cell r="K957" t="str">
            <v>LACTALIS</v>
          </cell>
          <cell r="L957" t="str">
            <v>RODRIGO</v>
          </cell>
          <cell r="M957" t="str">
            <v>RAQUEL BARBOSA</v>
          </cell>
        </row>
        <row r="958">
          <cell r="B958">
            <v>5224043</v>
          </cell>
          <cell r="C958" t="str">
            <v>MILANO COM VAREJ DE ALIMENTOS S</v>
          </cell>
          <cell r="D958">
            <v>3001</v>
          </cell>
          <cell r="E958" t="str">
            <v>0122</v>
          </cell>
          <cell r="F958" t="str">
            <v>C1</v>
          </cell>
          <cell r="G958" t="str">
            <v>MG</v>
          </cell>
          <cell r="H958" t="str">
            <v>QSR</v>
          </cell>
          <cell r="I958" t="str">
            <v>FOOD SERVICE</v>
          </cell>
          <cell r="J958" t="str">
            <v>ANA MENIQUETE</v>
          </cell>
          <cell r="K958" t="str">
            <v>ITAMBÉ</v>
          </cell>
          <cell r="L958" t="str">
            <v>PEDRO</v>
          </cell>
          <cell r="M958" t="str">
            <v>ANA MENIQUETE</v>
          </cell>
        </row>
        <row r="959">
          <cell r="B959">
            <v>5190692</v>
          </cell>
          <cell r="C959" t="str">
            <v>MILANO COMERCIO VAREJISTA DE ALIM S</v>
          </cell>
          <cell r="D959">
            <v>6001</v>
          </cell>
          <cell r="E959" t="str">
            <v>6125</v>
          </cell>
          <cell r="F959" t="str">
            <v>C1</v>
          </cell>
          <cell r="G959" t="str">
            <v>SP</v>
          </cell>
          <cell r="H959" t="str">
            <v>QSR</v>
          </cell>
          <cell r="I959" t="str">
            <v>FOOD SERVICE</v>
          </cell>
          <cell r="J959" t="str">
            <v>ANA MENIQUETE</v>
          </cell>
          <cell r="K959" t="str">
            <v>ITAMBÉ</v>
          </cell>
          <cell r="L959" t="str">
            <v>PEDRO</v>
          </cell>
          <cell r="M959" t="str">
            <v>ANA MENIQUETE</v>
          </cell>
        </row>
        <row r="960">
          <cell r="B960">
            <v>5190692</v>
          </cell>
          <cell r="C960" t="str">
            <v>MILANO COMERCIO VAREJISTA DE ALIM S</v>
          </cell>
          <cell r="D960">
            <v>7001</v>
          </cell>
          <cell r="E960" t="str">
            <v>0722</v>
          </cell>
          <cell r="F960" t="str">
            <v>C1</v>
          </cell>
          <cell r="G960" t="str">
            <v>SP</v>
          </cell>
          <cell r="H960" t="str">
            <v>QSR</v>
          </cell>
          <cell r="I960" t="str">
            <v>FOOD SERVICE</v>
          </cell>
          <cell r="J960" t="str">
            <v>ANA MENIQUETE</v>
          </cell>
          <cell r="K960" t="str">
            <v>LACTALIS</v>
          </cell>
          <cell r="L960" t="str">
            <v>PEDRO</v>
          </cell>
          <cell r="M960" t="str">
            <v>ANA MENIQUETE</v>
          </cell>
        </row>
        <row r="961">
          <cell r="B961">
            <v>5336828</v>
          </cell>
          <cell r="C961" t="str">
            <v>MILANO COMERCIO VAREJISTA DE ALIM SA</v>
          </cell>
          <cell r="D961">
            <v>6001</v>
          </cell>
          <cell r="E961" t="str">
            <v>6125</v>
          </cell>
          <cell r="F961" t="str">
            <v>C1</v>
          </cell>
          <cell r="G961" t="str">
            <v>SP</v>
          </cell>
          <cell r="H961" t="str">
            <v>QSR</v>
          </cell>
          <cell r="I961" t="str">
            <v>FOOD SERVICE</v>
          </cell>
          <cell r="J961" t="str">
            <v>ANA MENIQUETE</v>
          </cell>
          <cell r="K961" t="str">
            <v>ITAMBÉ</v>
          </cell>
          <cell r="L961" t="str">
            <v>PEDRO</v>
          </cell>
          <cell r="M961" t="str">
            <v>ANA MENIQUETE</v>
          </cell>
        </row>
        <row r="962">
          <cell r="B962">
            <v>5336828</v>
          </cell>
          <cell r="C962" t="str">
            <v>MILANO COMERCIO VAREJISTA DE ALIM SA</v>
          </cell>
          <cell r="D962">
            <v>7001</v>
          </cell>
          <cell r="E962" t="str">
            <v>0722</v>
          </cell>
          <cell r="F962" t="str">
            <v>C1</v>
          </cell>
          <cell r="G962" t="str">
            <v>SP</v>
          </cell>
          <cell r="H962" t="str">
            <v>QSR</v>
          </cell>
          <cell r="I962" t="str">
            <v>FOOD SERVICE</v>
          </cell>
          <cell r="J962" t="str">
            <v>ANA MENIQUETE</v>
          </cell>
          <cell r="K962" t="str">
            <v>LACTALIS</v>
          </cell>
          <cell r="L962" t="str">
            <v>PEDRO</v>
          </cell>
          <cell r="M962" t="str">
            <v>ANA MENIQUETE</v>
          </cell>
        </row>
        <row r="963">
          <cell r="B963">
            <v>5164138</v>
          </cell>
          <cell r="C963" t="str">
            <v>MILFRIOS DISTR DE PROD ALIM LTDA</v>
          </cell>
          <cell r="D963">
            <v>3001</v>
          </cell>
          <cell r="E963" t="str">
            <v>0127</v>
          </cell>
          <cell r="F963" t="str">
            <v>C1</v>
          </cell>
          <cell r="G963" t="str">
            <v>CE</v>
          </cell>
          <cell r="H963" t="str">
            <v>DISTRIBUIÇÃO</v>
          </cell>
          <cell r="I963" t="str">
            <v>FOOD SERVICE</v>
          </cell>
          <cell r="J963" t="str">
            <v>WH FOOD SERVICE CE</v>
          </cell>
          <cell r="K963" t="str">
            <v>ITAMBÉ</v>
          </cell>
          <cell r="L963" t="str">
            <v>RODRIGO</v>
          </cell>
          <cell r="M963" t="str">
            <v>MARIA LOURDES</v>
          </cell>
        </row>
        <row r="964">
          <cell r="B964">
            <v>5338829</v>
          </cell>
          <cell r="C964" t="str">
            <v>MINIMALISTA PAO ARTESANAL LTDA</v>
          </cell>
          <cell r="D964">
            <v>7001</v>
          </cell>
          <cell r="E964" t="str">
            <v>0749</v>
          </cell>
          <cell r="F964" t="str">
            <v>C5</v>
          </cell>
          <cell r="G964" t="str">
            <v>SP</v>
          </cell>
          <cell r="H964" t="str">
            <v>DISTRIBUIÇÃO</v>
          </cell>
          <cell r="I964" t="str">
            <v>FOOD SERVICE</v>
          </cell>
          <cell r="J964" t="str">
            <v>FLAC 2</v>
          </cell>
          <cell r="K964" t="str">
            <v>LACTALIS</v>
          </cell>
          <cell r="L964" t="str">
            <v>RODRIGO</v>
          </cell>
          <cell r="M964" t="str">
            <v>RAQUEL BARBOSA</v>
          </cell>
        </row>
        <row r="965">
          <cell r="B965">
            <v>5212418</v>
          </cell>
          <cell r="C965" t="str">
            <v>MIRI PADARIA E CONFEITARIA LTDA</v>
          </cell>
          <cell r="D965">
            <v>3001</v>
          </cell>
          <cell r="E965" t="str">
            <v>0127</v>
          </cell>
          <cell r="F965" t="str">
            <v>C1</v>
          </cell>
          <cell r="G965" t="str">
            <v>BA</v>
          </cell>
          <cell r="H965" t="str">
            <v>DISTRIBUIÇÃO</v>
          </cell>
          <cell r="I965" t="str">
            <v>FOOD SERVICE</v>
          </cell>
          <cell r="J965" t="str">
            <v>CLAUDIO JORGE/LUIZ</v>
          </cell>
          <cell r="K965" t="str">
            <v>ITAMBÉ</v>
          </cell>
          <cell r="L965" t="str">
            <v>RODRIGO</v>
          </cell>
          <cell r="M965" t="str">
            <v>MARIA LOURDES</v>
          </cell>
        </row>
        <row r="966">
          <cell r="B966">
            <v>5190033</v>
          </cell>
          <cell r="C966" t="str">
            <v>MISTER SHAKE COM SORVETES E EQU</v>
          </cell>
          <cell r="D966">
            <v>3001</v>
          </cell>
          <cell r="E966" t="str">
            <v>0122</v>
          </cell>
          <cell r="F966" t="str">
            <v>C1</v>
          </cell>
          <cell r="G966" t="str">
            <v>MG</v>
          </cell>
          <cell r="H966" t="str">
            <v>INGREDIENTS</v>
          </cell>
          <cell r="I966" t="str">
            <v>INGREDIENTS</v>
          </cell>
          <cell r="J966" t="str">
            <v>HENRIQUE FERREIRA</v>
          </cell>
          <cell r="K966" t="str">
            <v>ITAMBÉ</v>
          </cell>
          <cell r="L966" t="str">
            <v>MAURICIO</v>
          </cell>
          <cell r="M966" t="str">
            <v>JOEL</v>
          </cell>
        </row>
        <row r="967">
          <cell r="B967">
            <v>5208028</v>
          </cell>
          <cell r="C967" t="str">
            <v>MISTUREX COMERCIO ATACA DE ALIMENT</v>
          </cell>
          <cell r="D967">
            <v>3001</v>
          </cell>
          <cell r="E967" t="str">
            <v>0169</v>
          </cell>
          <cell r="F967" t="str">
            <v>C1</v>
          </cell>
          <cell r="G967" t="str">
            <v>ES</v>
          </cell>
          <cell r="H967" t="str">
            <v>INGREDIENTS</v>
          </cell>
          <cell r="I967" t="str">
            <v>INGREDIENTS</v>
          </cell>
          <cell r="J967" t="str">
            <v>TATIANA NITTA</v>
          </cell>
          <cell r="K967" t="str">
            <v>ITAMBÉ</v>
          </cell>
          <cell r="L967" t="str">
            <v>MAURICIO</v>
          </cell>
          <cell r="M967" t="str">
            <v>TATIANA NITTA</v>
          </cell>
        </row>
        <row r="968">
          <cell r="B968">
            <v>5181104</v>
          </cell>
          <cell r="C968" t="str">
            <v>MIX TUDO COM ALIMENTOS E SERVICOS L</v>
          </cell>
          <cell r="D968">
            <v>3001</v>
          </cell>
          <cell r="E968" t="str">
            <v>0169</v>
          </cell>
          <cell r="F968" t="str">
            <v>C1</v>
          </cell>
          <cell r="G968" t="str">
            <v>ES</v>
          </cell>
          <cell r="H968" t="str">
            <v>DISTRIBUIÇÃO</v>
          </cell>
          <cell r="I968" t="str">
            <v>FOOD SERVICE</v>
          </cell>
          <cell r="J968" t="str">
            <v>MARCELO DUARTE</v>
          </cell>
          <cell r="K968" t="str">
            <v>ITAMBÉ</v>
          </cell>
          <cell r="L968" t="str">
            <v>RODRIGO</v>
          </cell>
          <cell r="M968" t="str">
            <v>JESSICA</v>
          </cell>
        </row>
        <row r="969">
          <cell r="B969">
            <v>5174259</v>
          </cell>
          <cell r="C969" t="str">
            <v>MIX TUDO COMERCIO E SERVICOS EI</v>
          </cell>
          <cell r="D969">
            <v>3001</v>
          </cell>
          <cell r="E969" t="str">
            <v>0169</v>
          </cell>
          <cell r="F969" t="str">
            <v>C1</v>
          </cell>
          <cell r="G969" t="str">
            <v>ES</v>
          </cell>
          <cell r="H969" t="str">
            <v>DISTRIBUIÇÃO</v>
          </cell>
          <cell r="I969" t="str">
            <v>FOOD SERVICE</v>
          </cell>
          <cell r="J969" t="str">
            <v>MARCELO DUARTE</v>
          </cell>
          <cell r="K969" t="str">
            <v>ITAMBÉ</v>
          </cell>
          <cell r="L969" t="str">
            <v>RODRIGO</v>
          </cell>
          <cell r="M969" t="str">
            <v>JESSICA</v>
          </cell>
        </row>
        <row r="970">
          <cell r="B970">
            <v>5120279</v>
          </cell>
          <cell r="C970" t="str">
            <v>MIXPAN INDUSTRIA E COMERCIO LTDA</v>
          </cell>
          <cell r="D970">
            <v>3001</v>
          </cell>
          <cell r="E970" t="str">
            <v>0122</v>
          </cell>
          <cell r="F970" t="str">
            <v>C1</v>
          </cell>
          <cell r="G970" t="str">
            <v>MG</v>
          </cell>
          <cell r="H970" t="str">
            <v>DISTRIBUIÇÃO</v>
          </cell>
          <cell r="I970" t="str">
            <v>FOOD SERVICE</v>
          </cell>
          <cell r="J970" t="str">
            <v>MARCELO SILVA</v>
          </cell>
          <cell r="K970" t="str">
            <v>ITAMBÉ</v>
          </cell>
          <cell r="L970" t="str">
            <v>RODRIGO</v>
          </cell>
          <cell r="M970" t="str">
            <v>CELIO MARTINS</v>
          </cell>
        </row>
        <row r="971">
          <cell r="B971">
            <v>5330552</v>
          </cell>
          <cell r="C971" t="str">
            <v>ML FLAVORS COMERCIO</v>
          </cell>
          <cell r="D971">
            <v>3001</v>
          </cell>
          <cell r="E971" t="str">
            <v>0028</v>
          </cell>
          <cell r="F971" t="str">
            <v>C1</v>
          </cell>
          <cell r="G971" t="str">
            <v>BA</v>
          </cell>
          <cell r="H971" t="str">
            <v>INGREDIENTS</v>
          </cell>
          <cell r="I971" t="str">
            <v>INGREDIENTS</v>
          </cell>
          <cell r="J971" t="str">
            <v>BA ITB FS ML FLAVORS</v>
          </cell>
          <cell r="K971" t="str">
            <v>ITAMBÉ</v>
          </cell>
          <cell r="L971" t="str">
            <v>MAURICIO</v>
          </cell>
          <cell r="M971" t="str">
            <v>JOEL</v>
          </cell>
        </row>
        <row r="972">
          <cell r="B972">
            <v>5330552</v>
          </cell>
          <cell r="C972" t="str">
            <v>ML FLAVORS COMERCIO</v>
          </cell>
          <cell r="D972">
            <v>3001</v>
          </cell>
          <cell r="E972" t="str">
            <v>0127</v>
          </cell>
          <cell r="F972" t="str">
            <v>C1</v>
          </cell>
          <cell r="G972" t="str">
            <v>BA</v>
          </cell>
          <cell r="H972" t="str">
            <v>INGREDIENTS</v>
          </cell>
          <cell r="I972" t="str">
            <v>INGREDIENTS</v>
          </cell>
          <cell r="J972" t="str">
            <v>BA ITB FS ML FLAVORS</v>
          </cell>
          <cell r="K972" t="str">
            <v>ITAMBÉ</v>
          </cell>
          <cell r="L972" t="str">
            <v>MAURICIO</v>
          </cell>
          <cell r="M972" t="str">
            <v>JOEL</v>
          </cell>
        </row>
        <row r="973">
          <cell r="B973">
            <v>5011058</v>
          </cell>
          <cell r="C973" t="str">
            <v>MOINHO GLOBO ALIMENTOS SA</v>
          </cell>
          <cell r="D973">
            <v>4001</v>
          </cell>
          <cell r="E973" t="str">
            <v>0455</v>
          </cell>
          <cell r="F973" t="str">
            <v>C1</v>
          </cell>
          <cell r="G973" t="str">
            <v>PR</v>
          </cell>
          <cell r="H973" t="str">
            <v>INGREDIENTS</v>
          </cell>
          <cell r="I973" t="str">
            <v>INGREDIENTS</v>
          </cell>
          <cell r="J973" t="str">
            <v>MARCELO RODRIGUES</v>
          </cell>
          <cell r="K973" t="str">
            <v>LACTALIS</v>
          </cell>
          <cell r="L973" t="str">
            <v>MAURICIO</v>
          </cell>
          <cell r="M973" t="str">
            <v>MARCELO</v>
          </cell>
        </row>
        <row r="974">
          <cell r="B974">
            <v>5187333</v>
          </cell>
          <cell r="C974" t="str">
            <v>MONTE CARLO COMERCIO DE ALIMENT</v>
          </cell>
          <cell r="D974">
            <v>3001</v>
          </cell>
          <cell r="E974" t="str">
            <v>0127</v>
          </cell>
          <cell r="F974" t="str">
            <v>C1</v>
          </cell>
          <cell r="G974" t="str">
            <v>CE</v>
          </cell>
          <cell r="H974" t="str">
            <v>DISTRIBUIÇÃO</v>
          </cell>
          <cell r="I974" t="str">
            <v>FOOD SERVICE</v>
          </cell>
          <cell r="J974" t="str">
            <v>WH FOOD SERVICE CE</v>
          </cell>
          <cell r="K974" t="str">
            <v>ITAMBÉ</v>
          </cell>
          <cell r="L974" t="str">
            <v>RODRIGO</v>
          </cell>
          <cell r="M974" t="str">
            <v>MARIA LOURDES</v>
          </cell>
        </row>
        <row r="975">
          <cell r="B975">
            <v>5272287</v>
          </cell>
          <cell r="C975" t="str">
            <v>MONTE PASCOAL COM DE ALIM EIRELI</v>
          </cell>
          <cell r="D975">
            <v>7001</v>
          </cell>
          <cell r="E975" t="str">
            <v>0749</v>
          </cell>
          <cell r="F975" t="str">
            <v>C5</v>
          </cell>
          <cell r="G975" t="str">
            <v>SP</v>
          </cell>
          <cell r="H975" t="str">
            <v>DISTRIBUIÇÃO</v>
          </cell>
          <cell r="I975" t="str">
            <v>FOOD SERVICE</v>
          </cell>
          <cell r="J975" t="str">
            <v>FLAC 6</v>
          </cell>
          <cell r="K975" t="str">
            <v>LACTALIS</v>
          </cell>
          <cell r="L975" t="str">
            <v>RODRIGO</v>
          </cell>
          <cell r="M975" t="str">
            <v>RAQUEL BARBOSA</v>
          </cell>
        </row>
        <row r="976">
          <cell r="B976">
            <v>5329374</v>
          </cell>
          <cell r="C976" t="str">
            <v>MONTEMOR PAULISTA CAFETERIA LTDA</v>
          </cell>
          <cell r="D976">
            <v>7001</v>
          </cell>
          <cell r="E976" t="str">
            <v>0749</v>
          </cell>
          <cell r="F976" t="str">
            <v>C5</v>
          </cell>
          <cell r="G976" t="str">
            <v>SP</v>
          </cell>
          <cell r="H976" t="str">
            <v>DISTRIBUIÇÃO</v>
          </cell>
          <cell r="I976" t="str">
            <v>FOOD SERVICE</v>
          </cell>
          <cell r="J976" t="str">
            <v>FLAC 3</v>
          </cell>
          <cell r="K976" t="str">
            <v>LACTALIS</v>
          </cell>
          <cell r="L976" t="str">
            <v>RODRIGO</v>
          </cell>
          <cell r="M976" t="str">
            <v>RAQUEL BARBOSA</v>
          </cell>
        </row>
        <row r="977">
          <cell r="B977">
            <v>5178073</v>
          </cell>
          <cell r="C977" t="str">
            <v>MORUMBY HOTEIS LTDA</v>
          </cell>
          <cell r="D977">
            <v>7001</v>
          </cell>
          <cell r="E977" t="str">
            <v>0749</v>
          </cell>
          <cell r="F977" t="str">
            <v>C5</v>
          </cell>
          <cell r="G977" t="str">
            <v>SP</v>
          </cell>
          <cell r="H977" t="str">
            <v>DISTRIBUIÇÃO</v>
          </cell>
          <cell r="I977" t="str">
            <v>FOOD SERVICE</v>
          </cell>
          <cell r="J977" t="str">
            <v>FLAC 2</v>
          </cell>
          <cell r="K977" t="str">
            <v>LACTALIS</v>
          </cell>
          <cell r="L977" t="str">
            <v>RODRIGO</v>
          </cell>
          <cell r="M977" t="str">
            <v>RAQUEL BARBOSA</v>
          </cell>
        </row>
        <row r="978">
          <cell r="B978">
            <v>5287035</v>
          </cell>
          <cell r="C978" t="str">
            <v>MOTI CONFEITARIA EIRELI</v>
          </cell>
          <cell r="D978">
            <v>7001</v>
          </cell>
          <cell r="E978" t="str">
            <v>0749</v>
          </cell>
          <cell r="F978" t="str">
            <v>C5</v>
          </cell>
          <cell r="G978" t="str">
            <v>SP</v>
          </cell>
          <cell r="H978" t="str">
            <v>DISTRIBUIÇÃO</v>
          </cell>
          <cell r="I978" t="str">
            <v>FOOD SERVICE</v>
          </cell>
          <cell r="J978" t="str">
            <v>FLAC 2</v>
          </cell>
          <cell r="K978" t="str">
            <v>LACTALIS</v>
          </cell>
          <cell r="L978" t="str">
            <v>RODRIGO</v>
          </cell>
          <cell r="M978" t="str">
            <v>RAQUEL BARBOSA</v>
          </cell>
        </row>
        <row r="979">
          <cell r="B979">
            <v>5301053</v>
          </cell>
          <cell r="C979" t="str">
            <v>MOTI MOTI CAKE SHOP COM DE ALM LTDA</v>
          </cell>
          <cell r="D979">
            <v>7001</v>
          </cell>
          <cell r="E979" t="str">
            <v>0749</v>
          </cell>
          <cell r="F979" t="str">
            <v>C5</v>
          </cell>
          <cell r="G979" t="str">
            <v>SP</v>
          </cell>
          <cell r="H979" t="str">
            <v>DISTRIBUIÇÃO</v>
          </cell>
          <cell r="I979" t="str">
            <v>FOOD SERVICE</v>
          </cell>
          <cell r="J979" t="str">
            <v>FLAC 2</v>
          </cell>
          <cell r="K979" t="str">
            <v>LACTALIS</v>
          </cell>
          <cell r="L979" t="str">
            <v>RODRIGO</v>
          </cell>
          <cell r="M979" t="str">
            <v>RAQUEL BARBOSA</v>
          </cell>
        </row>
        <row r="980">
          <cell r="B980">
            <v>5214053</v>
          </cell>
          <cell r="C980" t="str">
            <v>MP MARTINS ALIMENTOS LTDA</v>
          </cell>
          <cell r="D980">
            <v>3001</v>
          </cell>
          <cell r="E980" t="str">
            <v>0126</v>
          </cell>
          <cell r="F980" t="str">
            <v>C1</v>
          </cell>
          <cell r="G980" t="str">
            <v>SC</v>
          </cell>
          <cell r="H980" t="str">
            <v>DISTRIBUIÇÃO</v>
          </cell>
          <cell r="I980" t="str">
            <v>FOOD SERVICE</v>
          </cell>
          <cell r="J980" t="str">
            <v>ANGELICA BATISTELA</v>
          </cell>
          <cell r="K980" t="str">
            <v>ITAMBÉ</v>
          </cell>
          <cell r="L980" t="str">
            <v>RODRIGO</v>
          </cell>
          <cell r="M980" t="str">
            <v>ANGELICA BATISTELA</v>
          </cell>
        </row>
        <row r="981">
          <cell r="B981">
            <v>5319475</v>
          </cell>
          <cell r="C981" t="str">
            <v>MPRM RESTAURANTE E EMPORIO LTDA</v>
          </cell>
          <cell r="D981">
            <v>7001</v>
          </cell>
          <cell r="E981" t="str">
            <v>0749</v>
          </cell>
          <cell r="F981" t="str">
            <v>C5</v>
          </cell>
          <cell r="G981" t="str">
            <v>SP</v>
          </cell>
          <cell r="H981" t="str">
            <v>DISTRIBUIÇÃO</v>
          </cell>
          <cell r="I981" t="str">
            <v>FOOD SERVICE</v>
          </cell>
          <cell r="J981" t="str">
            <v>FLAC 6</v>
          </cell>
          <cell r="K981" t="str">
            <v>LACTALIS</v>
          </cell>
          <cell r="L981" t="str">
            <v>RODRIGO</v>
          </cell>
          <cell r="M981" t="str">
            <v>RAQUEL BARBOSA</v>
          </cell>
        </row>
        <row r="982">
          <cell r="B982">
            <v>5319476</v>
          </cell>
          <cell r="C982" t="str">
            <v>MPRM RESTAURANTE E EMPORIO LTDA</v>
          </cell>
          <cell r="D982">
            <v>7001</v>
          </cell>
          <cell r="E982" t="str">
            <v>0749</v>
          </cell>
          <cell r="F982" t="str">
            <v>C5</v>
          </cell>
          <cell r="G982" t="str">
            <v>SP</v>
          </cell>
          <cell r="H982" t="str">
            <v>DISTRIBUIÇÃO</v>
          </cell>
          <cell r="I982" t="str">
            <v>FOOD SERVICE</v>
          </cell>
          <cell r="J982" t="str">
            <v>FLAC 6</v>
          </cell>
          <cell r="K982" t="str">
            <v>LACTALIS</v>
          </cell>
          <cell r="L982" t="str">
            <v>RODRIGO</v>
          </cell>
          <cell r="M982" t="str">
            <v>RAQUEL BARBOSA</v>
          </cell>
        </row>
        <row r="983">
          <cell r="B983">
            <v>5259994</v>
          </cell>
          <cell r="C983" t="str">
            <v>MR BAKER SUPERFOODS PANIFICADORA LT</v>
          </cell>
          <cell r="D983">
            <v>7001</v>
          </cell>
          <cell r="E983" t="str">
            <v>0749</v>
          </cell>
          <cell r="F983" t="str">
            <v>C5</v>
          </cell>
          <cell r="G983" t="str">
            <v>SP</v>
          </cell>
          <cell r="H983" t="str">
            <v>DISTRIBUIÇÃO</v>
          </cell>
          <cell r="I983" t="str">
            <v>FOOD SERVICE</v>
          </cell>
          <cell r="J983" t="str">
            <v>FLAC 2</v>
          </cell>
          <cell r="K983" t="str">
            <v>LACTALIS</v>
          </cell>
          <cell r="L983" t="str">
            <v>RODRIGO</v>
          </cell>
          <cell r="M983" t="str">
            <v>RAQUEL BARBOSA</v>
          </cell>
        </row>
        <row r="984">
          <cell r="B984">
            <v>5319195</v>
          </cell>
          <cell r="C984" t="str">
            <v>MT QUEIROZ COMERCIAL DE ALIMENTOS</v>
          </cell>
          <cell r="D984">
            <v>3001</v>
          </cell>
          <cell r="E984" t="str">
            <v>0127</v>
          </cell>
          <cell r="F984" t="str">
            <v>C1</v>
          </cell>
          <cell r="G984" t="str">
            <v>BA</v>
          </cell>
          <cell r="H984" t="str">
            <v>DISTRIBUIÇÃO</v>
          </cell>
          <cell r="I984" t="str">
            <v>FOOD SERVICE</v>
          </cell>
          <cell r="J984" t="str">
            <v>CLAUDIO JORGE/LUIZ</v>
          </cell>
          <cell r="K984" t="str">
            <v>ITAMBÉ</v>
          </cell>
          <cell r="L984" t="str">
            <v>RODRIGO</v>
          </cell>
          <cell r="M984" t="str">
            <v>MARIA LOURDES</v>
          </cell>
        </row>
        <row r="985">
          <cell r="B985">
            <v>5229717</v>
          </cell>
          <cell r="C985" t="str">
            <v>MULTIPEL EMBALAGENS UMUARAMA LTDA</v>
          </cell>
          <cell r="D985">
            <v>3001</v>
          </cell>
          <cell r="E985" t="str">
            <v>0126</v>
          </cell>
          <cell r="F985" t="str">
            <v>C1</v>
          </cell>
          <cell r="G985" t="str">
            <v>PR</v>
          </cell>
          <cell r="H985" t="str">
            <v>INGREDIENTS</v>
          </cell>
          <cell r="I985" t="str">
            <v>INGREDIENTS</v>
          </cell>
          <cell r="J985" t="str">
            <v>DUAS RODAS</v>
          </cell>
          <cell r="K985" t="str">
            <v>ITAMBÉ</v>
          </cell>
          <cell r="L985" t="str">
            <v>MAURICIO</v>
          </cell>
          <cell r="M985" t="str">
            <v>MARCELO</v>
          </cell>
        </row>
        <row r="986">
          <cell r="B986">
            <v>5027506</v>
          </cell>
          <cell r="C986" t="str">
            <v>MULTPEL COM DE PAPEIS E EMBALAG</v>
          </cell>
          <cell r="D986">
            <v>3001</v>
          </cell>
          <cell r="E986" t="str">
            <v>0169</v>
          </cell>
          <cell r="F986" t="str">
            <v>C1</v>
          </cell>
          <cell r="G986" t="str">
            <v>ES</v>
          </cell>
          <cell r="H986" t="str">
            <v>DISTRIBUIÇÃO</v>
          </cell>
          <cell r="I986" t="str">
            <v>FOOD SERVICE</v>
          </cell>
          <cell r="J986" t="str">
            <v>MARCELO DUARTE</v>
          </cell>
          <cell r="K986" t="str">
            <v>ITAMBÉ</v>
          </cell>
          <cell r="L986" t="str">
            <v>RODRIGO</v>
          </cell>
          <cell r="M986" t="str">
            <v>JESSICA</v>
          </cell>
        </row>
        <row r="987">
          <cell r="B987">
            <v>5173775</v>
          </cell>
          <cell r="C987" t="str">
            <v>N ZEPPONE E CIA LTDA</v>
          </cell>
          <cell r="D987">
            <v>4001</v>
          </cell>
          <cell r="E987" t="str">
            <v>0455</v>
          </cell>
          <cell r="F987" t="str">
            <v>C1</v>
          </cell>
          <cell r="G987" t="str">
            <v>PR</v>
          </cell>
          <cell r="H987" t="str">
            <v>INGREDIENTS</v>
          </cell>
          <cell r="I987" t="str">
            <v>INGREDIENTS</v>
          </cell>
          <cell r="J987" t="str">
            <v>MARCELO RODRIGUES</v>
          </cell>
          <cell r="K987" t="str">
            <v>LACTALIS</v>
          </cell>
          <cell r="L987" t="str">
            <v>MAURICIO</v>
          </cell>
          <cell r="M987" t="str">
            <v>MARCELO</v>
          </cell>
        </row>
        <row r="988">
          <cell r="B988">
            <v>5270159</v>
          </cell>
          <cell r="C988" t="str">
            <v>NANO CAFETERIA EIRELI</v>
          </cell>
          <cell r="D988">
            <v>7001</v>
          </cell>
          <cell r="E988" t="str">
            <v>0749</v>
          </cell>
          <cell r="F988" t="str">
            <v>C5</v>
          </cell>
          <cell r="G988" t="str">
            <v>SP</v>
          </cell>
          <cell r="H988" t="str">
            <v>DISTRIBUIÇÃO</v>
          </cell>
          <cell r="I988" t="str">
            <v>FOOD SERVICE</v>
          </cell>
          <cell r="J988" t="str">
            <v>FLAC 2</v>
          </cell>
          <cell r="K988" t="str">
            <v>LACTALIS</v>
          </cell>
          <cell r="L988" t="str">
            <v>RODRIGO</v>
          </cell>
          <cell r="M988" t="str">
            <v>RAQUEL BARBOSA</v>
          </cell>
        </row>
        <row r="989">
          <cell r="B989">
            <v>5332242</v>
          </cell>
          <cell r="C989" t="str">
            <v>NATHALIA PRODUTOS ALIMENTICIOS LTDA</v>
          </cell>
          <cell r="D989">
            <v>7001</v>
          </cell>
          <cell r="E989" t="str">
            <v>0749</v>
          </cell>
          <cell r="F989" t="str">
            <v>C5</v>
          </cell>
          <cell r="G989" t="str">
            <v>SP</v>
          </cell>
          <cell r="H989" t="str">
            <v>DISTRIBUIÇÃO</v>
          </cell>
          <cell r="I989" t="str">
            <v>FOOD SERVICE</v>
          </cell>
          <cell r="J989" t="str">
            <v>FLAC 2</v>
          </cell>
          <cell r="K989" t="str">
            <v>LACTALIS</v>
          </cell>
          <cell r="L989" t="str">
            <v>RODRIGO</v>
          </cell>
          <cell r="M989" t="str">
            <v>RAQUEL BARBOSA</v>
          </cell>
        </row>
        <row r="990">
          <cell r="B990">
            <v>5224751</v>
          </cell>
          <cell r="C990" t="str">
            <v>NATHALYA DE MOURA SANTOS</v>
          </cell>
          <cell r="D990">
            <v>7001</v>
          </cell>
          <cell r="E990" t="str">
            <v>0749</v>
          </cell>
          <cell r="F990" t="str">
            <v>C5</v>
          </cell>
          <cell r="G990" t="str">
            <v>SP</v>
          </cell>
          <cell r="H990" t="str">
            <v>DISTRIBUIÇÃO</v>
          </cell>
          <cell r="I990" t="str">
            <v>FOOD SERVICE</v>
          </cell>
          <cell r="J990" t="str">
            <v>FLAC 6</v>
          </cell>
          <cell r="K990" t="str">
            <v>LACTALIS</v>
          </cell>
          <cell r="L990" t="str">
            <v>RODRIGO</v>
          </cell>
          <cell r="M990" t="str">
            <v>RAQUEL BARBOSA</v>
          </cell>
        </row>
        <row r="991">
          <cell r="B991">
            <v>5248699</v>
          </cell>
          <cell r="C991" t="str">
            <v>NATULIGHT ALIMENTOS LTDA ME</v>
          </cell>
          <cell r="D991">
            <v>7001</v>
          </cell>
          <cell r="E991" t="str">
            <v>0749</v>
          </cell>
          <cell r="F991" t="str">
            <v>C5</v>
          </cell>
          <cell r="G991" t="str">
            <v>SP</v>
          </cell>
          <cell r="H991" t="str">
            <v>DISTRIBUIÇÃO</v>
          </cell>
          <cell r="I991" t="str">
            <v>FOOD SERVICE</v>
          </cell>
          <cell r="J991" t="str">
            <v>FLAC 2</v>
          </cell>
          <cell r="K991" t="str">
            <v>LACTALIS</v>
          </cell>
          <cell r="L991" t="str">
            <v>RODRIGO</v>
          </cell>
          <cell r="M991" t="str">
            <v>RAQUEL BARBOSA</v>
          </cell>
        </row>
        <row r="992">
          <cell r="B992">
            <v>5178518</v>
          </cell>
          <cell r="C992" t="str">
            <v>NECHIO COMERCIO DISTRIB DE ALIMENT</v>
          </cell>
          <cell r="D992">
            <v>3001</v>
          </cell>
          <cell r="E992" t="str">
            <v>0169</v>
          </cell>
          <cell r="F992" t="str">
            <v>C1</v>
          </cell>
          <cell r="G992" t="str">
            <v>RJ</v>
          </cell>
          <cell r="H992" t="str">
            <v>DISTRIBUIÇÃO</v>
          </cell>
          <cell r="I992" t="str">
            <v>FOOD SERVICE</v>
          </cell>
          <cell r="J992" t="str">
            <v>LUCIANA MARTINS</v>
          </cell>
          <cell r="K992" t="str">
            <v>ITAMBÉ</v>
          </cell>
          <cell r="L992" t="str">
            <v>RODRIGO</v>
          </cell>
          <cell r="M992" t="str">
            <v>JESSICA</v>
          </cell>
        </row>
        <row r="993">
          <cell r="B993">
            <v>5187817</v>
          </cell>
          <cell r="C993" t="str">
            <v>NESKACAI PROD COM DE GELADOS C LTDA</v>
          </cell>
          <cell r="D993">
            <v>3001</v>
          </cell>
          <cell r="E993" t="str">
            <v>0028</v>
          </cell>
          <cell r="F993" t="str">
            <v>C1</v>
          </cell>
          <cell r="G993" t="str">
            <v>RJ</v>
          </cell>
          <cell r="H993" t="str">
            <v>INGREDIENTS</v>
          </cell>
          <cell r="I993" t="str">
            <v>INGREDIENTS</v>
          </cell>
          <cell r="J993" t="str">
            <v>DUAS RODAS</v>
          </cell>
          <cell r="K993" t="str">
            <v>ITAMBÉ</v>
          </cell>
          <cell r="L993" t="str">
            <v>MAURICIO</v>
          </cell>
          <cell r="M993" t="str">
            <v>MARCELO</v>
          </cell>
        </row>
        <row r="994">
          <cell r="B994">
            <v>5320604</v>
          </cell>
          <cell r="C994" t="str">
            <v>NESTLE BRASIL LTDA</v>
          </cell>
          <cell r="D994">
            <v>3001</v>
          </cell>
          <cell r="E994" t="str">
            <v>0028</v>
          </cell>
          <cell r="F994" t="str">
            <v>C1</v>
          </cell>
          <cell r="G994" t="str">
            <v>SP</v>
          </cell>
          <cell r="H994" t="str">
            <v>INGREDIENTS</v>
          </cell>
          <cell r="I994" t="str">
            <v>INGREDIENTS</v>
          </cell>
          <cell r="J994" t="str">
            <v>MARCELO RODRIGUES</v>
          </cell>
          <cell r="K994" t="str">
            <v>ITAMBÉ</v>
          </cell>
          <cell r="L994" t="str">
            <v>MAURICIO</v>
          </cell>
          <cell r="M994" t="str">
            <v>MARCELO</v>
          </cell>
        </row>
        <row r="995">
          <cell r="B995">
            <v>5160879</v>
          </cell>
          <cell r="C995" t="str">
            <v>NEUGEBAUER ALIMENTOS SA</v>
          </cell>
          <cell r="D995">
            <v>3001</v>
          </cell>
          <cell r="E995" t="str">
            <v>0028</v>
          </cell>
          <cell r="F995" t="str">
            <v>C1</v>
          </cell>
          <cell r="G995" t="str">
            <v>RS</v>
          </cell>
          <cell r="H995" t="str">
            <v>INGREDIENTS</v>
          </cell>
          <cell r="I995" t="str">
            <v>INGREDIENTS</v>
          </cell>
          <cell r="J995" t="str">
            <v>MARCELO RODRIGUES</v>
          </cell>
          <cell r="K995" t="str">
            <v>ITAMBÉ</v>
          </cell>
          <cell r="L995" t="str">
            <v>MAURICIO</v>
          </cell>
          <cell r="M995" t="str">
            <v>MARCELO</v>
          </cell>
        </row>
        <row r="996">
          <cell r="B996">
            <v>5160879</v>
          </cell>
          <cell r="C996" t="str">
            <v>NEUGEBAUER ALIMENTOS SA</v>
          </cell>
          <cell r="D996">
            <v>4001</v>
          </cell>
          <cell r="E996" t="str">
            <v>0423</v>
          </cell>
          <cell r="F996" t="str">
            <v>C5</v>
          </cell>
          <cell r="G996" t="str">
            <v>RS</v>
          </cell>
          <cell r="H996" t="str">
            <v>INGREDIENTS</v>
          </cell>
          <cell r="I996" t="str">
            <v>INGREDIENTS</v>
          </cell>
          <cell r="J996" t="str">
            <v>MARCELO RODRIGUES</v>
          </cell>
          <cell r="K996" t="str">
            <v>LACTALIS</v>
          </cell>
          <cell r="L996" t="str">
            <v>MAURICIO</v>
          </cell>
          <cell r="M996" t="str">
            <v>MARCELO</v>
          </cell>
        </row>
        <row r="997">
          <cell r="B997">
            <v>5225690</v>
          </cell>
          <cell r="C997" t="str">
            <v>NEUGEBAUER ALIMENTOS SA</v>
          </cell>
          <cell r="D997">
            <v>4001</v>
          </cell>
          <cell r="E997" t="str">
            <v>0437</v>
          </cell>
          <cell r="F997" t="str">
            <v>C1</v>
          </cell>
          <cell r="G997" t="str">
            <v>RS</v>
          </cell>
          <cell r="H997" t="str">
            <v>INGREDIENTS</v>
          </cell>
          <cell r="I997" t="str">
            <v>INGREDIENTS</v>
          </cell>
          <cell r="J997" t="str">
            <v>MARCELO RODRIGUES</v>
          </cell>
          <cell r="K997" t="str">
            <v>LACTALIS</v>
          </cell>
          <cell r="L997" t="str">
            <v>MAURICIO</v>
          </cell>
          <cell r="M997" t="str">
            <v>MARCELO</v>
          </cell>
        </row>
        <row r="998">
          <cell r="B998">
            <v>5299341</v>
          </cell>
          <cell r="C998" t="str">
            <v>NEVASCA ALIMENTOS LTDA ME</v>
          </cell>
          <cell r="D998">
            <v>3001</v>
          </cell>
          <cell r="E998" t="str">
            <v>0126</v>
          </cell>
          <cell r="F998" t="str">
            <v>C1</v>
          </cell>
          <cell r="G998" t="str">
            <v>SC</v>
          </cell>
          <cell r="H998" t="str">
            <v>INGREDIENTS</v>
          </cell>
          <cell r="I998" t="str">
            <v>INGREDIENTS</v>
          </cell>
          <cell r="J998" t="str">
            <v>MARCELO RODRIGUES</v>
          </cell>
          <cell r="K998" t="str">
            <v>ITAMBÉ</v>
          </cell>
          <cell r="L998" t="str">
            <v>MAURICIO</v>
          </cell>
          <cell r="M998" t="str">
            <v>MARCELO</v>
          </cell>
        </row>
        <row r="999">
          <cell r="B999">
            <v>5285363</v>
          </cell>
          <cell r="C999" t="str">
            <v>NEW SPACE PROCESSAMENTO</v>
          </cell>
          <cell r="D999">
            <v>7001</v>
          </cell>
          <cell r="E999" t="str">
            <v>0749</v>
          </cell>
          <cell r="F999" t="str">
            <v>C5</v>
          </cell>
          <cell r="G999" t="str">
            <v>SP</v>
          </cell>
          <cell r="H999" t="str">
            <v>DISTRIBUIÇÃO</v>
          </cell>
          <cell r="I999" t="str">
            <v>FOOD SERVICE</v>
          </cell>
          <cell r="J999" t="str">
            <v>FLAC 2</v>
          </cell>
          <cell r="K999" t="str">
            <v>LACTALIS</v>
          </cell>
          <cell r="L999" t="str">
            <v>RODRIGO</v>
          </cell>
          <cell r="M999" t="str">
            <v>RAQUEL BARBOSA</v>
          </cell>
        </row>
        <row r="1000">
          <cell r="B1000">
            <v>5285544</v>
          </cell>
          <cell r="C1000" t="str">
            <v>NEW SPACE PROCESSAMENTO E SISTEMAS</v>
          </cell>
          <cell r="D1000">
            <v>7001</v>
          </cell>
          <cell r="E1000" t="str">
            <v>0749</v>
          </cell>
          <cell r="F1000" t="str">
            <v>C5</v>
          </cell>
          <cell r="G1000" t="str">
            <v>SP</v>
          </cell>
          <cell r="H1000" t="str">
            <v>DISTRIBUIÇÃO</v>
          </cell>
          <cell r="I1000" t="str">
            <v>FOOD SERVICE</v>
          </cell>
          <cell r="J1000" t="str">
            <v>FLAC 2</v>
          </cell>
          <cell r="K1000" t="str">
            <v>LACTALIS</v>
          </cell>
          <cell r="L1000" t="str">
            <v>RODRIGO</v>
          </cell>
          <cell r="M1000" t="str">
            <v>RAQUEL BARBOSA</v>
          </cell>
        </row>
        <row r="1001">
          <cell r="B1001">
            <v>5226499</v>
          </cell>
          <cell r="C1001" t="str">
            <v>NEWREST BR SERV AUX AO TRANS AEREO</v>
          </cell>
          <cell r="D1001">
            <v>7001</v>
          </cell>
          <cell r="E1001" t="str">
            <v>0722</v>
          </cell>
          <cell r="F1001" t="str">
            <v>C1</v>
          </cell>
          <cell r="G1001" t="str">
            <v>SP</v>
          </cell>
          <cell r="H1001" t="str">
            <v>QSR</v>
          </cell>
          <cell r="I1001" t="str">
            <v>FOOD SERVICE</v>
          </cell>
          <cell r="J1001" t="str">
            <v>ANA MENIQUETE</v>
          </cell>
          <cell r="K1001" t="str">
            <v>LACTALIS</v>
          </cell>
          <cell r="L1001" t="str">
            <v>PEDRO</v>
          </cell>
          <cell r="M1001" t="str">
            <v>ANA MENIQUETE</v>
          </cell>
        </row>
        <row r="1002">
          <cell r="B1002">
            <v>5207394</v>
          </cell>
          <cell r="C1002" t="str">
            <v>NEWREST BRASIL S A AO T AEREO LTDA</v>
          </cell>
          <cell r="D1002">
            <v>3001</v>
          </cell>
          <cell r="E1002" t="str">
            <v>0169</v>
          </cell>
          <cell r="F1002" t="str">
            <v>C1</v>
          </cell>
          <cell r="G1002" t="str">
            <v>RJ</v>
          </cell>
          <cell r="H1002" t="str">
            <v>QSR</v>
          </cell>
          <cell r="I1002" t="str">
            <v>FOOD SERVICE</v>
          </cell>
          <cell r="J1002" t="str">
            <v>ANA MENIQUETE</v>
          </cell>
          <cell r="K1002" t="str">
            <v>ITAMBÉ</v>
          </cell>
          <cell r="L1002" t="str">
            <v>PEDRO</v>
          </cell>
          <cell r="M1002" t="str">
            <v>ANA MENIQUETE</v>
          </cell>
        </row>
        <row r="1003">
          <cell r="B1003">
            <v>5207394</v>
          </cell>
          <cell r="C1003" t="str">
            <v>NEWREST BRASIL S A AO T AEREO LTDA</v>
          </cell>
          <cell r="D1003">
            <v>4001</v>
          </cell>
          <cell r="E1003" t="str">
            <v>0439</v>
          </cell>
          <cell r="F1003" t="str">
            <v>C1</v>
          </cell>
          <cell r="G1003" t="str">
            <v>RJ</v>
          </cell>
          <cell r="H1003" t="str">
            <v>QSR</v>
          </cell>
          <cell r="I1003" t="str">
            <v>FOOD SERVICE</v>
          </cell>
          <cell r="J1003" t="str">
            <v>ANA MENIQUETE</v>
          </cell>
          <cell r="K1003" t="str">
            <v>LACTALIS</v>
          </cell>
          <cell r="L1003" t="str">
            <v>PEDRO</v>
          </cell>
          <cell r="M1003" t="str">
            <v>ANA MENIQUETE</v>
          </cell>
        </row>
        <row r="1004">
          <cell r="B1004">
            <v>5249304</v>
          </cell>
          <cell r="C1004" t="str">
            <v>NEWTON PLAZA HOTEL LTDA</v>
          </cell>
          <cell r="D1004">
            <v>7001</v>
          </cell>
          <cell r="E1004" t="str">
            <v>0749</v>
          </cell>
          <cell r="F1004" t="str">
            <v>C5</v>
          </cell>
          <cell r="G1004" t="str">
            <v>SP</v>
          </cell>
          <cell r="H1004" t="str">
            <v>DISTRIBUIÇÃO</v>
          </cell>
          <cell r="I1004" t="str">
            <v>FOOD SERVICE</v>
          </cell>
          <cell r="J1004" t="str">
            <v>FLAC 6</v>
          </cell>
          <cell r="K1004" t="str">
            <v>LACTALIS</v>
          </cell>
          <cell r="L1004" t="str">
            <v>RODRIGO</v>
          </cell>
          <cell r="M1004" t="str">
            <v>RAQUEL BARBOSA</v>
          </cell>
        </row>
        <row r="1005">
          <cell r="B1005">
            <v>5234380</v>
          </cell>
          <cell r="C1005" t="str">
            <v>NICOLE CRISTINE DE BRUIJN COMERCIO</v>
          </cell>
          <cell r="D1005">
            <v>7001</v>
          </cell>
          <cell r="E1005" t="str">
            <v>0749</v>
          </cell>
          <cell r="F1005" t="str">
            <v>C5</v>
          </cell>
          <cell r="G1005" t="str">
            <v>SP</v>
          </cell>
          <cell r="H1005" t="str">
            <v>DISTRIBUIÇÃO</v>
          </cell>
          <cell r="I1005" t="str">
            <v>FOOD SERVICE</v>
          </cell>
          <cell r="J1005" t="str">
            <v>FLAC 5</v>
          </cell>
          <cell r="K1005" t="str">
            <v>LACTALIS</v>
          </cell>
          <cell r="L1005" t="str">
            <v>RODRIGO</v>
          </cell>
          <cell r="M1005" t="str">
            <v>RAQUEL BARBOSA</v>
          </cell>
        </row>
        <row r="1006">
          <cell r="B1006">
            <v>5211484</v>
          </cell>
          <cell r="C1006" t="str">
            <v>NMX COMERCIAL DE ALIMENTOS LTDA</v>
          </cell>
          <cell r="D1006">
            <v>3001</v>
          </cell>
          <cell r="E1006" t="str">
            <v>0169</v>
          </cell>
          <cell r="F1006" t="str">
            <v>C1</v>
          </cell>
          <cell r="G1006" t="str">
            <v>RJ</v>
          </cell>
          <cell r="H1006" t="str">
            <v>INGREDIENTS</v>
          </cell>
          <cell r="I1006" t="str">
            <v>INGREDIENTS</v>
          </cell>
          <cell r="J1006" t="str">
            <v>JOEL ELEOTÉRIO</v>
          </cell>
          <cell r="K1006" t="str">
            <v>ITAMBÉ</v>
          </cell>
          <cell r="L1006" t="str">
            <v>MAURICIO</v>
          </cell>
          <cell r="M1006" t="str">
            <v>JOEL</v>
          </cell>
        </row>
        <row r="1007">
          <cell r="B1007">
            <v>5226531</v>
          </cell>
          <cell r="C1007" t="str">
            <v>NOBREDO COMERCIO E LOGISTICA LTDA</v>
          </cell>
          <cell r="D1007">
            <v>3001</v>
          </cell>
          <cell r="E1007" t="str">
            <v>0169</v>
          </cell>
          <cell r="F1007" t="str">
            <v>C1</v>
          </cell>
          <cell r="G1007" t="str">
            <v>RJ</v>
          </cell>
          <cell r="H1007" t="str">
            <v>DISTRIBUIÇÃO</v>
          </cell>
          <cell r="I1007" t="str">
            <v>FOOD SERVICE</v>
          </cell>
          <cell r="J1007" t="str">
            <v>LUCIANA MARTINS</v>
          </cell>
          <cell r="K1007" t="str">
            <v>ITAMBÉ</v>
          </cell>
          <cell r="L1007" t="str">
            <v>RODRIGO</v>
          </cell>
          <cell r="M1007" t="str">
            <v>JESSICA</v>
          </cell>
        </row>
        <row r="1008">
          <cell r="B1008">
            <v>5334685</v>
          </cell>
          <cell r="C1008" t="str">
            <v>NONNA MARIANA COMERCIO DE ALIME</v>
          </cell>
          <cell r="D1008">
            <v>7001</v>
          </cell>
          <cell r="E1008" t="str">
            <v>0749</v>
          </cell>
          <cell r="F1008" t="str">
            <v>C5</v>
          </cell>
          <cell r="G1008" t="str">
            <v>SP</v>
          </cell>
          <cell r="H1008" t="str">
            <v>DISTRIBUIÇÃO</v>
          </cell>
          <cell r="I1008" t="str">
            <v>FOOD SERVICE</v>
          </cell>
          <cell r="J1008" t="str">
            <v>FLAC 2</v>
          </cell>
          <cell r="K1008" t="str">
            <v>LACTALIS</v>
          </cell>
          <cell r="L1008" t="str">
            <v>RODRIGO</v>
          </cell>
          <cell r="M1008" t="str">
            <v>RAQUEL BARBOSA</v>
          </cell>
        </row>
        <row r="1009">
          <cell r="B1009">
            <v>5179954</v>
          </cell>
          <cell r="C1009" t="str">
            <v>NORAC DO BRASIL IND E COM DE PROD A</v>
          </cell>
          <cell r="D1009">
            <v>6001</v>
          </cell>
          <cell r="E1009" t="str">
            <v>6125</v>
          </cell>
          <cell r="F1009" t="str">
            <v>C1</v>
          </cell>
          <cell r="G1009" t="str">
            <v>SP</v>
          </cell>
          <cell r="H1009" t="str">
            <v>INGREDIENTS</v>
          </cell>
          <cell r="I1009" t="str">
            <v>INGREDIENTS</v>
          </cell>
          <cell r="J1009" t="str">
            <v>HENRIQUE FERREIRA</v>
          </cell>
          <cell r="K1009" t="str">
            <v>ITAMBÉ</v>
          </cell>
          <cell r="L1009" t="str">
            <v>MAURICIO</v>
          </cell>
          <cell r="M1009" t="str">
            <v>JOEL</v>
          </cell>
        </row>
        <row r="1010">
          <cell r="B1010">
            <v>5179954</v>
          </cell>
          <cell r="C1010" t="str">
            <v>NORAC DO BRASIL IND E COM DE PROD A</v>
          </cell>
          <cell r="D1010">
            <v>7001</v>
          </cell>
          <cell r="E1010" t="str">
            <v>0722</v>
          </cell>
          <cell r="F1010" t="str">
            <v>C1</v>
          </cell>
          <cell r="G1010" t="str">
            <v>SP</v>
          </cell>
          <cell r="H1010" t="str">
            <v>INGREDIENTS</v>
          </cell>
          <cell r="I1010" t="str">
            <v>INGREDIENTS</v>
          </cell>
          <cell r="J1010" t="str">
            <v>HENRIQUE FERREIRA</v>
          </cell>
          <cell r="K1010" t="str">
            <v>LACTALIS</v>
          </cell>
          <cell r="L1010" t="str">
            <v>MAURICIO</v>
          </cell>
          <cell r="M1010" t="str">
            <v>JOEL</v>
          </cell>
        </row>
        <row r="1011">
          <cell r="B1011">
            <v>5316965</v>
          </cell>
          <cell r="C1011" t="str">
            <v>NORMA DE OLIVEIRA BROWN 59932716715</v>
          </cell>
          <cell r="D1011">
            <v>7001</v>
          </cell>
          <cell r="E1011" t="str">
            <v>0749</v>
          </cell>
          <cell r="F1011" t="str">
            <v>C5</v>
          </cell>
          <cell r="G1011" t="str">
            <v>SP</v>
          </cell>
          <cell r="H1011" t="str">
            <v>DISTRIBUIÇÃO</v>
          </cell>
          <cell r="I1011" t="str">
            <v>FOOD SERVICE</v>
          </cell>
          <cell r="J1011" t="str">
            <v>FLAC 6</v>
          </cell>
          <cell r="K1011" t="str">
            <v>LACTALIS</v>
          </cell>
          <cell r="L1011" t="str">
            <v>RODRIGO</v>
          </cell>
          <cell r="M1011" t="str">
            <v>RAQUEL BARBOSA</v>
          </cell>
        </row>
        <row r="1012">
          <cell r="B1012">
            <v>5114515</v>
          </cell>
          <cell r="C1012" t="str">
            <v>NOSSOS SABORES IND E COM DE ALIM EI</v>
          </cell>
          <cell r="D1012">
            <v>3001</v>
          </cell>
          <cell r="E1012" t="str">
            <v>0169</v>
          </cell>
          <cell r="F1012" t="str">
            <v>C1</v>
          </cell>
          <cell r="G1012" t="str">
            <v>RJ</v>
          </cell>
          <cell r="H1012" t="str">
            <v>INGREDIENTS</v>
          </cell>
          <cell r="I1012" t="str">
            <v>INGREDIENTS</v>
          </cell>
          <cell r="J1012" t="str">
            <v>TATIANA NITTA</v>
          </cell>
          <cell r="K1012" t="str">
            <v>ITAMBÉ</v>
          </cell>
          <cell r="L1012" t="str">
            <v>MAURICIO</v>
          </cell>
          <cell r="M1012" t="str">
            <v>TATIANA NITTA</v>
          </cell>
        </row>
        <row r="1013">
          <cell r="B1013">
            <v>5294982</v>
          </cell>
          <cell r="C1013" t="str">
            <v>NOVA BROOKLIN COMERCIO DE ALIMENTOS</v>
          </cell>
          <cell r="D1013">
            <v>7001</v>
          </cell>
          <cell r="E1013" t="str">
            <v>0749</v>
          </cell>
          <cell r="F1013" t="str">
            <v>C5</v>
          </cell>
          <cell r="G1013" t="str">
            <v>SP</v>
          </cell>
          <cell r="H1013" t="str">
            <v>DISTRIBUIÇÃO</v>
          </cell>
          <cell r="I1013" t="str">
            <v>FOOD SERVICE</v>
          </cell>
          <cell r="J1013" t="str">
            <v>FLAC 3</v>
          </cell>
          <cell r="K1013" t="str">
            <v>LACTALIS</v>
          </cell>
          <cell r="L1013" t="str">
            <v>RODRIGO</v>
          </cell>
          <cell r="M1013" t="str">
            <v>RAQUEL BARBOSA</v>
          </cell>
        </row>
        <row r="1014">
          <cell r="B1014">
            <v>5157891</v>
          </cell>
          <cell r="C1014" t="str">
            <v>NOVA MEGA G ATACADISTA DE ALIM SA</v>
          </cell>
          <cell r="D1014">
            <v>3001</v>
          </cell>
          <cell r="E1014" t="str">
            <v>0169</v>
          </cell>
          <cell r="F1014" t="str">
            <v>C1</v>
          </cell>
          <cell r="G1014" t="str">
            <v>SP</v>
          </cell>
          <cell r="H1014" t="str">
            <v>DISTRIBUIÇÃO</v>
          </cell>
          <cell r="I1014" t="str">
            <v>FOOD SERVICE</v>
          </cell>
          <cell r="J1014" t="str">
            <v>RAQUEL BARBOSA</v>
          </cell>
          <cell r="K1014" t="str">
            <v>ITAMBÉ</v>
          </cell>
          <cell r="L1014" t="str">
            <v>RODRIGO</v>
          </cell>
          <cell r="M1014" t="str">
            <v>RAQUEL BARBOSA</v>
          </cell>
        </row>
        <row r="1015">
          <cell r="B1015">
            <v>5157891</v>
          </cell>
          <cell r="C1015" t="str">
            <v>NOVA MEGA G ATACADISTA DE ALIM SA</v>
          </cell>
          <cell r="D1015">
            <v>6001</v>
          </cell>
          <cell r="E1015" t="str">
            <v>6125</v>
          </cell>
          <cell r="F1015" t="str">
            <v>C1</v>
          </cell>
          <cell r="G1015" t="str">
            <v>SP</v>
          </cell>
          <cell r="H1015" t="str">
            <v>DISTRIBUIÇÃO</v>
          </cell>
          <cell r="I1015" t="str">
            <v>FOOD SERVICE</v>
          </cell>
          <cell r="J1015" t="str">
            <v>RAQUEL BARBOSA</v>
          </cell>
          <cell r="K1015" t="str">
            <v>ITAMBÉ</v>
          </cell>
          <cell r="L1015" t="str">
            <v>RODRIGO</v>
          </cell>
          <cell r="M1015" t="str">
            <v>RAQUEL BARBOSA</v>
          </cell>
        </row>
        <row r="1016">
          <cell r="B1016">
            <v>5157891</v>
          </cell>
          <cell r="C1016" t="str">
            <v>NOVA MEGA G ATACADISTA DE ALIM SA</v>
          </cell>
          <cell r="D1016">
            <v>7001</v>
          </cell>
          <cell r="E1016" t="str">
            <v>0722</v>
          </cell>
          <cell r="F1016" t="str">
            <v>C1</v>
          </cell>
          <cell r="G1016" t="str">
            <v>SP</v>
          </cell>
          <cell r="H1016" t="str">
            <v>DISTRIBUIÇÃO</v>
          </cell>
          <cell r="I1016" t="str">
            <v>FOOD SERVICE</v>
          </cell>
          <cell r="J1016" t="str">
            <v>RAQUEL BARBOSA</v>
          </cell>
          <cell r="K1016" t="str">
            <v>LACTALIS</v>
          </cell>
          <cell r="L1016" t="str">
            <v>RODRIGO</v>
          </cell>
          <cell r="M1016" t="str">
            <v>RAQUEL BARBOSA</v>
          </cell>
        </row>
        <row r="1017">
          <cell r="B1017">
            <v>5253205</v>
          </cell>
          <cell r="C1017" t="str">
            <v>NOVA ROTINA PARTIC EMPREEND LTDA</v>
          </cell>
          <cell r="D1017">
            <v>7001</v>
          </cell>
          <cell r="E1017" t="str">
            <v>0749</v>
          </cell>
          <cell r="F1017" t="str">
            <v>C5</v>
          </cell>
          <cell r="G1017" t="str">
            <v>SP</v>
          </cell>
          <cell r="H1017" t="str">
            <v>DISTRIBUIÇÃO</v>
          </cell>
          <cell r="I1017" t="str">
            <v>FOOD SERVICE</v>
          </cell>
          <cell r="J1017" t="str">
            <v>FLAC 2</v>
          </cell>
          <cell r="K1017" t="str">
            <v>LACTALIS</v>
          </cell>
          <cell r="L1017" t="str">
            <v>RODRIGO</v>
          </cell>
          <cell r="M1017" t="str">
            <v>RAQUEL BARBOSA</v>
          </cell>
        </row>
        <row r="1018">
          <cell r="B1018">
            <v>5147462</v>
          </cell>
          <cell r="C1018" t="str">
            <v>NOVAMIX FOOD SERV COM DE ALIM LTDA</v>
          </cell>
          <cell r="D1018">
            <v>3001</v>
          </cell>
          <cell r="E1018" t="str">
            <v>0169</v>
          </cell>
          <cell r="F1018" t="str">
            <v>C1</v>
          </cell>
          <cell r="G1018" t="str">
            <v>RJ</v>
          </cell>
          <cell r="H1018" t="str">
            <v>DISTRIBUIÇÃO</v>
          </cell>
          <cell r="I1018" t="str">
            <v>FOOD SERVICE</v>
          </cell>
          <cell r="J1018" t="str">
            <v>JULIANA CORDEIRO</v>
          </cell>
          <cell r="K1018" t="str">
            <v>ITAMBÉ</v>
          </cell>
          <cell r="L1018" t="str">
            <v>RODRIGO</v>
          </cell>
          <cell r="M1018" t="str">
            <v>JESSICA</v>
          </cell>
        </row>
        <row r="1019">
          <cell r="B1019">
            <v>5122245</v>
          </cell>
          <cell r="C1019" t="str">
            <v>NOVAMIX FOOD SERVICE COM DE ALIM LT</v>
          </cell>
          <cell r="D1019">
            <v>3001</v>
          </cell>
          <cell r="E1019" t="str">
            <v>0169</v>
          </cell>
          <cell r="F1019" t="str">
            <v>C1</v>
          </cell>
          <cell r="G1019" t="str">
            <v>RJ</v>
          </cell>
          <cell r="H1019" t="str">
            <v>DISTRIBUIÇÃO</v>
          </cell>
          <cell r="I1019" t="str">
            <v>FOOD SERVICE</v>
          </cell>
          <cell r="J1019" t="str">
            <v>JULIANA CORDEIRO</v>
          </cell>
          <cell r="K1019" t="str">
            <v>ITAMBÉ</v>
          </cell>
          <cell r="L1019" t="str">
            <v>RODRIGO</v>
          </cell>
          <cell r="M1019" t="str">
            <v>JESSICA</v>
          </cell>
        </row>
        <row r="1020">
          <cell r="B1020">
            <v>5182435</v>
          </cell>
          <cell r="C1020" t="str">
            <v>NOVAMIX FOOD SERVICE COM DE ALIM LT</v>
          </cell>
          <cell r="D1020">
            <v>3001</v>
          </cell>
          <cell r="E1020" t="str">
            <v>0169</v>
          </cell>
          <cell r="F1020" t="str">
            <v>C1</v>
          </cell>
          <cell r="G1020" t="str">
            <v>RJ</v>
          </cell>
          <cell r="H1020" t="str">
            <v>DISTRIBUIÇÃO</v>
          </cell>
          <cell r="I1020" t="str">
            <v>FOOD SERVICE</v>
          </cell>
          <cell r="J1020" t="str">
            <v>JULIANA CORDEIRO</v>
          </cell>
          <cell r="K1020" t="str">
            <v>ITAMBÉ</v>
          </cell>
          <cell r="L1020" t="str">
            <v>RODRIGO</v>
          </cell>
          <cell r="M1020" t="str">
            <v>JESSICA</v>
          </cell>
        </row>
        <row r="1021">
          <cell r="B1021">
            <v>5282868</v>
          </cell>
          <cell r="C1021" t="str">
            <v>NOVO HAMBURGER LANCHONETE LTDA</v>
          </cell>
          <cell r="D1021">
            <v>7001</v>
          </cell>
          <cell r="E1021" t="str">
            <v>0749</v>
          </cell>
          <cell r="F1021" t="str">
            <v>C5</v>
          </cell>
          <cell r="G1021" t="str">
            <v>SP</v>
          </cell>
          <cell r="H1021" t="str">
            <v>DISTRIBUIÇÃO</v>
          </cell>
          <cell r="I1021" t="str">
            <v>FOOD SERVICE</v>
          </cell>
          <cell r="J1021" t="str">
            <v>FLAC 6</v>
          </cell>
          <cell r="K1021" t="str">
            <v>LACTALIS</v>
          </cell>
          <cell r="L1021" t="str">
            <v>RODRIGO</v>
          </cell>
          <cell r="M1021" t="str">
            <v>RAQUEL BARBOSA</v>
          </cell>
        </row>
        <row r="1022">
          <cell r="B1022">
            <v>5309166</v>
          </cell>
          <cell r="C1022" t="str">
            <v>NS MAZZA ALIMENTOS LTDA</v>
          </cell>
          <cell r="D1022">
            <v>7001</v>
          </cell>
          <cell r="E1022" t="str">
            <v>0749</v>
          </cell>
          <cell r="F1022" t="str">
            <v>C5</v>
          </cell>
          <cell r="G1022" t="str">
            <v>SP</v>
          </cell>
          <cell r="H1022" t="str">
            <v>DISTRIBUIÇÃO</v>
          </cell>
          <cell r="I1022" t="str">
            <v>FOOD SERVICE</v>
          </cell>
          <cell r="J1022" t="str">
            <v>FLAC 2</v>
          </cell>
          <cell r="K1022" t="str">
            <v>LACTALIS</v>
          </cell>
          <cell r="L1022" t="str">
            <v>RODRIGO</v>
          </cell>
          <cell r="M1022" t="str">
            <v>RAQUEL BARBOSA</v>
          </cell>
        </row>
        <row r="1023">
          <cell r="B1023">
            <v>5178343</v>
          </cell>
          <cell r="C1023" t="str">
            <v>NT INDSUTRIA E COM DE PANIFICAC</v>
          </cell>
          <cell r="D1023">
            <v>3001</v>
          </cell>
          <cell r="E1023" t="str">
            <v>0128</v>
          </cell>
          <cell r="F1023" t="str">
            <v>C1</v>
          </cell>
          <cell r="G1023" t="str">
            <v>AM</v>
          </cell>
          <cell r="H1023" t="str">
            <v>DISTRIBUIÇÃO</v>
          </cell>
          <cell r="I1023" t="str">
            <v>FOOD SERVICE</v>
          </cell>
          <cell r="J1023" t="str">
            <v>CLAUDIO JORGE</v>
          </cell>
          <cell r="K1023" t="str">
            <v>ITAMBÉ</v>
          </cell>
          <cell r="L1023" t="str">
            <v>RODRIGO</v>
          </cell>
          <cell r="M1023" t="str">
            <v>MARCO AURELIO</v>
          </cell>
        </row>
        <row r="1024">
          <cell r="B1024">
            <v>5325147</v>
          </cell>
          <cell r="C1024" t="str">
            <v>NUTRI E SAUDE REFEICOES COLETIVAS L</v>
          </cell>
          <cell r="D1024">
            <v>7001</v>
          </cell>
          <cell r="E1024" t="str">
            <v>0749</v>
          </cell>
          <cell r="F1024" t="str">
            <v>C5</v>
          </cell>
          <cell r="G1024" t="str">
            <v>SP</v>
          </cell>
          <cell r="H1024" t="str">
            <v>DISTRIBUIÇÃO</v>
          </cell>
          <cell r="I1024" t="str">
            <v>FOOD SERVICE</v>
          </cell>
          <cell r="J1024" t="str">
            <v>FLAC 3</v>
          </cell>
          <cell r="K1024" t="str">
            <v>LACTALIS</v>
          </cell>
          <cell r="L1024" t="str">
            <v>RODRIGO</v>
          </cell>
          <cell r="M1024" t="str">
            <v>RAQUEL BARBOSA</v>
          </cell>
        </row>
        <row r="1025">
          <cell r="B1025">
            <v>5328261</v>
          </cell>
          <cell r="C1025" t="str">
            <v>NUTRI HOSPITALAR ALIMENTACAO E SERV</v>
          </cell>
          <cell r="D1025">
            <v>7001</v>
          </cell>
          <cell r="E1025" t="str">
            <v>0749</v>
          </cell>
          <cell r="F1025" t="str">
            <v>C5</v>
          </cell>
          <cell r="G1025" t="str">
            <v>SP</v>
          </cell>
          <cell r="H1025" t="str">
            <v>DISTRIBUIÇÃO</v>
          </cell>
          <cell r="I1025" t="str">
            <v>FOOD SERVICE</v>
          </cell>
          <cell r="J1025" t="str">
            <v>FLAC 3</v>
          </cell>
          <cell r="K1025" t="str">
            <v>LACTALIS</v>
          </cell>
          <cell r="L1025" t="str">
            <v>RODRIGO</v>
          </cell>
          <cell r="M1025" t="str">
            <v>RAQUEL BARBOSA</v>
          </cell>
        </row>
        <row r="1026">
          <cell r="B1026">
            <v>5278611</v>
          </cell>
          <cell r="C1026" t="str">
            <v>NUTRI LINE REF LTDA</v>
          </cell>
          <cell r="D1026">
            <v>7001</v>
          </cell>
          <cell r="E1026" t="str">
            <v>0749</v>
          </cell>
          <cell r="F1026" t="str">
            <v>C5</v>
          </cell>
          <cell r="G1026" t="str">
            <v>SP</v>
          </cell>
          <cell r="H1026" t="str">
            <v>DISTRIBUIÇÃO</v>
          </cell>
          <cell r="I1026" t="str">
            <v>FOOD SERVICE</v>
          </cell>
          <cell r="J1026" t="str">
            <v>FLAC 3</v>
          </cell>
          <cell r="K1026" t="str">
            <v>LACTALIS</v>
          </cell>
          <cell r="L1026" t="str">
            <v>RODRIGO</v>
          </cell>
          <cell r="M1026" t="str">
            <v>RAQUEL BARBOSA</v>
          </cell>
        </row>
        <row r="1027">
          <cell r="B1027">
            <v>5006419</v>
          </cell>
          <cell r="C1027" t="str">
            <v>NUTRIFAZ CESTA LTDA EPP</v>
          </cell>
          <cell r="D1027">
            <v>3001</v>
          </cell>
          <cell r="E1027" t="str">
            <v>0122</v>
          </cell>
          <cell r="F1027" t="str">
            <v>C1</v>
          </cell>
          <cell r="G1027" t="str">
            <v>MG</v>
          </cell>
          <cell r="H1027" t="str">
            <v>DISTRIBUIÇÃO</v>
          </cell>
          <cell r="I1027" t="str">
            <v>FOOD SERVICE</v>
          </cell>
          <cell r="J1027" t="str">
            <v>MARCELO SILVA</v>
          </cell>
          <cell r="K1027" t="str">
            <v>ITAMBÉ</v>
          </cell>
          <cell r="L1027" t="str">
            <v>RODRIGO</v>
          </cell>
          <cell r="M1027" t="str">
            <v>CELIO MARTINS</v>
          </cell>
        </row>
        <row r="1028">
          <cell r="B1028">
            <v>5088696</v>
          </cell>
          <cell r="C1028" t="str">
            <v>NUTRIMENTAL SA IND COM ALIMENTOS</v>
          </cell>
          <cell r="D1028">
            <v>3001</v>
          </cell>
          <cell r="E1028" t="str">
            <v>0126</v>
          </cell>
          <cell r="F1028" t="str">
            <v>C1</v>
          </cell>
          <cell r="G1028" t="str">
            <v>PR</v>
          </cell>
          <cell r="H1028" t="str">
            <v>INGREDIENTS</v>
          </cell>
          <cell r="I1028" t="str">
            <v>INGREDIENTS</v>
          </cell>
          <cell r="J1028" t="str">
            <v>MARCELO RODRIGUES</v>
          </cell>
          <cell r="K1028" t="str">
            <v>ITAMBÉ</v>
          </cell>
          <cell r="L1028" t="str">
            <v>MAURICIO</v>
          </cell>
          <cell r="M1028" t="str">
            <v>MARCELO</v>
          </cell>
        </row>
        <row r="1029">
          <cell r="B1029">
            <v>5333061</v>
          </cell>
          <cell r="C1029" t="str">
            <v>NUTRISANTOS ALIMENTACAO ANIMAL</v>
          </cell>
          <cell r="D1029">
            <v>3001</v>
          </cell>
          <cell r="E1029" t="str">
            <v>0122</v>
          </cell>
          <cell r="F1029" t="str">
            <v>C1</v>
          </cell>
          <cell r="G1029" t="str">
            <v>MG</v>
          </cell>
          <cell r="H1029" t="str">
            <v>INGREDIENTS</v>
          </cell>
          <cell r="I1029" t="str">
            <v>INGREDIENTS</v>
          </cell>
          <cell r="J1029" t="str">
            <v>HENRIQUE FERREIRA</v>
          </cell>
          <cell r="K1029" t="str">
            <v>ITAMBÉ</v>
          </cell>
          <cell r="L1029" t="str">
            <v>MAURICIO</v>
          </cell>
          <cell r="M1029" t="str">
            <v>JOEL</v>
          </cell>
        </row>
        <row r="1030">
          <cell r="B1030">
            <v>5229621</v>
          </cell>
          <cell r="C1030" t="str">
            <v>NUTRY MAX COMERCIO DE PRODUTOS</v>
          </cell>
          <cell r="D1030">
            <v>3001</v>
          </cell>
          <cell r="E1030" t="str">
            <v>0169</v>
          </cell>
          <cell r="F1030" t="str">
            <v>C1</v>
          </cell>
          <cell r="G1030" t="str">
            <v>RJ</v>
          </cell>
          <cell r="H1030" t="str">
            <v>DISTRIBUIÇÃO</v>
          </cell>
          <cell r="I1030" t="str">
            <v>FOOD SERVICE</v>
          </cell>
          <cell r="J1030" t="str">
            <v>JESSICA CARLA</v>
          </cell>
          <cell r="K1030" t="str">
            <v>ITAMBÉ</v>
          </cell>
          <cell r="L1030" t="str">
            <v>RODRIGO</v>
          </cell>
          <cell r="M1030" t="str">
            <v>JESSICA</v>
          </cell>
        </row>
        <row r="1031">
          <cell r="B1031">
            <v>5258848</v>
          </cell>
          <cell r="C1031" t="str">
            <v>NVC COMERCIO DE ALIMENTOS LTDA</v>
          </cell>
          <cell r="D1031">
            <v>7001</v>
          </cell>
          <cell r="E1031" t="str">
            <v>0749</v>
          </cell>
          <cell r="F1031" t="str">
            <v>C5</v>
          </cell>
          <cell r="G1031" t="str">
            <v>SP</v>
          </cell>
          <cell r="H1031" t="str">
            <v>DISTRIBUIÇÃO</v>
          </cell>
          <cell r="I1031" t="str">
            <v>FOOD SERVICE</v>
          </cell>
          <cell r="J1031" t="str">
            <v>FLAC 2</v>
          </cell>
          <cell r="K1031" t="str">
            <v>LACTALIS</v>
          </cell>
          <cell r="L1031" t="str">
            <v>RODRIGO</v>
          </cell>
          <cell r="M1031" t="str">
            <v>RAQUEL BARBOSA</v>
          </cell>
        </row>
        <row r="1032">
          <cell r="B1032">
            <v>5321724</v>
          </cell>
          <cell r="C1032" t="str">
            <v>NWH RESTAURANTES LTDA</v>
          </cell>
          <cell r="D1032">
            <v>7001</v>
          </cell>
          <cell r="E1032" t="str">
            <v>0749</v>
          </cell>
          <cell r="F1032" t="str">
            <v>C5</v>
          </cell>
          <cell r="G1032" t="str">
            <v>SP</v>
          </cell>
          <cell r="H1032" t="str">
            <v>DISTRIBUIÇÃO</v>
          </cell>
          <cell r="I1032" t="str">
            <v>FOOD SERVICE</v>
          </cell>
          <cell r="J1032" t="str">
            <v>FLAC 5</v>
          </cell>
          <cell r="K1032" t="str">
            <v>LACTALIS</v>
          </cell>
          <cell r="L1032" t="str">
            <v>RODRIGO</v>
          </cell>
          <cell r="M1032" t="str">
            <v>RAQUEL BARBOSA</v>
          </cell>
        </row>
        <row r="1033">
          <cell r="B1033">
            <v>5225724</v>
          </cell>
          <cell r="C1033" t="str">
            <v>O A DE FRANCA BEBIDAS</v>
          </cell>
          <cell r="D1033">
            <v>7001</v>
          </cell>
          <cell r="E1033" t="str">
            <v>0749</v>
          </cell>
          <cell r="F1033" t="str">
            <v>C5</v>
          </cell>
          <cell r="G1033" t="str">
            <v>SP</v>
          </cell>
          <cell r="H1033" t="str">
            <v>DISTRIBUIÇÃO</v>
          </cell>
          <cell r="I1033" t="str">
            <v>FOOD SERVICE</v>
          </cell>
          <cell r="J1033" t="str">
            <v>FLAC 7</v>
          </cell>
          <cell r="K1033" t="str">
            <v>LACTALIS</v>
          </cell>
          <cell r="L1033" t="str">
            <v>RODRIGO</v>
          </cell>
          <cell r="M1033" t="str">
            <v>RAQUEL BARBOSA</v>
          </cell>
        </row>
        <row r="1034">
          <cell r="B1034">
            <v>5229017</v>
          </cell>
          <cell r="C1034" t="str">
            <v>O MUNDO DOS CHOCOLATES LTDA</v>
          </cell>
          <cell r="D1034">
            <v>3001</v>
          </cell>
          <cell r="E1034" t="str">
            <v>0127</v>
          </cell>
          <cell r="F1034" t="str">
            <v>C1</v>
          </cell>
          <cell r="G1034" t="str">
            <v>RN</v>
          </cell>
          <cell r="H1034" t="str">
            <v>DISTRIBUIÇÃO</v>
          </cell>
          <cell r="I1034" t="str">
            <v>FOOD SERVICE</v>
          </cell>
          <cell r="J1034" t="str">
            <v>CLAUDIO JORGE</v>
          </cell>
          <cell r="K1034" t="str">
            <v>ITAMBÉ</v>
          </cell>
          <cell r="L1034" t="str">
            <v>RODRIGO</v>
          </cell>
          <cell r="M1034" t="str">
            <v>MARIA LOURDES</v>
          </cell>
        </row>
        <row r="1035">
          <cell r="B1035">
            <v>5272992</v>
          </cell>
          <cell r="C1035" t="str">
            <v>O PACHA EMPORIO E ASSESSORIA EIRELI</v>
          </cell>
          <cell r="D1035">
            <v>7001</v>
          </cell>
          <cell r="E1035" t="str">
            <v>0749</v>
          </cell>
          <cell r="F1035" t="str">
            <v>C5</v>
          </cell>
          <cell r="G1035" t="str">
            <v>SP</v>
          </cell>
          <cell r="H1035" t="str">
            <v>DISTRIBUIÇÃO</v>
          </cell>
          <cell r="I1035" t="str">
            <v>FOOD SERVICE</v>
          </cell>
          <cell r="J1035" t="str">
            <v>FLAC 2</v>
          </cell>
          <cell r="K1035" t="str">
            <v>LACTALIS</v>
          </cell>
          <cell r="L1035" t="str">
            <v>RODRIGO</v>
          </cell>
          <cell r="M1035" t="str">
            <v>RAQUEL BARBOSA</v>
          </cell>
        </row>
        <row r="1036">
          <cell r="B1036">
            <v>5278430</v>
          </cell>
          <cell r="C1036" t="str">
            <v>OBLATOS DE MARIA IMACULADA</v>
          </cell>
          <cell r="D1036">
            <v>7001</v>
          </cell>
          <cell r="E1036" t="str">
            <v>0749</v>
          </cell>
          <cell r="F1036" t="str">
            <v>C5</v>
          </cell>
          <cell r="G1036" t="str">
            <v>SP</v>
          </cell>
          <cell r="H1036" t="str">
            <v>DISTRIBUIÇÃO</v>
          </cell>
          <cell r="I1036" t="str">
            <v>FOOD SERVICE</v>
          </cell>
          <cell r="J1036" t="str">
            <v>FLAC 2</v>
          </cell>
          <cell r="K1036" t="str">
            <v>LACTALIS</v>
          </cell>
          <cell r="L1036" t="str">
            <v>RODRIGO</v>
          </cell>
          <cell r="M1036" t="str">
            <v>RAQUEL BARBOSA</v>
          </cell>
        </row>
        <row r="1037">
          <cell r="B1037">
            <v>5130738</v>
          </cell>
          <cell r="C1037" t="str">
            <v>ODAIR JOSE DA SILVA COUTO 882126105</v>
          </cell>
          <cell r="D1037">
            <v>3001</v>
          </cell>
          <cell r="E1037" t="str">
            <v>0127</v>
          </cell>
          <cell r="F1037" t="str">
            <v>C1</v>
          </cell>
          <cell r="G1037" t="str">
            <v>BA</v>
          </cell>
          <cell r="H1037" t="str">
            <v>DISTRIBUIÇÃO</v>
          </cell>
          <cell r="I1037" t="str">
            <v>FOOD SERVICE</v>
          </cell>
          <cell r="J1037" t="str">
            <v>CLAUDIO JORGE/LUIZ</v>
          </cell>
          <cell r="K1037" t="str">
            <v>ITAMBÉ</v>
          </cell>
          <cell r="L1037" t="str">
            <v>RODRIGO</v>
          </cell>
          <cell r="M1037" t="str">
            <v>MARIA LOURDES</v>
          </cell>
        </row>
        <row r="1038">
          <cell r="B1038">
            <v>5223419</v>
          </cell>
          <cell r="C1038" t="str">
            <v>OESA COMERCIO E REPRESENTACOES</v>
          </cell>
          <cell r="D1038">
            <v>3001</v>
          </cell>
          <cell r="E1038" t="str">
            <v>0123</v>
          </cell>
          <cell r="F1038" t="str">
            <v>C1</v>
          </cell>
          <cell r="G1038" t="str">
            <v>DF</v>
          </cell>
          <cell r="H1038" t="str">
            <v>DISTRIBUIÇÃO</v>
          </cell>
          <cell r="I1038" t="str">
            <v>FOOD SERVICE</v>
          </cell>
          <cell r="J1038" t="str">
            <v>CLAUDIO JORGE</v>
          </cell>
          <cell r="K1038" t="str">
            <v>ITAMBÉ</v>
          </cell>
          <cell r="L1038" t="str">
            <v>RODRIGO</v>
          </cell>
          <cell r="M1038" t="str">
            <v>MARCO AURELIO</v>
          </cell>
        </row>
        <row r="1039">
          <cell r="B1039">
            <v>5195927</v>
          </cell>
          <cell r="C1039" t="str">
            <v>OESA COMERCIO E REPRESENTACOES</v>
          </cell>
          <cell r="D1039">
            <v>3001</v>
          </cell>
          <cell r="E1039" t="str">
            <v>0126</v>
          </cell>
          <cell r="F1039" t="str">
            <v>C1</v>
          </cell>
          <cell r="G1039" t="str">
            <v>SC</v>
          </cell>
          <cell r="H1039" t="str">
            <v>DISTRIBUIÇÃO</v>
          </cell>
          <cell r="I1039" t="str">
            <v>FOOD SERVICE</v>
          </cell>
          <cell r="J1039" t="str">
            <v>ANGELICA BATISTELA</v>
          </cell>
          <cell r="K1039" t="str">
            <v>ITAMBÉ</v>
          </cell>
          <cell r="L1039" t="str">
            <v>RODRIGO</v>
          </cell>
          <cell r="M1039" t="str">
            <v>ANGELICA BATISTELA</v>
          </cell>
        </row>
        <row r="1040">
          <cell r="B1040">
            <v>5318875</v>
          </cell>
          <cell r="C1040" t="str">
            <v>OESA COMERCIO E REPRESENTACOES</v>
          </cell>
          <cell r="D1040">
            <v>3001</v>
          </cell>
          <cell r="E1040" t="str">
            <v>0122</v>
          </cell>
          <cell r="F1040" t="str">
            <v>C1</v>
          </cell>
          <cell r="G1040" t="str">
            <v>MG</v>
          </cell>
          <cell r="H1040" t="str">
            <v>DISTRIBUIÇÃO</v>
          </cell>
          <cell r="I1040" t="str">
            <v>FOOD SERVICE</v>
          </cell>
          <cell r="J1040" t="str">
            <v>CELIO/MARANATHA</v>
          </cell>
          <cell r="K1040" t="str">
            <v>ITAMBÉ</v>
          </cell>
          <cell r="L1040" t="str">
            <v>RODRIGO</v>
          </cell>
          <cell r="M1040" t="str">
            <v>CELIO MARTINS</v>
          </cell>
        </row>
        <row r="1041">
          <cell r="B1041">
            <v>5226805</v>
          </cell>
          <cell r="C1041" t="str">
            <v>OESA COMERCIO E REPRESENTACOES SA</v>
          </cell>
          <cell r="D1041">
            <v>3001</v>
          </cell>
          <cell r="E1041" t="str">
            <v>0122</v>
          </cell>
          <cell r="F1041" t="str">
            <v>C1</v>
          </cell>
          <cell r="G1041" t="str">
            <v>MG</v>
          </cell>
          <cell r="H1041" t="str">
            <v>DISTRIBUIÇÃO</v>
          </cell>
          <cell r="I1041" t="str">
            <v>FOOD SERVICE</v>
          </cell>
          <cell r="J1041" t="str">
            <v>CELIO/MARANATHA</v>
          </cell>
          <cell r="K1041" t="str">
            <v>ITAMBÉ</v>
          </cell>
          <cell r="L1041" t="str">
            <v>RODRIGO</v>
          </cell>
          <cell r="M1041" t="str">
            <v>CELIO MARTINS</v>
          </cell>
        </row>
        <row r="1042">
          <cell r="B1042">
            <v>5027658</v>
          </cell>
          <cell r="C1042" t="str">
            <v>OESA COMERCIO E REPRESENTACOES SA</v>
          </cell>
          <cell r="D1042">
            <v>3001</v>
          </cell>
          <cell r="E1042" t="str">
            <v>0126</v>
          </cell>
          <cell r="F1042" t="str">
            <v>C1</v>
          </cell>
          <cell r="G1042" t="str">
            <v>SC</v>
          </cell>
          <cell r="H1042" t="str">
            <v>DISTRIBUIÇÃO</v>
          </cell>
          <cell r="I1042" t="str">
            <v>FOOD SERVICE</v>
          </cell>
          <cell r="J1042" t="str">
            <v>ANGELICA BATISTELA</v>
          </cell>
          <cell r="K1042" t="str">
            <v>ITAMBÉ</v>
          </cell>
          <cell r="L1042" t="str">
            <v>RODRIGO</v>
          </cell>
          <cell r="M1042" t="str">
            <v>ANGELICA BATISTELA</v>
          </cell>
        </row>
        <row r="1043">
          <cell r="B1043">
            <v>5217293</v>
          </cell>
          <cell r="C1043" t="str">
            <v>OESA COMERCIO E REPRESENTACOES SA</v>
          </cell>
          <cell r="D1043">
            <v>6001</v>
          </cell>
          <cell r="E1043" t="str">
            <v>6125</v>
          </cell>
          <cell r="F1043" t="str">
            <v>C1</v>
          </cell>
          <cell r="G1043" t="str">
            <v>SP</v>
          </cell>
          <cell r="H1043" t="str">
            <v>DISTRIBUIÇÃO</v>
          </cell>
          <cell r="I1043" t="str">
            <v>FOOD SERVICE</v>
          </cell>
          <cell r="J1043" t="str">
            <v>VAGO SP</v>
          </cell>
          <cell r="K1043" t="str">
            <v>ITAMBÉ</v>
          </cell>
          <cell r="L1043" t="str">
            <v>RODRIGO</v>
          </cell>
          <cell r="M1043" t="str">
            <v>RAQUEL BARBOSA</v>
          </cell>
        </row>
        <row r="1044">
          <cell r="B1044">
            <v>5133455</v>
          </cell>
          <cell r="C1044" t="str">
            <v>OF COMERCIO DE PROD ALIMENTICIOS LT</v>
          </cell>
          <cell r="D1044">
            <v>3001</v>
          </cell>
          <cell r="E1044" t="str">
            <v>0122</v>
          </cell>
          <cell r="F1044" t="str">
            <v>C1</v>
          </cell>
          <cell r="G1044" t="str">
            <v>MG</v>
          </cell>
          <cell r="H1044" t="str">
            <v>INGREDIENTS</v>
          </cell>
          <cell r="I1044" t="str">
            <v>INGREDIENTS</v>
          </cell>
          <cell r="J1044" t="str">
            <v>HENRIQUE FERREIRA</v>
          </cell>
          <cell r="K1044" t="str">
            <v>ITAMBÉ</v>
          </cell>
          <cell r="L1044" t="str">
            <v>MAURICIO</v>
          </cell>
          <cell r="M1044" t="str">
            <v>JOEL</v>
          </cell>
        </row>
        <row r="1045">
          <cell r="B1045">
            <v>5321723</v>
          </cell>
          <cell r="C1045" t="str">
            <v>OF RESTAURANTE LTDA</v>
          </cell>
          <cell r="D1045">
            <v>7001</v>
          </cell>
          <cell r="E1045" t="str">
            <v>0749</v>
          </cell>
          <cell r="F1045" t="str">
            <v>C5</v>
          </cell>
          <cell r="G1045" t="str">
            <v>SP</v>
          </cell>
          <cell r="H1045" t="str">
            <v>DISTRIBUIÇÃO</v>
          </cell>
          <cell r="I1045" t="str">
            <v>FOOD SERVICE</v>
          </cell>
          <cell r="J1045" t="str">
            <v>FLAC 5</v>
          </cell>
          <cell r="K1045" t="str">
            <v>LACTALIS</v>
          </cell>
          <cell r="L1045" t="str">
            <v>RODRIGO</v>
          </cell>
          <cell r="M1045" t="str">
            <v>RAQUEL BARBOSA</v>
          </cell>
        </row>
        <row r="1046">
          <cell r="B1046">
            <v>5230504</v>
          </cell>
          <cell r="C1046" t="str">
            <v>OFERTA EXPRESSA DISTRIBUIDORA DE AL</v>
          </cell>
          <cell r="D1046">
            <v>7001</v>
          </cell>
          <cell r="E1046" t="str">
            <v>0749</v>
          </cell>
          <cell r="F1046" t="str">
            <v>C5</v>
          </cell>
          <cell r="G1046" t="str">
            <v>SP</v>
          </cell>
          <cell r="H1046" t="str">
            <v>DISTRIBUIÇÃO</v>
          </cell>
          <cell r="I1046" t="str">
            <v>FOOD SERVICE</v>
          </cell>
          <cell r="J1046" t="str">
            <v>FLAC 6</v>
          </cell>
          <cell r="K1046" t="str">
            <v>LACTALIS</v>
          </cell>
          <cell r="L1046" t="str">
            <v>RODRIGO</v>
          </cell>
          <cell r="M1046" t="str">
            <v>RAQUEL BARBOSA</v>
          </cell>
        </row>
        <row r="1047">
          <cell r="B1047">
            <v>5334647</v>
          </cell>
          <cell r="C1047" t="str">
            <v>OGGI SORVETES  LTDA</v>
          </cell>
          <cell r="D1047">
            <v>3001</v>
          </cell>
          <cell r="E1047" t="str">
            <v>0127</v>
          </cell>
          <cell r="F1047" t="str">
            <v>C1</v>
          </cell>
          <cell r="G1047" t="str">
            <v>PE</v>
          </cell>
          <cell r="H1047" t="str">
            <v>INGREDIENTS</v>
          </cell>
          <cell r="I1047" t="str">
            <v>INGREDIENTS</v>
          </cell>
          <cell r="J1047" t="str">
            <v>MARCELO RODRIGUES</v>
          </cell>
          <cell r="K1047" t="str">
            <v>ITAMBÉ</v>
          </cell>
          <cell r="L1047" t="str">
            <v>MAURICIO</v>
          </cell>
          <cell r="M1047" t="str">
            <v>MARCELO</v>
          </cell>
        </row>
        <row r="1048">
          <cell r="B1048">
            <v>5195807</v>
          </cell>
          <cell r="C1048" t="str">
            <v>OIPAN DISTRIBUIDOR DE PROD ALIMENTI</v>
          </cell>
          <cell r="D1048">
            <v>6001</v>
          </cell>
          <cell r="E1048" t="str">
            <v>6125</v>
          </cell>
          <cell r="F1048" t="str">
            <v>C1</v>
          </cell>
          <cell r="G1048" t="str">
            <v>SP</v>
          </cell>
          <cell r="H1048" t="str">
            <v>DISTRIBUIÇÃO</v>
          </cell>
          <cell r="I1048" t="str">
            <v>FOOD SERVICE</v>
          </cell>
          <cell r="J1048" t="str">
            <v>ALEXANDRE BONANI</v>
          </cell>
          <cell r="K1048" t="str">
            <v>ITAMBÉ</v>
          </cell>
          <cell r="L1048" t="str">
            <v>RODRIGO</v>
          </cell>
          <cell r="M1048" t="str">
            <v>ALEXANDRE BONANI</v>
          </cell>
        </row>
        <row r="1049">
          <cell r="B1049">
            <v>5075754</v>
          </cell>
          <cell r="C1049" t="str">
            <v>OMEGA DISTR DE PROD ALIM LTDA</v>
          </cell>
          <cell r="D1049">
            <v>3001</v>
          </cell>
          <cell r="E1049" t="str">
            <v>0127</v>
          </cell>
          <cell r="F1049" t="str">
            <v>C1</v>
          </cell>
          <cell r="G1049" t="str">
            <v>CE</v>
          </cell>
          <cell r="H1049" t="str">
            <v>DISTRIBUIÇÃO</v>
          </cell>
          <cell r="I1049" t="str">
            <v>FOOD SERVICE</v>
          </cell>
          <cell r="J1049" t="str">
            <v>WH FOOD SERVICE CE</v>
          </cell>
          <cell r="K1049" t="str">
            <v>ITAMBÉ</v>
          </cell>
          <cell r="L1049" t="str">
            <v>RODRIGO</v>
          </cell>
          <cell r="M1049" t="str">
            <v>MARIA LOURDES</v>
          </cell>
        </row>
        <row r="1050">
          <cell r="B1050">
            <v>5308411</v>
          </cell>
          <cell r="C1050" t="str">
            <v>ORGANIZACOES BRAZALMEIDA COMERCIO D</v>
          </cell>
          <cell r="D1050">
            <v>3001</v>
          </cell>
          <cell r="E1050" t="str">
            <v>0122</v>
          </cell>
          <cell r="F1050" t="str">
            <v>C1</v>
          </cell>
          <cell r="G1050" t="str">
            <v>MG</v>
          </cell>
          <cell r="H1050" t="str">
            <v>DISTRIBUIÇÃO</v>
          </cell>
          <cell r="I1050" t="str">
            <v>FOOD SERVICE</v>
          </cell>
          <cell r="J1050" t="str">
            <v>MARCELO SILVA</v>
          </cell>
          <cell r="K1050" t="str">
            <v>ITAMBÉ</v>
          </cell>
          <cell r="L1050" t="str">
            <v>RODRIGO</v>
          </cell>
          <cell r="M1050" t="str">
            <v>CELIO MARTINS</v>
          </cell>
        </row>
        <row r="1051">
          <cell r="B1051">
            <v>5321058</v>
          </cell>
          <cell r="C1051" t="str">
            <v>ORLANDO C M PAES E DOCES ARTESANAIS</v>
          </cell>
          <cell r="D1051">
            <v>7001</v>
          </cell>
          <cell r="E1051" t="str">
            <v>0749</v>
          </cell>
          <cell r="F1051" t="str">
            <v>C5</v>
          </cell>
          <cell r="G1051" t="str">
            <v>SP</v>
          </cell>
          <cell r="H1051" t="str">
            <v>DISTRIBUIÇÃO</v>
          </cell>
          <cell r="I1051" t="str">
            <v>FOOD SERVICE</v>
          </cell>
          <cell r="J1051" t="str">
            <v>FLAC 6</v>
          </cell>
          <cell r="K1051" t="str">
            <v>LACTALIS</v>
          </cell>
          <cell r="L1051" t="str">
            <v>RODRIGO</v>
          </cell>
          <cell r="M1051" t="str">
            <v>RAQUEL BARBOSA</v>
          </cell>
        </row>
        <row r="1052">
          <cell r="B1052">
            <v>5269005</v>
          </cell>
          <cell r="C1052" t="str">
            <v>OSE APARECIDO GONCALVES DE MAT</v>
          </cell>
          <cell r="D1052">
            <v>7001</v>
          </cell>
          <cell r="E1052" t="str">
            <v>0749</v>
          </cell>
          <cell r="F1052" t="str">
            <v>C5</v>
          </cell>
          <cell r="G1052" t="str">
            <v>SP</v>
          </cell>
          <cell r="H1052" t="str">
            <v>DISTRIBUIÇÃO</v>
          </cell>
          <cell r="I1052" t="str">
            <v>FOOD SERVICE</v>
          </cell>
          <cell r="J1052" t="str">
            <v>FLAC 6</v>
          </cell>
          <cell r="K1052" t="str">
            <v>LACTALIS</v>
          </cell>
          <cell r="L1052" t="str">
            <v>RODRIGO</v>
          </cell>
          <cell r="M1052" t="str">
            <v>RAQUEL BARBOSA</v>
          </cell>
        </row>
        <row r="1053">
          <cell r="B1053">
            <v>5269006</v>
          </cell>
          <cell r="C1053" t="str">
            <v>OSMAR ROMANO PEREIRA 16996602807</v>
          </cell>
          <cell r="D1053">
            <v>7001</v>
          </cell>
          <cell r="E1053" t="str">
            <v>0749</v>
          </cell>
          <cell r="F1053" t="str">
            <v>C5</v>
          </cell>
          <cell r="G1053" t="str">
            <v>SP</v>
          </cell>
          <cell r="H1053" t="str">
            <v>DISTRIBUIÇÃO</v>
          </cell>
          <cell r="I1053" t="str">
            <v>FOOD SERVICE</v>
          </cell>
          <cell r="J1053" t="str">
            <v>FLAC 2</v>
          </cell>
          <cell r="K1053" t="str">
            <v>LACTALIS</v>
          </cell>
          <cell r="L1053" t="str">
            <v>RODRIGO</v>
          </cell>
          <cell r="M1053" t="str">
            <v>RAQUEL BARBOSA</v>
          </cell>
        </row>
        <row r="1054">
          <cell r="B1054">
            <v>5127995</v>
          </cell>
          <cell r="C1054" t="str">
            <v>OTTIMA ALIMENTOS BASICOS LT</v>
          </cell>
          <cell r="D1054">
            <v>7001</v>
          </cell>
          <cell r="E1054" t="str">
            <v>0749</v>
          </cell>
          <cell r="F1054" t="str">
            <v>C5</v>
          </cell>
          <cell r="G1054" t="str">
            <v>SP</v>
          </cell>
          <cell r="H1054" t="str">
            <v>DISTRIBUIÇÃO</v>
          </cell>
          <cell r="I1054" t="str">
            <v>FOOD SERVICE</v>
          </cell>
          <cell r="J1054" t="str">
            <v>FLAC 1</v>
          </cell>
          <cell r="K1054" t="str">
            <v>LACTALIS</v>
          </cell>
          <cell r="L1054" t="str">
            <v>RODRIGO</v>
          </cell>
          <cell r="M1054" t="str">
            <v>RAQUEL BARBOSA</v>
          </cell>
        </row>
        <row r="1055">
          <cell r="B1055">
            <v>5280471</v>
          </cell>
          <cell r="C1055" t="str">
            <v>P 3 ADM EM COMPLEXOS IMOBILIARIOS</v>
          </cell>
          <cell r="D1055">
            <v>7001</v>
          </cell>
          <cell r="E1055" t="str">
            <v>0749</v>
          </cell>
          <cell r="F1055" t="str">
            <v>C5</v>
          </cell>
          <cell r="G1055" t="str">
            <v>SP</v>
          </cell>
          <cell r="H1055" t="str">
            <v>DISTRIBUIÇÃO</v>
          </cell>
          <cell r="I1055" t="str">
            <v>FOOD SERVICE</v>
          </cell>
          <cell r="J1055" t="str">
            <v>FLAC 2</v>
          </cell>
          <cell r="K1055" t="str">
            <v>LACTALIS</v>
          </cell>
          <cell r="L1055" t="str">
            <v>RODRIGO</v>
          </cell>
          <cell r="M1055" t="str">
            <v>RAQUEL BARBOSA</v>
          </cell>
        </row>
        <row r="1056">
          <cell r="B1056">
            <v>5316251</v>
          </cell>
          <cell r="C1056" t="str">
            <v>P GASTRONOMIA LTDA</v>
          </cell>
          <cell r="D1056">
            <v>7001</v>
          </cell>
          <cell r="E1056" t="str">
            <v>0749</v>
          </cell>
          <cell r="F1056" t="str">
            <v>C5</v>
          </cell>
          <cell r="G1056" t="str">
            <v>SP</v>
          </cell>
          <cell r="H1056" t="str">
            <v>DISTRIBUIÇÃO</v>
          </cell>
          <cell r="I1056" t="str">
            <v>FOOD SERVICE</v>
          </cell>
          <cell r="J1056" t="str">
            <v>FLAC 6</v>
          </cell>
          <cell r="K1056" t="str">
            <v>LACTALIS</v>
          </cell>
          <cell r="L1056" t="str">
            <v>RODRIGO</v>
          </cell>
          <cell r="M1056" t="str">
            <v>RAQUEL BARBOSA</v>
          </cell>
        </row>
        <row r="1057">
          <cell r="B1057">
            <v>5339004</v>
          </cell>
          <cell r="C1057" t="str">
            <v>P S DISTRIBUIDORA LTDA</v>
          </cell>
          <cell r="D1057">
            <v>3001</v>
          </cell>
          <cell r="E1057" t="str">
            <v>0028</v>
          </cell>
          <cell r="F1057" t="str">
            <v>C1</v>
          </cell>
          <cell r="G1057" t="str">
            <v>PR</v>
          </cell>
          <cell r="H1057" t="str">
            <v>INGREDIENTS</v>
          </cell>
          <cell r="I1057" t="str">
            <v>INGREDIENTS</v>
          </cell>
          <cell r="J1057" t="str">
            <v>DUAS RODAS</v>
          </cell>
          <cell r="K1057" t="str">
            <v>ITAMBÉ</v>
          </cell>
          <cell r="L1057" t="str">
            <v>MAURICIO</v>
          </cell>
          <cell r="M1057" t="str">
            <v>MARCELO</v>
          </cell>
        </row>
        <row r="1058">
          <cell r="B1058">
            <v>5249184</v>
          </cell>
          <cell r="C1058" t="str">
            <v>P W CAFE E LANCHES LTDA</v>
          </cell>
          <cell r="D1058">
            <v>7001</v>
          </cell>
          <cell r="E1058" t="str">
            <v>0749</v>
          </cell>
          <cell r="F1058" t="str">
            <v>C5</v>
          </cell>
          <cell r="G1058" t="str">
            <v>SP</v>
          </cell>
          <cell r="H1058" t="str">
            <v>DISTRIBUIÇÃO</v>
          </cell>
          <cell r="I1058" t="str">
            <v>FOOD SERVICE</v>
          </cell>
          <cell r="J1058" t="str">
            <v>FLAC 2</v>
          </cell>
          <cell r="K1058" t="str">
            <v>LACTALIS</v>
          </cell>
          <cell r="L1058" t="str">
            <v>RODRIGO</v>
          </cell>
          <cell r="M1058" t="str">
            <v>RAQUEL BARBOSA</v>
          </cell>
        </row>
        <row r="1059">
          <cell r="B1059">
            <v>5337089</v>
          </cell>
          <cell r="C1059" t="str">
            <v>PADANG CAFETERIA LTDA</v>
          </cell>
          <cell r="D1059">
            <v>7001</v>
          </cell>
          <cell r="E1059" t="str">
            <v>0749</v>
          </cell>
          <cell r="F1059" t="str">
            <v>C5</v>
          </cell>
          <cell r="G1059" t="str">
            <v>SP</v>
          </cell>
          <cell r="H1059" t="str">
            <v>DISTRIBUIÇÃO</v>
          </cell>
          <cell r="I1059" t="str">
            <v>FOOD SERVICE</v>
          </cell>
          <cell r="J1059" t="str">
            <v>FLAC 2</v>
          </cell>
          <cell r="K1059" t="str">
            <v>LACTALIS</v>
          </cell>
          <cell r="L1059" t="str">
            <v>RODRIGO</v>
          </cell>
          <cell r="M1059" t="str">
            <v>RAQUEL BARBOSA</v>
          </cell>
        </row>
        <row r="1060">
          <cell r="B1060">
            <v>5262403</v>
          </cell>
          <cell r="C1060" t="str">
            <v>PADARIA ARTESANAL MEDITERRAIN LTDA</v>
          </cell>
          <cell r="D1060">
            <v>7001</v>
          </cell>
          <cell r="E1060" t="str">
            <v>0749</v>
          </cell>
          <cell r="F1060" t="str">
            <v>C5</v>
          </cell>
          <cell r="G1060" t="str">
            <v>SP</v>
          </cell>
          <cell r="H1060" t="str">
            <v>DISTRIBUIÇÃO</v>
          </cell>
          <cell r="I1060" t="str">
            <v>FOOD SERVICE</v>
          </cell>
          <cell r="J1060" t="str">
            <v>FLAC 2</v>
          </cell>
          <cell r="K1060" t="str">
            <v>LACTALIS</v>
          </cell>
          <cell r="L1060" t="str">
            <v>RODRIGO</v>
          </cell>
          <cell r="M1060" t="str">
            <v>RAQUEL BARBOSA</v>
          </cell>
        </row>
        <row r="1061">
          <cell r="B1061">
            <v>5255022</v>
          </cell>
          <cell r="C1061" t="str">
            <v>PADARIA E LOJA DE CONVENIENCIA</v>
          </cell>
          <cell r="D1061">
            <v>7001</v>
          </cell>
          <cell r="E1061" t="str">
            <v>0749</v>
          </cell>
          <cell r="F1061" t="str">
            <v>C5</v>
          </cell>
          <cell r="G1061" t="str">
            <v>SP</v>
          </cell>
          <cell r="H1061" t="str">
            <v>DISTRIBUIÇÃO</v>
          </cell>
          <cell r="I1061" t="str">
            <v>FOOD SERVICE</v>
          </cell>
          <cell r="J1061" t="str">
            <v>FLAC 2</v>
          </cell>
          <cell r="K1061" t="str">
            <v>LACTALIS</v>
          </cell>
          <cell r="L1061" t="str">
            <v>RODRIGO</v>
          </cell>
          <cell r="M1061" t="str">
            <v>RAQUEL BARBOSA</v>
          </cell>
        </row>
        <row r="1062">
          <cell r="B1062">
            <v>5340514</v>
          </cell>
          <cell r="C1062" t="str">
            <v>PADARIA PISELLI IND LTDA</v>
          </cell>
          <cell r="D1062">
            <v>7001</v>
          </cell>
          <cell r="E1062" t="str">
            <v>0749</v>
          </cell>
          <cell r="F1062" t="str">
            <v>C5</v>
          </cell>
          <cell r="G1062" t="str">
            <v>SP</v>
          </cell>
          <cell r="H1062" t="str">
            <v>DISTRIBUIÇÃO</v>
          </cell>
          <cell r="I1062" t="str">
            <v>FOOD SERVICE</v>
          </cell>
          <cell r="J1062" t="str">
            <v>FLAC 3</v>
          </cell>
          <cell r="K1062" t="str">
            <v>LACTALIS</v>
          </cell>
          <cell r="L1062" t="str">
            <v>RODRIGO</v>
          </cell>
          <cell r="M1062" t="str">
            <v>RAQUEL BARBOSA</v>
          </cell>
        </row>
        <row r="1063">
          <cell r="B1063">
            <v>5338666</v>
          </cell>
          <cell r="C1063" t="str">
            <v>PADEIRAO COM DE PROD PARA PANIF</v>
          </cell>
          <cell r="D1063">
            <v>3001</v>
          </cell>
          <cell r="E1063" t="str">
            <v>0127</v>
          </cell>
          <cell r="F1063" t="str">
            <v>C1</v>
          </cell>
          <cell r="G1063" t="str">
            <v>PB</v>
          </cell>
          <cell r="H1063" t="str">
            <v>DISTRIBUIÇÃO</v>
          </cell>
          <cell r="I1063" t="str">
            <v>FOOD SERVICE</v>
          </cell>
          <cell r="J1063" t="str">
            <v>CLAUDIO JORGE/AMANDA SANDS</v>
          </cell>
          <cell r="K1063" t="str">
            <v>ITAMBÉ</v>
          </cell>
          <cell r="L1063" t="str">
            <v>RODRIGO</v>
          </cell>
          <cell r="M1063" t="str">
            <v>MARIA LOURDES</v>
          </cell>
        </row>
        <row r="1064">
          <cell r="B1064">
            <v>5338666</v>
          </cell>
          <cell r="C1064" t="str">
            <v>PADEIRAO COM DE PROD PARA PANIF</v>
          </cell>
          <cell r="D1064">
            <v>4001</v>
          </cell>
          <cell r="E1064" t="str">
            <v>0454</v>
          </cell>
          <cell r="F1064" t="str">
            <v>C1</v>
          </cell>
          <cell r="G1064" t="str">
            <v>PB</v>
          </cell>
          <cell r="H1064" t="str">
            <v>DISTRIBUIÇÃO</v>
          </cell>
          <cell r="I1064" t="str">
            <v>FOOD SERVICE</v>
          </cell>
          <cell r="J1064" t="str">
            <v>CLAUDIO JORGE/AMANDA SANDS</v>
          </cell>
          <cell r="K1064" t="str">
            <v>LACTALIS</v>
          </cell>
          <cell r="L1064" t="str">
            <v>RODRIGO</v>
          </cell>
          <cell r="M1064" t="str">
            <v>MARIA LOURDES</v>
          </cell>
        </row>
        <row r="1065">
          <cell r="B1065">
            <v>5133664</v>
          </cell>
          <cell r="C1065" t="str">
            <v>PADEIRAO COMERCIO PROD PARA PANI LT</v>
          </cell>
          <cell r="D1065">
            <v>3001</v>
          </cell>
          <cell r="E1065" t="str">
            <v>0127</v>
          </cell>
          <cell r="F1065" t="str">
            <v>C1</v>
          </cell>
          <cell r="G1065" t="str">
            <v>PE</v>
          </cell>
          <cell r="H1065" t="str">
            <v>DISTRIBUIÇÃO</v>
          </cell>
          <cell r="I1065" t="str">
            <v>FOOD SERVICE</v>
          </cell>
          <cell r="J1065" t="str">
            <v>CLAUDIO JORGE/AMANDA SANDS</v>
          </cell>
          <cell r="K1065" t="str">
            <v>ITAMBÉ</v>
          </cell>
          <cell r="L1065" t="str">
            <v>RODRIGO</v>
          </cell>
          <cell r="M1065" t="str">
            <v>MARIA LOURDES</v>
          </cell>
        </row>
        <row r="1066">
          <cell r="B1066">
            <v>5265320</v>
          </cell>
          <cell r="C1066" t="str">
            <v>PADOCA DO MANI ALIMENTOS LTDA</v>
          </cell>
          <cell r="D1066">
            <v>7001</v>
          </cell>
          <cell r="E1066" t="str">
            <v>0749</v>
          </cell>
          <cell r="F1066" t="str">
            <v>C5</v>
          </cell>
          <cell r="G1066" t="str">
            <v>SP</v>
          </cell>
          <cell r="H1066" t="str">
            <v>DISTRIBUIÇÃO</v>
          </cell>
          <cell r="I1066" t="str">
            <v>FOOD SERVICE</v>
          </cell>
          <cell r="J1066" t="str">
            <v>FLAC 6</v>
          </cell>
          <cell r="K1066" t="str">
            <v>LACTALIS</v>
          </cell>
          <cell r="L1066" t="str">
            <v>RODRIGO</v>
          </cell>
          <cell r="M1066" t="str">
            <v>RAQUEL BARBOSA</v>
          </cell>
        </row>
        <row r="1067">
          <cell r="B1067">
            <v>5315003</v>
          </cell>
          <cell r="C1067" t="str">
            <v>PADOCA DO MANI ALIMENTOS LTDA</v>
          </cell>
          <cell r="D1067">
            <v>7001</v>
          </cell>
          <cell r="E1067" t="str">
            <v>0749</v>
          </cell>
          <cell r="F1067" t="str">
            <v>C5</v>
          </cell>
          <cell r="G1067" t="str">
            <v>SP</v>
          </cell>
          <cell r="H1067" t="str">
            <v>DISTRIBUIÇÃO</v>
          </cell>
          <cell r="I1067" t="str">
            <v>FOOD SERVICE</v>
          </cell>
          <cell r="J1067" t="str">
            <v>FLAC 6</v>
          </cell>
          <cell r="K1067" t="str">
            <v>LACTALIS</v>
          </cell>
          <cell r="L1067" t="str">
            <v>RODRIGO</v>
          </cell>
          <cell r="M1067" t="str">
            <v>RAQUEL BARBOSA</v>
          </cell>
        </row>
        <row r="1068">
          <cell r="B1068">
            <v>5287152</v>
          </cell>
          <cell r="C1068" t="str">
            <v>PALADIO CAFE</v>
          </cell>
          <cell r="D1068">
            <v>7001</v>
          </cell>
          <cell r="E1068" t="str">
            <v>0749</v>
          </cell>
          <cell r="F1068" t="str">
            <v>C5</v>
          </cell>
          <cell r="G1068" t="str">
            <v>SP</v>
          </cell>
          <cell r="H1068" t="str">
            <v>DISTRIBUIÇÃO</v>
          </cell>
          <cell r="I1068" t="str">
            <v>FOOD SERVICE</v>
          </cell>
          <cell r="J1068" t="str">
            <v>FLAC 3</v>
          </cell>
          <cell r="K1068" t="str">
            <v>LACTALIS</v>
          </cell>
          <cell r="L1068" t="str">
            <v>RODRIGO</v>
          </cell>
          <cell r="M1068" t="str">
            <v>RAQUEL BARBOSA</v>
          </cell>
        </row>
        <row r="1069">
          <cell r="B1069">
            <v>5259915</v>
          </cell>
          <cell r="C1069" t="str">
            <v>PAMA COM DE GENEROS ALIMENTICIOS LT</v>
          </cell>
          <cell r="D1069">
            <v>7001</v>
          </cell>
          <cell r="E1069" t="str">
            <v>0722</v>
          </cell>
          <cell r="F1069" t="str">
            <v>C1</v>
          </cell>
          <cell r="G1069" t="str">
            <v>SP</v>
          </cell>
          <cell r="H1069" t="str">
            <v>DISTRIBUIÇÃO</v>
          </cell>
          <cell r="I1069" t="str">
            <v>FOOD SERVICE</v>
          </cell>
          <cell r="J1069" t="str">
            <v>GUILHERME NASCIMENTO</v>
          </cell>
          <cell r="K1069" t="str">
            <v>LACTALIS</v>
          </cell>
          <cell r="L1069" t="str">
            <v>RODRIGO</v>
          </cell>
          <cell r="M1069" t="str">
            <v>ALEXANDRO</v>
          </cell>
        </row>
        <row r="1070">
          <cell r="B1070">
            <v>5283024</v>
          </cell>
          <cell r="C1070" t="str">
            <v>PAMFIS ALIMENTOS INDUSTRIA E CO</v>
          </cell>
          <cell r="D1070">
            <v>4001</v>
          </cell>
          <cell r="E1070" t="str">
            <v>0437</v>
          </cell>
          <cell r="F1070" t="str">
            <v>C1</v>
          </cell>
          <cell r="G1070" t="str">
            <v>SP</v>
          </cell>
          <cell r="H1070" t="str">
            <v>INGREDIENTS</v>
          </cell>
          <cell r="I1070" t="str">
            <v>INGREDIENTS</v>
          </cell>
          <cell r="J1070" t="str">
            <v>JOEL ELEOTÉRIO</v>
          </cell>
          <cell r="K1070" t="str">
            <v>LACTALIS</v>
          </cell>
          <cell r="L1070" t="str">
            <v>MAURICIO</v>
          </cell>
          <cell r="M1070" t="str">
            <v>JOEL</v>
          </cell>
        </row>
        <row r="1071">
          <cell r="B1071">
            <v>5256963</v>
          </cell>
          <cell r="C1071" t="str">
            <v>PAN PIZZAS E REFEICOES RAPIDAS LTDA</v>
          </cell>
          <cell r="D1071">
            <v>7001</v>
          </cell>
          <cell r="E1071" t="str">
            <v>0749</v>
          </cell>
          <cell r="F1071" t="str">
            <v>C5</v>
          </cell>
          <cell r="G1071" t="str">
            <v>SP</v>
          </cell>
          <cell r="H1071" t="str">
            <v>DISTRIBUIÇÃO</v>
          </cell>
          <cell r="I1071" t="str">
            <v>FOOD SERVICE</v>
          </cell>
          <cell r="J1071" t="str">
            <v>FLAC 2</v>
          </cell>
          <cell r="K1071" t="str">
            <v>LACTALIS</v>
          </cell>
          <cell r="L1071" t="str">
            <v>RODRIGO</v>
          </cell>
          <cell r="M1071" t="str">
            <v>RAQUEL BARBOSA</v>
          </cell>
        </row>
        <row r="1072">
          <cell r="B1072">
            <v>5216004</v>
          </cell>
          <cell r="C1072" t="str">
            <v>PANCRISTAL LTDA</v>
          </cell>
          <cell r="D1072">
            <v>3001</v>
          </cell>
          <cell r="E1072" t="str">
            <v>0127</v>
          </cell>
          <cell r="F1072" t="str">
            <v>C1</v>
          </cell>
          <cell r="G1072" t="str">
            <v>PE</v>
          </cell>
          <cell r="H1072" t="str">
            <v>DISTRIBUIÇÃO</v>
          </cell>
          <cell r="I1072" t="str">
            <v>FOOD SERVICE</v>
          </cell>
          <cell r="J1072" t="str">
            <v>CLAUDIO JORGE</v>
          </cell>
          <cell r="K1072" t="str">
            <v>ITAMBÉ</v>
          </cell>
          <cell r="L1072" t="str">
            <v>RODRIGO</v>
          </cell>
          <cell r="M1072" t="str">
            <v>MARIA LOURDES</v>
          </cell>
        </row>
        <row r="1073">
          <cell r="B1073">
            <v>5262453</v>
          </cell>
          <cell r="C1073" t="str">
            <v>PANDAREU RESTAURANTE LTDA</v>
          </cell>
          <cell r="D1073">
            <v>7001</v>
          </cell>
          <cell r="E1073" t="str">
            <v>0749</v>
          </cell>
          <cell r="F1073" t="str">
            <v>C5</v>
          </cell>
          <cell r="G1073" t="str">
            <v>SP</v>
          </cell>
          <cell r="H1073" t="str">
            <v>DISTRIBUIÇÃO</v>
          </cell>
          <cell r="I1073" t="str">
            <v>FOOD SERVICE</v>
          </cell>
          <cell r="J1073" t="str">
            <v>FLAC 3</v>
          </cell>
          <cell r="K1073" t="str">
            <v>LACTALIS</v>
          </cell>
          <cell r="L1073" t="str">
            <v>RODRIGO</v>
          </cell>
          <cell r="M1073" t="str">
            <v>RAQUEL BARBOSA</v>
          </cell>
        </row>
        <row r="1074">
          <cell r="B1074">
            <v>5256334</v>
          </cell>
          <cell r="C1074" t="str">
            <v>PANDAREU RESTAURANTE LTDA</v>
          </cell>
          <cell r="D1074">
            <v>7001</v>
          </cell>
          <cell r="E1074" t="str">
            <v>0749</v>
          </cell>
          <cell r="F1074" t="str">
            <v>C5</v>
          </cell>
          <cell r="G1074" t="str">
            <v>SP</v>
          </cell>
          <cell r="H1074" t="str">
            <v>DISTRIBUIÇÃO</v>
          </cell>
          <cell r="I1074" t="str">
            <v>FOOD SERVICE</v>
          </cell>
          <cell r="J1074" t="str">
            <v>FLAC 3</v>
          </cell>
          <cell r="K1074" t="str">
            <v>LACTALIS</v>
          </cell>
          <cell r="L1074" t="str">
            <v>RODRIGO</v>
          </cell>
          <cell r="M1074" t="str">
            <v>RAQUEL BARBOSA</v>
          </cell>
        </row>
        <row r="1075">
          <cell r="B1075">
            <v>5146429</v>
          </cell>
          <cell r="C1075" t="str">
            <v>PANDURATA ALIMENTOS LTDA</v>
          </cell>
          <cell r="D1075">
            <v>3001</v>
          </cell>
          <cell r="E1075" t="str">
            <v>0122</v>
          </cell>
          <cell r="F1075" t="str">
            <v>C1</v>
          </cell>
          <cell r="G1075" t="str">
            <v>MG</v>
          </cell>
          <cell r="H1075" t="str">
            <v>INGREDIENTS</v>
          </cell>
          <cell r="I1075" t="str">
            <v>INGREDIENTS</v>
          </cell>
          <cell r="J1075" t="str">
            <v>HENRIQUE FERREIRA</v>
          </cell>
          <cell r="K1075" t="str">
            <v>ITAMBÉ</v>
          </cell>
          <cell r="L1075" t="str">
            <v>MAURICIO</v>
          </cell>
          <cell r="M1075" t="str">
            <v>JOEL</v>
          </cell>
        </row>
        <row r="1076">
          <cell r="B1076">
            <v>5198698</v>
          </cell>
          <cell r="C1076" t="str">
            <v>PANDURATA ALIMENTOS LTDA</v>
          </cell>
          <cell r="D1076">
            <v>6001</v>
          </cell>
          <cell r="E1076" t="str">
            <v>6125</v>
          </cell>
          <cell r="F1076" t="str">
            <v>C1</v>
          </cell>
          <cell r="G1076" t="str">
            <v>SP</v>
          </cell>
          <cell r="H1076" t="str">
            <v>INGREDIENTS</v>
          </cell>
          <cell r="I1076" t="str">
            <v>INGREDIENTS</v>
          </cell>
          <cell r="J1076" t="str">
            <v>JOEL ELEOTÉRIO</v>
          </cell>
          <cell r="K1076" t="str">
            <v>ITAMBÉ</v>
          </cell>
          <cell r="L1076" t="str">
            <v>MAURICIO</v>
          </cell>
          <cell r="M1076" t="str">
            <v>JOEL</v>
          </cell>
        </row>
        <row r="1077">
          <cell r="B1077">
            <v>5198698</v>
          </cell>
          <cell r="C1077" t="str">
            <v>PANDURATA ALIMENTOS LTDA</v>
          </cell>
          <cell r="D1077">
            <v>4001</v>
          </cell>
          <cell r="E1077" t="str">
            <v>0437</v>
          </cell>
          <cell r="F1077" t="str">
            <v>C1</v>
          </cell>
          <cell r="G1077" t="str">
            <v>SP</v>
          </cell>
          <cell r="H1077" t="str">
            <v>INGREDIENTS</v>
          </cell>
          <cell r="I1077" t="str">
            <v>INGREDIENTS</v>
          </cell>
          <cell r="J1077" t="str">
            <v>JOEL ELEOTÉRIO</v>
          </cell>
          <cell r="K1077" t="str">
            <v>LACTALIS</v>
          </cell>
          <cell r="L1077" t="str">
            <v>MAURICIO</v>
          </cell>
          <cell r="M1077" t="str">
            <v>JOEL</v>
          </cell>
        </row>
        <row r="1078">
          <cell r="B1078">
            <v>5171400</v>
          </cell>
          <cell r="C1078" t="str">
            <v>PANIBRASIL MASSAS CONGELADAS LT</v>
          </cell>
          <cell r="D1078">
            <v>6001</v>
          </cell>
          <cell r="E1078" t="str">
            <v>6125</v>
          </cell>
          <cell r="F1078" t="str">
            <v>C1</v>
          </cell>
          <cell r="G1078" t="str">
            <v>SP</v>
          </cell>
          <cell r="H1078" t="str">
            <v>INGREDIENTS</v>
          </cell>
          <cell r="I1078" t="str">
            <v>INGREDIENTS</v>
          </cell>
          <cell r="J1078" t="str">
            <v>HENRIQUE FERREIRA</v>
          </cell>
          <cell r="K1078" t="str">
            <v>ITAMBÉ</v>
          </cell>
          <cell r="L1078" t="str">
            <v>MAURICIO</v>
          </cell>
          <cell r="M1078" t="str">
            <v>JOEL</v>
          </cell>
        </row>
        <row r="1079">
          <cell r="B1079">
            <v>5171400</v>
          </cell>
          <cell r="C1079" t="str">
            <v>PANIBRASIL MASSAS CONGELADAS LT</v>
          </cell>
          <cell r="D1079">
            <v>7001</v>
          </cell>
          <cell r="E1079" t="str">
            <v>0737</v>
          </cell>
          <cell r="F1079" t="str">
            <v>C1</v>
          </cell>
          <cell r="G1079" t="str">
            <v>SP</v>
          </cell>
          <cell r="H1079" t="str">
            <v>INGREDIENTS</v>
          </cell>
          <cell r="I1079" t="str">
            <v>INGREDIENTS</v>
          </cell>
          <cell r="J1079" t="str">
            <v>HENRIQUE FERREIRA</v>
          </cell>
          <cell r="K1079" t="str">
            <v>LACTALIS</v>
          </cell>
          <cell r="L1079" t="str">
            <v>MAURICIO</v>
          </cell>
          <cell r="M1079" t="str">
            <v>JOEL</v>
          </cell>
        </row>
        <row r="1080">
          <cell r="B1080">
            <v>5278455</v>
          </cell>
          <cell r="C1080" t="str">
            <v>PANIFICADORA DOM BOSCO LTDA</v>
          </cell>
          <cell r="D1080">
            <v>7001</v>
          </cell>
          <cell r="E1080" t="str">
            <v>0749</v>
          </cell>
          <cell r="F1080" t="str">
            <v>C5</v>
          </cell>
          <cell r="G1080" t="str">
            <v>SP</v>
          </cell>
          <cell r="H1080" t="str">
            <v>DISTRIBUIÇÃO</v>
          </cell>
          <cell r="I1080" t="str">
            <v>FOOD SERVICE</v>
          </cell>
          <cell r="J1080" t="str">
            <v>FLAC 2</v>
          </cell>
          <cell r="K1080" t="str">
            <v>LACTALIS</v>
          </cell>
          <cell r="L1080" t="str">
            <v>RODRIGO</v>
          </cell>
          <cell r="M1080" t="str">
            <v>RAQUEL BARBOSA</v>
          </cell>
        </row>
        <row r="1081">
          <cell r="B1081">
            <v>5314195</v>
          </cell>
          <cell r="C1081" t="str">
            <v>PANIFICADORA E CONFEITARIA SANTELMO</v>
          </cell>
          <cell r="D1081">
            <v>3001</v>
          </cell>
          <cell r="E1081" t="str">
            <v>0126</v>
          </cell>
          <cell r="F1081" t="str">
            <v>C1</v>
          </cell>
          <cell r="G1081" t="str">
            <v>SC</v>
          </cell>
          <cell r="H1081" t="str">
            <v>DISTRIBUIÇÃO</v>
          </cell>
          <cell r="I1081" t="str">
            <v>FOOD SERVICE</v>
          </cell>
          <cell r="J1081" t="str">
            <v>ANGELICA BATISTELA</v>
          </cell>
          <cell r="K1081" t="str">
            <v>ITAMBÉ</v>
          </cell>
          <cell r="L1081" t="str">
            <v>RODRIGO</v>
          </cell>
          <cell r="M1081" t="str">
            <v>ANGELICA BATISTELA</v>
          </cell>
        </row>
        <row r="1082">
          <cell r="B1082">
            <v>5333492</v>
          </cell>
          <cell r="C1082" t="str">
            <v>PANIFICADORA GRAO DE TRIGO LTDA</v>
          </cell>
          <cell r="D1082">
            <v>7001</v>
          </cell>
          <cell r="E1082" t="str">
            <v>0749</v>
          </cell>
          <cell r="F1082" t="str">
            <v>C5</v>
          </cell>
          <cell r="G1082" t="str">
            <v>SP</v>
          </cell>
          <cell r="H1082" t="str">
            <v>DISTRIBUIÇÃO</v>
          </cell>
          <cell r="I1082" t="str">
            <v>FOOD SERVICE</v>
          </cell>
          <cell r="J1082" t="str">
            <v>FLAC 5</v>
          </cell>
          <cell r="K1082" t="str">
            <v>LACTALIS</v>
          </cell>
          <cell r="L1082" t="str">
            <v>RODRIGO</v>
          </cell>
          <cell r="M1082" t="str">
            <v>RAQUEL BARBOSA</v>
          </cell>
        </row>
        <row r="1083">
          <cell r="B1083">
            <v>5337259</v>
          </cell>
          <cell r="C1083" t="str">
            <v>PARAIZO COMERCIAL DE PRODUTOS A</v>
          </cell>
          <cell r="D1083">
            <v>7001</v>
          </cell>
          <cell r="E1083" t="str">
            <v>0749</v>
          </cell>
          <cell r="F1083" t="str">
            <v>C5</v>
          </cell>
          <cell r="G1083" t="str">
            <v>SP</v>
          </cell>
          <cell r="H1083" t="str">
            <v>DISTRIBUIÇÃO</v>
          </cell>
          <cell r="I1083" t="str">
            <v>FOOD SERVICE</v>
          </cell>
          <cell r="J1083" t="str">
            <v>FLAC 2</v>
          </cell>
          <cell r="K1083" t="str">
            <v>LACTALIS</v>
          </cell>
          <cell r="L1083" t="str">
            <v>RODRIGO</v>
          </cell>
          <cell r="M1083" t="str">
            <v>RAQUEL BARBOSA</v>
          </cell>
        </row>
        <row r="1084">
          <cell r="B1084">
            <v>5138406</v>
          </cell>
          <cell r="C1084" t="str">
            <v>PARMEZAO INDUSTRIA E COM DE ALIM LT</v>
          </cell>
          <cell r="D1084">
            <v>3001</v>
          </cell>
          <cell r="E1084" t="str">
            <v>0028</v>
          </cell>
          <cell r="F1084" t="str">
            <v>C1</v>
          </cell>
          <cell r="G1084" t="str">
            <v>RJ</v>
          </cell>
          <cell r="H1084" t="str">
            <v>INGREDIENTS</v>
          </cell>
          <cell r="I1084" t="str">
            <v>INGREDIENTS</v>
          </cell>
          <cell r="J1084" t="str">
            <v>HENRIQUE FERREIRA</v>
          </cell>
          <cell r="K1084" t="str">
            <v>ITAMBÉ</v>
          </cell>
          <cell r="L1084" t="str">
            <v>MAURICIO</v>
          </cell>
          <cell r="M1084" t="str">
            <v>JOEL</v>
          </cell>
        </row>
        <row r="1085">
          <cell r="B1085">
            <v>5330187</v>
          </cell>
          <cell r="C1085" t="str">
            <v>PATISSERIE ALEXANDRIEN DOCERIA LTDA</v>
          </cell>
          <cell r="D1085">
            <v>7001</v>
          </cell>
          <cell r="E1085" t="str">
            <v>0749</v>
          </cell>
          <cell r="F1085" t="str">
            <v>C5</v>
          </cell>
          <cell r="G1085" t="str">
            <v>SP</v>
          </cell>
          <cell r="H1085" t="str">
            <v>DISTRIBUIÇÃO</v>
          </cell>
          <cell r="I1085" t="str">
            <v>FOOD SERVICE</v>
          </cell>
          <cell r="J1085" t="str">
            <v>FLAC 5</v>
          </cell>
          <cell r="K1085" t="str">
            <v>LACTALIS</v>
          </cell>
          <cell r="L1085" t="str">
            <v>RODRIGO</v>
          </cell>
          <cell r="M1085" t="str">
            <v>RAQUEL BARBOSA</v>
          </cell>
        </row>
        <row r="1086">
          <cell r="B1086">
            <v>5337689</v>
          </cell>
          <cell r="C1086" t="str">
            <v>PAULA RENATA CASTRO CURTOLO DE</v>
          </cell>
          <cell r="D1086">
            <v>7001</v>
          </cell>
          <cell r="E1086" t="str">
            <v>0749</v>
          </cell>
          <cell r="F1086" t="str">
            <v>C5</v>
          </cell>
          <cell r="G1086" t="str">
            <v>SP</v>
          </cell>
          <cell r="H1086" t="str">
            <v>DISTRIBUIÇÃO</v>
          </cell>
          <cell r="I1086" t="str">
            <v>FOOD SERVICE</v>
          </cell>
          <cell r="J1086" t="str">
            <v>FLAC 2</v>
          </cell>
          <cell r="K1086" t="str">
            <v>LACTALIS</v>
          </cell>
          <cell r="L1086" t="str">
            <v>RODRIGO</v>
          </cell>
          <cell r="M1086" t="str">
            <v>RAQUEL BARBOSA</v>
          </cell>
        </row>
        <row r="1087">
          <cell r="B1087">
            <v>5266265</v>
          </cell>
          <cell r="C1087" t="str">
            <v>PAULINO RESTAURANTE LTDA</v>
          </cell>
          <cell r="D1087">
            <v>7001</v>
          </cell>
          <cell r="E1087" t="str">
            <v>0749</v>
          </cell>
          <cell r="F1087" t="str">
            <v>C5</v>
          </cell>
          <cell r="G1087" t="str">
            <v>SP</v>
          </cell>
          <cell r="H1087" t="str">
            <v>DISTRIBUIÇÃO</v>
          </cell>
          <cell r="I1087" t="str">
            <v>FOOD SERVICE</v>
          </cell>
          <cell r="J1087" t="str">
            <v>FLAC 2</v>
          </cell>
          <cell r="K1087" t="str">
            <v>LACTALIS</v>
          </cell>
          <cell r="L1087" t="str">
            <v>RODRIGO</v>
          </cell>
          <cell r="M1087" t="str">
            <v>RAQUEL BARBOSA</v>
          </cell>
        </row>
        <row r="1088">
          <cell r="B1088">
            <v>5301137</v>
          </cell>
          <cell r="C1088" t="str">
            <v>PAULO ROBERTO DE GODOY</v>
          </cell>
          <cell r="D1088">
            <v>7001</v>
          </cell>
          <cell r="E1088" t="str">
            <v>0749</v>
          </cell>
          <cell r="F1088" t="str">
            <v>C5</v>
          </cell>
          <cell r="G1088" t="str">
            <v>SP</v>
          </cell>
          <cell r="H1088" t="str">
            <v>DISTRIBUIÇÃO</v>
          </cell>
          <cell r="I1088" t="str">
            <v>FOOD SERVICE</v>
          </cell>
          <cell r="J1088" t="str">
            <v>FLAC 3</v>
          </cell>
          <cell r="K1088" t="str">
            <v>LACTALIS</v>
          </cell>
          <cell r="L1088" t="str">
            <v>RODRIGO</v>
          </cell>
          <cell r="M1088" t="str">
            <v>RAQUEL BARBOSA</v>
          </cell>
        </row>
        <row r="1089">
          <cell r="B1089">
            <v>5228457</v>
          </cell>
          <cell r="C1089" t="str">
            <v>PDA DISTRIBUIDORA DE ALIM LTDA</v>
          </cell>
          <cell r="D1089">
            <v>3001</v>
          </cell>
          <cell r="E1089" t="str">
            <v>0126</v>
          </cell>
          <cell r="F1089" t="str">
            <v>C1</v>
          </cell>
          <cell r="G1089" t="str">
            <v>PR</v>
          </cell>
          <cell r="H1089" t="str">
            <v>DISTRIBUIÇÃO</v>
          </cell>
          <cell r="I1089" t="str">
            <v>FOOD SERVICE</v>
          </cell>
          <cell r="J1089" t="str">
            <v>ANGELICA BATISTELA</v>
          </cell>
          <cell r="K1089" t="str">
            <v>ITAMBÉ</v>
          </cell>
          <cell r="L1089" t="str">
            <v>RODRIGO</v>
          </cell>
          <cell r="M1089" t="str">
            <v>ANGELICA BATISTELA</v>
          </cell>
        </row>
        <row r="1090">
          <cell r="B1090">
            <v>5198979</v>
          </cell>
          <cell r="C1090" t="str">
            <v>PENIEL DIST DE MEDICAMENTOS E A</v>
          </cell>
          <cell r="D1090">
            <v>3001</v>
          </cell>
          <cell r="E1090" t="str">
            <v>0126</v>
          </cell>
          <cell r="F1090" t="str">
            <v>C1</v>
          </cell>
          <cell r="G1090" t="str">
            <v>PR</v>
          </cell>
          <cell r="H1090" t="str">
            <v>DISTRIBUIÇÃO</v>
          </cell>
          <cell r="I1090" t="str">
            <v>FOOD SERVICE</v>
          </cell>
          <cell r="J1090" t="str">
            <v>ANGELICA BATISTELA</v>
          </cell>
          <cell r="K1090" t="str">
            <v>ITAMBÉ</v>
          </cell>
          <cell r="L1090" t="str">
            <v>RODRIGO</v>
          </cell>
          <cell r="M1090" t="str">
            <v>ANGELICA BATISTELA</v>
          </cell>
        </row>
        <row r="1091">
          <cell r="B1091">
            <v>5016719</v>
          </cell>
          <cell r="C1091" t="str">
            <v>PENNACCHI E CIA LTDA</v>
          </cell>
          <cell r="D1091">
            <v>3001</v>
          </cell>
          <cell r="E1091" t="str">
            <v>0126</v>
          </cell>
          <cell r="F1091" t="str">
            <v>C1</v>
          </cell>
          <cell r="G1091" t="str">
            <v>PR</v>
          </cell>
          <cell r="H1091" t="str">
            <v>DISTRIBUIÇÃO</v>
          </cell>
          <cell r="I1091" t="str">
            <v>FOOD SERVICE</v>
          </cell>
          <cell r="J1091" t="str">
            <v>ANGELICA BATISTELA</v>
          </cell>
          <cell r="K1091" t="str">
            <v>ITAMBÉ</v>
          </cell>
          <cell r="L1091" t="str">
            <v>RODRIGO</v>
          </cell>
          <cell r="M1091" t="str">
            <v>ANGELICA BATISTELA</v>
          </cell>
        </row>
        <row r="1092">
          <cell r="B1092">
            <v>5109539</v>
          </cell>
          <cell r="C1092" t="str">
            <v>PEQUENAS DELICIAS DOCERIA LTDA</v>
          </cell>
          <cell r="D1092">
            <v>7001</v>
          </cell>
          <cell r="E1092" t="str">
            <v>0749</v>
          </cell>
          <cell r="F1092" t="str">
            <v>C5</v>
          </cell>
          <cell r="G1092" t="str">
            <v>SP</v>
          </cell>
          <cell r="H1092" t="str">
            <v>DISTRIBUIÇÃO</v>
          </cell>
          <cell r="I1092" t="str">
            <v>FOOD SERVICE</v>
          </cell>
          <cell r="J1092" t="str">
            <v>FLAC 5</v>
          </cell>
          <cell r="K1092" t="str">
            <v>LACTALIS</v>
          </cell>
          <cell r="L1092" t="str">
            <v>RODRIGO</v>
          </cell>
          <cell r="M1092" t="str">
            <v>RAQUEL BARBOSA</v>
          </cell>
        </row>
        <row r="1093">
          <cell r="B1093">
            <v>5310045</v>
          </cell>
          <cell r="C1093" t="str">
            <v>PEREZ E DAMIANI COMUNICACAO LTDA</v>
          </cell>
          <cell r="D1093">
            <v>7001</v>
          </cell>
          <cell r="E1093" t="str">
            <v>0749</v>
          </cell>
          <cell r="F1093" t="str">
            <v>C5</v>
          </cell>
          <cell r="G1093" t="str">
            <v>SP</v>
          </cell>
          <cell r="H1093" t="str">
            <v>DISTRIBUIÇÃO</v>
          </cell>
          <cell r="I1093" t="str">
            <v>FOOD SERVICE</v>
          </cell>
          <cell r="J1093" t="str">
            <v>FLAC 4</v>
          </cell>
          <cell r="K1093" t="str">
            <v>LACTALIS</v>
          </cell>
          <cell r="L1093" t="str">
            <v>RODRIGO</v>
          </cell>
          <cell r="M1093" t="str">
            <v>RAQUEL BARBOSA</v>
          </cell>
        </row>
        <row r="1094">
          <cell r="B1094">
            <v>5192423</v>
          </cell>
          <cell r="C1094" t="str">
            <v>PERFETTO ALIMENTOS LTDA</v>
          </cell>
          <cell r="D1094">
            <v>4001</v>
          </cell>
          <cell r="E1094" t="str">
            <v>0423</v>
          </cell>
          <cell r="F1094" t="str">
            <v>C5</v>
          </cell>
          <cell r="G1094" t="str">
            <v>SP</v>
          </cell>
          <cell r="H1094" t="str">
            <v>INGREDIENTS</v>
          </cell>
          <cell r="I1094" t="str">
            <v>INGREDIENTS</v>
          </cell>
          <cell r="J1094" t="str">
            <v>JOEL ELEOTÉRIO</v>
          </cell>
          <cell r="K1094" t="str">
            <v>LACTALIS</v>
          </cell>
          <cell r="L1094" t="str">
            <v>MAURICIO</v>
          </cell>
          <cell r="M1094" t="str">
            <v>JOEL</v>
          </cell>
        </row>
        <row r="1095">
          <cell r="B1095">
            <v>5183962</v>
          </cell>
          <cell r="C1095" t="str">
            <v>PETIBOM SORVETES LTDA</v>
          </cell>
          <cell r="D1095">
            <v>3001</v>
          </cell>
          <cell r="E1095" t="str">
            <v>0028</v>
          </cell>
          <cell r="F1095" t="str">
            <v>C1</v>
          </cell>
          <cell r="G1095" t="str">
            <v>SC</v>
          </cell>
          <cell r="H1095" t="str">
            <v>INGREDIENTS</v>
          </cell>
          <cell r="I1095" t="str">
            <v>INGREDIENTS</v>
          </cell>
          <cell r="J1095" t="str">
            <v>DUAS RODAS</v>
          </cell>
          <cell r="K1095" t="str">
            <v>ITAMBÉ</v>
          </cell>
          <cell r="L1095" t="str">
            <v>MAURICIO</v>
          </cell>
          <cell r="M1095" t="str">
            <v>MARCELO</v>
          </cell>
        </row>
        <row r="1096">
          <cell r="B1096">
            <v>5138043</v>
          </cell>
          <cell r="C1096" t="str">
            <v>PH E B COM E SERVICOS LTDA ME</v>
          </cell>
          <cell r="D1096">
            <v>3001</v>
          </cell>
          <cell r="E1096" t="str">
            <v>0127</v>
          </cell>
          <cell r="F1096" t="str">
            <v>C1</v>
          </cell>
          <cell r="G1096" t="str">
            <v>CE</v>
          </cell>
          <cell r="H1096" t="str">
            <v>DISTRIBUIÇÃO</v>
          </cell>
          <cell r="I1096" t="str">
            <v>FOOD SERVICE</v>
          </cell>
          <cell r="J1096" t="str">
            <v>WH FOOD SERVICE CE</v>
          </cell>
          <cell r="K1096" t="str">
            <v>ITAMBÉ</v>
          </cell>
          <cell r="L1096" t="str">
            <v>RODRIGO</v>
          </cell>
          <cell r="M1096" t="str">
            <v>MARIA LOURDES</v>
          </cell>
        </row>
        <row r="1097">
          <cell r="B1097">
            <v>5181208</v>
          </cell>
          <cell r="C1097" t="str">
            <v>PILLAR DISTRIB DE ALIMENTOS EIRELI</v>
          </cell>
          <cell r="D1097">
            <v>3001</v>
          </cell>
          <cell r="E1097" t="str">
            <v>0169</v>
          </cell>
          <cell r="F1097" t="str">
            <v>C1</v>
          </cell>
          <cell r="G1097" t="str">
            <v>ES</v>
          </cell>
          <cell r="H1097" t="str">
            <v>DISTRIBUIÇÃO</v>
          </cell>
          <cell r="I1097" t="str">
            <v>FOOD SERVICE</v>
          </cell>
          <cell r="J1097" t="str">
            <v>MARCELO DUARTE</v>
          </cell>
          <cell r="K1097" t="str">
            <v>ITAMBÉ</v>
          </cell>
          <cell r="L1097" t="str">
            <v>RODRIGO</v>
          </cell>
          <cell r="M1097" t="str">
            <v>JESSICA</v>
          </cell>
        </row>
        <row r="1098">
          <cell r="B1098">
            <v>5186815</v>
          </cell>
          <cell r="C1098" t="str">
            <v>PILLAR DOCES E EMBALAGENS LTDA</v>
          </cell>
          <cell r="D1098">
            <v>3001</v>
          </cell>
          <cell r="E1098" t="str">
            <v>0169</v>
          </cell>
          <cell r="F1098" t="str">
            <v>C1</v>
          </cell>
          <cell r="G1098" t="str">
            <v>ES</v>
          </cell>
          <cell r="H1098" t="str">
            <v>DISTRIBUIÇÃO</v>
          </cell>
          <cell r="I1098" t="str">
            <v>FOOD SERVICE</v>
          </cell>
          <cell r="J1098" t="str">
            <v>MARCELO DUARTE</v>
          </cell>
          <cell r="K1098" t="str">
            <v>ITAMBÉ</v>
          </cell>
          <cell r="L1098" t="str">
            <v>RODRIGO</v>
          </cell>
          <cell r="M1098" t="str">
            <v>JESSICA</v>
          </cell>
        </row>
        <row r="1099">
          <cell r="B1099">
            <v>5174274</v>
          </cell>
          <cell r="C1099" t="str">
            <v>PIMENTA VERDE ALIMENTOS LTDA</v>
          </cell>
          <cell r="D1099">
            <v>6001</v>
          </cell>
          <cell r="E1099" t="str">
            <v>6125</v>
          </cell>
          <cell r="F1099" t="str">
            <v>C1</v>
          </cell>
          <cell r="G1099" t="str">
            <v>SP</v>
          </cell>
          <cell r="H1099" t="str">
            <v>QSR</v>
          </cell>
          <cell r="I1099" t="str">
            <v>FOOD SERVICE</v>
          </cell>
          <cell r="J1099" t="str">
            <v>VAGO QSR</v>
          </cell>
          <cell r="K1099" t="str">
            <v>ITAMBÉ</v>
          </cell>
          <cell r="L1099" t="str">
            <v>PEDRO</v>
          </cell>
          <cell r="M1099" t="str">
            <v>VAGO QSR</v>
          </cell>
        </row>
        <row r="1100">
          <cell r="B1100">
            <v>5194319</v>
          </cell>
          <cell r="C1100" t="str">
            <v>PIMENTA VERDE ALIMENTOS LTDA</v>
          </cell>
          <cell r="D1100">
            <v>6001</v>
          </cell>
          <cell r="E1100" t="str">
            <v>6125</v>
          </cell>
          <cell r="F1100" t="str">
            <v>C1</v>
          </cell>
          <cell r="G1100" t="str">
            <v>SP</v>
          </cell>
          <cell r="H1100" t="str">
            <v>QSR</v>
          </cell>
          <cell r="I1100" t="str">
            <v>FOOD SERVICE</v>
          </cell>
          <cell r="J1100" t="str">
            <v>VAGO QSR</v>
          </cell>
          <cell r="K1100" t="str">
            <v>ITAMBÉ</v>
          </cell>
          <cell r="L1100" t="str">
            <v>PEDRO</v>
          </cell>
          <cell r="M1100" t="str">
            <v>VAGO QSR</v>
          </cell>
        </row>
        <row r="1101">
          <cell r="B1101">
            <v>5262287</v>
          </cell>
          <cell r="C1101" t="str">
            <v>PINA RESTAURANTE EIRELI</v>
          </cell>
          <cell r="D1101">
            <v>7001</v>
          </cell>
          <cell r="E1101" t="str">
            <v>0749</v>
          </cell>
          <cell r="F1101" t="str">
            <v>C5</v>
          </cell>
          <cell r="G1101" t="str">
            <v>SP</v>
          </cell>
          <cell r="H1101" t="str">
            <v>DISTRIBUIÇÃO</v>
          </cell>
          <cell r="I1101" t="str">
            <v>FOOD SERVICE</v>
          </cell>
          <cell r="J1101" t="str">
            <v>FLAC 4</v>
          </cell>
          <cell r="K1101" t="str">
            <v>LACTALIS</v>
          </cell>
          <cell r="L1101" t="str">
            <v>RODRIGO</v>
          </cell>
          <cell r="M1101" t="str">
            <v>RAQUEL BARBOSA</v>
          </cell>
        </row>
        <row r="1102">
          <cell r="B1102">
            <v>5331632</v>
          </cell>
          <cell r="C1102" t="str">
            <v>PINHEIROS BAR E TRATORIA LTDA</v>
          </cell>
          <cell r="D1102">
            <v>7001</v>
          </cell>
          <cell r="E1102" t="str">
            <v>0749</v>
          </cell>
          <cell r="F1102" t="str">
            <v>C5</v>
          </cell>
          <cell r="G1102" t="str">
            <v>SP</v>
          </cell>
          <cell r="H1102" t="str">
            <v>DISTRIBUIÇÃO</v>
          </cell>
          <cell r="I1102" t="str">
            <v>FOOD SERVICE</v>
          </cell>
          <cell r="J1102" t="str">
            <v>FLAC 4</v>
          </cell>
          <cell r="K1102" t="str">
            <v>LACTALIS</v>
          </cell>
          <cell r="L1102" t="str">
            <v>RODRIGO</v>
          </cell>
          <cell r="M1102" t="str">
            <v>RAQUEL BARBOSA</v>
          </cell>
        </row>
        <row r="1103">
          <cell r="B1103">
            <v>5252890</v>
          </cell>
          <cell r="C1103" t="str">
            <v>PITA SANDWICHES LTDA ME</v>
          </cell>
          <cell r="D1103">
            <v>7001</v>
          </cell>
          <cell r="E1103" t="str">
            <v>0749</v>
          </cell>
          <cell r="F1103" t="str">
            <v>C5</v>
          </cell>
          <cell r="G1103" t="str">
            <v>SP</v>
          </cell>
          <cell r="H1103" t="str">
            <v>DISTRIBUIÇÃO</v>
          </cell>
          <cell r="I1103" t="str">
            <v>FOOD SERVICE</v>
          </cell>
          <cell r="J1103" t="str">
            <v>FLAC 3</v>
          </cell>
          <cell r="K1103" t="str">
            <v>LACTALIS</v>
          </cell>
          <cell r="L1103" t="str">
            <v>RODRIGO</v>
          </cell>
          <cell r="M1103" t="str">
            <v>RAQUEL BARBOSA</v>
          </cell>
        </row>
        <row r="1104">
          <cell r="B1104">
            <v>5315264</v>
          </cell>
          <cell r="C1104" t="str">
            <v>PITAYA DELIVERY E COMERCIO DE ALIME</v>
          </cell>
          <cell r="D1104">
            <v>7001</v>
          </cell>
          <cell r="E1104" t="str">
            <v>0749</v>
          </cell>
          <cell r="F1104" t="str">
            <v>C5</v>
          </cell>
          <cell r="G1104" t="str">
            <v>SP</v>
          </cell>
          <cell r="H1104" t="str">
            <v>DISTRIBUIÇÃO</v>
          </cell>
          <cell r="I1104" t="str">
            <v>FOOD SERVICE</v>
          </cell>
          <cell r="J1104" t="str">
            <v>FLAC 3</v>
          </cell>
          <cell r="K1104" t="str">
            <v>LACTALIS</v>
          </cell>
          <cell r="L1104" t="str">
            <v>RODRIGO</v>
          </cell>
          <cell r="M1104" t="str">
            <v>RAQUEL BARBOSA</v>
          </cell>
        </row>
        <row r="1105">
          <cell r="B1105">
            <v>5279575</v>
          </cell>
          <cell r="C1105" t="str">
            <v>PIZZARIA E CHURR NOVA MACEDO LTDA E</v>
          </cell>
          <cell r="D1105">
            <v>7001</v>
          </cell>
          <cell r="E1105" t="str">
            <v>0749</v>
          </cell>
          <cell r="F1105" t="str">
            <v>C5</v>
          </cell>
          <cell r="G1105" t="str">
            <v>SP</v>
          </cell>
          <cell r="H1105" t="str">
            <v>DISTRIBUIÇÃO</v>
          </cell>
          <cell r="I1105" t="str">
            <v>FOOD SERVICE</v>
          </cell>
          <cell r="J1105" t="str">
            <v>FLAC 6</v>
          </cell>
          <cell r="K1105" t="str">
            <v>LACTALIS</v>
          </cell>
          <cell r="L1105" t="str">
            <v>RODRIGO</v>
          </cell>
          <cell r="M1105" t="str">
            <v>RAQUEL BARBOSA</v>
          </cell>
        </row>
        <row r="1106">
          <cell r="B1106">
            <v>5308084</v>
          </cell>
          <cell r="C1106" t="str">
            <v>PLAISIR PATISSERI LTDA</v>
          </cell>
          <cell r="D1106">
            <v>7001</v>
          </cell>
          <cell r="E1106" t="str">
            <v>0749</v>
          </cell>
          <cell r="F1106" t="str">
            <v>C5</v>
          </cell>
          <cell r="G1106" t="str">
            <v>SP</v>
          </cell>
          <cell r="H1106" t="str">
            <v>DISTRIBUIÇÃO</v>
          </cell>
          <cell r="I1106" t="str">
            <v>FOOD SERVICE</v>
          </cell>
          <cell r="J1106" t="str">
            <v>FLAC 6</v>
          </cell>
          <cell r="K1106" t="str">
            <v>LACTALIS</v>
          </cell>
          <cell r="L1106" t="str">
            <v>RODRIGO</v>
          </cell>
          <cell r="M1106" t="str">
            <v>RAQUEL BARBOSA</v>
          </cell>
        </row>
        <row r="1107">
          <cell r="B1107">
            <v>5195605</v>
          </cell>
          <cell r="C1107" t="str">
            <v>PLANETA DOCES E ALIMENTICIOS EIRELI</v>
          </cell>
          <cell r="D1107">
            <v>6001</v>
          </cell>
          <cell r="E1107" t="str">
            <v>6125</v>
          </cell>
          <cell r="F1107" t="str">
            <v>C1</v>
          </cell>
          <cell r="G1107" t="str">
            <v>SP</v>
          </cell>
          <cell r="H1107" t="str">
            <v>DISTRIBUIÇÃO</v>
          </cell>
          <cell r="I1107" t="str">
            <v>FOOD SERVICE</v>
          </cell>
          <cell r="J1107" t="str">
            <v>SP ITB FS FLAC REP.E COMERCIO</v>
          </cell>
          <cell r="K1107" t="str">
            <v>ITAMBÉ</v>
          </cell>
          <cell r="L1107" t="str">
            <v>RODRIGO</v>
          </cell>
          <cell r="M1107" t="str">
            <v>RAQUEL BARBOSA</v>
          </cell>
        </row>
        <row r="1108">
          <cell r="B1108">
            <v>5223996</v>
          </cell>
          <cell r="C1108" t="str">
            <v>PLASTIC DISTRIBUIDORA LTDA</v>
          </cell>
          <cell r="D1108">
            <v>3001</v>
          </cell>
          <cell r="E1108" t="str">
            <v>0028</v>
          </cell>
          <cell r="F1108" t="str">
            <v>C1</v>
          </cell>
          <cell r="G1108" t="str">
            <v>ES</v>
          </cell>
          <cell r="H1108" t="str">
            <v>INGREDIENTS</v>
          </cell>
          <cell r="I1108" t="str">
            <v>INGREDIENTS</v>
          </cell>
          <cell r="J1108" t="str">
            <v>DUAS RODAS</v>
          </cell>
          <cell r="K1108" t="str">
            <v>ITAMBÉ</v>
          </cell>
          <cell r="L1108" t="str">
            <v>MAURICIO</v>
          </cell>
          <cell r="M1108" t="str">
            <v>JOEL</v>
          </cell>
        </row>
        <row r="1109">
          <cell r="B1109">
            <v>5060465</v>
          </cell>
          <cell r="C1109" t="str">
            <v>PLATANUS LATICINIOS LTDA</v>
          </cell>
          <cell r="D1109">
            <v>7001</v>
          </cell>
          <cell r="E1109" t="str">
            <v>0749</v>
          </cell>
          <cell r="F1109" t="str">
            <v>C5</v>
          </cell>
          <cell r="G1109" t="str">
            <v>SP</v>
          </cell>
          <cell r="H1109" t="str">
            <v>DISTRIBUIÇÃO</v>
          </cell>
          <cell r="I1109" t="str">
            <v>FOOD SERVICE</v>
          </cell>
          <cell r="J1109" t="str">
            <v>FLAC 1</v>
          </cell>
          <cell r="K1109" t="str">
            <v>LACTALIS</v>
          </cell>
          <cell r="L1109" t="str">
            <v>RODRIGO</v>
          </cell>
          <cell r="M1109" t="str">
            <v>RAQUEL BARBOSA</v>
          </cell>
        </row>
        <row r="1110">
          <cell r="B1110">
            <v>5227253</v>
          </cell>
          <cell r="C1110" t="str">
            <v>PLATLOG IMPORTACAO LOG DIST LTDA</v>
          </cell>
          <cell r="D1110">
            <v>6001</v>
          </cell>
          <cell r="E1110" t="str">
            <v>6125</v>
          </cell>
          <cell r="F1110" t="str">
            <v>C1</v>
          </cell>
          <cell r="G1110" t="str">
            <v>SP</v>
          </cell>
          <cell r="H1110" t="str">
            <v>QSR</v>
          </cell>
          <cell r="I1110" t="str">
            <v>FOOD SERVICE</v>
          </cell>
          <cell r="J1110" t="str">
            <v>ANA MENIQUETE</v>
          </cell>
          <cell r="K1110" t="str">
            <v>ITAMBÉ</v>
          </cell>
          <cell r="L1110" t="str">
            <v>PEDRO</v>
          </cell>
          <cell r="M1110" t="str">
            <v>ANA MENIQUETE</v>
          </cell>
        </row>
        <row r="1111">
          <cell r="B1111">
            <v>5227253</v>
          </cell>
          <cell r="C1111" t="str">
            <v>PLATLOG IMPORTACAO LOG DIST LTDA</v>
          </cell>
          <cell r="D1111">
            <v>7001</v>
          </cell>
          <cell r="E1111" t="str">
            <v>0722</v>
          </cell>
          <cell r="F1111" t="str">
            <v>C1</v>
          </cell>
          <cell r="G1111" t="str">
            <v>SP</v>
          </cell>
          <cell r="H1111" t="str">
            <v>QSR</v>
          </cell>
          <cell r="I1111" t="str">
            <v>FOOD SERVICE</v>
          </cell>
          <cell r="J1111" t="str">
            <v>ANA MENIQUETE</v>
          </cell>
          <cell r="K1111" t="str">
            <v>LACTALIS</v>
          </cell>
          <cell r="L1111" t="str">
            <v>PEDRO</v>
          </cell>
          <cell r="M1111" t="str">
            <v>ANA MENIQUETE</v>
          </cell>
        </row>
        <row r="1112">
          <cell r="B1112">
            <v>5229130</v>
          </cell>
          <cell r="C1112" t="str">
            <v>PLATLOG IMPORTACAO LOGISTICA E DIST</v>
          </cell>
          <cell r="D1112">
            <v>6001</v>
          </cell>
          <cell r="E1112" t="str">
            <v>6125</v>
          </cell>
          <cell r="F1112" t="str">
            <v>C1</v>
          </cell>
          <cell r="G1112" t="str">
            <v>SP</v>
          </cell>
          <cell r="H1112" t="str">
            <v>QSR</v>
          </cell>
          <cell r="I1112" t="str">
            <v>FOOD SERVICE</v>
          </cell>
          <cell r="J1112" t="str">
            <v>ANA MENIQUETE</v>
          </cell>
          <cell r="K1112" t="str">
            <v>ITAMBÉ</v>
          </cell>
          <cell r="L1112" t="str">
            <v>PEDRO</v>
          </cell>
          <cell r="M1112" t="str">
            <v>ANA MENIQUETE</v>
          </cell>
        </row>
        <row r="1113">
          <cell r="B1113">
            <v>5229130</v>
          </cell>
          <cell r="C1113" t="str">
            <v>PLATLOG IMPORTACAO LOGISTICA E DIST</v>
          </cell>
          <cell r="D1113">
            <v>7001</v>
          </cell>
          <cell r="E1113" t="str">
            <v>0722</v>
          </cell>
          <cell r="F1113" t="str">
            <v>C1</v>
          </cell>
          <cell r="G1113" t="str">
            <v>SP</v>
          </cell>
          <cell r="H1113" t="str">
            <v>QSR</v>
          </cell>
          <cell r="I1113" t="str">
            <v>FOOD SERVICE</v>
          </cell>
          <cell r="J1113" t="str">
            <v>ANA MENIQUETE</v>
          </cell>
          <cell r="K1113" t="str">
            <v>LACTALIS</v>
          </cell>
          <cell r="L1113" t="str">
            <v>PEDRO</v>
          </cell>
          <cell r="M1113" t="str">
            <v>ANA MENIQUETE</v>
          </cell>
        </row>
        <row r="1114">
          <cell r="B1114">
            <v>5307746</v>
          </cell>
          <cell r="C1114" t="str">
            <v>PLENA SAUDE SA</v>
          </cell>
          <cell r="D1114">
            <v>7001</v>
          </cell>
          <cell r="E1114" t="str">
            <v>0749</v>
          </cell>
          <cell r="F1114" t="str">
            <v>C5</v>
          </cell>
          <cell r="G1114" t="str">
            <v>SP</v>
          </cell>
          <cell r="H1114" t="str">
            <v>DISTRIBUIÇÃO</v>
          </cell>
          <cell r="I1114" t="str">
            <v>FOOD SERVICE</v>
          </cell>
          <cell r="J1114" t="str">
            <v>FLAC 6</v>
          </cell>
          <cell r="K1114" t="str">
            <v>LACTALIS</v>
          </cell>
          <cell r="L1114" t="str">
            <v>RODRIGO</v>
          </cell>
          <cell r="M1114" t="str">
            <v>RAQUEL BARBOSA</v>
          </cell>
        </row>
        <row r="1115">
          <cell r="B1115">
            <v>5334673</v>
          </cell>
          <cell r="C1115" t="str">
            <v>PLENA SAUDE SA</v>
          </cell>
          <cell r="D1115">
            <v>7001</v>
          </cell>
          <cell r="E1115" t="str">
            <v>0749</v>
          </cell>
          <cell r="F1115" t="str">
            <v>C5</v>
          </cell>
          <cell r="G1115" t="str">
            <v>SP</v>
          </cell>
          <cell r="H1115" t="str">
            <v>DISTRIBUIÇÃO</v>
          </cell>
          <cell r="I1115" t="str">
            <v>FOOD SERVICE</v>
          </cell>
          <cell r="J1115" t="str">
            <v>FLAC 3</v>
          </cell>
          <cell r="K1115" t="str">
            <v>LACTALIS</v>
          </cell>
          <cell r="L1115" t="str">
            <v>RODRIGO</v>
          </cell>
          <cell r="M1115" t="str">
            <v>RAQUEL BARBOSA</v>
          </cell>
        </row>
        <row r="1116">
          <cell r="B1116">
            <v>5162493</v>
          </cell>
          <cell r="C1116" t="str">
            <v>PLIMAX IMP E EXP EIRELI</v>
          </cell>
          <cell r="D1116">
            <v>3001</v>
          </cell>
          <cell r="E1116" t="str">
            <v>0122</v>
          </cell>
          <cell r="F1116" t="str">
            <v>C1</v>
          </cell>
          <cell r="G1116" t="str">
            <v>MG</v>
          </cell>
          <cell r="H1116" t="str">
            <v>DISTRIBUIÇÃO</v>
          </cell>
          <cell r="I1116" t="str">
            <v>FOOD SERVICE</v>
          </cell>
          <cell r="J1116" t="str">
            <v>MARCELO SILVA</v>
          </cell>
          <cell r="K1116" t="str">
            <v>ITAMBÉ</v>
          </cell>
          <cell r="L1116" t="str">
            <v>RODRIGO</v>
          </cell>
          <cell r="M1116" t="str">
            <v>CELIO MARTINS</v>
          </cell>
        </row>
        <row r="1117">
          <cell r="B1117">
            <v>5059695</v>
          </cell>
          <cell r="C1117" t="str">
            <v>POLENGHI INDUSTRIAS ALIMS LTDA</v>
          </cell>
          <cell r="D1117">
            <v>3001</v>
          </cell>
          <cell r="E1117" t="str">
            <v>0028</v>
          </cell>
          <cell r="F1117" t="str">
            <v>C1</v>
          </cell>
          <cell r="G1117" t="str">
            <v>SP</v>
          </cell>
          <cell r="H1117" t="str">
            <v>INGREDIENTS</v>
          </cell>
          <cell r="I1117" t="str">
            <v>INGREDIENTS</v>
          </cell>
          <cell r="J1117" t="str">
            <v>TATIANA NITTA</v>
          </cell>
          <cell r="K1117" t="str">
            <v>ITAMBÉ</v>
          </cell>
          <cell r="L1117" t="str">
            <v>MAURICIO</v>
          </cell>
          <cell r="M1117" t="str">
            <v>TATIANA NITTA</v>
          </cell>
        </row>
        <row r="1118">
          <cell r="B1118">
            <v>5059695</v>
          </cell>
          <cell r="C1118" t="str">
            <v>POLENGHI INDUSTRIAS ALIMS LTDA</v>
          </cell>
          <cell r="D1118">
            <v>4001</v>
          </cell>
          <cell r="E1118" t="str">
            <v>0437</v>
          </cell>
          <cell r="F1118" t="str">
            <v>C1</v>
          </cell>
          <cell r="G1118" t="str">
            <v>SP</v>
          </cell>
          <cell r="H1118" t="str">
            <v>MC DONALDS</v>
          </cell>
          <cell r="I1118" t="str">
            <v>MC DONALDS</v>
          </cell>
          <cell r="J1118" t="str">
            <v>MAURICIO GALLI</v>
          </cell>
          <cell r="K1118" t="str">
            <v>LACTALIS</v>
          </cell>
          <cell r="L1118" t="str">
            <v>MAURICIO</v>
          </cell>
          <cell r="M1118" t="str">
            <v>MAURICIO</v>
          </cell>
        </row>
        <row r="1119">
          <cell r="B1119">
            <v>5059695</v>
          </cell>
          <cell r="C1119" t="str">
            <v>POLENGHI INDUSTRIAS ALIMS LTDA</v>
          </cell>
          <cell r="D1119">
            <v>4001</v>
          </cell>
          <cell r="E1119" t="str">
            <v>0445</v>
          </cell>
          <cell r="F1119" t="str">
            <v>C7</v>
          </cell>
          <cell r="G1119" t="str">
            <v>SP</v>
          </cell>
          <cell r="H1119" t="str">
            <v>INGREDIENTS</v>
          </cell>
          <cell r="I1119" t="str">
            <v>INGREDIENTS</v>
          </cell>
          <cell r="J1119" t="str">
            <v>TATIANA NITTA</v>
          </cell>
          <cell r="K1119" t="str">
            <v>LACTALIS</v>
          </cell>
          <cell r="L1119" t="str">
            <v>MAURICIO</v>
          </cell>
          <cell r="M1119" t="str">
            <v>TATIANA NITTA</v>
          </cell>
        </row>
        <row r="1120">
          <cell r="B1120">
            <v>5223459</v>
          </cell>
          <cell r="C1120" t="str">
            <v>POMPEIA SA INDUSTRIA E COMERCIO</v>
          </cell>
          <cell r="D1120">
            <v>4001</v>
          </cell>
          <cell r="E1120" t="str">
            <v>0423</v>
          </cell>
          <cell r="F1120" t="str">
            <v>C5</v>
          </cell>
          <cell r="G1120" t="str">
            <v>SP</v>
          </cell>
          <cell r="H1120" t="str">
            <v>INGREDIENTS</v>
          </cell>
          <cell r="I1120" t="str">
            <v>INGREDIENTS</v>
          </cell>
          <cell r="J1120" t="str">
            <v>MARCELO RODRIGUES</v>
          </cell>
          <cell r="K1120" t="str">
            <v>LACTALIS</v>
          </cell>
          <cell r="L1120" t="str">
            <v>MAURICIO</v>
          </cell>
          <cell r="M1120" t="str">
            <v>MARCELO</v>
          </cell>
        </row>
        <row r="1121">
          <cell r="B1121">
            <v>5166429</v>
          </cell>
          <cell r="C1121" t="str">
            <v>PONTEVECCHIO ALIMENTOS LTDA</v>
          </cell>
          <cell r="D1121">
            <v>7001</v>
          </cell>
          <cell r="E1121" t="str">
            <v>0749</v>
          </cell>
          <cell r="F1121" t="str">
            <v>C5</v>
          </cell>
          <cell r="G1121" t="str">
            <v>SP</v>
          </cell>
          <cell r="H1121" t="str">
            <v>DISTRIBUIÇÃO</v>
          </cell>
          <cell r="I1121" t="str">
            <v>FOOD SERVICE</v>
          </cell>
          <cell r="J1121" t="str">
            <v>FLAC 3</v>
          </cell>
          <cell r="K1121" t="str">
            <v>LACTALIS</v>
          </cell>
          <cell r="L1121" t="str">
            <v>RODRIGO</v>
          </cell>
          <cell r="M1121" t="str">
            <v>RAQUEL BARBOSA</v>
          </cell>
        </row>
        <row r="1122">
          <cell r="B1122">
            <v>5162420</v>
          </cell>
          <cell r="C1122" t="str">
            <v>PONTO DO SORVETEIRO LTDA</v>
          </cell>
          <cell r="D1122">
            <v>3001</v>
          </cell>
          <cell r="E1122" t="str">
            <v>0126</v>
          </cell>
          <cell r="F1122" t="str">
            <v>C1</v>
          </cell>
          <cell r="G1122" t="str">
            <v>PR</v>
          </cell>
          <cell r="H1122" t="str">
            <v>INGREDIENTS</v>
          </cell>
          <cell r="I1122" t="str">
            <v>INGREDIENTS</v>
          </cell>
          <cell r="J1122" t="str">
            <v>DUAS RODAS</v>
          </cell>
          <cell r="K1122" t="str">
            <v>ITAMBÉ</v>
          </cell>
          <cell r="L1122" t="str">
            <v>MAURICIO</v>
          </cell>
          <cell r="M1122" t="str">
            <v>MARCELO</v>
          </cell>
        </row>
        <row r="1123">
          <cell r="B1123">
            <v>5313456</v>
          </cell>
          <cell r="C1123" t="str">
            <v>PORTEFRIO DISTRIBUIDORA DE GENEROS</v>
          </cell>
          <cell r="D1123">
            <v>3001</v>
          </cell>
          <cell r="E1123" t="str">
            <v>0169</v>
          </cell>
          <cell r="F1123" t="str">
            <v>C1</v>
          </cell>
          <cell r="G1123" t="str">
            <v>RJ</v>
          </cell>
          <cell r="H1123" t="str">
            <v>DISTRIBUIÇÃO</v>
          </cell>
          <cell r="I1123" t="str">
            <v>FOOD SERVICE</v>
          </cell>
          <cell r="J1123" t="str">
            <v>JULIANA CORDEIRO</v>
          </cell>
          <cell r="K1123" t="str">
            <v>ITAMBÉ</v>
          </cell>
          <cell r="L1123" t="str">
            <v>RODRIGO</v>
          </cell>
          <cell r="M1123" t="str">
            <v>JESSICA</v>
          </cell>
        </row>
        <row r="1124">
          <cell r="B1124">
            <v>5250841</v>
          </cell>
          <cell r="C1124" t="str">
            <v>PRADO PEREIRA ALIMENTOS LTDA</v>
          </cell>
          <cell r="D1124">
            <v>3001</v>
          </cell>
          <cell r="E1124" t="str">
            <v>0126</v>
          </cell>
          <cell r="F1124" t="str">
            <v>C1</v>
          </cell>
          <cell r="G1124" t="str">
            <v>PR</v>
          </cell>
          <cell r="H1124" t="str">
            <v>DISTRIBUIÇÃO</v>
          </cell>
          <cell r="I1124" t="str">
            <v>FOOD SERVICE</v>
          </cell>
          <cell r="J1124" t="str">
            <v>ANGELICA BATISTELA</v>
          </cell>
          <cell r="K1124" t="str">
            <v>ITAMBÉ</v>
          </cell>
          <cell r="L1124" t="str">
            <v>RODRIGO</v>
          </cell>
          <cell r="M1124" t="str">
            <v>ANGELICA BATISTELA</v>
          </cell>
        </row>
        <row r="1125">
          <cell r="B1125">
            <v>5223413</v>
          </cell>
          <cell r="C1125" t="str">
            <v>PRANA IND E COM DE ALIM LTDA</v>
          </cell>
          <cell r="D1125">
            <v>3001</v>
          </cell>
          <cell r="E1125" t="str">
            <v>0122</v>
          </cell>
          <cell r="F1125" t="str">
            <v>C1</v>
          </cell>
          <cell r="G1125" t="str">
            <v>MG</v>
          </cell>
          <cell r="H1125" t="str">
            <v>DISTRIBUIÇÃO</v>
          </cell>
          <cell r="I1125" t="str">
            <v>FOOD SERVICE</v>
          </cell>
          <cell r="J1125" t="str">
            <v>MARCELO SILVA</v>
          </cell>
          <cell r="K1125" t="str">
            <v>ITAMBÉ</v>
          </cell>
          <cell r="L1125" t="str">
            <v>RODRIGO</v>
          </cell>
          <cell r="M1125" t="str">
            <v>CELIO MARTINS</v>
          </cell>
        </row>
        <row r="1126">
          <cell r="B1126">
            <v>5254158</v>
          </cell>
          <cell r="C1126" t="str">
            <v>PREMIER RESIDENCE HOSPITAL LTDA</v>
          </cell>
          <cell r="D1126">
            <v>7001</v>
          </cell>
          <cell r="E1126" t="str">
            <v>0749</v>
          </cell>
          <cell r="F1126" t="str">
            <v>C5</v>
          </cell>
          <cell r="G1126" t="str">
            <v>SP</v>
          </cell>
          <cell r="H1126" t="str">
            <v>DISTRIBUIÇÃO</v>
          </cell>
          <cell r="I1126" t="str">
            <v>FOOD SERVICE</v>
          </cell>
          <cell r="J1126" t="str">
            <v>FLAC 6</v>
          </cell>
          <cell r="K1126" t="str">
            <v>LACTALIS</v>
          </cell>
          <cell r="L1126" t="str">
            <v>RODRIGO</v>
          </cell>
          <cell r="M1126" t="str">
            <v>RAQUEL BARBOSA</v>
          </cell>
        </row>
        <row r="1127">
          <cell r="B1127">
            <v>5280659</v>
          </cell>
          <cell r="C1127" t="str">
            <v>PRET A MANGER COM ALIM LTDA ME</v>
          </cell>
          <cell r="D1127">
            <v>7001</v>
          </cell>
          <cell r="E1127" t="str">
            <v>0749</v>
          </cell>
          <cell r="F1127" t="str">
            <v>C5</v>
          </cell>
          <cell r="G1127" t="str">
            <v>SP</v>
          </cell>
          <cell r="H1127" t="str">
            <v>DISTRIBUIÇÃO</v>
          </cell>
          <cell r="I1127" t="str">
            <v>FOOD SERVICE</v>
          </cell>
          <cell r="J1127" t="str">
            <v>FLAC 3</v>
          </cell>
          <cell r="K1127" t="str">
            <v>LACTALIS</v>
          </cell>
          <cell r="L1127" t="str">
            <v>RODRIGO</v>
          </cell>
          <cell r="M1127" t="str">
            <v>RAQUEL BARBOSA</v>
          </cell>
        </row>
        <row r="1128">
          <cell r="B1128">
            <v>5264404</v>
          </cell>
          <cell r="C1128" t="str">
            <v>PRIME ONE CAFETERIA LTDA</v>
          </cell>
          <cell r="D1128">
            <v>7001</v>
          </cell>
          <cell r="E1128" t="str">
            <v>0749</v>
          </cell>
          <cell r="F1128" t="str">
            <v>C5</v>
          </cell>
          <cell r="G1128" t="str">
            <v>SP</v>
          </cell>
          <cell r="H1128" t="str">
            <v>DISTRIBUIÇÃO</v>
          </cell>
          <cell r="I1128" t="str">
            <v>FOOD SERVICE</v>
          </cell>
          <cell r="J1128" t="str">
            <v>FLAC 6</v>
          </cell>
          <cell r="K1128" t="str">
            <v>LACTALIS</v>
          </cell>
          <cell r="L1128" t="str">
            <v>RODRIGO</v>
          </cell>
          <cell r="M1128" t="str">
            <v>RAQUEL BARBOSA</v>
          </cell>
        </row>
        <row r="1129">
          <cell r="B1129">
            <v>5264168</v>
          </cell>
          <cell r="C1129" t="str">
            <v>PRISCILA SIZUKO KANASHIRO</v>
          </cell>
          <cell r="D1129">
            <v>7001</v>
          </cell>
          <cell r="E1129" t="str">
            <v>0749</v>
          </cell>
          <cell r="F1129" t="str">
            <v>C5</v>
          </cell>
          <cell r="G1129" t="str">
            <v>SP</v>
          </cell>
          <cell r="H1129" t="str">
            <v>DISTRIBUIÇÃO</v>
          </cell>
          <cell r="I1129" t="str">
            <v>FOOD SERVICE</v>
          </cell>
          <cell r="J1129" t="str">
            <v>FLAC 6</v>
          </cell>
          <cell r="K1129" t="str">
            <v>LACTALIS</v>
          </cell>
          <cell r="L1129" t="str">
            <v>RODRIGO</v>
          </cell>
          <cell r="M1129" t="str">
            <v>RAQUEL BARBOSA</v>
          </cell>
        </row>
        <row r="1130">
          <cell r="B1130">
            <v>5262507</v>
          </cell>
          <cell r="C1130" t="str">
            <v>PROJETO POVO DA PERIFERIA</v>
          </cell>
          <cell r="D1130">
            <v>7001</v>
          </cell>
          <cell r="E1130" t="str">
            <v>0749</v>
          </cell>
          <cell r="F1130" t="str">
            <v>C5</v>
          </cell>
          <cell r="G1130" t="str">
            <v>SP</v>
          </cell>
          <cell r="H1130" t="str">
            <v>DISTRIBUIÇÃO</v>
          </cell>
          <cell r="I1130" t="str">
            <v>FOOD SERVICE</v>
          </cell>
          <cell r="J1130" t="str">
            <v>FLAC 6</v>
          </cell>
          <cell r="K1130" t="str">
            <v>LACTALIS</v>
          </cell>
          <cell r="L1130" t="str">
            <v>RODRIGO</v>
          </cell>
          <cell r="M1130" t="str">
            <v>RAQUEL BARBOSA</v>
          </cell>
        </row>
        <row r="1131">
          <cell r="B1131">
            <v>5267832</v>
          </cell>
          <cell r="C1131" t="str">
            <v>PROJETO POVO DA PERIFERIA</v>
          </cell>
          <cell r="D1131">
            <v>7001</v>
          </cell>
          <cell r="E1131" t="str">
            <v>0749</v>
          </cell>
          <cell r="F1131" t="str">
            <v>C5</v>
          </cell>
          <cell r="G1131" t="str">
            <v>SP</v>
          </cell>
          <cell r="H1131" t="str">
            <v>DISTRIBUIÇÃO</v>
          </cell>
          <cell r="I1131" t="str">
            <v>FOOD SERVICE</v>
          </cell>
          <cell r="J1131" t="str">
            <v>FLAC 6</v>
          </cell>
          <cell r="K1131" t="str">
            <v>LACTALIS</v>
          </cell>
          <cell r="L1131" t="str">
            <v>RODRIGO</v>
          </cell>
          <cell r="M1131" t="str">
            <v>RAQUEL BARBOSA</v>
          </cell>
        </row>
        <row r="1132">
          <cell r="B1132">
            <v>5312476</v>
          </cell>
          <cell r="C1132" t="str">
            <v>PROJETO POVO DA PERIFERIA</v>
          </cell>
          <cell r="D1132">
            <v>7001</v>
          </cell>
          <cell r="E1132" t="str">
            <v>0749</v>
          </cell>
          <cell r="F1132" t="str">
            <v>C5</v>
          </cell>
          <cell r="G1132" t="str">
            <v>SP</v>
          </cell>
          <cell r="H1132" t="str">
            <v>DISTRIBUIÇÃO</v>
          </cell>
          <cell r="I1132" t="str">
            <v>FOOD SERVICE</v>
          </cell>
          <cell r="J1132" t="str">
            <v>FLAC 6</v>
          </cell>
          <cell r="K1132" t="str">
            <v>LACTALIS</v>
          </cell>
          <cell r="L1132" t="str">
            <v>RODRIGO</v>
          </cell>
          <cell r="M1132" t="str">
            <v>RAQUEL BARBOSA</v>
          </cell>
        </row>
        <row r="1133">
          <cell r="B1133">
            <v>5267513</v>
          </cell>
          <cell r="C1133" t="str">
            <v>PROJETO POVO DA PERIFERIA</v>
          </cell>
          <cell r="D1133">
            <v>7001</v>
          </cell>
          <cell r="E1133" t="str">
            <v>0749</v>
          </cell>
          <cell r="F1133" t="str">
            <v>C5</v>
          </cell>
          <cell r="G1133" t="str">
            <v>SP</v>
          </cell>
          <cell r="H1133" t="str">
            <v>DISTRIBUIÇÃO</v>
          </cell>
          <cell r="I1133" t="str">
            <v>FOOD SERVICE</v>
          </cell>
          <cell r="J1133" t="str">
            <v>FLAC 6</v>
          </cell>
          <cell r="K1133" t="str">
            <v>LACTALIS</v>
          </cell>
          <cell r="L1133" t="str">
            <v>RODRIGO</v>
          </cell>
          <cell r="M1133" t="str">
            <v>RAQUEL BARBOSA</v>
          </cell>
        </row>
        <row r="1134">
          <cell r="B1134">
            <v>5230884</v>
          </cell>
          <cell r="C1134" t="str">
            <v>PROREGI IND COM E IMPORT LTDA</v>
          </cell>
          <cell r="D1134">
            <v>3001</v>
          </cell>
          <cell r="E1134" t="str">
            <v>0122</v>
          </cell>
          <cell r="F1134" t="str">
            <v>C1</v>
          </cell>
          <cell r="G1134" t="str">
            <v>MG</v>
          </cell>
          <cell r="H1134" t="str">
            <v>INGREDIENTS</v>
          </cell>
          <cell r="I1134" t="str">
            <v>INGREDIENTS</v>
          </cell>
          <cell r="J1134" t="str">
            <v>HENRIQUE FERREIRA</v>
          </cell>
          <cell r="K1134" t="str">
            <v>ITAMBÉ</v>
          </cell>
          <cell r="L1134" t="str">
            <v>MAURICIO</v>
          </cell>
          <cell r="M1134" t="str">
            <v>JOEL</v>
          </cell>
        </row>
        <row r="1135">
          <cell r="B1135">
            <v>5289223</v>
          </cell>
          <cell r="C1135" t="str">
            <v>PROTTI CONFEITARIA E CAFETERIA LTDA</v>
          </cell>
          <cell r="D1135">
            <v>7001</v>
          </cell>
          <cell r="E1135" t="str">
            <v>0749</v>
          </cell>
          <cell r="F1135" t="str">
            <v>C5</v>
          </cell>
          <cell r="G1135" t="str">
            <v>SP</v>
          </cell>
          <cell r="H1135" t="str">
            <v>DISTRIBUIÇÃO</v>
          </cell>
          <cell r="I1135" t="str">
            <v>FOOD SERVICE</v>
          </cell>
          <cell r="J1135" t="str">
            <v>FLAC 6</v>
          </cell>
          <cell r="K1135" t="str">
            <v>LACTALIS</v>
          </cell>
          <cell r="L1135" t="str">
            <v>RODRIGO</v>
          </cell>
          <cell r="M1135" t="str">
            <v>RAQUEL BARBOSA</v>
          </cell>
        </row>
        <row r="1136">
          <cell r="B1136">
            <v>5334782</v>
          </cell>
          <cell r="C1136" t="str">
            <v>QUALISABOR REFEICOES LTDA</v>
          </cell>
          <cell r="D1136">
            <v>7001</v>
          </cell>
          <cell r="E1136" t="str">
            <v>0749</v>
          </cell>
          <cell r="F1136" t="str">
            <v>C5</v>
          </cell>
          <cell r="G1136" t="str">
            <v>SP</v>
          </cell>
          <cell r="H1136" t="str">
            <v>DISTRIBUIÇÃO</v>
          </cell>
          <cell r="I1136" t="str">
            <v>FOOD SERVICE</v>
          </cell>
          <cell r="J1136" t="str">
            <v>FLAC 4</v>
          </cell>
          <cell r="K1136" t="str">
            <v>LACTALIS</v>
          </cell>
          <cell r="L1136" t="str">
            <v>RODRIGO</v>
          </cell>
          <cell r="M1136" t="str">
            <v>RAQUEL BARBOSA</v>
          </cell>
        </row>
        <row r="1137">
          <cell r="B1137">
            <v>5235868</v>
          </cell>
          <cell r="C1137" t="str">
            <v>QUI O QUA PASTICCIOTTERIA LTDA</v>
          </cell>
          <cell r="D1137">
            <v>7001</v>
          </cell>
          <cell r="E1137" t="str">
            <v>0749</v>
          </cell>
          <cell r="F1137" t="str">
            <v>C5</v>
          </cell>
          <cell r="G1137" t="str">
            <v>SP</v>
          </cell>
          <cell r="H1137" t="str">
            <v>DISTRIBUIÇÃO</v>
          </cell>
          <cell r="I1137" t="str">
            <v>FOOD SERVICE</v>
          </cell>
          <cell r="J1137" t="str">
            <v>FLAC 6</v>
          </cell>
          <cell r="K1137" t="str">
            <v>LACTALIS</v>
          </cell>
          <cell r="L1137" t="str">
            <v>RODRIGO</v>
          </cell>
          <cell r="M1137" t="str">
            <v>RAQUEL BARBOSA</v>
          </cell>
        </row>
        <row r="1138">
          <cell r="B1138">
            <v>5229137</v>
          </cell>
          <cell r="C1138" t="str">
            <v>QUINTAL NAT EMPORIO DE ALIM ORG</v>
          </cell>
          <cell r="D1138">
            <v>7001</v>
          </cell>
          <cell r="E1138" t="str">
            <v>0749</v>
          </cell>
          <cell r="F1138" t="str">
            <v>C5</v>
          </cell>
          <cell r="G1138" t="str">
            <v>SP</v>
          </cell>
          <cell r="H1138" t="str">
            <v>DISTRIBUIÇÃO</v>
          </cell>
          <cell r="I1138" t="str">
            <v>FOOD SERVICE</v>
          </cell>
          <cell r="J1138" t="str">
            <v>FLAC 5</v>
          </cell>
          <cell r="K1138" t="str">
            <v>LACTALIS</v>
          </cell>
          <cell r="L1138" t="str">
            <v>RODRIGO</v>
          </cell>
          <cell r="M1138" t="str">
            <v>RAQUEL BARBOSA</v>
          </cell>
        </row>
        <row r="1139">
          <cell r="B1139">
            <v>5320540</v>
          </cell>
          <cell r="C1139" t="str">
            <v>QUINTANA COMERCIO DE ALIMENTOS LTDA</v>
          </cell>
          <cell r="D1139">
            <v>7001</v>
          </cell>
          <cell r="E1139" t="str">
            <v>0749</v>
          </cell>
          <cell r="F1139" t="str">
            <v>C5</v>
          </cell>
          <cell r="G1139" t="str">
            <v>SP</v>
          </cell>
          <cell r="H1139" t="str">
            <v>DISTRIBUIÇÃO</v>
          </cell>
          <cell r="I1139" t="str">
            <v>FOOD SERVICE</v>
          </cell>
          <cell r="J1139" t="str">
            <v>FLAC 3</v>
          </cell>
          <cell r="K1139" t="str">
            <v>LACTALIS</v>
          </cell>
          <cell r="L1139" t="str">
            <v>RODRIGO</v>
          </cell>
          <cell r="M1139" t="str">
            <v>RAQUEL BARBOSA</v>
          </cell>
        </row>
        <row r="1140">
          <cell r="B1140">
            <v>5275244</v>
          </cell>
          <cell r="C1140" t="str">
            <v>QUIOSQUE DO MATE CAFETERIA EIRELI</v>
          </cell>
          <cell r="D1140">
            <v>7001</v>
          </cell>
          <cell r="E1140" t="str">
            <v>0749</v>
          </cell>
          <cell r="F1140" t="str">
            <v>C5</v>
          </cell>
          <cell r="G1140" t="str">
            <v>SP</v>
          </cell>
          <cell r="H1140" t="str">
            <v>DISTRIBUIÇÃO</v>
          </cell>
          <cell r="I1140" t="str">
            <v>FOOD SERVICE</v>
          </cell>
          <cell r="J1140" t="str">
            <v>FLAC 7</v>
          </cell>
          <cell r="K1140" t="str">
            <v>LACTALIS</v>
          </cell>
          <cell r="L1140" t="str">
            <v>RODRIGO</v>
          </cell>
          <cell r="M1140" t="str">
            <v>RAQUEL BARBOSA</v>
          </cell>
        </row>
        <row r="1141">
          <cell r="B1141">
            <v>5145758</v>
          </cell>
          <cell r="C1141" t="str">
            <v>R E M COM DE PROD ALIM E ART PA</v>
          </cell>
          <cell r="D1141">
            <v>6001</v>
          </cell>
          <cell r="E1141" t="str">
            <v>6125</v>
          </cell>
          <cell r="F1141" t="str">
            <v>C1</v>
          </cell>
          <cell r="G1141" t="str">
            <v>SP</v>
          </cell>
          <cell r="H1141" t="str">
            <v>INGREDIENTS</v>
          </cell>
          <cell r="I1141" t="str">
            <v>INGREDIENTS</v>
          </cell>
          <cell r="J1141" t="str">
            <v>DUAS RODAS</v>
          </cell>
          <cell r="K1141" t="str">
            <v>ITAMBÉ</v>
          </cell>
          <cell r="L1141" t="str">
            <v>MAURICIO</v>
          </cell>
          <cell r="M1141" t="str">
            <v>TATIANA NITTA</v>
          </cell>
        </row>
        <row r="1142">
          <cell r="B1142">
            <v>5160852</v>
          </cell>
          <cell r="C1142" t="str">
            <v>R S TOLEDO MIX</v>
          </cell>
          <cell r="D1142">
            <v>3001</v>
          </cell>
          <cell r="E1142" t="str">
            <v>0122</v>
          </cell>
          <cell r="F1142" t="str">
            <v>C1</v>
          </cell>
          <cell r="G1142" t="str">
            <v>MG</v>
          </cell>
          <cell r="H1142" t="str">
            <v>DISTRIBUIÇÃO</v>
          </cell>
          <cell r="I1142" t="str">
            <v>FOOD SERVICE</v>
          </cell>
          <cell r="J1142" t="str">
            <v>MARCELO SILVA</v>
          </cell>
          <cell r="K1142" t="str">
            <v>ITAMBÉ</v>
          </cell>
          <cell r="L1142" t="str">
            <v>RODRIGO</v>
          </cell>
          <cell r="M1142" t="str">
            <v>CELIO MARTINS</v>
          </cell>
        </row>
        <row r="1143">
          <cell r="B1143">
            <v>5335321</v>
          </cell>
          <cell r="C1143" t="str">
            <v>RA CATERING DO BRASIL LTDA</v>
          </cell>
          <cell r="D1143">
            <v>7001</v>
          </cell>
          <cell r="E1143" t="str">
            <v>0722</v>
          </cell>
          <cell r="F1143" t="str">
            <v>C1</v>
          </cell>
          <cell r="G1143" t="str">
            <v>SP</v>
          </cell>
          <cell r="H1143" t="str">
            <v>QSR</v>
          </cell>
          <cell r="I1143" t="str">
            <v>FOOD SERVICE</v>
          </cell>
          <cell r="J1143" t="str">
            <v>VAGO QSR</v>
          </cell>
          <cell r="K1143" t="str">
            <v>LACTALIS</v>
          </cell>
          <cell r="L1143" t="str">
            <v>PEDRO</v>
          </cell>
          <cell r="M1143" t="str">
            <v>VAGO QSR</v>
          </cell>
        </row>
        <row r="1144">
          <cell r="B1144">
            <v>5292769</v>
          </cell>
          <cell r="C1144" t="str">
            <v>RAF MERCADO SAUDAVEL LTDA</v>
          </cell>
          <cell r="D1144">
            <v>7001</v>
          </cell>
          <cell r="E1144" t="str">
            <v>0749</v>
          </cell>
          <cell r="F1144" t="str">
            <v>C5</v>
          </cell>
          <cell r="G1144" t="str">
            <v>SP</v>
          </cell>
          <cell r="H1144" t="str">
            <v>DISTRIBUIÇÃO</v>
          </cell>
          <cell r="I1144" t="str">
            <v>FOOD SERVICE</v>
          </cell>
          <cell r="J1144" t="str">
            <v>FLAC 2</v>
          </cell>
          <cell r="K1144" t="str">
            <v>LACTALIS</v>
          </cell>
          <cell r="L1144" t="str">
            <v>RODRIGO</v>
          </cell>
          <cell r="M1144" t="str">
            <v>RAQUEL BARBOSA</v>
          </cell>
        </row>
        <row r="1145">
          <cell r="B1145">
            <v>5333153</v>
          </cell>
          <cell r="C1145" t="str">
            <v>RAROS INDUSTRIA E COM DE MASSAS AL LTDA</v>
          </cell>
          <cell r="D1145">
            <v>3001</v>
          </cell>
          <cell r="E1145" t="str">
            <v>0122</v>
          </cell>
          <cell r="F1145" t="str">
            <v>C1</v>
          </cell>
          <cell r="G1145" t="str">
            <v>MG</v>
          </cell>
          <cell r="H1145" t="str">
            <v>INGREDIENTS</v>
          </cell>
          <cell r="I1145" t="str">
            <v>INGREDIENTS</v>
          </cell>
          <cell r="J1145" t="str">
            <v>HENRIQUE FERREIRA</v>
          </cell>
          <cell r="K1145" t="str">
            <v>ITAMBÉ</v>
          </cell>
          <cell r="L1145" t="str">
            <v>MAURICIO</v>
          </cell>
          <cell r="M1145" t="str">
            <v>JOEL</v>
          </cell>
        </row>
        <row r="1146">
          <cell r="B1146">
            <v>5139542</v>
          </cell>
          <cell r="C1146" t="str">
            <v>RAYENNA KAMILA MALKUT 10657744603</v>
          </cell>
          <cell r="D1146">
            <v>3001</v>
          </cell>
          <cell r="E1146" t="str">
            <v>0122</v>
          </cell>
          <cell r="F1146" t="str">
            <v>C1</v>
          </cell>
          <cell r="G1146" t="str">
            <v>MG</v>
          </cell>
          <cell r="H1146" t="str">
            <v>DISTRIBUIÇÃO</v>
          </cell>
          <cell r="I1146" t="str">
            <v>FOOD SERVICE</v>
          </cell>
          <cell r="J1146" t="str">
            <v>MARCELO SILVA</v>
          </cell>
          <cell r="K1146" t="str">
            <v>ITAMBÉ</v>
          </cell>
          <cell r="L1146" t="str">
            <v>RODRIGO</v>
          </cell>
          <cell r="M1146" t="str">
            <v>CELIO MARTINS</v>
          </cell>
        </row>
        <row r="1147">
          <cell r="B1147">
            <v>5338523</v>
          </cell>
          <cell r="C1147" t="str">
            <v>RB DISTRIBUIDORA LTDA</v>
          </cell>
          <cell r="D1147">
            <v>3001</v>
          </cell>
          <cell r="E1147" t="str">
            <v>0028</v>
          </cell>
          <cell r="F1147" t="str">
            <v>C1</v>
          </cell>
          <cell r="G1147" t="str">
            <v>GO</v>
          </cell>
          <cell r="H1147" t="str">
            <v>INGREDIENTS</v>
          </cell>
          <cell r="I1147" t="str">
            <v>INGREDIENTS</v>
          </cell>
          <cell r="J1147" t="str">
            <v>DUAS RODAS</v>
          </cell>
          <cell r="K1147" t="str">
            <v>ITAMBÉ</v>
          </cell>
          <cell r="L1147" t="str">
            <v>MAURICIO</v>
          </cell>
          <cell r="M1147" t="str">
            <v>JOEL</v>
          </cell>
        </row>
        <row r="1148">
          <cell r="B1148">
            <v>5334202</v>
          </cell>
          <cell r="C1148" t="str">
            <v>RCP RESTAURANTE LTDA</v>
          </cell>
          <cell r="D1148">
            <v>7001</v>
          </cell>
          <cell r="E1148" t="str">
            <v>0749</v>
          </cell>
          <cell r="F1148" t="str">
            <v>C5</v>
          </cell>
          <cell r="G1148" t="str">
            <v>SP</v>
          </cell>
          <cell r="H1148" t="str">
            <v>DISTRIBUIÇÃO</v>
          </cell>
          <cell r="I1148" t="str">
            <v>FOOD SERVICE</v>
          </cell>
          <cell r="J1148" t="str">
            <v>FLAC 2</v>
          </cell>
          <cell r="K1148" t="str">
            <v>LACTALIS</v>
          </cell>
          <cell r="L1148" t="str">
            <v>RODRIGO</v>
          </cell>
          <cell r="M1148" t="str">
            <v>RAQUEL BARBOSA</v>
          </cell>
        </row>
        <row r="1149">
          <cell r="B1149">
            <v>5265010</v>
          </cell>
          <cell r="C1149" t="str">
            <v>RDG CIDADE ALIMENTOS LTDA</v>
          </cell>
          <cell r="D1149">
            <v>7001</v>
          </cell>
          <cell r="E1149" t="str">
            <v>0749</v>
          </cell>
          <cell r="F1149" t="str">
            <v>C5</v>
          </cell>
          <cell r="G1149" t="str">
            <v>SP</v>
          </cell>
          <cell r="H1149" t="str">
            <v>DISTRIBUIÇÃO</v>
          </cell>
          <cell r="I1149" t="str">
            <v>FOOD SERVICE</v>
          </cell>
          <cell r="J1149" t="str">
            <v>FLAC 3</v>
          </cell>
          <cell r="K1149" t="str">
            <v>LACTALIS</v>
          </cell>
          <cell r="L1149" t="str">
            <v>RODRIGO</v>
          </cell>
          <cell r="M1149" t="str">
            <v>RAQUEL BARBOSA</v>
          </cell>
        </row>
        <row r="1150">
          <cell r="B1150">
            <v>5333984</v>
          </cell>
          <cell r="C1150" t="str">
            <v>RDG EBPARK ALIMENTOS LTDA</v>
          </cell>
          <cell r="D1150">
            <v>7001</v>
          </cell>
          <cell r="E1150" t="str">
            <v>0749</v>
          </cell>
          <cell r="F1150" t="str">
            <v>C5</v>
          </cell>
          <cell r="G1150" t="str">
            <v>SP</v>
          </cell>
          <cell r="H1150" t="str">
            <v>DISTRIBUIÇÃO</v>
          </cell>
          <cell r="I1150" t="str">
            <v>FOOD SERVICE</v>
          </cell>
          <cell r="J1150" t="str">
            <v>FLAC 3</v>
          </cell>
          <cell r="K1150" t="str">
            <v>LACTALIS</v>
          </cell>
          <cell r="L1150" t="str">
            <v>RODRIGO</v>
          </cell>
          <cell r="M1150" t="str">
            <v>RAQUEL BARBOSA</v>
          </cell>
        </row>
        <row r="1151">
          <cell r="B1151">
            <v>5263133</v>
          </cell>
          <cell r="C1151" t="str">
            <v>RDG KAVE ALIMENTOS LTDA ME</v>
          </cell>
          <cell r="D1151">
            <v>7001</v>
          </cell>
          <cell r="E1151" t="str">
            <v>0749</v>
          </cell>
          <cell r="F1151" t="str">
            <v>C5</v>
          </cell>
          <cell r="G1151" t="str">
            <v>SP</v>
          </cell>
          <cell r="H1151" t="str">
            <v>DISTRIBUIÇÃO</v>
          </cell>
          <cell r="I1151" t="str">
            <v>FOOD SERVICE</v>
          </cell>
          <cell r="J1151" t="str">
            <v>FLAC 3</v>
          </cell>
          <cell r="K1151" t="str">
            <v>LACTALIS</v>
          </cell>
          <cell r="L1151" t="str">
            <v>RODRIGO</v>
          </cell>
          <cell r="M1151" t="str">
            <v>RAQUEL BARBOSA</v>
          </cell>
        </row>
        <row r="1152">
          <cell r="B1152">
            <v>5320370</v>
          </cell>
          <cell r="C1152" t="str">
            <v>RDG LAGO 58 ALIMENTOS LTDA</v>
          </cell>
          <cell r="D1152">
            <v>7001</v>
          </cell>
          <cell r="E1152" t="str">
            <v>0749</v>
          </cell>
          <cell r="F1152" t="str">
            <v>C5</v>
          </cell>
          <cell r="G1152" t="str">
            <v>SP</v>
          </cell>
          <cell r="H1152" t="str">
            <v>DISTRIBUIÇÃO</v>
          </cell>
          <cell r="I1152" t="str">
            <v>FOOD SERVICE</v>
          </cell>
          <cell r="J1152" t="str">
            <v>FLAC 7</v>
          </cell>
          <cell r="K1152" t="str">
            <v>LACTALIS</v>
          </cell>
          <cell r="L1152" t="str">
            <v>RODRIGO</v>
          </cell>
          <cell r="M1152" t="str">
            <v>RAQUEL BARBOSA</v>
          </cell>
        </row>
        <row r="1153">
          <cell r="B1153">
            <v>5320542</v>
          </cell>
          <cell r="C1153" t="str">
            <v>RDG LAGO 64 ALIMENTOS LTDA</v>
          </cell>
          <cell r="D1153">
            <v>7001</v>
          </cell>
          <cell r="E1153" t="str">
            <v>0749</v>
          </cell>
          <cell r="F1153" t="str">
            <v>C5</v>
          </cell>
          <cell r="G1153" t="str">
            <v>SP</v>
          </cell>
          <cell r="H1153" t="str">
            <v>DISTRIBUIÇÃO</v>
          </cell>
          <cell r="I1153" t="str">
            <v>FOOD SERVICE</v>
          </cell>
          <cell r="J1153" t="str">
            <v>FLAC 7</v>
          </cell>
          <cell r="K1153" t="str">
            <v>LACTALIS</v>
          </cell>
          <cell r="L1153" t="str">
            <v>RODRIGO</v>
          </cell>
          <cell r="M1153" t="str">
            <v>RAQUEL BARBOSA</v>
          </cell>
        </row>
        <row r="1154">
          <cell r="B1154">
            <v>5289019</v>
          </cell>
          <cell r="C1154" t="str">
            <v>RDG TOP ALIMENTOS EIRELI</v>
          </cell>
          <cell r="D1154">
            <v>7001</v>
          </cell>
          <cell r="E1154" t="str">
            <v>0749</v>
          </cell>
          <cell r="F1154" t="str">
            <v>C5</v>
          </cell>
          <cell r="G1154" t="str">
            <v>SP</v>
          </cell>
          <cell r="H1154" t="str">
            <v>DISTRIBUIÇÃO</v>
          </cell>
          <cell r="I1154" t="str">
            <v>FOOD SERVICE</v>
          </cell>
          <cell r="J1154" t="str">
            <v>FLAC 3</v>
          </cell>
          <cell r="K1154" t="str">
            <v>LACTALIS</v>
          </cell>
          <cell r="L1154" t="str">
            <v>RODRIGO</v>
          </cell>
          <cell r="M1154" t="str">
            <v>RAQUEL BARBOSA</v>
          </cell>
        </row>
        <row r="1155">
          <cell r="B1155">
            <v>5187443</v>
          </cell>
          <cell r="C1155" t="str">
            <v>REALPAN DISTRIBUIDORA LTDA</v>
          </cell>
          <cell r="D1155">
            <v>3001</v>
          </cell>
          <cell r="E1155" t="str">
            <v>0125</v>
          </cell>
          <cell r="F1155" t="str">
            <v>C1</v>
          </cell>
          <cell r="G1155" t="str">
            <v>SP</v>
          </cell>
          <cell r="H1155" t="str">
            <v>DISTRIBUIÇÃO</v>
          </cell>
          <cell r="I1155" t="str">
            <v>FOOD SERVICE</v>
          </cell>
          <cell r="J1155" t="str">
            <v>VAGO SP</v>
          </cell>
          <cell r="K1155" t="str">
            <v>ITAMBÉ</v>
          </cell>
          <cell r="L1155" t="str">
            <v>RODRIGO</v>
          </cell>
          <cell r="M1155" t="str">
            <v>RAQUEL BARBOSA</v>
          </cell>
        </row>
        <row r="1156">
          <cell r="B1156">
            <v>5187443</v>
          </cell>
          <cell r="C1156" t="str">
            <v>REALPAN DISTRIBUIDORA LTDA</v>
          </cell>
          <cell r="D1156">
            <v>6001</v>
          </cell>
          <cell r="E1156" t="str">
            <v>6125</v>
          </cell>
          <cell r="F1156" t="str">
            <v>C1</v>
          </cell>
          <cell r="G1156" t="str">
            <v>SP</v>
          </cell>
          <cell r="H1156" t="str">
            <v>DISTRIBUIÇÃO</v>
          </cell>
          <cell r="I1156" t="str">
            <v>FOOD SERVICE</v>
          </cell>
          <cell r="J1156" t="str">
            <v>VAGO SP</v>
          </cell>
          <cell r="K1156" t="str">
            <v>ITAMBÉ</v>
          </cell>
          <cell r="L1156" t="str">
            <v>RODRIGO</v>
          </cell>
          <cell r="M1156" t="str">
            <v>RAQUEL BARBOSA</v>
          </cell>
        </row>
        <row r="1157">
          <cell r="B1157">
            <v>5041698</v>
          </cell>
          <cell r="C1157" t="str">
            <v>REFFEL PRODUTOS ALIMENTICIOS LT</v>
          </cell>
          <cell r="D1157">
            <v>6001</v>
          </cell>
          <cell r="E1157" t="str">
            <v>6125</v>
          </cell>
          <cell r="F1157" t="str">
            <v>C1</v>
          </cell>
          <cell r="G1157" t="str">
            <v>SP</v>
          </cell>
          <cell r="H1157" t="str">
            <v>INGREDIENTS</v>
          </cell>
          <cell r="I1157" t="str">
            <v>INGREDIENTS</v>
          </cell>
          <cell r="J1157" t="str">
            <v>HENRIQUE FERREIRA</v>
          </cell>
          <cell r="K1157" t="str">
            <v>ITAMBÉ</v>
          </cell>
          <cell r="L1157" t="str">
            <v>MAURICIO</v>
          </cell>
          <cell r="M1157" t="str">
            <v>JOEL</v>
          </cell>
        </row>
        <row r="1158">
          <cell r="B1158">
            <v>5041698</v>
          </cell>
          <cell r="C1158" t="str">
            <v>REFFEL PRODUTOS ALIMENTICIOS LT</v>
          </cell>
          <cell r="D1158">
            <v>7001</v>
          </cell>
          <cell r="E1158" t="str">
            <v>0722</v>
          </cell>
          <cell r="F1158" t="str">
            <v>C1</v>
          </cell>
          <cell r="G1158" t="str">
            <v>SP</v>
          </cell>
          <cell r="H1158" t="str">
            <v>INGREDIENTS</v>
          </cell>
          <cell r="I1158" t="str">
            <v>INGREDIENTS</v>
          </cell>
          <cell r="J1158" t="str">
            <v>HENRIQUE FERREIRA</v>
          </cell>
          <cell r="K1158" t="str">
            <v>LACTALIS</v>
          </cell>
          <cell r="L1158" t="str">
            <v>MAURICIO</v>
          </cell>
          <cell r="M1158" t="str">
            <v>JOEL</v>
          </cell>
        </row>
        <row r="1159">
          <cell r="B1159">
            <v>5208114</v>
          </cell>
          <cell r="C1159" t="str">
            <v>REFINE REFEICOES INDUSTRIAIS ESPECI</v>
          </cell>
          <cell r="D1159">
            <v>3001</v>
          </cell>
          <cell r="E1159" t="str">
            <v>0127</v>
          </cell>
          <cell r="F1159" t="str">
            <v>C1</v>
          </cell>
          <cell r="G1159" t="str">
            <v>PE</v>
          </cell>
          <cell r="H1159" t="str">
            <v>DISTRIBUIÇÃO</v>
          </cell>
          <cell r="I1159" t="str">
            <v>FOOD SERVICE</v>
          </cell>
          <cell r="J1159" t="str">
            <v>CLAUDIO JORGE</v>
          </cell>
          <cell r="K1159" t="str">
            <v>ITAMBÉ</v>
          </cell>
          <cell r="L1159" t="str">
            <v>RODRIGO</v>
          </cell>
          <cell r="M1159" t="str">
            <v>MARIA LOURDES</v>
          </cell>
        </row>
        <row r="1160">
          <cell r="B1160">
            <v>5335701</v>
          </cell>
          <cell r="C1160" t="str">
            <v>REFUGIO COMERCIO DE ALIMENTOS E</v>
          </cell>
          <cell r="D1160">
            <v>7001</v>
          </cell>
          <cell r="E1160" t="str">
            <v>0749</v>
          </cell>
          <cell r="F1160" t="str">
            <v>C5</v>
          </cell>
          <cell r="G1160" t="str">
            <v>SP</v>
          </cell>
          <cell r="H1160" t="str">
            <v>DISTRIBUIÇÃO</v>
          </cell>
          <cell r="I1160" t="str">
            <v>FOOD SERVICE</v>
          </cell>
          <cell r="J1160" t="str">
            <v>FLAC 6</v>
          </cell>
          <cell r="K1160" t="str">
            <v>LACTALIS</v>
          </cell>
          <cell r="L1160" t="str">
            <v>RODRIGO</v>
          </cell>
          <cell r="M1160" t="str">
            <v>RAQUEL BARBOSA</v>
          </cell>
        </row>
        <row r="1161">
          <cell r="B1161">
            <v>5263181</v>
          </cell>
          <cell r="C1161" t="str">
            <v>RENATA KIMIE ARASSIRO ME</v>
          </cell>
          <cell r="D1161">
            <v>7001</v>
          </cell>
          <cell r="E1161" t="str">
            <v>0749</v>
          </cell>
          <cell r="F1161" t="str">
            <v>C5</v>
          </cell>
          <cell r="G1161" t="str">
            <v>SP</v>
          </cell>
          <cell r="H1161" t="str">
            <v>DISTRIBUIÇÃO</v>
          </cell>
          <cell r="I1161" t="str">
            <v>FOOD SERVICE</v>
          </cell>
          <cell r="J1161" t="str">
            <v>FLAC 3</v>
          </cell>
          <cell r="K1161" t="str">
            <v>LACTALIS</v>
          </cell>
          <cell r="L1161" t="str">
            <v>RODRIGO</v>
          </cell>
          <cell r="M1161" t="str">
            <v>RAQUEL BARBOSA</v>
          </cell>
        </row>
        <row r="1162">
          <cell r="B1162">
            <v>5116958</v>
          </cell>
          <cell r="C1162" t="str">
            <v>RENATA RODRIGUES ANTONELLI ME</v>
          </cell>
          <cell r="D1162">
            <v>7001</v>
          </cell>
          <cell r="E1162" t="str">
            <v>0749</v>
          </cell>
          <cell r="F1162" t="str">
            <v>C5</v>
          </cell>
          <cell r="G1162" t="str">
            <v>SP</v>
          </cell>
          <cell r="H1162" t="str">
            <v>DISTRIBUIÇÃO</v>
          </cell>
          <cell r="I1162" t="str">
            <v>FOOD SERVICE</v>
          </cell>
          <cell r="J1162" t="str">
            <v>FLAC 3</v>
          </cell>
          <cell r="K1162" t="str">
            <v>LACTALIS</v>
          </cell>
          <cell r="L1162" t="str">
            <v>RODRIGO</v>
          </cell>
          <cell r="M1162" t="str">
            <v>RAQUEL BARBOSA</v>
          </cell>
        </row>
        <row r="1163">
          <cell r="B1163">
            <v>5256567</v>
          </cell>
          <cell r="C1163" t="str">
            <v>REPITA COMIDA ARABE LTDA ME</v>
          </cell>
          <cell r="D1163">
            <v>7001</v>
          </cell>
          <cell r="E1163" t="str">
            <v>0749</v>
          </cell>
          <cell r="F1163" t="str">
            <v>C5</v>
          </cell>
          <cell r="G1163" t="str">
            <v>SP</v>
          </cell>
          <cell r="H1163" t="str">
            <v>DISTRIBUIÇÃO</v>
          </cell>
          <cell r="I1163" t="str">
            <v>FOOD SERVICE</v>
          </cell>
          <cell r="J1163" t="str">
            <v>FLAC 6</v>
          </cell>
          <cell r="K1163" t="str">
            <v>LACTALIS</v>
          </cell>
          <cell r="L1163" t="str">
            <v>RODRIGO</v>
          </cell>
          <cell r="M1163" t="str">
            <v>RAQUEL BARBOSA</v>
          </cell>
        </row>
        <row r="1164">
          <cell r="B1164">
            <v>5330784</v>
          </cell>
          <cell r="C1164" t="str">
            <v>REST E LANCHONETE PALADAR LTda</v>
          </cell>
          <cell r="D1164">
            <v>7001</v>
          </cell>
          <cell r="E1164" t="str">
            <v>0749</v>
          </cell>
          <cell r="F1164" t="str">
            <v>C5</v>
          </cell>
          <cell r="G1164" t="str">
            <v>SP</v>
          </cell>
          <cell r="H1164" t="str">
            <v>DISTRIBUIÇÃO</v>
          </cell>
          <cell r="I1164" t="str">
            <v>FOOD SERVICE</v>
          </cell>
          <cell r="J1164" t="str">
            <v>FLAC 2</v>
          </cell>
          <cell r="K1164" t="str">
            <v>LACTALIS</v>
          </cell>
          <cell r="L1164" t="str">
            <v>RODRIGO</v>
          </cell>
          <cell r="M1164" t="str">
            <v>RAQUEL BARBOSA</v>
          </cell>
        </row>
        <row r="1165">
          <cell r="B1165">
            <v>5270919</v>
          </cell>
          <cell r="C1165" t="str">
            <v>REST FAGUNDES FRANGIONE E NEV SOC L</v>
          </cell>
          <cell r="D1165">
            <v>7001</v>
          </cell>
          <cell r="E1165" t="str">
            <v>0749</v>
          </cell>
          <cell r="F1165" t="str">
            <v>C5</v>
          </cell>
          <cell r="G1165" t="str">
            <v>SP</v>
          </cell>
          <cell r="H1165" t="str">
            <v>DISTRIBUIÇÃO</v>
          </cell>
          <cell r="I1165" t="str">
            <v>FOOD SERVICE</v>
          </cell>
          <cell r="J1165" t="str">
            <v>FLAC 6</v>
          </cell>
          <cell r="K1165" t="str">
            <v>LACTALIS</v>
          </cell>
          <cell r="L1165" t="str">
            <v>RODRIGO</v>
          </cell>
          <cell r="M1165" t="str">
            <v>RAQUEL BARBOSA</v>
          </cell>
        </row>
        <row r="1166">
          <cell r="B1166">
            <v>5115070</v>
          </cell>
          <cell r="C1166" t="str">
            <v>REST KAZU FOOD SERVICE LTDA</v>
          </cell>
          <cell r="D1166">
            <v>7001</v>
          </cell>
          <cell r="E1166" t="str">
            <v>0749</v>
          </cell>
          <cell r="F1166" t="str">
            <v>C5</v>
          </cell>
          <cell r="G1166" t="str">
            <v>SP</v>
          </cell>
          <cell r="H1166" t="str">
            <v>DISTRIBUIÇÃO</v>
          </cell>
          <cell r="I1166" t="str">
            <v>FOOD SERVICE</v>
          </cell>
          <cell r="J1166" t="str">
            <v>FLAC 6</v>
          </cell>
          <cell r="K1166" t="str">
            <v>LACTALIS</v>
          </cell>
          <cell r="L1166" t="str">
            <v>RODRIGO</v>
          </cell>
          <cell r="M1166" t="str">
            <v>RAQUEL BARBOSA</v>
          </cell>
        </row>
        <row r="1167">
          <cell r="B1167">
            <v>5279914</v>
          </cell>
          <cell r="C1167" t="str">
            <v>RESTAURANTE ALTO D OURO LTDA ME</v>
          </cell>
          <cell r="D1167">
            <v>7001</v>
          </cell>
          <cell r="E1167" t="str">
            <v>0749</v>
          </cell>
          <cell r="F1167" t="str">
            <v>C5</v>
          </cell>
          <cell r="G1167" t="str">
            <v>SP</v>
          </cell>
          <cell r="H1167" t="str">
            <v>DISTRIBUIÇÃO</v>
          </cell>
          <cell r="I1167" t="str">
            <v>FOOD SERVICE</v>
          </cell>
          <cell r="J1167" t="str">
            <v>FLAC 2</v>
          </cell>
          <cell r="K1167" t="str">
            <v>LACTALIS</v>
          </cell>
          <cell r="L1167" t="str">
            <v>RODRIGO</v>
          </cell>
          <cell r="M1167" t="str">
            <v>RAQUEL BARBOSA</v>
          </cell>
        </row>
        <row r="1168">
          <cell r="B1168">
            <v>5332548</v>
          </cell>
          <cell r="C1168" t="str">
            <v>RESTAURANTE BOB COMERCIO DE ALI</v>
          </cell>
          <cell r="D1168">
            <v>7001</v>
          </cell>
          <cell r="E1168" t="str">
            <v>0749</v>
          </cell>
          <cell r="F1168" t="str">
            <v>C5</v>
          </cell>
          <cell r="G1168" t="str">
            <v>SP</v>
          </cell>
          <cell r="H1168" t="str">
            <v>DISTRIBUIÇÃO</v>
          </cell>
          <cell r="I1168" t="str">
            <v>FOOD SERVICE</v>
          </cell>
          <cell r="J1168" t="str">
            <v>FLAC 2</v>
          </cell>
          <cell r="K1168" t="str">
            <v>LACTALIS</v>
          </cell>
          <cell r="L1168" t="str">
            <v>RODRIGO</v>
          </cell>
          <cell r="M1168" t="str">
            <v>RAQUEL BARBOSA</v>
          </cell>
        </row>
        <row r="1169">
          <cell r="B1169">
            <v>5248121</v>
          </cell>
          <cell r="C1169" t="str">
            <v>RESTAURANTE LILLO LTDA</v>
          </cell>
          <cell r="D1169">
            <v>7001</v>
          </cell>
          <cell r="E1169" t="str">
            <v>0749</v>
          </cell>
          <cell r="F1169" t="str">
            <v>C5</v>
          </cell>
          <cell r="G1169" t="str">
            <v>SP</v>
          </cell>
          <cell r="H1169" t="str">
            <v>DISTRIBUIÇÃO</v>
          </cell>
          <cell r="I1169" t="str">
            <v>FOOD SERVICE</v>
          </cell>
          <cell r="J1169" t="str">
            <v>FLAC 3</v>
          </cell>
          <cell r="K1169" t="str">
            <v>LACTALIS</v>
          </cell>
          <cell r="L1169" t="str">
            <v>RODRIGO</v>
          </cell>
          <cell r="M1169" t="str">
            <v>RAQUEL BARBOSA</v>
          </cell>
        </row>
        <row r="1170">
          <cell r="B1170">
            <v>5089996</v>
          </cell>
          <cell r="C1170" t="str">
            <v>COOP AGROPECUARIA PETROPOLIS LT</v>
          </cell>
          <cell r="D1170">
            <v>4001</v>
          </cell>
          <cell r="E1170" t="str">
            <v>0437</v>
          </cell>
          <cell r="F1170" t="str">
            <v>C1</v>
          </cell>
          <cell r="G1170" t="str">
            <v>RS</v>
          </cell>
          <cell r="H1170" t="str">
            <v>INGREDIENTS</v>
          </cell>
          <cell r="I1170" t="str">
            <v>INGREDIENTS</v>
          </cell>
          <cell r="J1170" t="str">
            <v>JOEL ELEOTÉRIO</v>
          </cell>
          <cell r="K1170" t="str">
            <v>LACTALIS</v>
          </cell>
          <cell r="L1170" t="str">
            <v>MAURICIO</v>
          </cell>
          <cell r="M1170" t="str">
            <v>JOEL</v>
          </cell>
        </row>
        <row r="1171">
          <cell r="B1171">
            <v>5326669</v>
          </cell>
          <cell r="C1171" t="str">
            <v>RESTAURANTE MANIOCA FARIA LIMA</v>
          </cell>
          <cell r="D1171">
            <v>7001</v>
          </cell>
          <cell r="E1171" t="str">
            <v>0749</v>
          </cell>
          <cell r="F1171" t="str">
            <v>C5</v>
          </cell>
          <cell r="G1171" t="str">
            <v>SP</v>
          </cell>
          <cell r="H1171" t="str">
            <v>DISTRIBUIÇÃO</v>
          </cell>
          <cell r="I1171" t="str">
            <v>FOOD SERVICE</v>
          </cell>
          <cell r="J1171" t="str">
            <v>FLAC 6</v>
          </cell>
          <cell r="K1171" t="str">
            <v>LACTALIS</v>
          </cell>
          <cell r="L1171" t="str">
            <v>RODRIGO</v>
          </cell>
          <cell r="M1171" t="str">
            <v>RAQUEL BARBOSA</v>
          </cell>
        </row>
        <row r="1172">
          <cell r="B1172">
            <v>5315014</v>
          </cell>
          <cell r="C1172" t="str">
            <v>RESTAURANTE MANIOCA FARIA LIMA LTDA</v>
          </cell>
          <cell r="D1172">
            <v>7001</v>
          </cell>
          <cell r="E1172" t="str">
            <v>0749</v>
          </cell>
          <cell r="F1172" t="str">
            <v>C5</v>
          </cell>
          <cell r="G1172" t="str">
            <v>SP</v>
          </cell>
          <cell r="H1172" t="str">
            <v>DISTRIBUIÇÃO</v>
          </cell>
          <cell r="I1172" t="str">
            <v>FOOD SERVICE</v>
          </cell>
          <cell r="J1172" t="str">
            <v>FLAC 6</v>
          </cell>
          <cell r="K1172" t="str">
            <v>LACTALIS</v>
          </cell>
          <cell r="L1172" t="str">
            <v>RODRIGO</v>
          </cell>
          <cell r="M1172" t="str">
            <v>RAQUEL BARBOSA</v>
          </cell>
        </row>
        <row r="1173">
          <cell r="B1173">
            <v>5334170</v>
          </cell>
          <cell r="C1173" t="str">
            <v>RESTAURANTE PAND LTDA</v>
          </cell>
          <cell r="D1173">
            <v>7001</v>
          </cell>
          <cell r="E1173" t="str">
            <v>0749</v>
          </cell>
          <cell r="F1173" t="str">
            <v>C5</v>
          </cell>
          <cell r="G1173" t="str">
            <v>SP</v>
          </cell>
          <cell r="H1173" t="str">
            <v>DISTRIBUIÇÃO</v>
          </cell>
          <cell r="I1173" t="str">
            <v>FOOD SERVICE</v>
          </cell>
          <cell r="J1173" t="str">
            <v>FLAC 3</v>
          </cell>
          <cell r="K1173" t="str">
            <v>LACTALIS</v>
          </cell>
          <cell r="L1173" t="str">
            <v>RODRIGO</v>
          </cell>
          <cell r="M1173" t="str">
            <v>RAQUEL BARBOSA</v>
          </cell>
        </row>
        <row r="1174">
          <cell r="B1174">
            <v>5328988</v>
          </cell>
          <cell r="C1174" t="str">
            <v>RESTAURANTE PIMENTA BRASSERIE S</v>
          </cell>
          <cell r="D1174">
            <v>7001</v>
          </cell>
          <cell r="E1174" t="str">
            <v>0749</v>
          </cell>
          <cell r="F1174" t="str">
            <v>C5</v>
          </cell>
          <cell r="G1174" t="str">
            <v>SP</v>
          </cell>
          <cell r="H1174" t="str">
            <v>DISTRIBUIÇÃO</v>
          </cell>
          <cell r="I1174" t="str">
            <v>FOOD SERVICE</v>
          </cell>
          <cell r="J1174" t="str">
            <v>FLAC 4</v>
          </cell>
          <cell r="K1174" t="str">
            <v>LACTALIS</v>
          </cell>
          <cell r="L1174" t="str">
            <v>RODRIGO</v>
          </cell>
          <cell r="M1174" t="str">
            <v>RAQUEL BARBOSA</v>
          </cell>
        </row>
        <row r="1175">
          <cell r="B1175">
            <v>5248099</v>
          </cell>
          <cell r="C1175" t="str">
            <v>RESTAURANTE SANTA JULIA LTDA</v>
          </cell>
          <cell r="D1175">
            <v>7001</v>
          </cell>
          <cell r="E1175" t="str">
            <v>0749</v>
          </cell>
          <cell r="F1175" t="str">
            <v>C5</v>
          </cell>
          <cell r="G1175" t="str">
            <v>SP</v>
          </cell>
          <cell r="H1175" t="str">
            <v>DISTRIBUIÇÃO</v>
          </cell>
          <cell r="I1175" t="str">
            <v>FOOD SERVICE</v>
          </cell>
          <cell r="J1175" t="str">
            <v>FLAC 2</v>
          </cell>
          <cell r="K1175" t="str">
            <v>LACTALIS</v>
          </cell>
          <cell r="L1175" t="str">
            <v>RODRIGO</v>
          </cell>
          <cell r="M1175" t="str">
            <v>RAQUEL BARBOSA</v>
          </cell>
        </row>
        <row r="1176">
          <cell r="B1176">
            <v>5259743</v>
          </cell>
          <cell r="C1176" t="str">
            <v>RESTAURANTE VICOLO NOSTRO LTDA</v>
          </cell>
          <cell r="D1176">
            <v>7001</v>
          </cell>
          <cell r="E1176" t="str">
            <v>0749</v>
          </cell>
          <cell r="F1176" t="str">
            <v>C5</v>
          </cell>
          <cell r="G1176" t="str">
            <v>SP</v>
          </cell>
          <cell r="H1176" t="str">
            <v>DISTRIBUIÇÃO</v>
          </cell>
          <cell r="I1176" t="str">
            <v>FOOD SERVICE</v>
          </cell>
          <cell r="J1176" t="str">
            <v>FLAC 3</v>
          </cell>
          <cell r="K1176" t="str">
            <v>LACTALIS</v>
          </cell>
          <cell r="L1176" t="str">
            <v>RODRIGO</v>
          </cell>
          <cell r="M1176" t="str">
            <v>RAQUEL BARBOSA</v>
          </cell>
        </row>
        <row r="1177">
          <cell r="B1177">
            <v>5270562</v>
          </cell>
          <cell r="C1177" t="str">
            <v>REVO MANUFACTORY LTDA</v>
          </cell>
          <cell r="D1177">
            <v>7001</v>
          </cell>
          <cell r="E1177" t="str">
            <v>0749</v>
          </cell>
          <cell r="F1177" t="str">
            <v>C5</v>
          </cell>
          <cell r="G1177" t="str">
            <v>SP</v>
          </cell>
          <cell r="H1177" t="str">
            <v>DISTRIBUIÇÃO</v>
          </cell>
          <cell r="I1177" t="str">
            <v>FOOD SERVICE</v>
          </cell>
          <cell r="J1177" t="str">
            <v>FLAC 2</v>
          </cell>
          <cell r="K1177" t="str">
            <v>LACTALIS</v>
          </cell>
          <cell r="L1177" t="str">
            <v>RODRIGO</v>
          </cell>
          <cell r="M1177" t="str">
            <v>RAQUEL BARBOSA</v>
          </cell>
        </row>
        <row r="1178">
          <cell r="B1178">
            <v>5171625</v>
          </cell>
          <cell r="C1178" t="str">
            <v>RFG COMERCIO TRANSPORTES E SERVICOS</v>
          </cell>
          <cell r="D1178">
            <v>4001</v>
          </cell>
          <cell r="E1178" t="str">
            <v>0437</v>
          </cell>
          <cell r="F1178" t="str">
            <v>C1</v>
          </cell>
          <cell r="G1178" t="str">
            <v>SP</v>
          </cell>
          <cell r="H1178" t="str">
            <v>MC DONALDS</v>
          </cell>
          <cell r="I1178" t="str">
            <v>MC DONALDS</v>
          </cell>
          <cell r="J1178" t="str">
            <v>MAURICIO GALLI</v>
          </cell>
          <cell r="K1178" t="str">
            <v>LACTALIS</v>
          </cell>
          <cell r="L1178" t="str">
            <v>MAURICIO</v>
          </cell>
          <cell r="M1178" t="str">
            <v>MAURICIO</v>
          </cell>
        </row>
        <row r="1179">
          <cell r="B1179">
            <v>5279462</v>
          </cell>
          <cell r="C1179" t="str">
            <v>RFG COMERCIO TRANSPORTES E SERVICOS</v>
          </cell>
          <cell r="D1179">
            <v>4001</v>
          </cell>
          <cell r="E1179" t="str">
            <v>0445</v>
          </cell>
          <cell r="F1179" t="str">
            <v>C7</v>
          </cell>
          <cell r="G1179" t="str">
            <v>SP</v>
          </cell>
          <cell r="H1179" t="str">
            <v>MC DONALDS</v>
          </cell>
          <cell r="I1179" t="str">
            <v>MC DONALDS</v>
          </cell>
          <cell r="J1179" t="str">
            <v>MAURICIO GALLI</v>
          </cell>
          <cell r="K1179" t="str">
            <v>LACTALIS</v>
          </cell>
          <cell r="L1179" t="str">
            <v>MAURICIO</v>
          </cell>
          <cell r="M1179" t="str">
            <v>MAURICIO</v>
          </cell>
        </row>
        <row r="1180">
          <cell r="B1180">
            <v>5282760</v>
          </cell>
          <cell r="C1180" t="str">
            <v>RFG COMERCIO TRANSPORTES E SERVICOS</v>
          </cell>
          <cell r="D1180">
            <v>4001</v>
          </cell>
          <cell r="E1180" t="str">
            <v>0454</v>
          </cell>
          <cell r="F1180" t="str">
            <v>C1</v>
          </cell>
          <cell r="G1180" t="str">
            <v>PE</v>
          </cell>
          <cell r="H1180" t="str">
            <v>MC DONALDS</v>
          </cell>
          <cell r="I1180" t="str">
            <v>MC DONALDS</v>
          </cell>
          <cell r="J1180" t="str">
            <v>MAURICIO GALLI</v>
          </cell>
          <cell r="K1180" t="str">
            <v>LACTALIS</v>
          </cell>
          <cell r="L1180" t="str">
            <v>MAURICIO</v>
          </cell>
          <cell r="M1180" t="str">
            <v>MAURICIO</v>
          </cell>
        </row>
        <row r="1181">
          <cell r="B1181">
            <v>5280734</v>
          </cell>
          <cell r="C1181" t="str">
            <v>RFG COMERCIO TRANSPORTES E SERVICOS</v>
          </cell>
          <cell r="D1181">
            <v>4001</v>
          </cell>
          <cell r="E1181" t="str">
            <v>0455</v>
          </cell>
          <cell r="F1181" t="str">
            <v>C1</v>
          </cell>
          <cell r="G1181" t="str">
            <v>PR</v>
          </cell>
          <cell r="H1181" t="str">
            <v>MC DONALDS</v>
          </cell>
          <cell r="I1181" t="str">
            <v>MC DONALDS</v>
          </cell>
          <cell r="J1181" t="str">
            <v>MAURICIO GALLI</v>
          </cell>
          <cell r="K1181" t="str">
            <v>LACTALIS</v>
          </cell>
          <cell r="L1181" t="str">
            <v>MAURICIO</v>
          </cell>
          <cell r="M1181" t="str">
            <v>MAURICIO</v>
          </cell>
        </row>
        <row r="1182">
          <cell r="B1182">
            <v>5311421</v>
          </cell>
          <cell r="C1182" t="str">
            <v>RFG COMERCIOTRANSP E SERVICOS LTDA</v>
          </cell>
          <cell r="D1182">
            <v>4001</v>
          </cell>
          <cell r="E1182" t="str">
            <v>0445</v>
          </cell>
          <cell r="F1182" t="str">
            <v>C7</v>
          </cell>
          <cell r="G1182" t="str">
            <v>SP</v>
          </cell>
          <cell r="H1182" t="str">
            <v>MC DONALDS</v>
          </cell>
          <cell r="I1182" t="str">
            <v>MC DONALDS</v>
          </cell>
          <cell r="J1182" t="str">
            <v>MAURICIO GALLI</v>
          </cell>
          <cell r="K1182" t="str">
            <v>LACTALIS</v>
          </cell>
          <cell r="L1182" t="str">
            <v>MAURICIO</v>
          </cell>
          <cell r="M1182" t="str">
            <v>MAURICIO</v>
          </cell>
        </row>
        <row r="1183">
          <cell r="B1183">
            <v>5264167</v>
          </cell>
          <cell r="C1183" t="str">
            <v>RGGR COMERCIAL EIRELI</v>
          </cell>
          <cell r="D1183">
            <v>7001</v>
          </cell>
          <cell r="E1183" t="str">
            <v>0749</v>
          </cell>
          <cell r="F1183" t="str">
            <v>C5</v>
          </cell>
          <cell r="G1183" t="str">
            <v>SP</v>
          </cell>
          <cell r="H1183" t="str">
            <v>DISTRIBUIÇÃO</v>
          </cell>
          <cell r="I1183" t="str">
            <v>FOOD SERVICE</v>
          </cell>
          <cell r="J1183" t="str">
            <v>FLAC 8</v>
          </cell>
          <cell r="K1183" t="str">
            <v>LACTALIS</v>
          </cell>
          <cell r="L1183" t="str">
            <v>RODRIGO</v>
          </cell>
          <cell r="M1183" t="str">
            <v>RAQUEL BARBOSA</v>
          </cell>
        </row>
        <row r="1184">
          <cell r="B1184">
            <v>5326252</v>
          </cell>
          <cell r="C1184" t="str">
            <v>RIALAC INDUSTRIA E COMERCIO</v>
          </cell>
          <cell r="D1184">
            <v>3001</v>
          </cell>
          <cell r="E1184" t="str">
            <v>0028</v>
          </cell>
          <cell r="F1184" t="str">
            <v>C1</v>
          </cell>
          <cell r="G1184" t="str">
            <v>GO</v>
          </cell>
          <cell r="H1184" t="str">
            <v>INGREDIENTS</v>
          </cell>
          <cell r="I1184" t="str">
            <v>INGREDIENTS</v>
          </cell>
          <cell r="J1184" t="str">
            <v>HENRIQUE FERREIRA</v>
          </cell>
          <cell r="K1184" t="str">
            <v>ITAMBÉ</v>
          </cell>
          <cell r="L1184" t="str">
            <v>MAURICIO</v>
          </cell>
          <cell r="M1184" t="str">
            <v>JOEL</v>
          </cell>
        </row>
        <row r="1185">
          <cell r="B1185">
            <v>5264602</v>
          </cell>
          <cell r="C1185" t="str">
            <v>RIBEIRO COM ATAC DE ALIM LTDA</v>
          </cell>
          <cell r="D1185">
            <v>3001</v>
          </cell>
          <cell r="E1185" t="str">
            <v>0127</v>
          </cell>
          <cell r="F1185" t="str">
            <v>C1</v>
          </cell>
          <cell r="G1185" t="str">
            <v>PE</v>
          </cell>
          <cell r="H1185" t="str">
            <v>DISTRIBUIÇÃO</v>
          </cell>
          <cell r="I1185" t="str">
            <v>FOOD SERVICE</v>
          </cell>
          <cell r="J1185" t="str">
            <v>CLAUDIO JORGE</v>
          </cell>
          <cell r="K1185" t="str">
            <v>ITAMBÉ</v>
          </cell>
          <cell r="L1185" t="str">
            <v>RODRIGO</v>
          </cell>
          <cell r="M1185" t="str">
            <v>MARIA LOURDES</v>
          </cell>
        </row>
        <row r="1186">
          <cell r="B1186">
            <v>5109656</v>
          </cell>
          <cell r="C1186" t="str">
            <v>RIBERFOODS PRODUTOS ALIMENTICIOS LT</v>
          </cell>
          <cell r="D1186">
            <v>3001</v>
          </cell>
          <cell r="E1186" t="str">
            <v>0125</v>
          </cell>
          <cell r="F1186" t="str">
            <v>C1</v>
          </cell>
          <cell r="G1186" t="str">
            <v>SP</v>
          </cell>
          <cell r="H1186" t="str">
            <v>DISTRIBUIÇÃO</v>
          </cell>
          <cell r="I1186" t="str">
            <v>FOOD SERVICE</v>
          </cell>
          <cell r="J1186" t="str">
            <v>ALEXANDRE BONANI</v>
          </cell>
          <cell r="K1186" t="str">
            <v>ITAMBÉ</v>
          </cell>
          <cell r="L1186" t="str">
            <v>RODRIGO</v>
          </cell>
          <cell r="M1186" t="str">
            <v>ALEXANDRE BONANI</v>
          </cell>
        </row>
        <row r="1187">
          <cell r="B1187">
            <v>5109656</v>
          </cell>
          <cell r="C1187" t="str">
            <v>RIBERFOODS PRODUTOS ALIMENTICIOS LT</v>
          </cell>
          <cell r="D1187">
            <v>6001</v>
          </cell>
          <cell r="E1187" t="str">
            <v>6125</v>
          </cell>
          <cell r="F1187" t="str">
            <v>C1</v>
          </cell>
          <cell r="G1187" t="str">
            <v>SP</v>
          </cell>
          <cell r="H1187" t="str">
            <v>DISTRIBUIÇÃO</v>
          </cell>
          <cell r="I1187" t="str">
            <v>FOOD SERVICE</v>
          </cell>
          <cell r="J1187" t="str">
            <v>ALEXANDRE BONANI</v>
          </cell>
          <cell r="K1187" t="str">
            <v>ITAMBÉ</v>
          </cell>
          <cell r="L1187" t="str">
            <v>RODRIGO</v>
          </cell>
          <cell r="M1187" t="str">
            <v>ALEXANDRE BONANI</v>
          </cell>
        </row>
        <row r="1188">
          <cell r="B1188">
            <v>5109656</v>
          </cell>
          <cell r="C1188" t="str">
            <v>RIBERFOODS PRODUTOS ALIMENTICIOS LT</v>
          </cell>
          <cell r="D1188">
            <v>7001</v>
          </cell>
          <cell r="E1188" t="str">
            <v>0722</v>
          </cell>
          <cell r="F1188" t="str">
            <v>C1</v>
          </cell>
          <cell r="G1188" t="str">
            <v>SP</v>
          </cell>
          <cell r="H1188" t="str">
            <v>DISTRIBUIÇÃO</v>
          </cell>
          <cell r="I1188" t="str">
            <v>FOOD SERVICE</v>
          </cell>
          <cell r="J1188" t="str">
            <v>ALEXANDRE BONANI</v>
          </cell>
          <cell r="K1188" t="str">
            <v>LACTALIS</v>
          </cell>
          <cell r="L1188" t="str">
            <v>RODRIGO</v>
          </cell>
          <cell r="M1188" t="str">
            <v>ALEXANDRE BONANI</v>
          </cell>
        </row>
        <row r="1189">
          <cell r="B1189">
            <v>5219839</v>
          </cell>
          <cell r="C1189" t="str">
            <v>RIBERPAN COMERCIO DE ALIMENTOS LTDA</v>
          </cell>
          <cell r="D1189">
            <v>3001</v>
          </cell>
          <cell r="E1189" t="str">
            <v>0126</v>
          </cell>
          <cell r="F1189" t="str">
            <v>C1</v>
          </cell>
          <cell r="G1189" t="str">
            <v>RS</v>
          </cell>
          <cell r="H1189" t="str">
            <v>DISTRIBUIÇÃO</v>
          </cell>
          <cell r="I1189" t="str">
            <v>FOOD SERVICE</v>
          </cell>
          <cell r="J1189" t="str">
            <v>ANGELICA BATISTELA</v>
          </cell>
          <cell r="K1189" t="str">
            <v>ITAMBÉ</v>
          </cell>
          <cell r="L1189" t="str">
            <v>RODRIGO</v>
          </cell>
          <cell r="M1189" t="str">
            <v>ANGELICA BATISTELA</v>
          </cell>
        </row>
        <row r="1190">
          <cell r="B1190">
            <v>5026399</v>
          </cell>
          <cell r="C1190" t="str">
            <v>RIO QUALITY COMERCIO DE ALIMENTOS</v>
          </cell>
          <cell r="D1190">
            <v>3001</v>
          </cell>
          <cell r="E1190" t="str">
            <v>0169</v>
          </cell>
          <cell r="F1190" t="str">
            <v>C1</v>
          </cell>
          <cell r="G1190" t="str">
            <v>RJ</v>
          </cell>
          <cell r="H1190" t="str">
            <v>DISTRIBUIÇÃO</v>
          </cell>
          <cell r="I1190" t="str">
            <v>FOOD SERVICE</v>
          </cell>
          <cell r="J1190" t="str">
            <v>JESSICA CARLA</v>
          </cell>
          <cell r="K1190" t="str">
            <v>ITAMBÉ</v>
          </cell>
          <cell r="L1190" t="str">
            <v>RODRIGO</v>
          </cell>
          <cell r="M1190" t="str">
            <v>JESSICA</v>
          </cell>
        </row>
        <row r="1191">
          <cell r="B1191">
            <v>5026399</v>
          </cell>
          <cell r="C1191" t="str">
            <v>RIO QUALITY COMERCIO DE ALIMENTOS</v>
          </cell>
          <cell r="D1191">
            <v>4001</v>
          </cell>
          <cell r="E1191" t="str">
            <v>0439</v>
          </cell>
          <cell r="F1191" t="str">
            <v>C1</v>
          </cell>
          <cell r="G1191" t="str">
            <v>RJ</v>
          </cell>
          <cell r="H1191" t="str">
            <v>DISTRIBUIÇÃO</v>
          </cell>
          <cell r="I1191" t="str">
            <v>FOOD SERVICE</v>
          </cell>
          <cell r="J1191" t="str">
            <v>JESSICA CARLA</v>
          </cell>
          <cell r="K1191" t="str">
            <v>LACTALIS</v>
          </cell>
          <cell r="L1191" t="str">
            <v>RODRIGO</v>
          </cell>
          <cell r="M1191" t="str">
            <v>JESSICA</v>
          </cell>
        </row>
        <row r="1192">
          <cell r="B1192">
            <v>5247523</v>
          </cell>
          <cell r="C1192" t="str">
            <v>RIPA NA BRASA RESTAURANTE LTDA ME</v>
          </cell>
          <cell r="D1192">
            <v>7001</v>
          </cell>
          <cell r="E1192" t="str">
            <v>0749</v>
          </cell>
          <cell r="F1192" t="str">
            <v>C5</v>
          </cell>
          <cell r="G1192" t="str">
            <v>SP</v>
          </cell>
          <cell r="H1192" t="str">
            <v>DISTRIBUIÇÃO</v>
          </cell>
          <cell r="I1192" t="str">
            <v>FOOD SERVICE</v>
          </cell>
          <cell r="J1192" t="str">
            <v>FLAC 2</v>
          </cell>
          <cell r="K1192" t="str">
            <v>LACTALIS</v>
          </cell>
          <cell r="L1192" t="str">
            <v>RODRIGO</v>
          </cell>
          <cell r="M1192" t="str">
            <v>RAQUEL BARBOSA</v>
          </cell>
        </row>
        <row r="1193">
          <cell r="B1193">
            <v>5273892</v>
          </cell>
          <cell r="C1193" t="str">
            <v>RISOTOLANDIA SERVICOS DE ALIMEN</v>
          </cell>
          <cell r="D1193">
            <v>7001</v>
          </cell>
          <cell r="E1193" t="str">
            <v>0749</v>
          </cell>
          <cell r="F1193" t="str">
            <v>C5</v>
          </cell>
          <cell r="G1193" t="str">
            <v>SP</v>
          </cell>
          <cell r="H1193" t="str">
            <v>DISTRIBUIÇÃO</v>
          </cell>
          <cell r="I1193" t="str">
            <v>FOOD SERVICE</v>
          </cell>
          <cell r="J1193" t="str">
            <v>FLAC 2</v>
          </cell>
          <cell r="K1193" t="str">
            <v>LACTALIS</v>
          </cell>
          <cell r="L1193" t="str">
            <v>RODRIGO</v>
          </cell>
          <cell r="M1193" t="str">
            <v>RAQUEL BARBOSA</v>
          </cell>
        </row>
        <row r="1194">
          <cell r="B1194">
            <v>5330378</v>
          </cell>
          <cell r="C1194" t="str">
            <v>RIZZO IMPORT LTDA</v>
          </cell>
          <cell r="D1194">
            <v>6001</v>
          </cell>
          <cell r="E1194" t="str">
            <v>6125</v>
          </cell>
          <cell r="F1194" t="str">
            <v>C1</v>
          </cell>
          <cell r="G1194" t="str">
            <v>SP</v>
          </cell>
          <cell r="H1194" t="str">
            <v>DISTRIBUIÇÃO</v>
          </cell>
          <cell r="I1194" t="str">
            <v>FOOD SERVICE</v>
          </cell>
          <cell r="J1194" t="str">
            <v>SP ITB FS FLAC REP.E COMERCIO</v>
          </cell>
          <cell r="K1194" t="str">
            <v>ITAMBÉ</v>
          </cell>
          <cell r="L1194" t="str">
            <v>RODRIGO</v>
          </cell>
          <cell r="M1194" t="str">
            <v>RAQUEL BARBOSA</v>
          </cell>
        </row>
        <row r="1195">
          <cell r="B1195">
            <v>5292065</v>
          </cell>
          <cell r="C1195" t="str">
            <v>RJR ALIMENTACOES LTDA</v>
          </cell>
          <cell r="D1195">
            <v>7001</v>
          </cell>
          <cell r="E1195" t="str">
            <v>0749</v>
          </cell>
          <cell r="F1195" t="str">
            <v>C5</v>
          </cell>
          <cell r="G1195" t="str">
            <v>SP</v>
          </cell>
          <cell r="H1195" t="str">
            <v>DISTRIBUIÇÃO</v>
          </cell>
          <cell r="I1195" t="str">
            <v>FOOD SERVICE</v>
          </cell>
          <cell r="J1195" t="str">
            <v>FLAC 2</v>
          </cell>
          <cell r="K1195" t="str">
            <v>LACTALIS</v>
          </cell>
          <cell r="L1195" t="str">
            <v>RODRIGO</v>
          </cell>
          <cell r="M1195" t="str">
            <v>RAQUEL BARBOSA</v>
          </cell>
        </row>
        <row r="1196">
          <cell r="B1196">
            <v>5322184</v>
          </cell>
          <cell r="C1196" t="str">
            <v>RJR ALIMENTACOES LTDA</v>
          </cell>
          <cell r="D1196">
            <v>7001</v>
          </cell>
          <cell r="E1196" t="str">
            <v>0749</v>
          </cell>
          <cell r="F1196" t="str">
            <v>C5</v>
          </cell>
          <cell r="G1196" t="str">
            <v>SP</v>
          </cell>
          <cell r="H1196" t="str">
            <v>DISTRIBUIÇÃO</v>
          </cell>
          <cell r="I1196" t="str">
            <v>FOOD SERVICE</v>
          </cell>
          <cell r="J1196" t="str">
            <v>FLAC 2</v>
          </cell>
          <cell r="K1196" t="str">
            <v>LACTALIS</v>
          </cell>
          <cell r="L1196" t="str">
            <v>RODRIGO</v>
          </cell>
          <cell r="M1196" t="str">
            <v>RAQUEL BARBOSA</v>
          </cell>
        </row>
        <row r="1197">
          <cell r="B1197">
            <v>5312763</v>
          </cell>
          <cell r="C1197" t="str">
            <v>RJR GASTRONOMIA EVENTOS LTDA</v>
          </cell>
          <cell r="D1197">
            <v>7001</v>
          </cell>
          <cell r="E1197" t="str">
            <v>0749</v>
          </cell>
          <cell r="F1197" t="str">
            <v>C5</v>
          </cell>
          <cell r="G1197" t="str">
            <v>SP</v>
          </cell>
          <cell r="H1197" t="str">
            <v>DISTRIBUIÇÃO</v>
          </cell>
          <cell r="I1197" t="str">
            <v>FOOD SERVICE</v>
          </cell>
          <cell r="J1197" t="str">
            <v>FLAC 6</v>
          </cell>
          <cell r="K1197" t="str">
            <v>LACTALIS</v>
          </cell>
          <cell r="L1197" t="str">
            <v>RODRIGO</v>
          </cell>
          <cell r="M1197" t="str">
            <v>RAQUEL BARBOSA</v>
          </cell>
        </row>
        <row r="1198">
          <cell r="B1198">
            <v>5261087</v>
          </cell>
          <cell r="C1198" t="str">
            <v>RJR GASTRONOMIA EVENTOS LTDA ME</v>
          </cell>
          <cell r="D1198">
            <v>7001</v>
          </cell>
          <cell r="E1198" t="str">
            <v>0749</v>
          </cell>
          <cell r="F1198" t="str">
            <v>C5</v>
          </cell>
          <cell r="G1198" t="str">
            <v>SP</v>
          </cell>
          <cell r="H1198" t="str">
            <v>DISTRIBUIÇÃO</v>
          </cell>
          <cell r="I1198" t="str">
            <v>FOOD SERVICE</v>
          </cell>
          <cell r="J1198" t="str">
            <v>FLAC 6</v>
          </cell>
          <cell r="K1198" t="str">
            <v>LACTALIS</v>
          </cell>
          <cell r="L1198" t="str">
            <v>RODRIGO</v>
          </cell>
          <cell r="M1198" t="str">
            <v>RAQUEL BARBOSA</v>
          </cell>
        </row>
        <row r="1199">
          <cell r="B1199">
            <v>5338830</v>
          </cell>
          <cell r="C1199" t="str">
            <v>RKWSP PATISSERIE LTDA</v>
          </cell>
          <cell r="D1199">
            <v>7001</v>
          </cell>
          <cell r="E1199" t="str">
            <v>0749</v>
          </cell>
          <cell r="F1199" t="str">
            <v>C5</v>
          </cell>
          <cell r="G1199" t="str">
            <v>SP</v>
          </cell>
          <cell r="H1199" t="str">
            <v>DISTRIBUIÇÃO</v>
          </cell>
          <cell r="I1199" t="str">
            <v>FOOD SERVICE</v>
          </cell>
          <cell r="J1199" t="str">
            <v>FLAC 2</v>
          </cell>
          <cell r="K1199" t="str">
            <v>LACTALIS</v>
          </cell>
          <cell r="L1199" t="str">
            <v>RODRIGO</v>
          </cell>
          <cell r="M1199" t="str">
            <v>RAQUEL BARBOSA</v>
          </cell>
        </row>
        <row r="1200">
          <cell r="B1200">
            <v>5329771</v>
          </cell>
          <cell r="C1200" t="str">
            <v>ROAD BISTRO STEAK HOUSE LTDA</v>
          </cell>
          <cell r="D1200">
            <v>7001</v>
          </cell>
          <cell r="E1200" t="str">
            <v>0749</v>
          </cell>
          <cell r="F1200" t="str">
            <v>C5</v>
          </cell>
          <cell r="G1200" t="str">
            <v>SP</v>
          </cell>
          <cell r="H1200" t="str">
            <v>DISTRIBUIÇÃO</v>
          </cell>
          <cell r="I1200" t="str">
            <v>FOOD SERVICE</v>
          </cell>
          <cell r="J1200" t="str">
            <v>FLAC 4</v>
          </cell>
          <cell r="K1200" t="str">
            <v>LACTALIS</v>
          </cell>
          <cell r="L1200" t="str">
            <v>RODRIGO</v>
          </cell>
          <cell r="M1200" t="str">
            <v>RAQUEL BARBOSA</v>
          </cell>
        </row>
        <row r="1201">
          <cell r="B1201">
            <v>5019126</v>
          </cell>
          <cell r="C1201" t="str">
            <v>ROCHA PAN INDUSTRIA E COMERCIO LTDA</v>
          </cell>
          <cell r="D1201">
            <v>6001</v>
          </cell>
          <cell r="E1201" t="str">
            <v>6125</v>
          </cell>
          <cell r="F1201" t="str">
            <v>C1</v>
          </cell>
          <cell r="G1201" t="str">
            <v>SP</v>
          </cell>
          <cell r="H1201" t="str">
            <v>DISTRIBUIÇÃO</v>
          </cell>
          <cell r="I1201" t="str">
            <v>FOOD SERVICE</v>
          </cell>
          <cell r="J1201" t="str">
            <v>VAGO SP</v>
          </cell>
          <cell r="K1201" t="str">
            <v>ITAMBÉ</v>
          </cell>
          <cell r="L1201" t="str">
            <v>RODRIGO</v>
          </cell>
          <cell r="M1201" t="str">
            <v>RAQUEL BARBOSA</v>
          </cell>
        </row>
        <row r="1202">
          <cell r="B1202">
            <v>5019126</v>
          </cell>
          <cell r="C1202" t="str">
            <v>ROCHA PAN INDUSTRIA E COMERCIO LTDA</v>
          </cell>
          <cell r="D1202">
            <v>7001</v>
          </cell>
          <cell r="E1202" t="str">
            <v>0722</v>
          </cell>
          <cell r="F1202" t="str">
            <v>C1</v>
          </cell>
          <cell r="G1202" t="str">
            <v>SP</v>
          </cell>
          <cell r="H1202" t="str">
            <v>DISTRIBUIÇÃO</v>
          </cell>
          <cell r="I1202" t="str">
            <v>FOOD SERVICE</v>
          </cell>
          <cell r="J1202" t="str">
            <v>VAGO SP</v>
          </cell>
          <cell r="K1202" t="str">
            <v>LACTALIS</v>
          </cell>
          <cell r="L1202" t="str">
            <v>RODRIGO</v>
          </cell>
          <cell r="M1202" t="str">
            <v>RAQUEL BARBOSA</v>
          </cell>
        </row>
        <row r="1203">
          <cell r="B1203">
            <v>5300119</v>
          </cell>
          <cell r="C1203" t="str">
            <v>ROCKAFE ARRUDA BOTELHO LTDA</v>
          </cell>
          <cell r="D1203">
            <v>7001</v>
          </cell>
          <cell r="E1203" t="str">
            <v>0749</v>
          </cell>
          <cell r="F1203" t="str">
            <v>C5</v>
          </cell>
          <cell r="G1203" t="str">
            <v>SP</v>
          </cell>
          <cell r="H1203" t="str">
            <v>DISTRIBUIÇÃO</v>
          </cell>
          <cell r="I1203" t="str">
            <v>FOOD SERVICE</v>
          </cell>
          <cell r="J1203" t="str">
            <v>FLAC 6</v>
          </cell>
          <cell r="K1203" t="str">
            <v>LACTALIS</v>
          </cell>
          <cell r="L1203" t="str">
            <v>RODRIGO</v>
          </cell>
          <cell r="M1203" t="str">
            <v>RAQUEL BARBOSA</v>
          </cell>
        </row>
        <row r="1204">
          <cell r="B1204">
            <v>5321889</v>
          </cell>
          <cell r="C1204" t="str">
            <v>RODOLFO BEGALI CAMPOS 11452272603</v>
          </cell>
          <cell r="D1204">
            <v>7001</v>
          </cell>
          <cell r="E1204" t="str">
            <v>0749</v>
          </cell>
          <cell r="F1204" t="str">
            <v>C5</v>
          </cell>
          <cell r="G1204" t="str">
            <v>SP</v>
          </cell>
          <cell r="H1204" t="str">
            <v>DISTRIBUIÇÃO</v>
          </cell>
          <cell r="I1204" t="str">
            <v>FOOD SERVICE</v>
          </cell>
          <cell r="J1204" t="str">
            <v>FLAC 6</v>
          </cell>
          <cell r="K1204" t="str">
            <v>LACTALIS</v>
          </cell>
          <cell r="L1204" t="str">
            <v>RODRIGO</v>
          </cell>
          <cell r="M1204" t="str">
            <v>RAQUEL BARBOSA</v>
          </cell>
        </row>
        <row r="1205">
          <cell r="B1205">
            <v>5324461</v>
          </cell>
          <cell r="C1205" t="str">
            <v>RODOLUKI COMERCIO LOGISTICA</v>
          </cell>
          <cell r="D1205">
            <v>6001</v>
          </cell>
          <cell r="E1205" t="str">
            <v>6125</v>
          </cell>
          <cell r="F1205" t="str">
            <v>C1</v>
          </cell>
          <cell r="G1205" t="str">
            <v>SP</v>
          </cell>
          <cell r="H1205" t="str">
            <v>QSR</v>
          </cell>
          <cell r="I1205" t="str">
            <v>FOOD SERVICE</v>
          </cell>
          <cell r="J1205" t="str">
            <v>ANA MENIQUETE</v>
          </cell>
          <cell r="K1205" t="str">
            <v>ITAMBÉ</v>
          </cell>
          <cell r="L1205" t="str">
            <v>PEDRO</v>
          </cell>
          <cell r="M1205" t="str">
            <v>ANA MENIQUETE</v>
          </cell>
        </row>
        <row r="1206">
          <cell r="B1206">
            <v>5077852</v>
          </cell>
          <cell r="C1206" t="str">
            <v>RODRIGO FITZGERALD LUPIANHES</v>
          </cell>
          <cell r="D1206">
            <v>6001</v>
          </cell>
          <cell r="E1206" t="str">
            <v>6125</v>
          </cell>
          <cell r="F1206" t="str">
            <v>C1</v>
          </cell>
          <cell r="G1206" t="str">
            <v>SP</v>
          </cell>
          <cell r="H1206" t="str">
            <v>DISTRIBUIÇÃO</v>
          </cell>
          <cell r="I1206" t="str">
            <v>FOOD SERVICE</v>
          </cell>
          <cell r="J1206" t="str">
            <v>ALEXANDRE BONANI</v>
          </cell>
          <cell r="K1206" t="str">
            <v>ITAMBÉ</v>
          </cell>
          <cell r="L1206" t="str">
            <v>RODRIGO</v>
          </cell>
          <cell r="M1206" t="str">
            <v>ALEXANDRE BONANI</v>
          </cell>
        </row>
        <row r="1207">
          <cell r="B1207">
            <v>5077852</v>
          </cell>
          <cell r="C1207" t="str">
            <v>RODRIGO FITZGERALD LUPIANHES</v>
          </cell>
          <cell r="D1207">
            <v>7001</v>
          </cell>
          <cell r="E1207" t="str">
            <v>0722</v>
          </cell>
          <cell r="F1207" t="str">
            <v>C1</v>
          </cell>
          <cell r="G1207" t="str">
            <v>SP</v>
          </cell>
          <cell r="H1207" t="str">
            <v>DISTRIBUIÇÃO</v>
          </cell>
          <cell r="I1207" t="str">
            <v>FOOD SERVICE</v>
          </cell>
          <cell r="J1207" t="str">
            <v>ALEXANDRE BONANI</v>
          </cell>
          <cell r="K1207" t="str">
            <v>LACTALIS</v>
          </cell>
          <cell r="L1207" t="str">
            <v>RODRIGO</v>
          </cell>
          <cell r="M1207" t="str">
            <v>ALEXANDRE BONANI</v>
          </cell>
        </row>
        <row r="1208">
          <cell r="B1208">
            <v>5324115</v>
          </cell>
          <cell r="C1208" t="str">
            <v>ROGER BAKERY CONFEITARIA LTDA</v>
          </cell>
          <cell r="D1208">
            <v>7001</v>
          </cell>
          <cell r="E1208" t="str">
            <v>0749</v>
          </cell>
          <cell r="F1208" t="str">
            <v>C5</v>
          </cell>
          <cell r="G1208" t="str">
            <v>SP</v>
          </cell>
          <cell r="H1208" t="str">
            <v>DISTRIBUIÇÃO</v>
          </cell>
          <cell r="I1208" t="str">
            <v>FOOD SERVICE</v>
          </cell>
          <cell r="J1208" t="str">
            <v>FLAC 2</v>
          </cell>
          <cell r="K1208" t="str">
            <v>LACTALIS</v>
          </cell>
          <cell r="L1208" t="str">
            <v>RODRIGO</v>
          </cell>
          <cell r="M1208" t="str">
            <v>RAQUEL BARBOSA</v>
          </cell>
        </row>
        <row r="1209">
          <cell r="B1209">
            <v>5191729</v>
          </cell>
          <cell r="C1209" t="str">
            <v>ROGER COM E DIST DE PROD ALIM LTDA</v>
          </cell>
          <cell r="D1209">
            <v>6001</v>
          </cell>
          <cell r="E1209" t="str">
            <v>6125</v>
          </cell>
          <cell r="F1209" t="str">
            <v>C1</v>
          </cell>
          <cell r="G1209" t="str">
            <v>SP</v>
          </cell>
          <cell r="H1209" t="str">
            <v>DISTRIBUIÇÃO</v>
          </cell>
          <cell r="I1209" t="str">
            <v>FOOD SERVICE</v>
          </cell>
          <cell r="J1209" t="str">
            <v>ALEXANDRE BONANI</v>
          </cell>
          <cell r="K1209" t="str">
            <v>ITAMBÉ</v>
          </cell>
          <cell r="L1209" t="str">
            <v>RODRIGO</v>
          </cell>
          <cell r="M1209" t="str">
            <v>ALEXANDRE BONANI</v>
          </cell>
        </row>
        <row r="1210">
          <cell r="B1210">
            <v>5191729</v>
          </cell>
          <cell r="C1210" t="str">
            <v>ROGER COM E DIST DE PROD ALIM LTDA</v>
          </cell>
          <cell r="D1210">
            <v>7001</v>
          </cell>
          <cell r="E1210" t="str">
            <v>0722</v>
          </cell>
          <cell r="F1210" t="str">
            <v>C1</v>
          </cell>
          <cell r="G1210" t="str">
            <v>SP</v>
          </cell>
          <cell r="H1210" t="str">
            <v>DISTRIBUIÇÃO</v>
          </cell>
          <cell r="I1210" t="str">
            <v>FOOD SERVICE</v>
          </cell>
          <cell r="J1210" t="str">
            <v>FLAC 8</v>
          </cell>
          <cell r="K1210" t="str">
            <v>LACTALIS</v>
          </cell>
          <cell r="L1210" t="str">
            <v>RODRIGO</v>
          </cell>
          <cell r="M1210" t="str">
            <v>RAQUEL BARBOSA</v>
          </cell>
        </row>
        <row r="1211">
          <cell r="B1211">
            <v>5091134</v>
          </cell>
          <cell r="C1211" t="str">
            <v>ROMABEL ALIMENTOS EIRELI</v>
          </cell>
          <cell r="D1211">
            <v>7001</v>
          </cell>
          <cell r="E1211" t="str">
            <v>0749</v>
          </cell>
          <cell r="F1211" t="str">
            <v>C5</v>
          </cell>
          <cell r="G1211" t="str">
            <v>SP</v>
          </cell>
          <cell r="H1211" t="str">
            <v>DISTRIBUIÇÃO</v>
          </cell>
          <cell r="I1211" t="str">
            <v>FOOD SERVICE</v>
          </cell>
          <cell r="J1211" t="str">
            <v>FLAC 6</v>
          </cell>
          <cell r="K1211" t="str">
            <v>LACTALIS</v>
          </cell>
          <cell r="L1211" t="str">
            <v>RODRIGO</v>
          </cell>
          <cell r="M1211" t="str">
            <v>RAQUEL BARBOSA</v>
          </cell>
        </row>
        <row r="1212">
          <cell r="B1212">
            <v>5196675</v>
          </cell>
          <cell r="C1212" t="str">
            <v>ROMAPAN ALIMENTOS LTDA</v>
          </cell>
          <cell r="D1212">
            <v>3001</v>
          </cell>
          <cell r="E1212" t="str">
            <v>0123</v>
          </cell>
          <cell r="F1212" t="str">
            <v>C1</v>
          </cell>
          <cell r="G1212" t="str">
            <v>GO</v>
          </cell>
          <cell r="H1212" t="str">
            <v>DISTRIBUIÇÃO</v>
          </cell>
          <cell r="I1212" t="str">
            <v>FOOD SERVICE</v>
          </cell>
          <cell r="J1212" t="str">
            <v>CLAUDIO JORGE</v>
          </cell>
          <cell r="K1212" t="str">
            <v>ITAMBÉ</v>
          </cell>
          <cell r="L1212" t="str">
            <v>RODRIGO</v>
          </cell>
          <cell r="M1212" t="str">
            <v>MARCO AURELIO</v>
          </cell>
        </row>
        <row r="1213">
          <cell r="B1213">
            <v>5267810</v>
          </cell>
          <cell r="C1213" t="str">
            <v>ROSELY ANGELA GONCALVES DIAS</v>
          </cell>
          <cell r="D1213">
            <v>7001</v>
          </cell>
          <cell r="E1213" t="str">
            <v>0749</v>
          </cell>
          <cell r="F1213" t="str">
            <v>C5</v>
          </cell>
          <cell r="G1213" t="str">
            <v>SP</v>
          </cell>
          <cell r="H1213" t="str">
            <v>DISTRIBUIÇÃO</v>
          </cell>
          <cell r="I1213" t="str">
            <v>FOOD SERVICE</v>
          </cell>
          <cell r="J1213" t="str">
            <v>FLAC 3</v>
          </cell>
          <cell r="K1213" t="str">
            <v>LACTALIS</v>
          </cell>
          <cell r="L1213" t="str">
            <v>RODRIGO</v>
          </cell>
          <cell r="M1213" t="str">
            <v>RAQUEL BARBOSA</v>
          </cell>
        </row>
        <row r="1214">
          <cell r="B1214">
            <v>5340377</v>
          </cell>
          <cell r="C1214" t="str">
            <v>ROST GUIMARAES DIST E TRANSPORT</v>
          </cell>
          <cell r="D1214">
            <v>6001</v>
          </cell>
          <cell r="E1214" t="str">
            <v>6125</v>
          </cell>
          <cell r="F1214" t="str">
            <v>C1</v>
          </cell>
          <cell r="G1214" t="str">
            <v>SP</v>
          </cell>
          <cell r="H1214" t="str">
            <v>DISTRIBUIÇÃO</v>
          </cell>
          <cell r="I1214" t="str">
            <v>FOOD SERVICE</v>
          </cell>
          <cell r="J1214" t="str">
            <v>ALEXANDRE BONANI</v>
          </cell>
          <cell r="K1214" t="str">
            <v>ITAMBÉ</v>
          </cell>
          <cell r="L1214" t="str">
            <v>RODRIGO</v>
          </cell>
          <cell r="M1214" t="str">
            <v>ALEXANDRE BONANI</v>
          </cell>
        </row>
        <row r="1215">
          <cell r="B1215">
            <v>5340377</v>
          </cell>
          <cell r="C1215" t="str">
            <v>ROST GUIMARAES DIST E TRANSPORT</v>
          </cell>
          <cell r="D1215">
            <v>7001</v>
          </cell>
          <cell r="E1215" t="str">
            <v>0722</v>
          </cell>
          <cell r="F1215" t="str">
            <v>C1</v>
          </cell>
          <cell r="G1215" t="str">
            <v>SP</v>
          </cell>
          <cell r="H1215" t="str">
            <v>DISTRIBUIÇÃO</v>
          </cell>
          <cell r="I1215" t="str">
            <v>FOOD SERVICE</v>
          </cell>
          <cell r="J1215" t="str">
            <v>FLAC 8</v>
          </cell>
          <cell r="K1215" t="str">
            <v>LACTALIS</v>
          </cell>
          <cell r="L1215" t="str">
            <v>RODRIGO</v>
          </cell>
          <cell r="M1215" t="str">
            <v>RAQUEL BARBOSA</v>
          </cell>
        </row>
        <row r="1216">
          <cell r="B1216">
            <v>5296014</v>
          </cell>
          <cell r="C1216" t="str">
            <v>ROTAMA SALGADOS LTDA</v>
          </cell>
          <cell r="D1216">
            <v>7001</v>
          </cell>
          <cell r="E1216" t="str">
            <v>0749</v>
          </cell>
          <cell r="F1216" t="str">
            <v>C5</v>
          </cell>
          <cell r="G1216" t="str">
            <v>SP</v>
          </cell>
          <cell r="H1216" t="str">
            <v>DISTRIBUIÇÃO</v>
          </cell>
          <cell r="I1216" t="str">
            <v>FOOD SERVICE</v>
          </cell>
          <cell r="J1216" t="str">
            <v>FLAC 2</v>
          </cell>
          <cell r="K1216" t="str">
            <v>LACTALIS</v>
          </cell>
          <cell r="L1216" t="str">
            <v>RODRIGO</v>
          </cell>
          <cell r="M1216" t="str">
            <v>RAQUEL BARBOSA</v>
          </cell>
        </row>
        <row r="1217">
          <cell r="B1217">
            <v>5009122</v>
          </cell>
          <cell r="C1217" t="str">
            <v>ROTTA DISTRI DE ALIMENTOS LTDA</v>
          </cell>
          <cell r="D1217">
            <v>3001</v>
          </cell>
          <cell r="E1217" t="str">
            <v>0126</v>
          </cell>
          <cell r="F1217" t="str">
            <v>C1</v>
          </cell>
          <cell r="G1217" t="str">
            <v>PR</v>
          </cell>
          <cell r="H1217" t="str">
            <v>DISTRIBUIÇÃO</v>
          </cell>
          <cell r="I1217" t="str">
            <v>FOOD SERVICE</v>
          </cell>
          <cell r="J1217" t="str">
            <v>ANGELICA BATISTELA</v>
          </cell>
          <cell r="K1217" t="str">
            <v>ITAMBÉ</v>
          </cell>
          <cell r="L1217" t="str">
            <v>RODRIGO</v>
          </cell>
          <cell r="M1217" t="str">
            <v>ANGELICA BATISTELA</v>
          </cell>
        </row>
        <row r="1218">
          <cell r="B1218">
            <v>5009122</v>
          </cell>
          <cell r="C1218" t="str">
            <v>ROTTA DISTRI DE ALIMENTOS LTDA</v>
          </cell>
          <cell r="D1218">
            <v>4001</v>
          </cell>
          <cell r="E1218" t="str">
            <v>0422</v>
          </cell>
          <cell r="F1218" t="str">
            <v>C1</v>
          </cell>
          <cell r="G1218" t="str">
            <v>PR</v>
          </cell>
          <cell r="H1218" t="str">
            <v>DISTRIBUIÇÃO</v>
          </cell>
          <cell r="I1218" t="str">
            <v>FOOD SERVICE</v>
          </cell>
          <cell r="J1218" t="str">
            <v>ANGELICA BATISTELA</v>
          </cell>
          <cell r="K1218" t="str">
            <v>LACTALIS</v>
          </cell>
          <cell r="L1218" t="str">
            <v>RODRIGO</v>
          </cell>
          <cell r="M1218" t="str">
            <v>ANGELICA BATISTELA</v>
          </cell>
        </row>
        <row r="1219">
          <cell r="B1219">
            <v>5009122</v>
          </cell>
          <cell r="C1219" t="str">
            <v>ROTTA DISTRI DE ALIMENTOS LTDA</v>
          </cell>
          <cell r="D1219">
            <v>4001</v>
          </cell>
          <cell r="E1219" t="str">
            <v>0455</v>
          </cell>
          <cell r="F1219" t="str">
            <v>C1</v>
          </cell>
          <cell r="G1219" t="str">
            <v>PR</v>
          </cell>
          <cell r="H1219" t="str">
            <v>DISTRIBUIÇÃO</v>
          </cell>
          <cell r="I1219" t="str">
            <v>FOOD SERVICE</v>
          </cell>
          <cell r="J1219" t="str">
            <v>ANGELICA BATISTELA</v>
          </cell>
          <cell r="K1219" t="str">
            <v>LACTALIS</v>
          </cell>
          <cell r="L1219" t="str">
            <v>RODRIGO</v>
          </cell>
          <cell r="M1219" t="str">
            <v>ANGELICA BATISTELA</v>
          </cell>
        </row>
        <row r="1220">
          <cell r="B1220">
            <v>5314417</v>
          </cell>
          <cell r="C1220" t="str">
            <v>ROYAL TOWERS S A</v>
          </cell>
          <cell r="D1220">
            <v>7001</v>
          </cell>
          <cell r="E1220" t="str">
            <v>0749</v>
          </cell>
          <cell r="F1220" t="str">
            <v>C5</v>
          </cell>
          <cell r="G1220" t="str">
            <v>SP</v>
          </cell>
          <cell r="H1220" t="str">
            <v>DISTRIBUIÇÃO</v>
          </cell>
          <cell r="I1220" t="str">
            <v>FOOD SERVICE</v>
          </cell>
          <cell r="J1220" t="str">
            <v>FLAC 5</v>
          </cell>
          <cell r="K1220" t="str">
            <v>LACTALIS</v>
          </cell>
          <cell r="L1220" t="str">
            <v>RODRIGO</v>
          </cell>
          <cell r="M1220" t="str">
            <v>RAQUEL BARBOSA</v>
          </cell>
        </row>
        <row r="1221">
          <cell r="B1221">
            <v>5023334</v>
          </cell>
          <cell r="C1221" t="str">
            <v>S P PRODUTOS LTDA</v>
          </cell>
          <cell r="D1221">
            <v>3001</v>
          </cell>
          <cell r="E1221" t="str">
            <v>0169</v>
          </cell>
          <cell r="F1221" t="str">
            <v>C1</v>
          </cell>
          <cell r="G1221" t="str">
            <v>ES</v>
          </cell>
          <cell r="H1221" t="str">
            <v>DISTRIBUIÇÃO</v>
          </cell>
          <cell r="I1221" t="str">
            <v>FOOD SERVICE</v>
          </cell>
          <cell r="J1221" t="str">
            <v>MARCELO DUARTE</v>
          </cell>
          <cell r="K1221" t="str">
            <v>ITAMBÉ</v>
          </cell>
          <cell r="L1221" t="str">
            <v>RODRIGO</v>
          </cell>
          <cell r="M1221" t="str">
            <v>JESSICA</v>
          </cell>
        </row>
        <row r="1222">
          <cell r="B1222">
            <v>5134556</v>
          </cell>
          <cell r="C1222" t="str">
            <v>S P PRODUTOS LTDA</v>
          </cell>
          <cell r="D1222">
            <v>3001</v>
          </cell>
          <cell r="E1222" t="str">
            <v>0169</v>
          </cell>
          <cell r="F1222" t="str">
            <v>C1</v>
          </cell>
          <cell r="G1222" t="str">
            <v>ES</v>
          </cell>
          <cell r="H1222" t="str">
            <v>DISTRIBUIÇÃO</v>
          </cell>
          <cell r="I1222" t="str">
            <v>FOOD SERVICE</v>
          </cell>
          <cell r="J1222" t="str">
            <v>MARCELO DUARTE</v>
          </cell>
          <cell r="K1222" t="str">
            <v>ITAMBÉ</v>
          </cell>
          <cell r="L1222" t="str">
            <v>RODRIGO</v>
          </cell>
          <cell r="M1222" t="str">
            <v>JESSICA</v>
          </cell>
        </row>
        <row r="1223">
          <cell r="B1223">
            <v>5263659</v>
          </cell>
          <cell r="C1223" t="str">
            <v>S2FT COMERCIO DE BOLOS E CAFE LTDA</v>
          </cell>
          <cell r="D1223">
            <v>7001</v>
          </cell>
          <cell r="E1223" t="str">
            <v>0749</v>
          </cell>
          <cell r="F1223" t="str">
            <v>C5</v>
          </cell>
          <cell r="G1223" t="str">
            <v>SP</v>
          </cell>
          <cell r="H1223" t="str">
            <v>DISTRIBUIÇÃO</v>
          </cell>
          <cell r="I1223" t="str">
            <v>FOOD SERVICE</v>
          </cell>
          <cell r="J1223" t="str">
            <v>FLAC 3</v>
          </cell>
          <cell r="K1223" t="str">
            <v>LACTALIS</v>
          </cell>
          <cell r="L1223" t="str">
            <v>RODRIGO</v>
          </cell>
          <cell r="M1223" t="str">
            <v>RAQUEL BARBOSA</v>
          </cell>
        </row>
        <row r="1224">
          <cell r="B1224">
            <v>5176952</v>
          </cell>
          <cell r="C1224" t="str">
            <v>CLUBE DO CONFEITEIRO LTDA</v>
          </cell>
          <cell r="D1224">
            <v>6001</v>
          </cell>
          <cell r="E1224" t="str">
            <v>6125</v>
          </cell>
          <cell r="F1224" t="str">
            <v>C1</v>
          </cell>
          <cell r="G1224" t="str">
            <v>SP</v>
          </cell>
          <cell r="H1224" t="str">
            <v>DISTRIBUIÇÃO</v>
          </cell>
          <cell r="I1224" t="str">
            <v>FOOD SERVICE</v>
          </cell>
          <cell r="J1224" t="str">
            <v>SP ITB FS FLAC REP.E COMERCIO</v>
          </cell>
          <cell r="K1224" t="str">
            <v>ITAMBÉ</v>
          </cell>
          <cell r="L1224" t="str">
            <v>RODRIGO</v>
          </cell>
          <cell r="M1224" t="str">
            <v>RAQUEL BARBOSA</v>
          </cell>
        </row>
        <row r="1225">
          <cell r="B1225">
            <v>5265947</v>
          </cell>
          <cell r="C1225" t="str">
            <v>SABOR DA INFANCIA DOCERIA LTDA</v>
          </cell>
          <cell r="D1225">
            <v>7001</v>
          </cell>
          <cell r="E1225" t="str">
            <v>0749</v>
          </cell>
          <cell r="F1225" t="str">
            <v>C5</v>
          </cell>
          <cell r="G1225" t="str">
            <v>SP</v>
          </cell>
          <cell r="H1225" t="str">
            <v>DISTRIBUIÇÃO</v>
          </cell>
          <cell r="I1225" t="str">
            <v>FOOD SERVICE</v>
          </cell>
          <cell r="J1225" t="str">
            <v>FLAC 3</v>
          </cell>
          <cell r="K1225" t="str">
            <v>LACTALIS</v>
          </cell>
          <cell r="L1225" t="str">
            <v>RODRIGO</v>
          </cell>
          <cell r="M1225" t="str">
            <v>RAQUEL BARBOSA</v>
          </cell>
        </row>
        <row r="1226">
          <cell r="B1226">
            <v>5265948</v>
          </cell>
          <cell r="C1226" t="str">
            <v>SABOR DA INFANCIA DOCERIA LTDA</v>
          </cell>
          <cell r="D1226">
            <v>7001</v>
          </cell>
          <cell r="E1226" t="str">
            <v>0749</v>
          </cell>
          <cell r="F1226" t="str">
            <v>C5</v>
          </cell>
          <cell r="G1226" t="str">
            <v>SP</v>
          </cell>
          <cell r="H1226" t="str">
            <v>DISTRIBUIÇÃO</v>
          </cell>
          <cell r="I1226" t="str">
            <v>FOOD SERVICE</v>
          </cell>
          <cell r="J1226" t="str">
            <v>FLAC 3</v>
          </cell>
          <cell r="K1226" t="str">
            <v>LACTALIS</v>
          </cell>
          <cell r="L1226" t="str">
            <v>RODRIGO</v>
          </cell>
          <cell r="M1226" t="str">
            <v>RAQUEL BARBOSA</v>
          </cell>
        </row>
        <row r="1227">
          <cell r="B1227">
            <v>5036214</v>
          </cell>
          <cell r="C1227" t="str">
            <v>ESPACO CHEF COMERCIO E DIST LTD</v>
          </cell>
          <cell r="D1227">
            <v>3001</v>
          </cell>
          <cell r="E1227" t="str">
            <v>0127</v>
          </cell>
          <cell r="F1227" t="str">
            <v>C1</v>
          </cell>
          <cell r="G1227" t="str">
            <v>CE</v>
          </cell>
          <cell r="H1227" t="str">
            <v>DISTRIBUIÇÃO</v>
          </cell>
          <cell r="I1227" t="str">
            <v>FOOD SERVICE</v>
          </cell>
          <cell r="J1227" t="str">
            <v>WH FOOD SERVICE CE</v>
          </cell>
          <cell r="K1227" t="str">
            <v>ITAMBÉ</v>
          </cell>
          <cell r="L1227" t="str">
            <v>RODRIGO</v>
          </cell>
          <cell r="M1227" t="str">
            <v>MARIA LOURDES</v>
          </cell>
        </row>
        <row r="1228">
          <cell r="B1228">
            <v>5166365</v>
          </cell>
          <cell r="C1228" t="str">
            <v>SABOR REAL INDUSTRIA E COMERCIO LTD</v>
          </cell>
          <cell r="D1228">
            <v>3001</v>
          </cell>
          <cell r="E1228" t="str">
            <v>0122</v>
          </cell>
          <cell r="F1228" t="str">
            <v>C1</v>
          </cell>
          <cell r="G1228" t="str">
            <v>ES</v>
          </cell>
          <cell r="H1228" t="str">
            <v>INGREDIENTS</v>
          </cell>
          <cell r="I1228" t="str">
            <v>INGREDIENTS</v>
          </cell>
          <cell r="J1228" t="str">
            <v>HENRIQUE FERREIRA</v>
          </cell>
          <cell r="K1228" t="str">
            <v>ITAMBÉ</v>
          </cell>
          <cell r="L1228" t="str">
            <v>MAURICIO</v>
          </cell>
          <cell r="M1228" t="str">
            <v>JOEL</v>
          </cell>
        </row>
        <row r="1229">
          <cell r="B1229">
            <v>5262284</v>
          </cell>
          <cell r="C1229" t="str">
            <v>SABORES DO CACAU CHOCOLATE</v>
          </cell>
          <cell r="D1229">
            <v>7001</v>
          </cell>
          <cell r="E1229" t="str">
            <v>0749</v>
          </cell>
          <cell r="F1229" t="str">
            <v>C5</v>
          </cell>
          <cell r="G1229" t="str">
            <v>SP</v>
          </cell>
          <cell r="H1229" t="str">
            <v>DISTRIBUIÇÃO</v>
          </cell>
          <cell r="I1229" t="str">
            <v>FOOD SERVICE</v>
          </cell>
          <cell r="J1229" t="str">
            <v>FLAC 6</v>
          </cell>
          <cell r="K1229" t="str">
            <v>LACTALIS</v>
          </cell>
          <cell r="L1229" t="str">
            <v>RODRIGO</v>
          </cell>
          <cell r="M1229" t="str">
            <v>RAQUEL BARBOSA</v>
          </cell>
        </row>
        <row r="1230">
          <cell r="B1230">
            <v>5318686</v>
          </cell>
          <cell r="C1230" t="str">
            <v xml:space="preserve">SAGRADA MASSA COMERCIO ALIMENTICIO </v>
          </cell>
          <cell r="D1230">
            <v>7001</v>
          </cell>
          <cell r="E1230" t="str">
            <v>0749</v>
          </cell>
          <cell r="F1230" t="str">
            <v>C5</v>
          </cell>
          <cell r="G1230" t="str">
            <v>SP</v>
          </cell>
          <cell r="H1230" t="str">
            <v>DISTRIBUIÇÃO</v>
          </cell>
          <cell r="I1230" t="str">
            <v>FOOD SERVICE</v>
          </cell>
          <cell r="J1230" t="str">
            <v>FLAC 5</v>
          </cell>
          <cell r="K1230" t="str">
            <v>LACTALIS</v>
          </cell>
          <cell r="L1230" t="str">
            <v>RODRIGO</v>
          </cell>
          <cell r="M1230" t="str">
            <v>RAQUEL BARBOSA</v>
          </cell>
        </row>
        <row r="1231">
          <cell r="B1231">
            <v>5285506</v>
          </cell>
          <cell r="C1231" t="str">
            <v>SAINT PATRICK BAR RESTAURANTE L</v>
          </cell>
          <cell r="D1231">
            <v>7001</v>
          </cell>
          <cell r="E1231" t="str">
            <v>0749</v>
          </cell>
          <cell r="F1231" t="str">
            <v>C5</v>
          </cell>
          <cell r="G1231" t="str">
            <v>SP</v>
          </cell>
          <cell r="H1231" t="str">
            <v>DISTRIBUIÇÃO</v>
          </cell>
          <cell r="I1231" t="str">
            <v>FOOD SERVICE</v>
          </cell>
          <cell r="J1231" t="str">
            <v>FLAC 2</v>
          </cell>
          <cell r="K1231" t="str">
            <v>LACTALIS</v>
          </cell>
          <cell r="L1231" t="str">
            <v>RODRIGO</v>
          </cell>
          <cell r="M1231" t="str">
            <v>RAQUEL BARBOSA</v>
          </cell>
        </row>
        <row r="1232">
          <cell r="B1232">
            <v>5294426</v>
          </cell>
          <cell r="C1232" t="str">
            <v>SAKA CAFETERIA LTDA</v>
          </cell>
          <cell r="D1232">
            <v>7001</v>
          </cell>
          <cell r="E1232" t="str">
            <v>0749</v>
          </cell>
          <cell r="F1232" t="str">
            <v>C5</v>
          </cell>
          <cell r="G1232" t="str">
            <v>SP</v>
          </cell>
          <cell r="H1232" t="str">
            <v>DISTRIBUIÇÃO</v>
          </cell>
          <cell r="I1232" t="str">
            <v>FOOD SERVICE</v>
          </cell>
          <cell r="J1232" t="str">
            <v>FLAC 2</v>
          </cell>
          <cell r="K1232" t="str">
            <v>LACTALIS</v>
          </cell>
          <cell r="L1232" t="str">
            <v>RODRIGO</v>
          </cell>
          <cell r="M1232" t="str">
            <v>RAQUEL BARBOSA</v>
          </cell>
        </row>
        <row r="1233">
          <cell r="B1233">
            <v>5210640</v>
          </cell>
          <cell r="C1233" t="str">
            <v>SALT PIE INDUSTRIA COMERCIO</v>
          </cell>
          <cell r="D1233">
            <v>6001</v>
          </cell>
          <cell r="E1233" t="str">
            <v>6125</v>
          </cell>
          <cell r="F1233" t="str">
            <v>C1</v>
          </cell>
          <cell r="G1233" t="str">
            <v>SP</v>
          </cell>
          <cell r="H1233" t="str">
            <v>INGREDIENTS</v>
          </cell>
          <cell r="I1233" t="str">
            <v>INGREDIENTS</v>
          </cell>
          <cell r="J1233" t="str">
            <v>HENRIQUE FERREIRA</v>
          </cell>
          <cell r="K1233" t="str">
            <v>ITAMBÉ</v>
          </cell>
          <cell r="L1233" t="str">
            <v>MAURICIO</v>
          </cell>
          <cell r="M1233" t="str">
            <v>JOEL</v>
          </cell>
        </row>
        <row r="1234">
          <cell r="B1234">
            <v>5330092</v>
          </cell>
          <cell r="C1234" t="str">
            <v>SAMPA GERAIS COM DE CAFE E ALIM</v>
          </cell>
          <cell r="D1234">
            <v>7001</v>
          </cell>
          <cell r="E1234" t="str">
            <v>0749</v>
          </cell>
          <cell r="F1234" t="str">
            <v>C5</v>
          </cell>
          <cell r="G1234" t="str">
            <v>SP</v>
          </cell>
          <cell r="H1234" t="str">
            <v>DISTRIBUIÇÃO</v>
          </cell>
          <cell r="I1234" t="str">
            <v>FOOD SERVICE</v>
          </cell>
          <cell r="J1234" t="str">
            <v>FLAC 5</v>
          </cell>
          <cell r="K1234" t="str">
            <v>LACTALIS</v>
          </cell>
          <cell r="L1234" t="str">
            <v>RODRIGO</v>
          </cell>
          <cell r="M1234" t="str">
            <v>RAQUEL BARBOSA</v>
          </cell>
        </row>
        <row r="1235">
          <cell r="B1235">
            <v>5320716</v>
          </cell>
          <cell r="C1235" t="str">
            <v>SAMUEL ELIAS MASSOU LTDA</v>
          </cell>
          <cell r="D1235">
            <v>7001</v>
          </cell>
          <cell r="E1235" t="str">
            <v>0749</v>
          </cell>
          <cell r="F1235" t="str">
            <v>C5</v>
          </cell>
          <cell r="G1235" t="str">
            <v>SP</v>
          </cell>
          <cell r="H1235" t="str">
            <v>DISTRIBUIÇÃO</v>
          </cell>
          <cell r="I1235" t="str">
            <v>FOOD SERVICE</v>
          </cell>
          <cell r="J1235" t="str">
            <v>FLAC 2</v>
          </cell>
          <cell r="K1235" t="str">
            <v>LACTALIS</v>
          </cell>
          <cell r="L1235" t="str">
            <v>RODRIGO</v>
          </cell>
          <cell r="M1235" t="str">
            <v>RAQUEL BARBOSA</v>
          </cell>
        </row>
        <row r="1236">
          <cell r="B1236">
            <v>5249870</v>
          </cell>
          <cell r="C1236" t="str">
            <v>SAN JUAN SAO PAULO HOTEL LT</v>
          </cell>
          <cell r="D1236">
            <v>7001</v>
          </cell>
          <cell r="E1236" t="str">
            <v>0749</v>
          </cell>
          <cell r="F1236" t="str">
            <v>C5</v>
          </cell>
          <cell r="G1236" t="str">
            <v>SP</v>
          </cell>
          <cell r="H1236" t="str">
            <v>DISTRIBUIÇÃO</v>
          </cell>
          <cell r="I1236" t="str">
            <v>FOOD SERVICE</v>
          </cell>
          <cell r="J1236" t="str">
            <v>FLAC 6</v>
          </cell>
          <cell r="K1236" t="str">
            <v>LACTALIS</v>
          </cell>
          <cell r="L1236" t="str">
            <v>RODRIGO</v>
          </cell>
          <cell r="M1236" t="str">
            <v>RAQUEL BARBOSA</v>
          </cell>
        </row>
        <row r="1237">
          <cell r="B1237">
            <v>5255030</v>
          </cell>
          <cell r="C1237" t="str">
            <v>SANTO GRAO ITAIM LTDA</v>
          </cell>
          <cell r="D1237">
            <v>7001</v>
          </cell>
          <cell r="E1237" t="str">
            <v>0749</v>
          </cell>
          <cell r="F1237" t="str">
            <v>C5</v>
          </cell>
          <cell r="G1237" t="str">
            <v>SP</v>
          </cell>
          <cell r="H1237" t="str">
            <v>DISTRIBUIÇÃO</v>
          </cell>
          <cell r="I1237" t="str">
            <v>FOOD SERVICE</v>
          </cell>
          <cell r="J1237" t="str">
            <v>FLAC 6</v>
          </cell>
          <cell r="K1237" t="str">
            <v>LACTALIS</v>
          </cell>
          <cell r="L1237" t="str">
            <v>RODRIGO</v>
          </cell>
          <cell r="M1237" t="str">
            <v>RAQUEL BARBOSA</v>
          </cell>
        </row>
        <row r="1238">
          <cell r="B1238">
            <v>5278660</v>
          </cell>
          <cell r="C1238" t="str">
            <v>SAO PAULO GOLF CLUB</v>
          </cell>
          <cell r="D1238">
            <v>7001</v>
          </cell>
          <cell r="E1238" t="str">
            <v>0749</v>
          </cell>
          <cell r="F1238" t="str">
            <v>C5</v>
          </cell>
          <cell r="G1238" t="str">
            <v>SP</v>
          </cell>
          <cell r="H1238" t="str">
            <v>DISTRIBUIÇÃO</v>
          </cell>
          <cell r="I1238" t="str">
            <v>FOOD SERVICE</v>
          </cell>
          <cell r="J1238" t="str">
            <v>FLAC 3</v>
          </cell>
          <cell r="K1238" t="str">
            <v>LACTALIS</v>
          </cell>
          <cell r="L1238" t="str">
            <v>RODRIGO</v>
          </cell>
          <cell r="M1238" t="str">
            <v>RAQUEL BARBOSA</v>
          </cell>
        </row>
        <row r="1239">
          <cell r="B1239">
            <v>5282188</v>
          </cell>
          <cell r="C1239" t="str">
            <v>SAO PAULO NIKKEY PALACE HOTEL</v>
          </cell>
          <cell r="D1239">
            <v>7001</v>
          </cell>
          <cell r="E1239" t="str">
            <v>0749</v>
          </cell>
          <cell r="F1239" t="str">
            <v>C5</v>
          </cell>
          <cell r="G1239" t="str">
            <v>SP</v>
          </cell>
          <cell r="H1239" t="str">
            <v>DISTRIBUIÇÃO</v>
          </cell>
          <cell r="I1239" t="str">
            <v>FOOD SERVICE</v>
          </cell>
          <cell r="J1239" t="str">
            <v>FLAC 6</v>
          </cell>
          <cell r="K1239" t="str">
            <v>LACTALIS</v>
          </cell>
          <cell r="L1239" t="str">
            <v>RODRIGO</v>
          </cell>
          <cell r="M1239" t="str">
            <v>RAQUEL BARBOSA</v>
          </cell>
        </row>
        <row r="1240">
          <cell r="B1240">
            <v>5147526</v>
          </cell>
          <cell r="C1240" t="str">
            <v>SAPORE SA</v>
          </cell>
          <cell r="D1240">
            <v>3001</v>
          </cell>
          <cell r="E1240" t="str">
            <v>0028</v>
          </cell>
          <cell r="F1240" t="str">
            <v>C1</v>
          </cell>
          <cell r="G1240" t="str">
            <v>RJ</v>
          </cell>
          <cell r="H1240" t="str">
            <v>QSR</v>
          </cell>
          <cell r="I1240" t="str">
            <v>FOOD SERVICE</v>
          </cell>
          <cell r="J1240" t="str">
            <v>NUTRI</v>
          </cell>
          <cell r="K1240" t="str">
            <v>ITAMBÉ</v>
          </cell>
          <cell r="L1240" t="str">
            <v>PEDRO</v>
          </cell>
          <cell r="M1240" t="str">
            <v>VAGO QSR</v>
          </cell>
        </row>
        <row r="1241">
          <cell r="B1241">
            <v>5001788</v>
          </cell>
          <cell r="C1241" t="str">
            <v>SAPORE SA</v>
          </cell>
          <cell r="D1241">
            <v>3001</v>
          </cell>
          <cell r="E1241" t="str">
            <v>0028</v>
          </cell>
          <cell r="F1241" t="str">
            <v>C1</v>
          </cell>
          <cell r="G1241" t="str">
            <v>MG</v>
          </cell>
          <cell r="H1241" t="str">
            <v>QSR</v>
          </cell>
          <cell r="I1241" t="str">
            <v>FOOD SERVICE</v>
          </cell>
          <cell r="J1241" t="str">
            <v>NUTRI</v>
          </cell>
          <cell r="K1241" t="str">
            <v>ITAMBÉ</v>
          </cell>
          <cell r="L1241" t="str">
            <v>PEDRO</v>
          </cell>
          <cell r="M1241" t="str">
            <v>VAGO QSR</v>
          </cell>
        </row>
        <row r="1242">
          <cell r="B1242">
            <v>5147526</v>
          </cell>
          <cell r="C1242" t="str">
            <v>SAPORE SA</v>
          </cell>
          <cell r="D1242">
            <v>4001</v>
          </cell>
          <cell r="E1242" t="str">
            <v>0450</v>
          </cell>
          <cell r="F1242" t="str">
            <v>C5</v>
          </cell>
          <cell r="G1242" t="str">
            <v>RJ</v>
          </cell>
          <cell r="H1242" t="str">
            <v>QSR</v>
          </cell>
          <cell r="I1242" t="str">
            <v>FOOD SERVICE</v>
          </cell>
          <cell r="J1242" t="str">
            <v>NUTRI</v>
          </cell>
          <cell r="K1242" t="str">
            <v>LACTALIS</v>
          </cell>
          <cell r="L1242" t="str">
            <v>PEDRO</v>
          </cell>
          <cell r="M1242" t="str">
            <v>VAGO QSR</v>
          </cell>
        </row>
        <row r="1243">
          <cell r="B1243">
            <v>5063519</v>
          </cell>
          <cell r="C1243" t="str">
            <v>SAPORE SA</v>
          </cell>
          <cell r="D1243">
            <v>6001</v>
          </cell>
          <cell r="E1243" t="str">
            <v>6028</v>
          </cell>
          <cell r="F1243" t="str">
            <v>C1</v>
          </cell>
          <cell r="G1243" t="str">
            <v>SP</v>
          </cell>
          <cell r="H1243" t="str">
            <v>QSR</v>
          </cell>
          <cell r="I1243" t="str">
            <v>FOOD SERVICE</v>
          </cell>
          <cell r="J1243" t="str">
            <v>NUTRI</v>
          </cell>
          <cell r="K1243" t="str">
            <v>ITAMBÉ</v>
          </cell>
          <cell r="L1243" t="str">
            <v>PEDRO</v>
          </cell>
          <cell r="M1243" t="str">
            <v>VAGO QSR</v>
          </cell>
        </row>
        <row r="1244">
          <cell r="B1244">
            <v>5063519</v>
          </cell>
          <cell r="C1244" t="str">
            <v>SAPORE SA</v>
          </cell>
          <cell r="D1244">
            <v>7001</v>
          </cell>
          <cell r="E1244" t="str">
            <v>0749</v>
          </cell>
          <cell r="F1244" t="str">
            <v>C5</v>
          </cell>
          <cell r="G1244" t="str">
            <v>SP</v>
          </cell>
          <cell r="H1244" t="str">
            <v>QSR</v>
          </cell>
          <cell r="I1244" t="str">
            <v>FOOD SERVICE</v>
          </cell>
          <cell r="J1244" t="str">
            <v>NUTRI</v>
          </cell>
          <cell r="K1244" t="str">
            <v>LACTALIS</v>
          </cell>
          <cell r="L1244" t="str">
            <v>PEDRO</v>
          </cell>
          <cell r="M1244" t="str">
            <v>VAGO QSR</v>
          </cell>
        </row>
        <row r="1245">
          <cell r="B1245">
            <v>5304919</v>
          </cell>
          <cell r="C1245" t="str">
            <v>SARTORATTO MORETO INDUSTRIA DE ALIM</v>
          </cell>
          <cell r="D1245">
            <v>7001</v>
          </cell>
          <cell r="E1245" t="str">
            <v>0749</v>
          </cell>
          <cell r="F1245" t="str">
            <v>C5</v>
          </cell>
          <cell r="G1245" t="str">
            <v>SP</v>
          </cell>
          <cell r="H1245" t="str">
            <v>DISTRIBUIÇÃO</v>
          </cell>
          <cell r="I1245" t="str">
            <v>FOOD SERVICE</v>
          </cell>
          <cell r="J1245" t="str">
            <v>FLAC 6</v>
          </cell>
          <cell r="K1245" t="str">
            <v>LACTALIS</v>
          </cell>
          <cell r="L1245" t="str">
            <v>RODRIGO</v>
          </cell>
          <cell r="M1245" t="str">
            <v>RAQUEL BARBOSA</v>
          </cell>
        </row>
        <row r="1246">
          <cell r="B1246">
            <v>5144654</v>
          </cell>
          <cell r="C1246" t="str">
            <v>SAUIPE SA</v>
          </cell>
          <cell r="D1246">
            <v>3001</v>
          </cell>
          <cell r="E1246" t="str">
            <v>0127</v>
          </cell>
          <cell r="F1246" t="str">
            <v>C1</v>
          </cell>
          <cell r="G1246" t="str">
            <v>BA</v>
          </cell>
          <cell r="H1246" t="str">
            <v>DISTRIBUIÇÃO</v>
          </cell>
          <cell r="I1246" t="str">
            <v>FOOD SERVICE</v>
          </cell>
          <cell r="J1246" t="str">
            <v>CLAUDIO JORGE/LUIZ</v>
          </cell>
          <cell r="K1246" t="str">
            <v>ITAMBÉ</v>
          </cell>
          <cell r="L1246" t="str">
            <v>RODRIGO</v>
          </cell>
          <cell r="M1246" t="str">
            <v>MARIA LOURDES</v>
          </cell>
        </row>
        <row r="1247">
          <cell r="B1247">
            <v>5314633</v>
          </cell>
          <cell r="C1247" t="str">
            <v>SBC PADARIA E CONFEITARIA ARTESANAL</v>
          </cell>
          <cell r="D1247">
            <v>7001</v>
          </cell>
          <cell r="E1247" t="str">
            <v>0749</v>
          </cell>
          <cell r="F1247" t="str">
            <v>C5</v>
          </cell>
          <cell r="G1247" t="str">
            <v>SP</v>
          </cell>
          <cell r="H1247" t="str">
            <v>DISTRIBUIÇÃO</v>
          </cell>
          <cell r="I1247" t="str">
            <v>FOOD SERVICE</v>
          </cell>
          <cell r="J1247" t="str">
            <v>FLAC 2</v>
          </cell>
          <cell r="K1247" t="str">
            <v>LACTALIS</v>
          </cell>
          <cell r="L1247" t="str">
            <v>RODRIGO</v>
          </cell>
          <cell r="M1247" t="str">
            <v>RAQUEL BARBOSA</v>
          </cell>
        </row>
        <row r="1248">
          <cell r="B1248">
            <v>5090159</v>
          </cell>
          <cell r="C1248" t="str">
            <v>SCALON E CHERCHI LTDA</v>
          </cell>
          <cell r="D1248">
            <v>4001</v>
          </cell>
          <cell r="E1248" t="str">
            <v>0437</v>
          </cell>
          <cell r="F1248" t="str">
            <v>C1</v>
          </cell>
          <cell r="G1248" t="str">
            <v>MG</v>
          </cell>
          <cell r="H1248" t="str">
            <v>INGREDIENTS</v>
          </cell>
          <cell r="I1248" t="str">
            <v>INGREDIENTS</v>
          </cell>
          <cell r="J1248" t="str">
            <v>JOEL ELEOTÉRIO</v>
          </cell>
          <cell r="K1248" t="str">
            <v>LACTALIS</v>
          </cell>
          <cell r="L1248" t="str">
            <v>MAURICIO</v>
          </cell>
          <cell r="M1248" t="str">
            <v>JOEL</v>
          </cell>
        </row>
        <row r="1249">
          <cell r="B1249">
            <v>5090159</v>
          </cell>
          <cell r="C1249" t="str">
            <v>SCALON E CHERCHI LTDA</v>
          </cell>
          <cell r="D1249">
            <v>4001</v>
          </cell>
          <cell r="E1249" t="str">
            <v>0458</v>
          </cell>
          <cell r="F1249" t="str">
            <v>C1</v>
          </cell>
          <cell r="G1249" t="str">
            <v>MG</v>
          </cell>
          <cell r="H1249" t="str">
            <v>INGREDIENTS</v>
          </cell>
          <cell r="I1249" t="str">
            <v>INGREDIENTS</v>
          </cell>
          <cell r="J1249" t="str">
            <v>JOEL ELEOTÉRIO</v>
          </cell>
          <cell r="K1249" t="str">
            <v>LACTALIS</v>
          </cell>
          <cell r="L1249" t="str">
            <v>MAURICIO</v>
          </cell>
          <cell r="M1249" t="str">
            <v>JOEL</v>
          </cell>
        </row>
        <row r="1250">
          <cell r="B1250">
            <v>5331983</v>
          </cell>
          <cell r="C1250" t="str">
            <v>SCALONA ALIMENTOS LTDA</v>
          </cell>
          <cell r="D1250">
            <v>3001</v>
          </cell>
          <cell r="E1250" t="str">
            <v>0127</v>
          </cell>
          <cell r="F1250" t="str">
            <v>C1</v>
          </cell>
          <cell r="G1250" t="str">
            <v>BA</v>
          </cell>
          <cell r="H1250" t="str">
            <v>DISTRIBUIÇÃO</v>
          </cell>
          <cell r="I1250" t="str">
            <v>FOOD SERVICE</v>
          </cell>
          <cell r="J1250" t="str">
            <v>CLAUDIO JORGE/LUIZ</v>
          </cell>
          <cell r="K1250" t="str">
            <v>ITAMBÉ</v>
          </cell>
          <cell r="L1250" t="str">
            <v>RODRIGO</v>
          </cell>
          <cell r="M1250" t="str">
            <v>MARIA LOURDES</v>
          </cell>
        </row>
        <row r="1251">
          <cell r="B1251">
            <v>5326116</v>
          </cell>
          <cell r="C1251" t="str">
            <v>SCHOOL ALIMENTACAO ESCOLAR LTDA</v>
          </cell>
          <cell r="D1251">
            <v>7001</v>
          </cell>
          <cell r="E1251" t="str">
            <v>0749</v>
          </cell>
          <cell r="F1251" t="str">
            <v>C5</v>
          </cell>
          <cell r="G1251" t="str">
            <v>SP</v>
          </cell>
          <cell r="H1251" t="str">
            <v>DISTRIBUIÇÃO</v>
          </cell>
          <cell r="I1251" t="str">
            <v>FOOD SERVICE</v>
          </cell>
          <cell r="J1251" t="str">
            <v>FLAC 6</v>
          </cell>
          <cell r="K1251" t="str">
            <v>LACTALIS</v>
          </cell>
          <cell r="L1251" t="str">
            <v>RODRIGO</v>
          </cell>
          <cell r="M1251" t="str">
            <v>RAQUEL BARBOSA</v>
          </cell>
        </row>
        <row r="1252">
          <cell r="B1252">
            <v>5060394</v>
          </cell>
          <cell r="C1252" t="str">
            <v>SCHREIBER FOODS BRASIL IND ALIM LTD</v>
          </cell>
          <cell r="D1252">
            <v>4001</v>
          </cell>
          <cell r="E1252" t="str">
            <v>0445</v>
          </cell>
          <cell r="F1252" t="str">
            <v>C7</v>
          </cell>
          <cell r="G1252" t="str">
            <v>PR</v>
          </cell>
          <cell r="H1252" t="str">
            <v>MC DONALDS</v>
          </cell>
          <cell r="I1252" t="str">
            <v>MC DONALDS</v>
          </cell>
          <cell r="J1252" t="str">
            <v>MAURICIO GALLI</v>
          </cell>
          <cell r="K1252" t="str">
            <v>LACTALIS</v>
          </cell>
          <cell r="L1252" t="str">
            <v>MAURICIO</v>
          </cell>
          <cell r="M1252" t="str">
            <v>MAURICIO</v>
          </cell>
        </row>
        <row r="1253">
          <cell r="B1253">
            <v>5060394</v>
          </cell>
          <cell r="C1253" t="str">
            <v>SCHREIBER FOODS BRASIL IND ALIM LTD</v>
          </cell>
          <cell r="D1253">
            <v>3001</v>
          </cell>
          <cell r="E1253" t="str">
            <v>0028</v>
          </cell>
          <cell r="F1253" t="str">
            <v>C1</v>
          </cell>
          <cell r="G1253" t="str">
            <v>PR</v>
          </cell>
          <cell r="H1253" t="str">
            <v>INGREDIENTS</v>
          </cell>
          <cell r="I1253" t="str">
            <v>INGREDIENTS</v>
          </cell>
          <cell r="J1253" t="str">
            <v>MARCELO RODRIGUES</v>
          </cell>
          <cell r="K1253" t="str">
            <v>ITAMBÉ</v>
          </cell>
          <cell r="L1253" t="str">
            <v>MAURICIO</v>
          </cell>
          <cell r="M1253" t="str">
            <v>MARCELO</v>
          </cell>
        </row>
        <row r="1254">
          <cell r="B1254">
            <v>5130053</v>
          </cell>
          <cell r="C1254" t="str">
            <v>SEARA ALIMENTOS LTDA</v>
          </cell>
          <cell r="D1254">
            <v>4001</v>
          </cell>
          <cell r="E1254" t="str">
            <v>0437</v>
          </cell>
          <cell r="F1254" t="str">
            <v>C1</v>
          </cell>
          <cell r="G1254" t="str">
            <v>SC</v>
          </cell>
          <cell r="H1254" t="str">
            <v>INGREDIENTS</v>
          </cell>
          <cell r="I1254" t="str">
            <v>INGREDIENTS</v>
          </cell>
          <cell r="J1254" t="str">
            <v>JOEL ELEOTÉRIO</v>
          </cell>
          <cell r="K1254" t="str">
            <v>LACTALIS</v>
          </cell>
          <cell r="L1254" t="str">
            <v>MAURICIO</v>
          </cell>
          <cell r="M1254" t="str">
            <v>JOEL</v>
          </cell>
        </row>
        <row r="1255">
          <cell r="B1255">
            <v>5272667</v>
          </cell>
          <cell r="C1255" t="str">
            <v>SEARA ALIMENTOS LTDA</v>
          </cell>
          <cell r="D1255">
            <v>4001</v>
          </cell>
          <cell r="E1255" t="str">
            <v>0437</v>
          </cell>
          <cell r="F1255" t="str">
            <v>C1</v>
          </cell>
          <cell r="G1255" t="str">
            <v>SP</v>
          </cell>
          <cell r="H1255" t="str">
            <v>INGREDIENTS</v>
          </cell>
          <cell r="I1255" t="str">
            <v>INGREDIENTS</v>
          </cell>
          <cell r="J1255" t="str">
            <v>JOEL ELEOTÉRIO</v>
          </cell>
          <cell r="K1255" t="str">
            <v>LACTALIS</v>
          </cell>
          <cell r="L1255" t="str">
            <v>MAURICIO</v>
          </cell>
          <cell r="M1255" t="str">
            <v>JOEL</v>
          </cell>
        </row>
        <row r="1256">
          <cell r="B1256">
            <v>5218855</v>
          </cell>
          <cell r="C1256" t="str">
            <v>SEBASTIAO FREITAS ALVES JUNIOR</v>
          </cell>
          <cell r="D1256">
            <v>7001</v>
          </cell>
          <cell r="E1256" t="str">
            <v>0749</v>
          </cell>
          <cell r="F1256" t="str">
            <v>C5</v>
          </cell>
          <cell r="G1256" t="str">
            <v>SP</v>
          </cell>
          <cell r="H1256" t="str">
            <v>DISTRIBUIÇÃO</v>
          </cell>
          <cell r="I1256" t="str">
            <v>FOOD SERVICE</v>
          </cell>
          <cell r="J1256" t="str">
            <v>FLAC 2</v>
          </cell>
          <cell r="K1256" t="str">
            <v>LACTALIS</v>
          </cell>
          <cell r="L1256" t="str">
            <v>RODRIGO</v>
          </cell>
          <cell r="M1256" t="str">
            <v>RAQUEL BARBOSA</v>
          </cell>
        </row>
        <row r="1257">
          <cell r="B1257">
            <v>5317442</v>
          </cell>
          <cell r="C1257" t="str">
            <v>SEBASTIAO MARIO GIRALDELLI E CIA LT</v>
          </cell>
          <cell r="D1257">
            <v>3001</v>
          </cell>
          <cell r="E1257" t="str">
            <v>0123</v>
          </cell>
          <cell r="F1257" t="str">
            <v>C1</v>
          </cell>
          <cell r="G1257" t="str">
            <v>MT</v>
          </cell>
          <cell r="H1257" t="str">
            <v>DISTRIBUIÇÃO</v>
          </cell>
          <cell r="I1257" t="str">
            <v>FOOD SERVICE</v>
          </cell>
          <cell r="J1257" t="str">
            <v>CLAUDIO JORGE</v>
          </cell>
          <cell r="K1257" t="str">
            <v>ITAMBÉ</v>
          </cell>
          <cell r="L1257" t="str">
            <v>RODRIGO</v>
          </cell>
          <cell r="M1257" t="str">
            <v>MARCO AURELIO</v>
          </cell>
        </row>
        <row r="1258">
          <cell r="B1258">
            <v>5225381</v>
          </cell>
          <cell r="C1258" t="str">
            <v>SEC INDUSTRIA E COMERCIO LTDA</v>
          </cell>
          <cell r="D1258">
            <v>3001</v>
          </cell>
          <cell r="E1258" t="str">
            <v>0122</v>
          </cell>
          <cell r="F1258" t="str">
            <v>C1</v>
          </cell>
          <cell r="G1258" t="str">
            <v>MG</v>
          </cell>
          <cell r="H1258" t="str">
            <v>INGREDIENTS</v>
          </cell>
          <cell r="I1258" t="str">
            <v>INGREDIENTS</v>
          </cell>
          <cell r="J1258" t="str">
            <v>HENRIQUE FERREIRA</v>
          </cell>
          <cell r="K1258" t="str">
            <v>ITAMBÉ</v>
          </cell>
          <cell r="L1258" t="str">
            <v>MAURICIO</v>
          </cell>
          <cell r="M1258" t="str">
            <v>JOEL</v>
          </cell>
        </row>
        <row r="1259">
          <cell r="B1259">
            <v>5127549</v>
          </cell>
          <cell r="C1259" t="str">
            <v>SECOMANDI IND E COM DE SORVETES LTD</v>
          </cell>
          <cell r="D1259">
            <v>3001</v>
          </cell>
          <cell r="E1259" t="str">
            <v>0122</v>
          </cell>
          <cell r="F1259" t="str">
            <v>C1</v>
          </cell>
          <cell r="G1259" t="str">
            <v>ES</v>
          </cell>
          <cell r="H1259" t="str">
            <v>INGREDIENTS</v>
          </cell>
          <cell r="I1259" t="str">
            <v>INGREDIENTS</v>
          </cell>
          <cell r="J1259" t="str">
            <v>HENRIQUE FERREIRA</v>
          </cell>
          <cell r="K1259" t="str">
            <v>ITAMBÉ</v>
          </cell>
          <cell r="L1259" t="str">
            <v>MAURICIO</v>
          </cell>
          <cell r="M1259" t="str">
            <v>JOEL</v>
          </cell>
        </row>
        <row r="1260">
          <cell r="B1260">
            <v>5212456</v>
          </cell>
          <cell r="C1260" t="str">
            <v>SEJA LETS FIT COMERCIO DE ALIM</v>
          </cell>
          <cell r="D1260">
            <v>3001</v>
          </cell>
          <cell r="E1260" t="str">
            <v>0127</v>
          </cell>
          <cell r="F1260" t="str">
            <v>C1</v>
          </cell>
          <cell r="G1260" t="str">
            <v>CE</v>
          </cell>
          <cell r="H1260" t="str">
            <v>DISTRIBUIÇÃO</v>
          </cell>
          <cell r="I1260" t="str">
            <v>FOOD SERVICE</v>
          </cell>
          <cell r="J1260" t="str">
            <v>WH FOOD SERVICE CE</v>
          </cell>
          <cell r="K1260" t="str">
            <v>ITAMBÉ</v>
          </cell>
          <cell r="L1260" t="str">
            <v>RODRIGO</v>
          </cell>
          <cell r="M1260" t="str">
            <v>MARIA LOURDES</v>
          </cell>
        </row>
        <row r="1261">
          <cell r="B1261">
            <v>5150509</v>
          </cell>
          <cell r="C1261" t="str">
            <v>SELECIONATA IND ALIM</v>
          </cell>
          <cell r="D1261">
            <v>3001</v>
          </cell>
          <cell r="E1261" t="str">
            <v>0122</v>
          </cell>
          <cell r="F1261" t="str">
            <v>C1</v>
          </cell>
          <cell r="G1261" t="str">
            <v>MG</v>
          </cell>
          <cell r="H1261" t="str">
            <v>INGREDIENTS</v>
          </cell>
          <cell r="I1261" t="str">
            <v>INGREDIENTS</v>
          </cell>
          <cell r="J1261" t="str">
            <v>HENRIQUE FERREIRA</v>
          </cell>
          <cell r="K1261" t="str">
            <v>ITAMBÉ</v>
          </cell>
          <cell r="L1261" t="str">
            <v>MAURICIO</v>
          </cell>
          <cell r="M1261" t="str">
            <v>JOEL</v>
          </cell>
        </row>
        <row r="1262">
          <cell r="B1262">
            <v>5130996</v>
          </cell>
          <cell r="C1262" t="str">
            <v>SELO VERDE IND TEXTIL LT</v>
          </cell>
          <cell r="D1262">
            <v>7001</v>
          </cell>
          <cell r="E1262" t="str">
            <v>0749</v>
          </cell>
          <cell r="F1262" t="str">
            <v>C5</v>
          </cell>
          <cell r="G1262" t="str">
            <v>SP</v>
          </cell>
          <cell r="H1262" t="str">
            <v>DISTRIBUIÇÃO</v>
          </cell>
          <cell r="I1262" t="str">
            <v>FOOD SERVICE</v>
          </cell>
          <cell r="J1262" t="str">
            <v>FLAC 5</v>
          </cell>
          <cell r="K1262" t="str">
            <v>LACTALIS</v>
          </cell>
          <cell r="L1262" t="str">
            <v>RODRIGO</v>
          </cell>
          <cell r="M1262" t="str">
            <v>RAQUEL BARBOSA</v>
          </cell>
        </row>
        <row r="1263">
          <cell r="B1263">
            <v>5224828</v>
          </cell>
          <cell r="C1263" t="str">
            <v>SEMENTINHA PRODUTOS DE SORVETES</v>
          </cell>
          <cell r="D1263">
            <v>3001</v>
          </cell>
          <cell r="E1263" t="str">
            <v>0028</v>
          </cell>
          <cell r="F1263" t="str">
            <v>C1</v>
          </cell>
          <cell r="G1263" t="str">
            <v>AM</v>
          </cell>
          <cell r="H1263" t="str">
            <v>INGREDIENTS</v>
          </cell>
          <cell r="I1263" t="str">
            <v>INGREDIENTS</v>
          </cell>
          <cell r="J1263" t="str">
            <v>AM - DUAS RODAS</v>
          </cell>
          <cell r="K1263" t="str">
            <v>ITAMBÉ</v>
          </cell>
          <cell r="L1263" t="str">
            <v>MAURICIO</v>
          </cell>
          <cell r="M1263" t="str">
            <v>JOEL</v>
          </cell>
        </row>
        <row r="1264">
          <cell r="B1264">
            <v>5257654</v>
          </cell>
          <cell r="C1264" t="str">
            <v>SENHOR EMPADAO LTDA ME</v>
          </cell>
          <cell r="D1264">
            <v>7001</v>
          </cell>
          <cell r="E1264" t="str">
            <v>0749</v>
          </cell>
          <cell r="F1264" t="str">
            <v>C5</v>
          </cell>
          <cell r="G1264" t="str">
            <v>SP</v>
          </cell>
          <cell r="H1264" t="str">
            <v>DISTRIBUIÇÃO</v>
          </cell>
          <cell r="I1264" t="str">
            <v>FOOD SERVICE</v>
          </cell>
          <cell r="J1264" t="str">
            <v>FLAC 3</v>
          </cell>
          <cell r="K1264" t="str">
            <v>LACTALIS</v>
          </cell>
          <cell r="L1264" t="str">
            <v>RODRIGO</v>
          </cell>
          <cell r="M1264" t="str">
            <v>RAQUEL BARBOSA</v>
          </cell>
        </row>
        <row r="1265">
          <cell r="B1265">
            <v>5315911</v>
          </cell>
          <cell r="C1265" t="str">
            <v>SENSACAO DE SABORES CONFEITARIA GOU</v>
          </cell>
          <cell r="D1265">
            <v>7001</v>
          </cell>
          <cell r="E1265" t="str">
            <v>0749</v>
          </cell>
          <cell r="F1265" t="str">
            <v>C5</v>
          </cell>
          <cell r="G1265" t="str">
            <v>SP</v>
          </cell>
          <cell r="H1265" t="str">
            <v>DISTRIBUIÇÃO</v>
          </cell>
          <cell r="I1265" t="str">
            <v>FOOD SERVICE</v>
          </cell>
          <cell r="J1265" t="str">
            <v>FLAC 3</v>
          </cell>
          <cell r="K1265" t="str">
            <v>LACTALIS</v>
          </cell>
          <cell r="L1265" t="str">
            <v>RODRIGO</v>
          </cell>
          <cell r="M1265" t="str">
            <v>RAQUEL BARBOSA</v>
          </cell>
        </row>
        <row r="1266">
          <cell r="B1266">
            <v>5231638</v>
          </cell>
          <cell r="C1266" t="str">
            <v>SERGIO DO CARMO BRIONE</v>
          </cell>
          <cell r="D1266">
            <v>3001</v>
          </cell>
          <cell r="E1266" t="str">
            <v>0126</v>
          </cell>
          <cell r="F1266" t="str">
            <v>C1</v>
          </cell>
          <cell r="G1266" t="str">
            <v>PR</v>
          </cell>
          <cell r="H1266" t="str">
            <v>INGREDIENTS</v>
          </cell>
          <cell r="I1266" t="str">
            <v>INGREDIENTS</v>
          </cell>
          <cell r="J1266" t="str">
            <v>MARCELO RODRIGUES</v>
          </cell>
          <cell r="K1266" t="str">
            <v>ITAMBÉ</v>
          </cell>
          <cell r="L1266" t="str">
            <v>MAURICIO</v>
          </cell>
          <cell r="M1266" t="str">
            <v>MARCELO</v>
          </cell>
        </row>
        <row r="1267">
          <cell r="B1267">
            <v>5002549</v>
          </cell>
          <cell r="C1267" t="str">
            <v>SERVCATER INTERNACIONAL LTDA</v>
          </cell>
          <cell r="D1267">
            <v>7001</v>
          </cell>
          <cell r="E1267" t="str">
            <v>0722</v>
          </cell>
          <cell r="F1267" t="str">
            <v>C1</v>
          </cell>
          <cell r="G1267" t="str">
            <v>SP</v>
          </cell>
          <cell r="H1267" t="str">
            <v>QSR</v>
          </cell>
          <cell r="I1267" t="str">
            <v>FOOD SERVICE</v>
          </cell>
          <cell r="J1267" t="str">
            <v>ANA MENIQUETE</v>
          </cell>
          <cell r="K1267" t="str">
            <v>LACTALIS</v>
          </cell>
          <cell r="L1267" t="str">
            <v>PEDRO</v>
          </cell>
          <cell r="M1267" t="str">
            <v>ANA MENIQUETE</v>
          </cell>
        </row>
        <row r="1268">
          <cell r="B1268">
            <v>5002549</v>
          </cell>
          <cell r="C1268" t="str">
            <v>SERVCATER INTERNACIONAL LTDA</v>
          </cell>
          <cell r="D1268">
            <v>6001</v>
          </cell>
          <cell r="E1268" t="str">
            <v>6028</v>
          </cell>
          <cell r="F1268" t="str">
            <v>C1</v>
          </cell>
          <cell r="G1268" t="str">
            <v>SP</v>
          </cell>
          <cell r="H1268" t="str">
            <v>QSR</v>
          </cell>
          <cell r="I1268" t="str">
            <v>FOOD SERVICE</v>
          </cell>
          <cell r="J1268" t="str">
            <v>ANA MENIQUETE</v>
          </cell>
          <cell r="K1268" t="str">
            <v>ITAMBÉ</v>
          </cell>
          <cell r="L1268" t="str">
            <v>PEDRO</v>
          </cell>
          <cell r="M1268" t="str">
            <v>ANA MENIQUETE</v>
          </cell>
        </row>
        <row r="1269">
          <cell r="B1269">
            <v>5002549</v>
          </cell>
          <cell r="C1269" t="str">
            <v>SERVCATER INTERNACIONAL LTDA</v>
          </cell>
          <cell r="D1269">
            <v>6001</v>
          </cell>
          <cell r="E1269" t="str">
            <v>6125</v>
          </cell>
          <cell r="F1269" t="str">
            <v>C1</v>
          </cell>
          <cell r="G1269" t="str">
            <v>SP</v>
          </cell>
          <cell r="H1269" t="str">
            <v>QSR</v>
          </cell>
          <cell r="I1269" t="str">
            <v>FOOD SERVICE</v>
          </cell>
          <cell r="J1269" t="str">
            <v>ANA MENIQUETE</v>
          </cell>
          <cell r="K1269" t="str">
            <v>ITAMBÉ</v>
          </cell>
          <cell r="L1269" t="str">
            <v>PEDRO</v>
          </cell>
          <cell r="M1269" t="str">
            <v>ANA MENIQUETE</v>
          </cell>
        </row>
        <row r="1270">
          <cell r="B1270">
            <v>5318916</v>
          </cell>
          <cell r="C1270" t="str">
            <v>SEVEN COMERCIO DE BOLOS E DOCES</v>
          </cell>
          <cell r="D1270">
            <v>7001</v>
          </cell>
          <cell r="E1270" t="str">
            <v>0749</v>
          </cell>
          <cell r="F1270" t="str">
            <v>C5</v>
          </cell>
          <cell r="G1270" t="str">
            <v>SP</v>
          </cell>
          <cell r="H1270" t="str">
            <v>DISTRIBUIÇÃO</v>
          </cell>
          <cell r="I1270" t="str">
            <v>FOOD SERVICE</v>
          </cell>
          <cell r="J1270" t="str">
            <v>FLAC 6</v>
          </cell>
          <cell r="K1270" t="str">
            <v>LACTALIS</v>
          </cell>
          <cell r="L1270" t="str">
            <v>RODRIGO</v>
          </cell>
          <cell r="M1270" t="str">
            <v>RAQUEL BARBOSA</v>
          </cell>
        </row>
        <row r="1271">
          <cell r="B1271">
            <v>5338750</v>
          </cell>
          <cell r="C1271" t="str">
            <v>SGOBB E YAMAGUTE COM PROD ALI L</v>
          </cell>
          <cell r="D1271">
            <v>7001</v>
          </cell>
          <cell r="E1271" t="str">
            <v>0722</v>
          </cell>
          <cell r="F1271" t="str">
            <v>C1</v>
          </cell>
          <cell r="G1271" t="str">
            <v>SP</v>
          </cell>
          <cell r="H1271" t="str">
            <v>DISTRIBUIÇÃO</v>
          </cell>
          <cell r="I1271" t="str">
            <v>FOOD SERVICE</v>
          </cell>
          <cell r="J1271" t="str">
            <v>ALEXANDRE BONANI</v>
          </cell>
          <cell r="K1271" t="str">
            <v>LACTALIS</v>
          </cell>
          <cell r="L1271" t="str">
            <v>RODRIGO</v>
          </cell>
          <cell r="M1271" t="str">
            <v>ALEXANDRE BONANI</v>
          </cell>
        </row>
        <row r="1272">
          <cell r="B1272">
            <v>5338750</v>
          </cell>
          <cell r="C1272" t="str">
            <v>SGOBB E YAMAGUTE COM PROD ALI L</v>
          </cell>
          <cell r="D1272">
            <v>6001</v>
          </cell>
          <cell r="E1272" t="str">
            <v>6125</v>
          </cell>
          <cell r="F1272" t="str">
            <v>C1</v>
          </cell>
          <cell r="G1272" t="str">
            <v>SP</v>
          </cell>
          <cell r="H1272" t="str">
            <v>DISTRIBUIÇÃO</v>
          </cell>
          <cell r="I1272" t="str">
            <v>FOOD SERVICE</v>
          </cell>
          <cell r="J1272" t="str">
            <v>ALEXANDRE BONANI</v>
          </cell>
          <cell r="K1272" t="str">
            <v>ITAMBÉ</v>
          </cell>
          <cell r="L1272" t="str">
            <v>RODRIGO</v>
          </cell>
          <cell r="M1272" t="str">
            <v>ALEXANDRE BONANI</v>
          </cell>
        </row>
        <row r="1273">
          <cell r="B1273">
            <v>5026855</v>
          </cell>
          <cell r="C1273" t="str">
            <v>SIBELE ALIMENTOS LTDA</v>
          </cell>
          <cell r="D1273">
            <v>4001</v>
          </cell>
          <cell r="E1273" t="str">
            <v>0437</v>
          </cell>
          <cell r="F1273" t="str">
            <v>C1</v>
          </cell>
          <cell r="G1273" t="str">
            <v>MG</v>
          </cell>
          <cell r="H1273" t="str">
            <v>INGREDIENTS</v>
          </cell>
          <cell r="I1273" t="str">
            <v>INGREDIENTS</v>
          </cell>
          <cell r="J1273" t="str">
            <v>HENRIQUE FERREIRA</v>
          </cell>
          <cell r="K1273" t="str">
            <v>LACTALIS</v>
          </cell>
          <cell r="L1273" t="str">
            <v>MAURICIO</v>
          </cell>
          <cell r="M1273" t="str">
            <v>JOEL</v>
          </cell>
        </row>
        <row r="1274">
          <cell r="B1274">
            <v>5026855</v>
          </cell>
          <cell r="C1274" t="str">
            <v>SIBELE ALIMENTOS LTDA</v>
          </cell>
          <cell r="D1274">
            <v>4001</v>
          </cell>
          <cell r="E1274" t="str">
            <v>0458</v>
          </cell>
          <cell r="F1274" t="str">
            <v>C1</v>
          </cell>
          <cell r="G1274" t="str">
            <v>MG</v>
          </cell>
          <cell r="H1274" t="str">
            <v>INGREDIENTS</v>
          </cell>
          <cell r="I1274" t="str">
            <v>INGREDIENTS</v>
          </cell>
          <cell r="J1274" t="str">
            <v>HENRIQUE FERREIRA</v>
          </cell>
          <cell r="K1274" t="str">
            <v>LACTALIS</v>
          </cell>
          <cell r="L1274" t="str">
            <v>MAURICIO</v>
          </cell>
          <cell r="M1274" t="str">
            <v>JOEL</v>
          </cell>
        </row>
        <row r="1275">
          <cell r="B1275">
            <v>5257756</v>
          </cell>
          <cell r="C1275" t="str">
            <v>SIGTELY REST E FORN DE REFEICOES LT</v>
          </cell>
          <cell r="D1275">
            <v>7001</v>
          </cell>
          <cell r="E1275" t="str">
            <v>0749</v>
          </cell>
          <cell r="F1275" t="str">
            <v>C5</v>
          </cell>
          <cell r="G1275" t="str">
            <v>SP</v>
          </cell>
          <cell r="H1275" t="str">
            <v>DISTRIBUIÇÃO</v>
          </cell>
          <cell r="I1275" t="str">
            <v>FOOD SERVICE</v>
          </cell>
          <cell r="J1275" t="str">
            <v>FLAC 6</v>
          </cell>
          <cell r="K1275" t="str">
            <v>LACTALIS</v>
          </cell>
          <cell r="L1275" t="str">
            <v>RODRIGO</v>
          </cell>
          <cell r="M1275" t="str">
            <v>RAQUEL BARBOSA</v>
          </cell>
        </row>
        <row r="1276">
          <cell r="B1276">
            <v>5285931</v>
          </cell>
          <cell r="C1276" t="str">
            <v>SIND TRAB IND DE PANIFICAC CONF AFI</v>
          </cell>
          <cell r="D1276">
            <v>7001</v>
          </cell>
          <cell r="E1276" t="str">
            <v>0749</v>
          </cell>
          <cell r="F1276" t="str">
            <v>C5</v>
          </cell>
          <cell r="G1276" t="str">
            <v>SP</v>
          </cell>
          <cell r="H1276" t="str">
            <v>DISTRIBUIÇÃO</v>
          </cell>
          <cell r="I1276" t="str">
            <v>FOOD SERVICE</v>
          </cell>
          <cell r="J1276" t="str">
            <v>FLAC 6</v>
          </cell>
          <cell r="K1276" t="str">
            <v>LACTALIS</v>
          </cell>
          <cell r="L1276" t="str">
            <v>RODRIGO</v>
          </cell>
          <cell r="M1276" t="str">
            <v>RAQUEL BARBOSA</v>
          </cell>
        </row>
        <row r="1277">
          <cell r="B1277">
            <v>5031156</v>
          </cell>
          <cell r="C1277" t="str">
            <v>SIRLEI MENDES DE OLIVEIRA</v>
          </cell>
          <cell r="D1277">
            <v>6001</v>
          </cell>
          <cell r="E1277" t="str">
            <v>6125</v>
          </cell>
          <cell r="F1277" t="str">
            <v>C1</v>
          </cell>
          <cell r="G1277" t="str">
            <v>SP</v>
          </cell>
          <cell r="H1277" t="str">
            <v>DISTRIBUIÇÃO</v>
          </cell>
          <cell r="I1277" t="str">
            <v>FOOD SERVICE</v>
          </cell>
          <cell r="J1277" t="str">
            <v>SP ITB FS FLAC REP.E COMERCIO</v>
          </cell>
          <cell r="K1277" t="str">
            <v>ITAMBÉ</v>
          </cell>
          <cell r="L1277" t="str">
            <v>RODRIGO</v>
          </cell>
          <cell r="M1277" t="str">
            <v>RAQUEL BARBOSA</v>
          </cell>
        </row>
        <row r="1278">
          <cell r="B1278">
            <v>5188667</v>
          </cell>
          <cell r="C1278" t="str">
            <v>SLAVIERO EMPREEND  HOTELEIROS LTDA</v>
          </cell>
          <cell r="D1278">
            <v>7001</v>
          </cell>
          <cell r="E1278" t="str">
            <v>0749</v>
          </cell>
          <cell r="F1278" t="str">
            <v>C5</v>
          </cell>
          <cell r="G1278" t="str">
            <v>SP</v>
          </cell>
          <cell r="H1278" t="str">
            <v>DISTRIBUIÇÃO</v>
          </cell>
          <cell r="I1278" t="str">
            <v>FOOD SERVICE</v>
          </cell>
          <cell r="J1278" t="str">
            <v>FLAC 3</v>
          </cell>
          <cell r="K1278" t="str">
            <v>LACTALIS</v>
          </cell>
          <cell r="L1278" t="str">
            <v>RODRIGO</v>
          </cell>
          <cell r="M1278" t="str">
            <v>RAQUEL BARBOSA</v>
          </cell>
        </row>
        <row r="1279">
          <cell r="B1279">
            <v>5165046</v>
          </cell>
          <cell r="C1279" t="str">
            <v>SLOOP IND COM DE ALIM LTDA</v>
          </cell>
          <cell r="D1279">
            <v>3001</v>
          </cell>
          <cell r="E1279" t="str">
            <v>0169</v>
          </cell>
          <cell r="F1279" t="str">
            <v>C1</v>
          </cell>
          <cell r="G1279" t="str">
            <v>RJ</v>
          </cell>
          <cell r="H1279" t="str">
            <v>INGREDIENTS</v>
          </cell>
          <cell r="I1279" t="str">
            <v>INGREDIENTS</v>
          </cell>
          <cell r="J1279" t="str">
            <v>RJ ITB FS L T MARTINS</v>
          </cell>
          <cell r="K1279" t="str">
            <v>ITAMBÉ</v>
          </cell>
          <cell r="L1279" t="str">
            <v>MAURICIO</v>
          </cell>
          <cell r="M1279" t="str">
            <v>TATIANA NITTA</v>
          </cell>
        </row>
        <row r="1280">
          <cell r="B1280">
            <v>5273675</v>
          </cell>
          <cell r="C1280" t="str">
            <v>SM FERREIRA COMERCIO DE ALIMENT</v>
          </cell>
          <cell r="D1280">
            <v>7001</v>
          </cell>
          <cell r="E1280" t="str">
            <v>0722</v>
          </cell>
          <cell r="F1280" t="str">
            <v>C1</v>
          </cell>
          <cell r="G1280" t="str">
            <v>SP</v>
          </cell>
          <cell r="H1280" t="str">
            <v>DISTRIBUIÇÃO</v>
          </cell>
          <cell r="I1280" t="str">
            <v>FOOD SERVICE</v>
          </cell>
          <cell r="J1280" t="str">
            <v>FLAC 8</v>
          </cell>
          <cell r="K1280" t="str">
            <v>LACTALIS</v>
          </cell>
          <cell r="L1280" t="str">
            <v>RODRIGO</v>
          </cell>
          <cell r="M1280" t="str">
            <v>RAQUEL BARBOSA</v>
          </cell>
        </row>
        <row r="1281">
          <cell r="B1281">
            <v>5315289</v>
          </cell>
          <cell r="C1281" t="str">
            <v>SNF EVENTOS LTDA</v>
          </cell>
          <cell r="D1281">
            <v>7001</v>
          </cell>
          <cell r="E1281" t="str">
            <v>0749</v>
          </cell>
          <cell r="F1281" t="str">
            <v>C5</v>
          </cell>
          <cell r="G1281" t="str">
            <v>SP</v>
          </cell>
          <cell r="H1281" t="str">
            <v>DISTRIBUIÇÃO</v>
          </cell>
          <cell r="I1281" t="str">
            <v>FOOD SERVICE</v>
          </cell>
          <cell r="J1281" t="str">
            <v>FLAC 5</v>
          </cell>
          <cell r="K1281" t="str">
            <v>LACTALIS</v>
          </cell>
          <cell r="L1281" t="str">
            <v>RODRIGO</v>
          </cell>
          <cell r="M1281" t="str">
            <v>RAQUEL BARBOSA</v>
          </cell>
        </row>
        <row r="1282">
          <cell r="B1282">
            <v>5308710</v>
          </cell>
          <cell r="C1282" t="str">
            <v>SODEXO DO BRASIL COMERCIAL SA</v>
          </cell>
          <cell r="D1282">
            <v>4001</v>
          </cell>
          <cell r="E1282" t="str">
            <v>0450</v>
          </cell>
          <cell r="F1282" t="str">
            <v>C5</v>
          </cell>
          <cell r="G1282" t="str">
            <v>RJ</v>
          </cell>
          <cell r="H1282" t="str">
            <v>QSR</v>
          </cell>
          <cell r="I1282" t="str">
            <v>FOOD SERVICE</v>
          </cell>
          <cell r="J1282" t="str">
            <v>NUTRI</v>
          </cell>
          <cell r="K1282" t="str">
            <v>LACTALIS</v>
          </cell>
          <cell r="L1282" t="str">
            <v>PEDRO</v>
          </cell>
          <cell r="M1282" t="str">
            <v>VAGO QSR</v>
          </cell>
        </row>
        <row r="1283">
          <cell r="B1283">
            <v>5144206</v>
          </cell>
          <cell r="C1283" t="str">
            <v>SODEXO DO BRASIL COMERCIAL SA</v>
          </cell>
          <cell r="D1283">
            <v>4001</v>
          </cell>
          <cell r="E1283" t="str">
            <v>0452</v>
          </cell>
          <cell r="F1283" t="str">
            <v>C5</v>
          </cell>
          <cell r="G1283" t="str">
            <v>PR</v>
          </cell>
          <cell r="H1283" t="str">
            <v>QSR</v>
          </cell>
          <cell r="I1283" t="str">
            <v>FOOD SERVICE</v>
          </cell>
          <cell r="J1283" t="str">
            <v>NUTRI</v>
          </cell>
          <cell r="K1283" t="str">
            <v>LACTALIS</v>
          </cell>
          <cell r="L1283" t="str">
            <v>PEDRO</v>
          </cell>
          <cell r="M1283" t="str">
            <v>VAGO QSR</v>
          </cell>
        </row>
        <row r="1284">
          <cell r="B1284">
            <v>5144208</v>
          </cell>
          <cell r="C1284" t="str">
            <v>SODEXO DO BRASIL COMERCIAL SA</v>
          </cell>
          <cell r="D1284">
            <v>4001</v>
          </cell>
          <cell r="E1284" t="str">
            <v>0453</v>
          </cell>
          <cell r="F1284" t="str">
            <v>C5</v>
          </cell>
          <cell r="G1284" t="str">
            <v>RS</v>
          </cell>
          <cell r="H1284" t="str">
            <v>QSR</v>
          </cell>
          <cell r="I1284" t="str">
            <v>FOOD SERVICE</v>
          </cell>
          <cell r="J1284" t="str">
            <v>NUTRI</v>
          </cell>
          <cell r="K1284" t="str">
            <v>LACTALIS</v>
          </cell>
          <cell r="L1284" t="str">
            <v>PEDRO</v>
          </cell>
          <cell r="M1284" t="str">
            <v>VAGO QSR</v>
          </cell>
        </row>
        <row r="1285">
          <cell r="B1285">
            <v>5002362</v>
          </cell>
          <cell r="C1285" t="str">
            <v>SOLAR DAS FESTAS LTDA</v>
          </cell>
          <cell r="D1285">
            <v>3001</v>
          </cell>
          <cell r="E1285" t="str">
            <v>0122</v>
          </cell>
          <cell r="F1285" t="str">
            <v>C1</v>
          </cell>
          <cell r="G1285" t="str">
            <v>MG</v>
          </cell>
          <cell r="H1285" t="str">
            <v>DISTRIBUIÇÃO</v>
          </cell>
          <cell r="I1285" t="str">
            <v>FOOD SERVICE</v>
          </cell>
          <cell r="J1285" t="str">
            <v>MARCELO SILVA</v>
          </cell>
          <cell r="K1285" t="str">
            <v>ITAMBÉ</v>
          </cell>
          <cell r="L1285" t="str">
            <v>RODRIGO</v>
          </cell>
          <cell r="M1285" t="str">
            <v>CELIO MARTINS</v>
          </cell>
        </row>
        <row r="1286">
          <cell r="B1286">
            <v>5023770</v>
          </cell>
          <cell r="C1286" t="str">
            <v>SOLMAR DIST DE ALIMENTOS LTDA</v>
          </cell>
          <cell r="D1286">
            <v>3001</v>
          </cell>
          <cell r="E1286" t="str">
            <v>0127</v>
          </cell>
          <cell r="F1286" t="str">
            <v>C1</v>
          </cell>
          <cell r="G1286" t="str">
            <v>CE</v>
          </cell>
          <cell r="H1286" t="str">
            <v>DISTRIBUIÇÃO</v>
          </cell>
          <cell r="I1286" t="str">
            <v>FOOD SERVICE</v>
          </cell>
          <cell r="J1286" t="str">
            <v>WH FOOD SERVICE CE</v>
          </cell>
          <cell r="K1286" t="str">
            <v>ITAMBÉ</v>
          </cell>
          <cell r="L1286" t="str">
            <v>RODRIGO</v>
          </cell>
          <cell r="M1286" t="str">
            <v>MARIA LOURDES</v>
          </cell>
        </row>
        <row r="1287">
          <cell r="B1287">
            <v>5332546</v>
          </cell>
          <cell r="C1287" t="str">
            <v>SOLO DUE PROMOCOES DE VENDAS E</v>
          </cell>
          <cell r="D1287">
            <v>7001</v>
          </cell>
          <cell r="E1287" t="str">
            <v>0749</v>
          </cell>
          <cell r="F1287" t="str">
            <v>C5</v>
          </cell>
          <cell r="G1287" t="str">
            <v>SP</v>
          </cell>
          <cell r="H1287" t="str">
            <v>DISTRIBUIÇÃO</v>
          </cell>
          <cell r="I1287" t="str">
            <v>FOOD SERVICE</v>
          </cell>
          <cell r="J1287" t="str">
            <v>FLAC 2</v>
          </cell>
          <cell r="K1287" t="str">
            <v>LACTALIS</v>
          </cell>
          <cell r="L1287" t="str">
            <v>RODRIGO</v>
          </cell>
          <cell r="M1287" t="str">
            <v>RAQUEL BARBOSA</v>
          </cell>
        </row>
        <row r="1288">
          <cell r="B1288">
            <v>5209004</v>
          </cell>
          <cell r="C1288" t="str">
            <v>SOLSOR DISTRIBUIDORA DE DOCES</v>
          </cell>
          <cell r="D1288">
            <v>3001</v>
          </cell>
          <cell r="E1288" t="str">
            <v>0126</v>
          </cell>
          <cell r="F1288" t="str">
            <v>C1</v>
          </cell>
          <cell r="G1288" t="str">
            <v>PR</v>
          </cell>
          <cell r="H1288" t="str">
            <v>INGREDIENTS</v>
          </cell>
          <cell r="I1288" t="str">
            <v>INGREDIENTS</v>
          </cell>
          <cell r="J1288" t="str">
            <v>DUAS RODAS</v>
          </cell>
          <cell r="K1288" t="str">
            <v>ITAMBÉ</v>
          </cell>
          <cell r="L1288" t="str">
            <v>MAURICIO</v>
          </cell>
          <cell r="M1288" t="str">
            <v>MARCELO</v>
          </cell>
        </row>
        <row r="1289">
          <cell r="B1289">
            <v>5253709</v>
          </cell>
          <cell r="C1289" t="str">
            <v>SOLUTION ADM DE HOTEIS E RESORTS LT</v>
          </cell>
          <cell r="D1289">
            <v>7001</v>
          </cell>
          <cell r="E1289" t="str">
            <v>0749</v>
          </cell>
          <cell r="F1289" t="str">
            <v>C5</v>
          </cell>
          <cell r="G1289" t="str">
            <v>SP</v>
          </cell>
          <cell r="H1289" t="str">
            <v>DISTRIBUIÇÃO</v>
          </cell>
          <cell r="I1289" t="str">
            <v>FOOD SERVICE</v>
          </cell>
          <cell r="J1289" t="str">
            <v>FLAC 2</v>
          </cell>
          <cell r="K1289" t="str">
            <v>LACTALIS</v>
          </cell>
          <cell r="L1289" t="str">
            <v>RODRIGO</v>
          </cell>
          <cell r="M1289" t="str">
            <v>RAQUEL BARBOSA</v>
          </cell>
        </row>
        <row r="1290">
          <cell r="B1290">
            <v>5282181</v>
          </cell>
          <cell r="C1290" t="str">
            <v>SONDEQ IND DE SONDAS E EQUIP LTDA</v>
          </cell>
          <cell r="D1290">
            <v>7001</v>
          </cell>
          <cell r="E1290" t="str">
            <v>0749</v>
          </cell>
          <cell r="F1290" t="str">
            <v>C5</v>
          </cell>
          <cell r="G1290" t="str">
            <v>SP</v>
          </cell>
          <cell r="H1290" t="str">
            <v>DISTRIBUIÇÃO</v>
          </cell>
          <cell r="I1290" t="str">
            <v>FOOD SERVICE</v>
          </cell>
          <cell r="J1290" t="str">
            <v>FLAC 2</v>
          </cell>
          <cell r="K1290" t="str">
            <v>LACTALIS</v>
          </cell>
          <cell r="L1290" t="str">
            <v>RODRIGO</v>
          </cell>
          <cell r="M1290" t="str">
            <v>RAQUEL BARBOSA</v>
          </cell>
        </row>
        <row r="1291">
          <cell r="B1291">
            <v>5008675</v>
          </cell>
          <cell r="C1291" t="str">
            <v>SONIA SILVA FERNANDES</v>
          </cell>
          <cell r="D1291">
            <v>7001</v>
          </cell>
          <cell r="E1291" t="str">
            <v>0749</v>
          </cell>
          <cell r="F1291" t="str">
            <v>C5</v>
          </cell>
          <cell r="G1291" t="str">
            <v>SP</v>
          </cell>
          <cell r="H1291" t="str">
            <v>DISTRIBUIÇÃO</v>
          </cell>
          <cell r="I1291" t="str">
            <v>FOOD SERVICE</v>
          </cell>
          <cell r="J1291" t="str">
            <v>FLAC 4</v>
          </cell>
          <cell r="K1291" t="str">
            <v>LACTALIS</v>
          </cell>
          <cell r="L1291" t="str">
            <v>RODRIGO</v>
          </cell>
          <cell r="M1291" t="str">
            <v>RAQUEL BARBOSA</v>
          </cell>
        </row>
        <row r="1292">
          <cell r="B1292">
            <v>5261409</v>
          </cell>
          <cell r="C1292" t="str">
            <v>SOPHINSKI SUCOS E ALIMENTOS LTD</v>
          </cell>
          <cell r="D1292">
            <v>7001</v>
          </cell>
          <cell r="E1292" t="str">
            <v>0749</v>
          </cell>
          <cell r="F1292" t="str">
            <v>C5</v>
          </cell>
          <cell r="G1292" t="str">
            <v>SP</v>
          </cell>
          <cell r="H1292" t="str">
            <v>QSR</v>
          </cell>
          <cell r="I1292" t="str">
            <v>FOOD SERVICE</v>
          </cell>
          <cell r="J1292" t="str">
            <v>NUTRI</v>
          </cell>
          <cell r="K1292" t="str">
            <v>LACTALIS</v>
          </cell>
          <cell r="L1292" t="str">
            <v>PEDRO</v>
          </cell>
          <cell r="M1292" t="str">
            <v>VAGO QSR</v>
          </cell>
        </row>
        <row r="1293">
          <cell r="B1293">
            <v>5114882</v>
          </cell>
          <cell r="C1293" t="str">
            <v>SORVEDOCES IND E COM DE PROD ALIM L</v>
          </cell>
          <cell r="D1293">
            <v>3001</v>
          </cell>
          <cell r="E1293" t="str">
            <v>0169</v>
          </cell>
          <cell r="F1293" t="str">
            <v>C1</v>
          </cell>
          <cell r="G1293" t="str">
            <v>ES</v>
          </cell>
          <cell r="H1293" t="str">
            <v>DISTRIBUIÇÃO</v>
          </cell>
          <cell r="I1293" t="str">
            <v>FOOD SERVICE</v>
          </cell>
          <cell r="J1293" t="str">
            <v>MARCELO DUARTE</v>
          </cell>
          <cell r="K1293" t="str">
            <v>ITAMBÉ</v>
          </cell>
          <cell r="L1293" t="str">
            <v>RODRIGO</v>
          </cell>
          <cell r="M1293" t="str">
            <v>JESSICA</v>
          </cell>
        </row>
        <row r="1294">
          <cell r="B1294">
            <v>5163884</v>
          </cell>
          <cell r="C1294" t="str">
            <v>SORVEMIX COMERCIO DE ALIM LTDA</v>
          </cell>
          <cell r="D1294">
            <v>6001</v>
          </cell>
          <cell r="E1294" t="str">
            <v>6125</v>
          </cell>
          <cell r="F1294" t="str">
            <v>C1</v>
          </cell>
          <cell r="G1294" t="str">
            <v>SP</v>
          </cell>
          <cell r="H1294" t="str">
            <v>INGREDIENTS</v>
          </cell>
          <cell r="I1294" t="str">
            <v>INGREDIENTS</v>
          </cell>
          <cell r="J1294" t="str">
            <v>MARCELO RODRIGUES</v>
          </cell>
          <cell r="K1294" t="str">
            <v>ITAMBÉ</v>
          </cell>
          <cell r="L1294" t="str">
            <v>MAURICIO</v>
          </cell>
          <cell r="M1294" t="str">
            <v>MARCELO</v>
          </cell>
        </row>
        <row r="1295">
          <cell r="B1295">
            <v>5165963</v>
          </cell>
          <cell r="C1295" t="str">
            <v>SORVEMIX COMERCIO DE ALIM LTDA</v>
          </cell>
          <cell r="D1295">
            <v>6001</v>
          </cell>
          <cell r="E1295" t="str">
            <v>6125</v>
          </cell>
          <cell r="F1295" t="str">
            <v>C1</v>
          </cell>
          <cell r="G1295" t="str">
            <v>SP</v>
          </cell>
          <cell r="H1295" t="str">
            <v>INGREDIENTS</v>
          </cell>
          <cell r="I1295" t="str">
            <v>INGREDIENTS</v>
          </cell>
          <cell r="J1295" t="str">
            <v>DUAS RODAS</v>
          </cell>
          <cell r="K1295" t="str">
            <v>ITAMBÉ</v>
          </cell>
          <cell r="L1295" t="str">
            <v>MAURICIO</v>
          </cell>
          <cell r="M1295" t="str">
            <v>MARCELO</v>
          </cell>
        </row>
        <row r="1296">
          <cell r="B1296">
            <v>5149044</v>
          </cell>
          <cell r="C1296" t="str">
            <v>SORVEMIX COMERCIO DE ALIMENTOS LTDA</v>
          </cell>
          <cell r="D1296">
            <v>6001</v>
          </cell>
          <cell r="E1296" t="str">
            <v>6125</v>
          </cell>
          <cell r="F1296" t="str">
            <v>C1</v>
          </cell>
          <cell r="G1296" t="str">
            <v>SP</v>
          </cell>
          <cell r="H1296" t="str">
            <v>INGREDIENTS</v>
          </cell>
          <cell r="I1296" t="str">
            <v>INGREDIENTS</v>
          </cell>
          <cell r="J1296" t="str">
            <v>DUAS RODAS</v>
          </cell>
          <cell r="K1296" t="str">
            <v>ITAMBÉ</v>
          </cell>
          <cell r="L1296" t="str">
            <v>MAURICIO</v>
          </cell>
          <cell r="M1296" t="str">
            <v>MARCELO</v>
          </cell>
        </row>
        <row r="1297">
          <cell r="B1297">
            <v>5186266</v>
          </cell>
          <cell r="C1297" t="str">
            <v>SORVEPANI COMERCIAL E DISTRIBUIDORA</v>
          </cell>
          <cell r="D1297">
            <v>3001</v>
          </cell>
          <cell r="E1297" t="str">
            <v>0128</v>
          </cell>
          <cell r="F1297" t="str">
            <v>C1</v>
          </cell>
          <cell r="G1297" t="str">
            <v>AM</v>
          </cell>
          <cell r="H1297" t="str">
            <v>DISTRIBUIÇÃO</v>
          </cell>
          <cell r="I1297" t="str">
            <v>FOOD SERVICE</v>
          </cell>
          <cell r="J1297" t="str">
            <v>CLAUDIO JORGE</v>
          </cell>
          <cell r="K1297" t="str">
            <v>ITAMBÉ</v>
          </cell>
          <cell r="L1297" t="str">
            <v>RODRIGO</v>
          </cell>
          <cell r="M1297" t="str">
            <v>MARCO AURELIO</v>
          </cell>
        </row>
        <row r="1298">
          <cell r="B1298">
            <v>5162348</v>
          </cell>
          <cell r="C1298" t="str">
            <v>SORVEPEL LTDA EPP</v>
          </cell>
          <cell r="D1298">
            <v>3001</v>
          </cell>
          <cell r="E1298" t="str">
            <v>0028</v>
          </cell>
          <cell r="F1298" t="str">
            <v>C1</v>
          </cell>
          <cell r="G1298" t="str">
            <v>MG</v>
          </cell>
          <cell r="H1298" t="str">
            <v>INGREDIENTS</v>
          </cell>
          <cell r="I1298" t="str">
            <v>INGREDIENTS</v>
          </cell>
          <cell r="J1298" t="str">
            <v>MG ITB FS HENRIQUE WAGNER</v>
          </cell>
          <cell r="K1298" t="str">
            <v>ITAMBÉ</v>
          </cell>
          <cell r="L1298" t="str">
            <v>MAURICIO</v>
          </cell>
          <cell r="M1298" t="str">
            <v>TATIANA NITTA</v>
          </cell>
        </row>
        <row r="1299">
          <cell r="B1299">
            <v>5162348</v>
          </cell>
          <cell r="C1299" t="str">
            <v>SORVEPEL LTDA EPP</v>
          </cell>
          <cell r="D1299">
            <v>3001</v>
          </cell>
          <cell r="E1299" t="str">
            <v>0122</v>
          </cell>
          <cell r="F1299" t="str">
            <v>C1</v>
          </cell>
          <cell r="G1299" t="str">
            <v>MG</v>
          </cell>
          <cell r="H1299" t="str">
            <v>INGREDIENTS</v>
          </cell>
          <cell r="I1299" t="str">
            <v>INGREDIENTS</v>
          </cell>
          <cell r="J1299" t="str">
            <v>MG ITB FS HENRIQUE WAGNER</v>
          </cell>
          <cell r="K1299" t="str">
            <v>ITAMBÉ</v>
          </cell>
          <cell r="L1299" t="str">
            <v>MAURICIO</v>
          </cell>
          <cell r="M1299" t="str">
            <v>TATIANA NITTA</v>
          </cell>
        </row>
        <row r="1300">
          <cell r="B1300">
            <v>5174699</v>
          </cell>
          <cell r="C1300" t="str">
            <v>SORVETERIA AVENIDA LTDA</v>
          </cell>
          <cell r="D1300">
            <v>3001</v>
          </cell>
          <cell r="E1300" t="str">
            <v>0126</v>
          </cell>
          <cell r="F1300" t="str">
            <v>C1</v>
          </cell>
          <cell r="G1300" t="str">
            <v>PR</v>
          </cell>
          <cell r="H1300" t="str">
            <v>INGREDIENTS</v>
          </cell>
          <cell r="I1300" t="str">
            <v>INGREDIENTS</v>
          </cell>
          <cell r="J1300" t="str">
            <v>DUAS RODAS</v>
          </cell>
          <cell r="K1300" t="str">
            <v>ITAMBÉ</v>
          </cell>
          <cell r="L1300" t="str">
            <v>MAURICIO</v>
          </cell>
          <cell r="M1300" t="str">
            <v>MARCELO</v>
          </cell>
        </row>
        <row r="1301">
          <cell r="B1301">
            <v>5174861</v>
          </cell>
          <cell r="C1301" t="str">
            <v>SORVETERIA DRAGAO NEGRO LTDA</v>
          </cell>
          <cell r="D1301">
            <v>3001</v>
          </cell>
          <cell r="E1301" t="str">
            <v>0169</v>
          </cell>
          <cell r="F1301" t="str">
            <v>C1</v>
          </cell>
          <cell r="G1301" t="str">
            <v>RJ</v>
          </cell>
          <cell r="H1301" t="str">
            <v>DISTRIBUIÇÃO</v>
          </cell>
          <cell r="I1301" t="str">
            <v>FOOD SERVICE</v>
          </cell>
          <cell r="J1301" t="str">
            <v>JULIANA CORDEIRO</v>
          </cell>
          <cell r="K1301" t="str">
            <v>ITAMBÉ</v>
          </cell>
          <cell r="L1301" t="str">
            <v>RODRIGO</v>
          </cell>
          <cell r="M1301" t="str">
            <v>JESSICA</v>
          </cell>
        </row>
        <row r="1302">
          <cell r="B1302">
            <v>5262765</v>
          </cell>
          <cell r="C1302" t="str">
            <v>SORVETERIA ERATURF AICILED LTDA</v>
          </cell>
          <cell r="D1302">
            <v>7001</v>
          </cell>
          <cell r="E1302" t="str">
            <v>0749</v>
          </cell>
          <cell r="F1302" t="str">
            <v>C5</v>
          </cell>
          <cell r="G1302" t="str">
            <v>SP</v>
          </cell>
          <cell r="H1302" t="str">
            <v>DISTRIBUIÇÃO</v>
          </cell>
          <cell r="I1302" t="str">
            <v>FOOD SERVICE</v>
          </cell>
          <cell r="J1302" t="str">
            <v>FLAC 3</v>
          </cell>
          <cell r="K1302" t="str">
            <v>LACTALIS</v>
          </cell>
          <cell r="L1302" t="str">
            <v>RODRIGO</v>
          </cell>
          <cell r="M1302" t="str">
            <v>RAQUEL BARBOSA</v>
          </cell>
        </row>
        <row r="1303">
          <cell r="B1303">
            <v>5339146</v>
          </cell>
          <cell r="C1303" t="str">
            <v>SORVETERIA IMPERA LEOPOLDINA LT</v>
          </cell>
          <cell r="D1303">
            <v>7001</v>
          </cell>
          <cell r="E1303" t="str">
            <v>0749</v>
          </cell>
          <cell r="F1303" t="str">
            <v>C5</v>
          </cell>
          <cell r="G1303" t="str">
            <v>SP</v>
          </cell>
          <cell r="H1303" t="str">
            <v>DISTRIBUIÇÃO</v>
          </cell>
          <cell r="I1303" t="str">
            <v>FOOD SERVICE</v>
          </cell>
          <cell r="J1303" t="str">
            <v>FLAC 3</v>
          </cell>
          <cell r="K1303" t="str">
            <v>LACTALIS</v>
          </cell>
          <cell r="L1303" t="str">
            <v>RODRIGO</v>
          </cell>
          <cell r="M1303" t="str">
            <v>RAQUEL BARBOSA</v>
          </cell>
        </row>
        <row r="1304">
          <cell r="B1304">
            <v>5339140</v>
          </cell>
          <cell r="C1304" t="str">
            <v>SORVETERIA NORONHA LTDA</v>
          </cell>
          <cell r="D1304">
            <v>3001</v>
          </cell>
          <cell r="E1304" t="str">
            <v>0028</v>
          </cell>
          <cell r="F1304" t="str">
            <v>C1</v>
          </cell>
          <cell r="G1304" t="str">
            <v>MS</v>
          </cell>
          <cell r="H1304" t="str">
            <v>INGREDIENTS</v>
          </cell>
          <cell r="I1304" t="str">
            <v>INGREDIENTS</v>
          </cell>
          <cell r="J1304" t="str">
            <v>DUAS RODAS</v>
          </cell>
          <cell r="K1304" t="str">
            <v>ITAMBÉ</v>
          </cell>
          <cell r="L1304" t="str">
            <v>MAURICIO</v>
          </cell>
          <cell r="M1304" t="str">
            <v>MARCELO</v>
          </cell>
        </row>
        <row r="1305">
          <cell r="B1305">
            <v>5262833</v>
          </cell>
          <cell r="C1305" t="str">
            <v>SORVETERIA PABLO E ROSELI LTDA</v>
          </cell>
          <cell r="D1305">
            <v>7001</v>
          </cell>
          <cell r="E1305" t="str">
            <v>0749</v>
          </cell>
          <cell r="F1305" t="str">
            <v>C5</v>
          </cell>
          <cell r="G1305" t="str">
            <v>SP</v>
          </cell>
          <cell r="H1305" t="str">
            <v>DISTRIBUIÇÃO</v>
          </cell>
          <cell r="I1305" t="str">
            <v>FOOD SERVICE</v>
          </cell>
          <cell r="J1305" t="str">
            <v>FLAC 7</v>
          </cell>
          <cell r="K1305" t="str">
            <v>LACTALIS</v>
          </cell>
          <cell r="L1305" t="str">
            <v>RODRIGO</v>
          </cell>
          <cell r="M1305" t="str">
            <v>RAQUEL BARBOSA</v>
          </cell>
        </row>
        <row r="1306">
          <cell r="B1306">
            <v>5110910</v>
          </cell>
          <cell r="C1306" t="str">
            <v>SORVETERIA RIBEIRA LTDA</v>
          </cell>
          <cell r="D1306">
            <v>3001</v>
          </cell>
          <cell r="E1306" t="str">
            <v>0127</v>
          </cell>
          <cell r="F1306" t="str">
            <v>C1</v>
          </cell>
          <cell r="G1306" t="str">
            <v>BA</v>
          </cell>
          <cell r="H1306" t="str">
            <v>DISTRIBUIÇÃO</v>
          </cell>
          <cell r="I1306" t="str">
            <v>FOOD SERVICE</v>
          </cell>
          <cell r="J1306" t="str">
            <v>CLAUDIO JORGE/LUIZ</v>
          </cell>
          <cell r="K1306" t="str">
            <v>ITAMBÉ</v>
          </cell>
          <cell r="L1306" t="str">
            <v>RODRIGO</v>
          </cell>
          <cell r="M1306" t="str">
            <v>MARIA LOURDES</v>
          </cell>
        </row>
        <row r="1307">
          <cell r="B1307">
            <v>5028282</v>
          </cell>
          <cell r="C1307" t="str">
            <v>SORVETES JUNDIA INDU E COM LTDA</v>
          </cell>
          <cell r="D1307">
            <v>4001</v>
          </cell>
          <cell r="E1307" t="str">
            <v>0423</v>
          </cell>
          <cell r="F1307" t="str">
            <v>C5</v>
          </cell>
          <cell r="G1307" t="str">
            <v>SP</v>
          </cell>
          <cell r="H1307" t="str">
            <v>INGREDIENTS</v>
          </cell>
          <cell r="I1307" t="str">
            <v>INGREDIENTS</v>
          </cell>
          <cell r="J1307" t="str">
            <v>JOEL ELEOTÉRIO</v>
          </cell>
          <cell r="K1307" t="str">
            <v>LACTALIS</v>
          </cell>
          <cell r="L1307" t="str">
            <v>MAURICIO</v>
          </cell>
          <cell r="M1307" t="str">
            <v>JOEL</v>
          </cell>
        </row>
        <row r="1308">
          <cell r="B1308">
            <v>5028282</v>
          </cell>
          <cell r="C1308" t="str">
            <v>SORVETES JUNDIA INDU E COM LTDA</v>
          </cell>
          <cell r="D1308">
            <v>3001</v>
          </cell>
          <cell r="E1308" t="str">
            <v>0028</v>
          </cell>
          <cell r="F1308" t="str">
            <v>C1</v>
          </cell>
          <cell r="G1308" t="str">
            <v>SP</v>
          </cell>
          <cell r="H1308" t="str">
            <v>INGREDIENTS</v>
          </cell>
          <cell r="I1308" t="str">
            <v>INGREDIENTS</v>
          </cell>
          <cell r="J1308" t="str">
            <v>JOEL ELEOTÉRIO</v>
          </cell>
          <cell r="K1308" t="str">
            <v>ITAMBÉ</v>
          </cell>
          <cell r="L1308" t="str">
            <v>MAURICIO</v>
          </cell>
          <cell r="M1308" t="str">
            <v>JOEL</v>
          </cell>
        </row>
        <row r="1309">
          <cell r="B1309">
            <v>5173565</v>
          </cell>
          <cell r="C1309" t="str">
            <v>SORVETES RITZ INDUSTRIA E COMERCIO LTDA</v>
          </cell>
          <cell r="D1309">
            <v>3001</v>
          </cell>
          <cell r="E1309" t="str">
            <v>0028</v>
          </cell>
          <cell r="F1309" t="str">
            <v>C1</v>
          </cell>
          <cell r="G1309" t="str">
            <v>PR</v>
          </cell>
          <cell r="H1309" t="str">
            <v>INGREDIENTS</v>
          </cell>
          <cell r="I1309" t="str">
            <v>INGREDIENTS</v>
          </cell>
          <cell r="J1309" t="str">
            <v>DUAS RODAS</v>
          </cell>
          <cell r="K1309" t="str">
            <v>ITAMBÉ</v>
          </cell>
          <cell r="L1309" t="str">
            <v>MAURICIO</v>
          </cell>
          <cell r="M1309" t="str">
            <v>MARCELO</v>
          </cell>
        </row>
        <row r="1310">
          <cell r="B1310">
            <v>5173565</v>
          </cell>
          <cell r="C1310" t="str">
            <v>SORVETES RITZ INDUSTRIA E COMERCIO LTDA</v>
          </cell>
          <cell r="D1310">
            <v>3001</v>
          </cell>
          <cell r="E1310" t="str">
            <v>0126</v>
          </cell>
          <cell r="F1310" t="str">
            <v>C1</v>
          </cell>
          <cell r="G1310" t="str">
            <v>PR</v>
          </cell>
          <cell r="H1310" t="str">
            <v>INGREDIENTS</v>
          </cell>
          <cell r="I1310" t="str">
            <v>INGREDIENTS</v>
          </cell>
          <cell r="J1310" t="str">
            <v>DUAS RODAS</v>
          </cell>
          <cell r="K1310" t="str">
            <v>ITAMBÉ</v>
          </cell>
          <cell r="L1310" t="str">
            <v>MAURICIO</v>
          </cell>
          <cell r="M1310" t="str">
            <v>MARCELO</v>
          </cell>
        </row>
        <row r="1311">
          <cell r="B1311">
            <v>5159202</v>
          </cell>
          <cell r="C1311" t="str">
            <v>SORVETES SUPLES INDUSTRIA E COM</v>
          </cell>
          <cell r="D1311">
            <v>4001</v>
          </cell>
          <cell r="E1311" t="str">
            <v>0437</v>
          </cell>
          <cell r="F1311" t="str">
            <v>C1</v>
          </cell>
          <cell r="G1311" t="str">
            <v>SP</v>
          </cell>
          <cell r="H1311" t="str">
            <v>INGREDIENTS</v>
          </cell>
          <cell r="I1311" t="str">
            <v>INGREDIENTS</v>
          </cell>
          <cell r="J1311" t="str">
            <v>TATIANA NITTA</v>
          </cell>
          <cell r="K1311" t="str">
            <v>LACTALIS</v>
          </cell>
          <cell r="L1311" t="str">
            <v>MAURICIO</v>
          </cell>
          <cell r="M1311" t="str">
            <v>TATIANA NITTA</v>
          </cell>
        </row>
        <row r="1312">
          <cell r="B1312">
            <v>5033323</v>
          </cell>
          <cell r="C1312" t="str">
            <v>SORVESHOPES COMERCIAL LTDA</v>
          </cell>
          <cell r="D1312">
            <v>3001</v>
          </cell>
          <cell r="E1312" t="str">
            <v>0028</v>
          </cell>
          <cell r="F1312" t="str">
            <v>C1</v>
          </cell>
          <cell r="G1312" t="str">
            <v>ES</v>
          </cell>
          <cell r="H1312" t="str">
            <v>DISTRIBUIÇÃO</v>
          </cell>
          <cell r="I1312" t="str">
            <v>FOOD SERVICE</v>
          </cell>
          <cell r="J1312" t="str">
            <v>MARCELO DUARTE</v>
          </cell>
          <cell r="K1312" t="str">
            <v>ITAMBÉ</v>
          </cell>
          <cell r="L1312" t="str">
            <v>RODRIGO</v>
          </cell>
          <cell r="M1312" t="str">
            <v>JESSICA</v>
          </cell>
        </row>
        <row r="1313">
          <cell r="B1313">
            <v>5033323</v>
          </cell>
          <cell r="C1313" t="str">
            <v>SORVESHOPES COMERCIAL LTDA</v>
          </cell>
          <cell r="D1313">
            <v>3001</v>
          </cell>
          <cell r="E1313" t="str">
            <v>0169</v>
          </cell>
          <cell r="F1313" t="str">
            <v>C1</v>
          </cell>
          <cell r="G1313" t="str">
            <v>ES</v>
          </cell>
          <cell r="H1313" t="str">
            <v>DISTRIBUIÇÃO</v>
          </cell>
          <cell r="I1313" t="str">
            <v>FOOD SERVICE</v>
          </cell>
          <cell r="J1313" t="str">
            <v>MARCELO DUARTE</v>
          </cell>
          <cell r="K1313" t="str">
            <v>ITAMBÉ</v>
          </cell>
          <cell r="L1313" t="str">
            <v>RODRIGO</v>
          </cell>
          <cell r="M1313" t="str">
            <v>JESSICA</v>
          </cell>
        </row>
        <row r="1314">
          <cell r="B1314">
            <v>5226350</v>
          </cell>
          <cell r="C1314" t="str">
            <v>SOS ALIMENTOS E TRANSPORTES LTDA</v>
          </cell>
          <cell r="D1314">
            <v>3001</v>
          </cell>
          <cell r="E1314" t="str">
            <v>0126</v>
          </cell>
          <cell r="F1314" t="str">
            <v>C1</v>
          </cell>
          <cell r="G1314" t="str">
            <v>SC</v>
          </cell>
          <cell r="H1314" t="str">
            <v>DISTRIBUIÇÃO</v>
          </cell>
          <cell r="I1314" t="str">
            <v>FOOD SERVICE</v>
          </cell>
          <cell r="J1314" t="str">
            <v>ANGELICA BATISTELA</v>
          </cell>
          <cell r="K1314" t="str">
            <v>ITAMBÉ</v>
          </cell>
          <cell r="L1314" t="str">
            <v>RODRIGO</v>
          </cell>
          <cell r="M1314" t="str">
            <v>ANGELICA BATISTELA</v>
          </cell>
        </row>
        <row r="1315">
          <cell r="B1315">
            <v>5226350</v>
          </cell>
          <cell r="C1315" t="str">
            <v>SOS ALIMENTOS E TRANSPORTES LTDA</v>
          </cell>
          <cell r="D1315">
            <v>4001</v>
          </cell>
          <cell r="E1315" t="str">
            <v>0422</v>
          </cell>
          <cell r="F1315" t="str">
            <v>C1</v>
          </cell>
          <cell r="G1315" t="str">
            <v>SC</v>
          </cell>
          <cell r="H1315" t="str">
            <v>DISTRIBUIÇÃO</v>
          </cell>
          <cell r="I1315" t="str">
            <v>FOOD SERVICE</v>
          </cell>
          <cell r="J1315" t="str">
            <v>ANGELICA BATISTELA</v>
          </cell>
          <cell r="K1315" t="str">
            <v>LACTALIS</v>
          </cell>
          <cell r="L1315" t="str">
            <v>RODRIGO</v>
          </cell>
          <cell r="M1315" t="str">
            <v>ANGELICA BATISTELA</v>
          </cell>
        </row>
        <row r="1316">
          <cell r="B1316">
            <v>5020319</v>
          </cell>
          <cell r="C1316" t="str">
            <v>SOST IND E COM DE ALIMENTOS EIRELI</v>
          </cell>
          <cell r="D1316">
            <v>3001</v>
          </cell>
          <cell r="E1316" t="str">
            <v>0127</v>
          </cell>
          <cell r="F1316" t="str">
            <v>C1</v>
          </cell>
          <cell r="G1316" t="str">
            <v>BA</v>
          </cell>
          <cell r="H1316" t="str">
            <v>DISTRIBUIÇÃO</v>
          </cell>
          <cell r="I1316" t="str">
            <v>FOOD SERVICE</v>
          </cell>
          <cell r="J1316" t="str">
            <v>CLAUDIO JORGE/LUIZ</v>
          </cell>
          <cell r="K1316" t="str">
            <v>ITAMBÉ</v>
          </cell>
          <cell r="L1316" t="str">
            <v>RODRIGO</v>
          </cell>
          <cell r="M1316" t="str">
            <v>MARIA LOURDES</v>
          </cell>
        </row>
        <row r="1317">
          <cell r="B1317">
            <v>5264990</v>
          </cell>
          <cell r="C1317" t="str">
            <v>SOU PRATICO HORTIFRUTI LTDA</v>
          </cell>
          <cell r="D1317">
            <v>7001</v>
          </cell>
          <cell r="E1317" t="str">
            <v>0749</v>
          </cell>
          <cell r="F1317" t="str">
            <v>C5</v>
          </cell>
          <cell r="G1317" t="str">
            <v>SP</v>
          </cell>
          <cell r="H1317" t="str">
            <v>DISTRIBUIÇÃO</v>
          </cell>
          <cell r="I1317" t="str">
            <v>FOOD SERVICE</v>
          </cell>
          <cell r="J1317" t="str">
            <v>FLAC 2</v>
          </cell>
          <cell r="K1317" t="str">
            <v>LACTALIS</v>
          </cell>
          <cell r="L1317" t="str">
            <v>RODRIGO</v>
          </cell>
          <cell r="M1317" t="str">
            <v>RAQUEL BARBOSA</v>
          </cell>
        </row>
        <row r="1318">
          <cell r="B1318">
            <v>5254073</v>
          </cell>
          <cell r="C1318" t="str">
            <v>SP GRILL LANCHONETE E REST LTDA</v>
          </cell>
          <cell r="D1318">
            <v>7001</v>
          </cell>
          <cell r="E1318" t="str">
            <v>0749</v>
          </cell>
          <cell r="F1318" t="str">
            <v>C5</v>
          </cell>
          <cell r="G1318" t="str">
            <v>SP</v>
          </cell>
          <cell r="H1318" t="str">
            <v>DISTRIBUIÇÃO</v>
          </cell>
          <cell r="I1318" t="str">
            <v>FOOD SERVICE</v>
          </cell>
          <cell r="J1318" t="str">
            <v>FLAC 6</v>
          </cell>
          <cell r="K1318" t="str">
            <v>LACTALIS</v>
          </cell>
          <cell r="L1318" t="str">
            <v>RODRIGO</v>
          </cell>
          <cell r="M1318" t="str">
            <v>RAQUEL BARBOSA</v>
          </cell>
        </row>
        <row r="1319">
          <cell r="B1319">
            <v>5020352</v>
          </cell>
          <cell r="C1319" t="str">
            <v>SPAN VALE COM DE PROD ALIM LTDA</v>
          </cell>
          <cell r="D1319">
            <v>6001</v>
          </cell>
          <cell r="E1319" t="str">
            <v>6125</v>
          </cell>
          <cell r="F1319" t="str">
            <v>C1</v>
          </cell>
          <cell r="G1319" t="str">
            <v>SP</v>
          </cell>
          <cell r="H1319" t="str">
            <v>DISTRIBUIÇÃO</v>
          </cell>
          <cell r="I1319" t="str">
            <v>FOOD SERVICE</v>
          </cell>
          <cell r="J1319" t="str">
            <v>GUILHERME NASCIMENTO</v>
          </cell>
          <cell r="K1319" t="str">
            <v>ITAMBÉ</v>
          </cell>
          <cell r="L1319" t="str">
            <v>RODRIGO</v>
          </cell>
          <cell r="M1319" t="str">
            <v>ALEXANDRO</v>
          </cell>
        </row>
        <row r="1320">
          <cell r="B1320">
            <v>5020352</v>
          </cell>
          <cell r="C1320" t="str">
            <v>SPAN VALE COM DE PROD ALIM LTDA</v>
          </cell>
          <cell r="D1320">
            <v>7001</v>
          </cell>
          <cell r="E1320" t="str">
            <v>0722</v>
          </cell>
          <cell r="F1320" t="str">
            <v>C1</v>
          </cell>
          <cell r="G1320" t="str">
            <v>SP</v>
          </cell>
          <cell r="H1320" t="str">
            <v>DISTRIBUIÇÃO</v>
          </cell>
          <cell r="I1320" t="str">
            <v>FOOD SERVICE</v>
          </cell>
          <cell r="J1320" t="str">
            <v>GUILHERME NASCIMENTO</v>
          </cell>
          <cell r="K1320" t="str">
            <v>LACTALIS</v>
          </cell>
          <cell r="L1320" t="str">
            <v>RODRIGO</v>
          </cell>
          <cell r="M1320" t="str">
            <v>ALEXANDRO</v>
          </cell>
        </row>
        <row r="1321">
          <cell r="B1321">
            <v>5016060</v>
          </cell>
          <cell r="C1321" t="str">
            <v>SPB PAD E COM LTDA</v>
          </cell>
          <cell r="D1321">
            <v>3001</v>
          </cell>
          <cell r="E1321" t="str">
            <v>0122</v>
          </cell>
          <cell r="F1321" t="str">
            <v>C1</v>
          </cell>
          <cell r="G1321" t="str">
            <v>MG</v>
          </cell>
          <cell r="H1321" t="str">
            <v>DISTRIBUIÇÃO</v>
          </cell>
          <cell r="I1321" t="str">
            <v>FOOD SERVICE</v>
          </cell>
          <cell r="J1321" t="str">
            <v>MARCELO SILVA</v>
          </cell>
          <cell r="K1321" t="str">
            <v>ITAMBÉ</v>
          </cell>
          <cell r="L1321" t="str">
            <v>RODRIGO</v>
          </cell>
          <cell r="M1321" t="str">
            <v>CELIO MARTINS</v>
          </cell>
        </row>
        <row r="1322">
          <cell r="B1322">
            <v>5283788</v>
          </cell>
          <cell r="C1322" t="str">
            <v>SPORT CLUB CORINTHIANS PAULISTA</v>
          </cell>
          <cell r="D1322">
            <v>7001</v>
          </cell>
          <cell r="E1322" t="str">
            <v>0749</v>
          </cell>
          <cell r="F1322" t="str">
            <v>C5</v>
          </cell>
          <cell r="G1322" t="str">
            <v>SP</v>
          </cell>
          <cell r="H1322" t="str">
            <v>DISTRIBUIÇÃO</v>
          </cell>
          <cell r="I1322" t="str">
            <v>FOOD SERVICE</v>
          </cell>
          <cell r="J1322" t="str">
            <v>FLAC 6</v>
          </cell>
          <cell r="K1322" t="str">
            <v>LACTALIS</v>
          </cell>
          <cell r="L1322" t="str">
            <v>RODRIGO</v>
          </cell>
          <cell r="M1322" t="str">
            <v>RAQUEL BARBOSA</v>
          </cell>
        </row>
        <row r="1323">
          <cell r="B1323">
            <v>5177972</v>
          </cell>
          <cell r="C1323" t="str">
            <v>SR FAB E COM SORVETES E CHOC LTDA M</v>
          </cell>
          <cell r="D1323">
            <v>3001</v>
          </cell>
          <cell r="E1323" t="str">
            <v>0127</v>
          </cell>
          <cell r="F1323" t="str">
            <v>C1</v>
          </cell>
          <cell r="G1323" t="str">
            <v>PE</v>
          </cell>
          <cell r="H1323" t="str">
            <v>DISTRIBUIÇÃO</v>
          </cell>
          <cell r="I1323" t="str">
            <v>FOOD SERVICE</v>
          </cell>
          <cell r="J1323" t="str">
            <v>CLAUDIO JORGE</v>
          </cell>
          <cell r="K1323" t="str">
            <v>ITAMBÉ</v>
          </cell>
          <cell r="L1323" t="str">
            <v>RODRIGO</v>
          </cell>
          <cell r="M1323" t="str">
            <v>MARIA LOURDES</v>
          </cell>
        </row>
        <row r="1324">
          <cell r="B1324">
            <v>5167579</v>
          </cell>
          <cell r="C1324" t="str">
            <v>SR PAO PANIFICACAO ALIM CONGELADOS</v>
          </cell>
          <cell r="D1324">
            <v>3001</v>
          </cell>
          <cell r="E1324" t="str">
            <v>0126</v>
          </cell>
          <cell r="F1324" t="str">
            <v>C1</v>
          </cell>
          <cell r="G1324" t="str">
            <v>SC</v>
          </cell>
          <cell r="H1324" t="str">
            <v>INGREDIENTS</v>
          </cell>
          <cell r="I1324" t="str">
            <v>INGREDIENTS</v>
          </cell>
          <cell r="J1324" t="str">
            <v>MARCELO RODRIGUES</v>
          </cell>
          <cell r="K1324" t="str">
            <v>ITAMBÉ</v>
          </cell>
          <cell r="L1324" t="str">
            <v>MAURICIO</v>
          </cell>
          <cell r="M1324" t="str">
            <v>MARCELO</v>
          </cell>
        </row>
        <row r="1325">
          <cell r="B1325">
            <v>5335178</v>
          </cell>
          <cell r="C1325" t="str">
            <v>SSL CAFETERIA LTDA</v>
          </cell>
          <cell r="D1325">
            <v>7001</v>
          </cell>
          <cell r="E1325" t="str">
            <v>0749</v>
          </cell>
          <cell r="F1325" t="str">
            <v>C5</v>
          </cell>
          <cell r="G1325" t="str">
            <v>SP</v>
          </cell>
          <cell r="H1325" t="str">
            <v>DISTRIBUIÇÃO</v>
          </cell>
          <cell r="I1325" t="str">
            <v>FOOD SERVICE</v>
          </cell>
          <cell r="J1325" t="str">
            <v>FLAC 6</v>
          </cell>
          <cell r="K1325" t="str">
            <v>LACTALIS</v>
          </cell>
          <cell r="L1325" t="str">
            <v>RODRIGO</v>
          </cell>
          <cell r="M1325" t="str">
            <v>RAQUEL BARBOSA</v>
          </cell>
        </row>
        <row r="1326">
          <cell r="B1326">
            <v>5115189</v>
          </cell>
          <cell r="C1326" t="str">
            <v>STA DISTRIBUIDORA DE ALIMENTOS LTDA</v>
          </cell>
          <cell r="D1326">
            <v>3001</v>
          </cell>
          <cell r="E1326" t="str">
            <v>0123</v>
          </cell>
          <cell r="F1326" t="str">
            <v>C1</v>
          </cell>
          <cell r="G1326" t="str">
            <v>GO</v>
          </cell>
          <cell r="H1326" t="str">
            <v>DISTRIBUIÇÃO</v>
          </cell>
          <cell r="I1326" t="str">
            <v>FOOD SERVICE</v>
          </cell>
          <cell r="J1326" t="str">
            <v>CLAUDIO JORGE/MARIA LAURA</v>
          </cell>
          <cell r="K1326" t="str">
            <v>ITAMBÉ</v>
          </cell>
          <cell r="L1326" t="str">
            <v>RODRIGO</v>
          </cell>
          <cell r="M1326" t="str">
            <v>MARCO AURELIO</v>
          </cell>
        </row>
        <row r="1327">
          <cell r="B1327">
            <v>5175512</v>
          </cell>
          <cell r="C1327" t="str">
            <v>STA RESTAURANTE E COM DE ALIM LTDA</v>
          </cell>
          <cell r="D1327">
            <v>7001</v>
          </cell>
          <cell r="E1327" t="str">
            <v>0749</v>
          </cell>
          <cell r="F1327" t="str">
            <v>C5</v>
          </cell>
          <cell r="G1327" t="str">
            <v>SP</v>
          </cell>
          <cell r="H1327" t="str">
            <v>DISTRIBUIÇÃO</v>
          </cell>
          <cell r="I1327" t="str">
            <v>FOOD SERVICE</v>
          </cell>
          <cell r="J1327" t="str">
            <v>FLAC 3</v>
          </cell>
          <cell r="K1327" t="str">
            <v>LACTALIS</v>
          </cell>
          <cell r="L1327" t="str">
            <v>RODRIGO</v>
          </cell>
          <cell r="M1327" t="str">
            <v>RAQUEL BARBOSA</v>
          </cell>
        </row>
        <row r="1328">
          <cell r="B1328">
            <v>5173494</v>
          </cell>
          <cell r="C1328" t="str">
            <v>STAMPA PET E FOOD LTDA</v>
          </cell>
          <cell r="D1328">
            <v>3001</v>
          </cell>
          <cell r="E1328" t="str">
            <v>0126</v>
          </cell>
          <cell r="F1328" t="str">
            <v>C1</v>
          </cell>
          <cell r="G1328" t="str">
            <v>PR</v>
          </cell>
          <cell r="H1328" t="str">
            <v>DISTRIBUIÇÃO</v>
          </cell>
          <cell r="I1328" t="str">
            <v>FOOD SERVICE</v>
          </cell>
          <cell r="J1328" t="str">
            <v>ANGELICA BATISTELA</v>
          </cell>
          <cell r="K1328" t="str">
            <v>ITAMBÉ</v>
          </cell>
          <cell r="L1328" t="str">
            <v>RODRIGO</v>
          </cell>
          <cell r="M1328" t="str">
            <v>ANGELICA BATISTELA</v>
          </cell>
        </row>
        <row r="1329">
          <cell r="B1329">
            <v>5173494</v>
          </cell>
          <cell r="C1329" t="str">
            <v>STAMPA PET E FOOD LTDA</v>
          </cell>
          <cell r="D1329">
            <v>4001</v>
          </cell>
          <cell r="E1329" t="str">
            <v>0422</v>
          </cell>
          <cell r="F1329" t="str">
            <v>C1</v>
          </cell>
          <cell r="G1329" t="str">
            <v>PR</v>
          </cell>
          <cell r="H1329" t="str">
            <v>DISTRIBUIÇÃO</v>
          </cell>
          <cell r="I1329" t="str">
            <v>FOOD SERVICE</v>
          </cell>
          <cell r="J1329" t="str">
            <v>ANGELICA BATISTELA</v>
          </cell>
          <cell r="K1329" t="str">
            <v>LACTALIS</v>
          </cell>
          <cell r="L1329" t="str">
            <v>RODRIGO</v>
          </cell>
          <cell r="M1329" t="str">
            <v>ANGELICA BATISTELA</v>
          </cell>
        </row>
        <row r="1330">
          <cell r="B1330">
            <v>5173494</v>
          </cell>
          <cell r="C1330" t="str">
            <v>STAMPA PET E FOOD LTDA</v>
          </cell>
          <cell r="D1330">
            <v>4001</v>
          </cell>
          <cell r="E1330" t="str">
            <v>0455</v>
          </cell>
          <cell r="F1330" t="str">
            <v>C1</v>
          </cell>
          <cell r="G1330" t="str">
            <v>PR</v>
          </cell>
          <cell r="H1330" t="str">
            <v>DISTRIBUIÇÃO</v>
          </cell>
          <cell r="I1330" t="str">
            <v>FOOD SERVICE</v>
          </cell>
          <cell r="J1330" t="str">
            <v>ANGELICA BATISTELA</v>
          </cell>
          <cell r="K1330" t="str">
            <v>LACTALIS</v>
          </cell>
          <cell r="L1330" t="str">
            <v>RODRIGO</v>
          </cell>
          <cell r="M1330" t="str">
            <v>ANGELICA BATISTELA</v>
          </cell>
        </row>
        <row r="1331">
          <cell r="B1331">
            <v>5259851</v>
          </cell>
          <cell r="C1331" t="str">
            <v>STOQ V E V ALIMENTOS LTDA</v>
          </cell>
          <cell r="D1331">
            <v>7001</v>
          </cell>
          <cell r="E1331" t="str">
            <v>0749</v>
          </cell>
          <cell r="F1331" t="str">
            <v>C5</v>
          </cell>
          <cell r="G1331" t="str">
            <v>SP</v>
          </cell>
          <cell r="H1331" t="str">
            <v>DISTRIBUIÇÃO</v>
          </cell>
          <cell r="I1331" t="str">
            <v>FOOD SERVICE</v>
          </cell>
          <cell r="J1331" t="str">
            <v>FLAC 1</v>
          </cell>
          <cell r="K1331" t="str">
            <v>LACTALIS</v>
          </cell>
          <cell r="L1331" t="str">
            <v>RODRIGO</v>
          </cell>
          <cell r="M1331" t="str">
            <v>RAQUEL BARBOSA</v>
          </cell>
        </row>
        <row r="1332">
          <cell r="B1332">
            <v>5252882</v>
          </cell>
          <cell r="C1332" t="str">
            <v>STRULLER E RULLER RESTAURANTE LT</v>
          </cell>
          <cell r="D1332">
            <v>7001</v>
          </cell>
          <cell r="E1332" t="str">
            <v>0749</v>
          </cell>
          <cell r="F1332" t="str">
            <v>C5</v>
          </cell>
          <cell r="G1332" t="str">
            <v>SP</v>
          </cell>
          <cell r="H1332" t="str">
            <v>DISTRIBUIÇÃO</v>
          </cell>
          <cell r="I1332" t="str">
            <v>FOOD SERVICE</v>
          </cell>
          <cell r="J1332" t="str">
            <v>FLAC 2</v>
          </cell>
          <cell r="K1332" t="str">
            <v>LACTALIS</v>
          </cell>
          <cell r="L1332" t="str">
            <v>RODRIGO</v>
          </cell>
          <cell r="M1332" t="str">
            <v>RAQUEL BARBOSA</v>
          </cell>
        </row>
        <row r="1333">
          <cell r="B1333">
            <v>5249505</v>
          </cell>
          <cell r="C1333" t="str">
            <v>SUPER GRILL EXPRESS GUARU CHURR LTD</v>
          </cell>
          <cell r="D1333">
            <v>7001</v>
          </cell>
          <cell r="E1333" t="str">
            <v>0749</v>
          </cell>
          <cell r="F1333" t="str">
            <v>C5</v>
          </cell>
          <cell r="G1333" t="str">
            <v>SP</v>
          </cell>
          <cell r="H1333" t="str">
            <v>DISTRIBUIÇÃO</v>
          </cell>
          <cell r="I1333" t="str">
            <v>FOOD SERVICE</v>
          </cell>
          <cell r="J1333" t="str">
            <v>FLAC 2</v>
          </cell>
          <cell r="K1333" t="str">
            <v>LACTALIS</v>
          </cell>
          <cell r="L1333" t="str">
            <v>RODRIGO</v>
          </cell>
          <cell r="M1333" t="str">
            <v>RAQUEL BARBOSA</v>
          </cell>
        </row>
        <row r="1334">
          <cell r="B1334">
            <v>5235392</v>
          </cell>
          <cell r="C1334" t="str">
            <v>SUPER QUENTE LANCHES E RESTAURANTE</v>
          </cell>
          <cell r="D1334">
            <v>7001</v>
          </cell>
          <cell r="E1334" t="str">
            <v>0749</v>
          </cell>
          <cell r="F1334" t="str">
            <v>C5</v>
          </cell>
          <cell r="G1334" t="str">
            <v>SP</v>
          </cell>
          <cell r="H1334" t="str">
            <v>DISTRIBUIÇÃO</v>
          </cell>
          <cell r="I1334" t="str">
            <v>FOOD SERVICE</v>
          </cell>
          <cell r="J1334" t="str">
            <v>FLAC 2</v>
          </cell>
          <cell r="K1334" t="str">
            <v>LACTALIS</v>
          </cell>
          <cell r="L1334" t="str">
            <v>RODRIGO</v>
          </cell>
          <cell r="M1334" t="str">
            <v>RAQUEL BARBOSA</v>
          </cell>
        </row>
        <row r="1335">
          <cell r="B1335">
            <v>5231303</v>
          </cell>
          <cell r="C1335" t="str">
            <v>SUPER VINHOS DISTRIBUIDORA S A</v>
          </cell>
          <cell r="D1335">
            <v>3001</v>
          </cell>
          <cell r="E1335" t="str">
            <v>0169</v>
          </cell>
          <cell r="F1335" t="str">
            <v>C1</v>
          </cell>
          <cell r="G1335" t="str">
            <v>RJ</v>
          </cell>
          <cell r="H1335" t="str">
            <v>DISTRIBUIÇÃO</v>
          </cell>
          <cell r="I1335" t="str">
            <v>FOOD SERVICE</v>
          </cell>
          <cell r="J1335" t="str">
            <v>LUCIANA MARTINS</v>
          </cell>
          <cell r="K1335" t="str">
            <v>ITAMBÉ</v>
          </cell>
          <cell r="L1335" t="str">
            <v>RODRIGO</v>
          </cell>
          <cell r="M1335" t="str">
            <v>JESSICA</v>
          </cell>
        </row>
        <row r="1336">
          <cell r="B1336">
            <v>5231303</v>
          </cell>
          <cell r="C1336" t="str">
            <v>SUPER VINHOS DISTRIBUIDORA S A</v>
          </cell>
          <cell r="D1336">
            <v>4001</v>
          </cell>
          <cell r="E1336" t="str">
            <v>0439</v>
          </cell>
          <cell r="F1336" t="str">
            <v>C1</v>
          </cell>
          <cell r="G1336" t="str">
            <v>RJ</v>
          </cell>
          <cell r="H1336" t="str">
            <v>DISTRIBUIÇÃO</v>
          </cell>
          <cell r="I1336" t="str">
            <v>FOOD SERVICE</v>
          </cell>
          <cell r="J1336" t="str">
            <v>LUCIANA MARTINS</v>
          </cell>
          <cell r="K1336" t="str">
            <v>LACTALIS</v>
          </cell>
          <cell r="L1336" t="str">
            <v>RODRIGO</v>
          </cell>
          <cell r="M1336" t="str">
            <v>JESSICA</v>
          </cell>
        </row>
        <row r="1337">
          <cell r="B1337">
            <v>5320664</v>
          </cell>
          <cell r="C1337" t="str">
            <v>SUPRA ALIMENTOS E BEBIDAS LTDA</v>
          </cell>
          <cell r="D1337">
            <v>7001</v>
          </cell>
          <cell r="E1337" t="str">
            <v>0749</v>
          </cell>
          <cell r="F1337" t="str">
            <v>C5</v>
          </cell>
          <cell r="G1337" t="str">
            <v>SP</v>
          </cell>
          <cell r="H1337" t="str">
            <v>DISTRIBUIÇÃO</v>
          </cell>
          <cell r="I1337" t="str">
            <v>FOOD SERVICE</v>
          </cell>
          <cell r="J1337" t="str">
            <v>FLAC 2</v>
          </cell>
          <cell r="K1337" t="str">
            <v>LACTALIS</v>
          </cell>
          <cell r="L1337" t="str">
            <v>RODRIGO</v>
          </cell>
          <cell r="M1337" t="str">
            <v>RAQUEL BARBOSA</v>
          </cell>
        </row>
        <row r="1338">
          <cell r="B1338">
            <v>5257801</v>
          </cell>
          <cell r="C1338" t="str">
            <v>SUPRA ALIMENTOS E BEBIDAS LTDA</v>
          </cell>
          <cell r="D1338">
            <v>7001</v>
          </cell>
          <cell r="E1338" t="str">
            <v>0749</v>
          </cell>
          <cell r="F1338" t="str">
            <v>C5</v>
          </cell>
          <cell r="G1338" t="str">
            <v>SP</v>
          </cell>
          <cell r="H1338" t="str">
            <v>DISTRIBUIÇÃO</v>
          </cell>
          <cell r="I1338" t="str">
            <v>FOOD SERVICE</v>
          </cell>
          <cell r="J1338" t="str">
            <v>FLAC 2</v>
          </cell>
          <cell r="K1338" t="str">
            <v>LACTALIS</v>
          </cell>
          <cell r="L1338" t="str">
            <v>RODRIGO</v>
          </cell>
          <cell r="M1338" t="str">
            <v>RAQUEL BARBOSA</v>
          </cell>
        </row>
        <row r="1339">
          <cell r="B1339">
            <v>5264575</v>
          </cell>
          <cell r="C1339" t="str">
            <v>SUPREMO COMERCIO DE ALIMENTOS</v>
          </cell>
          <cell r="D1339">
            <v>7001</v>
          </cell>
          <cell r="E1339" t="str">
            <v>0749</v>
          </cell>
          <cell r="F1339" t="str">
            <v>C5</v>
          </cell>
          <cell r="G1339" t="str">
            <v>SP</v>
          </cell>
          <cell r="H1339" t="str">
            <v>DISTRIBUIÇÃO</v>
          </cell>
          <cell r="I1339" t="str">
            <v>FOOD SERVICE</v>
          </cell>
          <cell r="J1339" t="str">
            <v>FLAC 2</v>
          </cell>
          <cell r="K1339" t="str">
            <v>LACTALIS</v>
          </cell>
          <cell r="L1339" t="str">
            <v>RODRIGO</v>
          </cell>
          <cell r="M1339" t="str">
            <v>RAQUEL BARBOSA</v>
          </cell>
        </row>
        <row r="1340">
          <cell r="B1340">
            <v>5335635</v>
          </cell>
          <cell r="C1340" t="str">
            <v>SUSANA SALES SIQUEIRA 159179698</v>
          </cell>
          <cell r="D1340">
            <v>3001</v>
          </cell>
          <cell r="E1340" t="str">
            <v>0028</v>
          </cell>
          <cell r="F1340" t="str">
            <v>C1</v>
          </cell>
          <cell r="G1340" t="str">
            <v>BA</v>
          </cell>
          <cell r="H1340" t="str">
            <v>INGREDIENTS</v>
          </cell>
          <cell r="I1340" t="str">
            <v>INGREDIENTS</v>
          </cell>
          <cell r="J1340" t="str">
            <v>BA ITB FS ML FLAVORS</v>
          </cell>
          <cell r="K1340" t="str">
            <v>ITAMBÉ</v>
          </cell>
          <cell r="L1340" t="str">
            <v>MAURICIO</v>
          </cell>
          <cell r="M1340" t="str">
            <v>JOEL</v>
          </cell>
        </row>
        <row r="1341">
          <cell r="B1341">
            <v>5020347</v>
          </cell>
          <cell r="C1341" t="str">
            <v>SVP COMERCIO DE ALIMENTOS LTDA</v>
          </cell>
          <cell r="D1341">
            <v>6001</v>
          </cell>
          <cell r="E1341" t="str">
            <v>6125</v>
          </cell>
          <cell r="F1341" t="str">
            <v>C1</v>
          </cell>
          <cell r="G1341" t="str">
            <v>SP</v>
          </cell>
          <cell r="H1341" t="str">
            <v>DISTRIBUIÇÃO</v>
          </cell>
          <cell r="I1341" t="str">
            <v>FOOD SERVICE</v>
          </cell>
          <cell r="J1341" t="str">
            <v>GUILHERME NASCIMENTO</v>
          </cell>
          <cell r="K1341" t="str">
            <v>ITAMBÉ</v>
          </cell>
          <cell r="L1341" t="str">
            <v>RODRIGO</v>
          </cell>
          <cell r="M1341" t="str">
            <v>ALEXANDRO</v>
          </cell>
        </row>
        <row r="1342">
          <cell r="B1342">
            <v>5020347</v>
          </cell>
          <cell r="C1342" t="str">
            <v>SVP COMERCIO DE ALIMENTOS LTDA</v>
          </cell>
          <cell r="D1342">
            <v>7001</v>
          </cell>
          <cell r="E1342" t="str">
            <v>0722</v>
          </cell>
          <cell r="F1342" t="str">
            <v>C1</v>
          </cell>
          <cell r="G1342" t="str">
            <v>SP</v>
          </cell>
          <cell r="H1342" t="str">
            <v>DISTRIBUIÇÃO</v>
          </cell>
          <cell r="I1342" t="str">
            <v>FOOD SERVICE</v>
          </cell>
          <cell r="J1342" t="str">
            <v>GUILHERME NASCIMENTO</v>
          </cell>
          <cell r="K1342" t="str">
            <v>LACTALIS</v>
          </cell>
          <cell r="L1342" t="str">
            <v>RODRIGO</v>
          </cell>
          <cell r="M1342" t="str">
            <v>ALEXANDRO</v>
          </cell>
        </row>
        <row r="1343">
          <cell r="B1343">
            <v>5148870</v>
          </cell>
          <cell r="C1343" t="str">
            <v>SWEET SHOT ATELIER DE CONF E DOCES</v>
          </cell>
          <cell r="D1343">
            <v>7001</v>
          </cell>
          <cell r="E1343" t="str">
            <v>0749</v>
          </cell>
          <cell r="F1343" t="str">
            <v>C5</v>
          </cell>
          <cell r="G1343" t="str">
            <v>SP</v>
          </cell>
          <cell r="H1343" t="str">
            <v>DISTRIBUIÇÃO</v>
          </cell>
          <cell r="I1343" t="str">
            <v>FOOD SERVICE</v>
          </cell>
          <cell r="J1343" t="str">
            <v>FLAC 6</v>
          </cell>
          <cell r="K1343" t="str">
            <v>LACTALIS</v>
          </cell>
          <cell r="L1343" t="str">
            <v>RODRIGO</v>
          </cell>
          <cell r="M1343" t="str">
            <v>RAQUEL BARBOSA</v>
          </cell>
        </row>
        <row r="1344">
          <cell r="B1344">
            <v>5193349</v>
          </cell>
          <cell r="C1344" t="str">
            <v>SYACABA NO SORVETE LTDA</v>
          </cell>
          <cell r="D1344">
            <v>3001</v>
          </cell>
          <cell r="E1344" t="str">
            <v>0122</v>
          </cell>
          <cell r="F1344" t="str">
            <v>C1</v>
          </cell>
          <cell r="G1344" t="str">
            <v>MG</v>
          </cell>
          <cell r="H1344" t="str">
            <v>INGREDIENTS</v>
          </cell>
          <cell r="I1344" t="str">
            <v>INGREDIENTS</v>
          </cell>
          <cell r="J1344" t="str">
            <v>HENRIQUE FERREIRA</v>
          </cell>
          <cell r="K1344" t="str">
            <v>ITAMBÉ</v>
          </cell>
          <cell r="L1344" t="str">
            <v>MAURICIO</v>
          </cell>
          <cell r="M1344" t="str">
            <v>JOEL</v>
          </cell>
        </row>
        <row r="1345">
          <cell r="B1345">
            <v>5334471</v>
          </cell>
          <cell r="C1345" t="str">
            <v>T E R GOUVEIA VAREJO DE ALIMENT</v>
          </cell>
          <cell r="D1345">
            <v>7001</v>
          </cell>
          <cell r="E1345" t="str">
            <v>0749</v>
          </cell>
          <cell r="F1345" t="str">
            <v>C5</v>
          </cell>
          <cell r="G1345" t="str">
            <v>SP</v>
          </cell>
          <cell r="H1345" t="str">
            <v>DISTRIBUIÇÃO</v>
          </cell>
          <cell r="I1345" t="str">
            <v>FOOD SERVICE</v>
          </cell>
          <cell r="J1345" t="str">
            <v>FLAC 3</v>
          </cell>
          <cell r="K1345" t="str">
            <v>LACTALIS</v>
          </cell>
          <cell r="L1345" t="str">
            <v>RODRIGO</v>
          </cell>
          <cell r="M1345" t="str">
            <v>RAQUEL BARBOSA</v>
          </cell>
        </row>
        <row r="1346">
          <cell r="B1346">
            <v>5332358</v>
          </cell>
          <cell r="C1346" t="str">
            <v>T I SERVICO DE ALIMENTACAO LTDA</v>
          </cell>
          <cell r="D1346">
            <v>7001</v>
          </cell>
          <cell r="E1346" t="str">
            <v>0749</v>
          </cell>
          <cell r="F1346" t="str">
            <v>C5</v>
          </cell>
          <cell r="G1346" t="str">
            <v>SP</v>
          </cell>
          <cell r="H1346" t="str">
            <v>DISTRIBUIÇÃO</v>
          </cell>
          <cell r="I1346" t="str">
            <v>FOOD SERVICE</v>
          </cell>
          <cell r="J1346" t="str">
            <v>FLAC 2</v>
          </cell>
          <cell r="K1346" t="str">
            <v>LACTALIS</v>
          </cell>
          <cell r="L1346" t="str">
            <v>RODRIGO</v>
          </cell>
          <cell r="M1346" t="str">
            <v>RAQUEL BARBOSA</v>
          </cell>
        </row>
        <row r="1347">
          <cell r="B1347">
            <v>5198565</v>
          </cell>
          <cell r="C1347" t="str">
            <v>T M L DA SILVA EIRELI</v>
          </cell>
          <cell r="D1347">
            <v>3001</v>
          </cell>
          <cell r="E1347" t="str">
            <v>0028</v>
          </cell>
          <cell r="F1347" t="str">
            <v>C1</v>
          </cell>
          <cell r="G1347" t="str">
            <v>AM</v>
          </cell>
          <cell r="H1347" t="str">
            <v>INGREDIENTS</v>
          </cell>
          <cell r="I1347" t="str">
            <v>INGREDIENTS</v>
          </cell>
          <cell r="J1347" t="str">
            <v>AM - DUAS RODAS</v>
          </cell>
          <cell r="K1347" t="str">
            <v>ITAMBÉ</v>
          </cell>
          <cell r="L1347" t="str">
            <v>MAURICIO</v>
          </cell>
          <cell r="M1347" t="str">
            <v>JOEL</v>
          </cell>
        </row>
        <row r="1348">
          <cell r="B1348">
            <v>5281650</v>
          </cell>
          <cell r="C1348" t="str">
            <v>T R KLEINCIA LTDA</v>
          </cell>
          <cell r="D1348">
            <v>4001</v>
          </cell>
          <cell r="E1348" t="str">
            <v>0423</v>
          </cell>
          <cell r="F1348" t="str">
            <v>C5</v>
          </cell>
          <cell r="G1348" t="str">
            <v>RS</v>
          </cell>
          <cell r="H1348" t="str">
            <v>INGREDIENTS</v>
          </cell>
          <cell r="I1348" t="str">
            <v>INGREDIENTS</v>
          </cell>
          <cell r="J1348" t="str">
            <v>JOEL ELEOTÉRIO</v>
          </cell>
          <cell r="K1348" t="str">
            <v>LACTALIS</v>
          </cell>
          <cell r="L1348" t="str">
            <v>MAURICIO</v>
          </cell>
          <cell r="M1348" t="str">
            <v>JOEL</v>
          </cell>
        </row>
        <row r="1349">
          <cell r="B1349">
            <v>5281650</v>
          </cell>
          <cell r="C1349" t="str">
            <v>T R KLEINCIA LTDA</v>
          </cell>
          <cell r="D1349">
            <v>4001</v>
          </cell>
          <cell r="E1349" t="str">
            <v>0437</v>
          </cell>
          <cell r="F1349" t="str">
            <v>C1</v>
          </cell>
          <cell r="G1349" t="str">
            <v>RS</v>
          </cell>
          <cell r="H1349" t="str">
            <v>INGREDIENTS</v>
          </cell>
          <cell r="I1349" t="str">
            <v>INGREDIENTS</v>
          </cell>
          <cell r="J1349" t="str">
            <v>JOEL ELEOTÉRIO</v>
          </cell>
          <cell r="K1349" t="str">
            <v>LACTALIS</v>
          </cell>
          <cell r="L1349" t="str">
            <v>MAURICIO</v>
          </cell>
          <cell r="M1349" t="str">
            <v>JOEL</v>
          </cell>
        </row>
        <row r="1350">
          <cell r="B1350">
            <v>5192822</v>
          </cell>
          <cell r="C1350" t="str">
            <v>T T F ALIMENTOS SOROCABA LTDA</v>
          </cell>
          <cell r="D1350">
            <v>6001</v>
          </cell>
          <cell r="E1350" t="str">
            <v>6125</v>
          </cell>
          <cell r="F1350" t="str">
            <v>C1</v>
          </cell>
          <cell r="G1350" t="str">
            <v>SP</v>
          </cell>
          <cell r="H1350" t="str">
            <v>DISTRIBUIÇÃO</v>
          </cell>
          <cell r="I1350" t="str">
            <v>FOOD SERVICE</v>
          </cell>
          <cell r="J1350" t="str">
            <v>VAGO SP</v>
          </cell>
          <cell r="K1350" t="str">
            <v>ITAMBÉ</v>
          </cell>
          <cell r="L1350" t="str">
            <v>RODRIGO</v>
          </cell>
          <cell r="M1350" t="str">
            <v>RAQUEL BARBOSA</v>
          </cell>
        </row>
        <row r="1351">
          <cell r="B1351">
            <v>5171396</v>
          </cell>
          <cell r="C1351" t="str">
            <v>TANGARA DESENVOLVIMENTO IMOBILIARIO</v>
          </cell>
          <cell r="D1351">
            <v>7001</v>
          </cell>
          <cell r="E1351" t="str">
            <v>0749</v>
          </cell>
          <cell r="F1351" t="str">
            <v>C5</v>
          </cell>
          <cell r="G1351" t="str">
            <v>SP</v>
          </cell>
          <cell r="H1351" t="str">
            <v>DISTRIBUIÇÃO</v>
          </cell>
          <cell r="I1351" t="str">
            <v>FOOD SERVICE</v>
          </cell>
          <cell r="J1351" t="str">
            <v>FLAC 2</v>
          </cell>
          <cell r="K1351" t="str">
            <v>LACTALIS</v>
          </cell>
          <cell r="L1351" t="str">
            <v>RODRIGO</v>
          </cell>
          <cell r="M1351" t="str">
            <v>RAQUEL BARBOSA</v>
          </cell>
        </row>
        <row r="1352">
          <cell r="B1352">
            <v>5027769</v>
          </cell>
          <cell r="C1352" t="str">
            <v>TAPIOCARIA DE ITAPUA LTDA ME</v>
          </cell>
          <cell r="D1352">
            <v>3001</v>
          </cell>
          <cell r="E1352" t="str">
            <v>0127</v>
          </cell>
          <cell r="F1352" t="str">
            <v>C1</v>
          </cell>
          <cell r="G1352" t="str">
            <v>BA</v>
          </cell>
          <cell r="H1352" t="str">
            <v>DISTRIBUIÇÃO</v>
          </cell>
          <cell r="I1352" t="str">
            <v>FOOD SERVICE</v>
          </cell>
          <cell r="J1352" t="str">
            <v>CLAUDIO JORGE/LUIZ</v>
          </cell>
          <cell r="K1352" t="str">
            <v>ITAMBÉ</v>
          </cell>
          <cell r="L1352" t="str">
            <v>RODRIGO</v>
          </cell>
          <cell r="M1352" t="str">
            <v>MARIA LOURDES</v>
          </cell>
        </row>
        <row r="1353">
          <cell r="B1353">
            <v>5136048</v>
          </cell>
          <cell r="C1353" t="str">
            <v>TARGUZ COMERCIO LTDA</v>
          </cell>
          <cell r="D1353">
            <v>3001</v>
          </cell>
          <cell r="E1353" t="str">
            <v>0127</v>
          </cell>
          <cell r="F1353" t="str">
            <v>C1</v>
          </cell>
          <cell r="G1353" t="str">
            <v>AL</v>
          </cell>
          <cell r="H1353" t="str">
            <v>DISTRIBUIÇÃO</v>
          </cell>
          <cell r="I1353" t="str">
            <v>FOOD SERVICE</v>
          </cell>
          <cell r="J1353" t="str">
            <v>DIGMA REPR LTDA</v>
          </cell>
          <cell r="K1353" t="str">
            <v>ITAMBÉ</v>
          </cell>
          <cell r="L1353" t="str">
            <v>RODRIGO</v>
          </cell>
          <cell r="M1353" t="str">
            <v>MARIA LOURDES</v>
          </cell>
        </row>
        <row r="1354">
          <cell r="B1354">
            <v>5263392</v>
          </cell>
          <cell r="C1354" t="str">
            <v>TATIANA SIMAO MILIAN ME</v>
          </cell>
          <cell r="D1354">
            <v>7001</v>
          </cell>
          <cell r="E1354" t="str">
            <v>0749</v>
          </cell>
          <cell r="F1354" t="str">
            <v>C5</v>
          </cell>
          <cell r="G1354" t="str">
            <v>SP</v>
          </cell>
          <cell r="H1354" t="str">
            <v>DISTRIBUIÇÃO</v>
          </cell>
          <cell r="I1354" t="str">
            <v>FOOD SERVICE</v>
          </cell>
          <cell r="J1354" t="str">
            <v>FLAC 6</v>
          </cell>
          <cell r="K1354" t="str">
            <v>LACTALIS</v>
          </cell>
          <cell r="L1354" t="str">
            <v>RODRIGO</v>
          </cell>
          <cell r="M1354" t="str">
            <v>RAQUEL BARBOSA</v>
          </cell>
        </row>
        <row r="1355">
          <cell r="B1355">
            <v>5319095</v>
          </cell>
          <cell r="C1355" t="str">
            <v>TATIANE MONTEIRO DANTAS 3563359</v>
          </cell>
          <cell r="D1355">
            <v>7001</v>
          </cell>
          <cell r="E1355" t="str">
            <v>0749</v>
          </cell>
          <cell r="F1355" t="str">
            <v>C5</v>
          </cell>
          <cell r="G1355" t="str">
            <v>SP</v>
          </cell>
          <cell r="H1355" t="str">
            <v>DISTRIBUIÇÃO</v>
          </cell>
          <cell r="I1355" t="str">
            <v>FOOD SERVICE</v>
          </cell>
          <cell r="J1355" t="str">
            <v>FLAC 3</v>
          </cell>
          <cell r="K1355" t="str">
            <v>LACTALIS</v>
          </cell>
          <cell r="L1355" t="str">
            <v>RODRIGO</v>
          </cell>
          <cell r="M1355" t="str">
            <v>RAQUEL BARBOSA</v>
          </cell>
        </row>
        <row r="1356">
          <cell r="B1356">
            <v>5263398</v>
          </cell>
          <cell r="C1356" t="str">
            <v>TDC RESTAURANTE DELIVERY LTDA</v>
          </cell>
          <cell r="D1356">
            <v>7001</v>
          </cell>
          <cell r="E1356" t="str">
            <v>0749</v>
          </cell>
          <cell r="F1356" t="str">
            <v>C5</v>
          </cell>
          <cell r="G1356" t="str">
            <v>SP</v>
          </cell>
          <cell r="H1356" t="str">
            <v>DISTRIBUIÇÃO</v>
          </cell>
          <cell r="I1356" t="str">
            <v>FOOD SERVICE</v>
          </cell>
          <cell r="J1356" t="str">
            <v>FLAC 2</v>
          </cell>
          <cell r="K1356" t="str">
            <v>LACTALIS</v>
          </cell>
          <cell r="L1356" t="str">
            <v>RODRIGO</v>
          </cell>
          <cell r="M1356" t="str">
            <v>RAQUEL BARBOSA</v>
          </cell>
        </row>
        <row r="1357">
          <cell r="B1357">
            <v>5304927</v>
          </cell>
          <cell r="C1357" t="str">
            <v>TEA CENTAURO ITAIM COMERCIO DE ALIM</v>
          </cell>
          <cell r="D1357">
            <v>7001</v>
          </cell>
          <cell r="E1357" t="str">
            <v>0749</v>
          </cell>
          <cell r="F1357" t="str">
            <v>C5</v>
          </cell>
          <cell r="G1357" t="str">
            <v>SP</v>
          </cell>
          <cell r="H1357" t="str">
            <v>DISTRIBUIÇÃO</v>
          </cell>
          <cell r="I1357" t="str">
            <v>FOOD SERVICE</v>
          </cell>
          <cell r="J1357" t="str">
            <v>FLAC 6</v>
          </cell>
          <cell r="K1357" t="str">
            <v>LACTALIS</v>
          </cell>
          <cell r="L1357" t="str">
            <v>RODRIGO</v>
          </cell>
          <cell r="M1357" t="str">
            <v>RAQUEL BARBOSA</v>
          </cell>
        </row>
        <row r="1358">
          <cell r="B1358">
            <v>5264044</v>
          </cell>
          <cell r="C1358" t="str">
            <v>TEA CONECTION COMERCIO DE ALIMENTOS</v>
          </cell>
          <cell r="D1358">
            <v>7001</v>
          </cell>
          <cell r="E1358" t="str">
            <v>0749</v>
          </cell>
          <cell r="F1358" t="str">
            <v>C5</v>
          </cell>
          <cell r="G1358" t="str">
            <v>SP</v>
          </cell>
          <cell r="H1358" t="str">
            <v>DISTRIBUIÇÃO</v>
          </cell>
          <cell r="I1358" t="str">
            <v>FOOD SERVICE</v>
          </cell>
          <cell r="J1358" t="str">
            <v>FLAC 6</v>
          </cell>
          <cell r="K1358" t="str">
            <v>LACTALIS</v>
          </cell>
          <cell r="L1358" t="str">
            <v>RODRIGO</v>
          </cell>
          <cell r="M1358" t="str">
            <v>RAQUEL BARBOSA</v>
          </cell>
        </row>
        <row r="1359">
          <cell r="B1359">
            <v>5293180</v>
          </cell>
          <cell r="C1359" t="str">
            <v>TEA HARMONIA COMERCIO DE ALIMENTOS</v>
          </cell>
          <cell r="D1359">
            <v>7001</v>
          </cell>
          <cell r="E1359" t="str">
            <v>0749</v>
          </cell>
          <cell r="F1359" t="str">
            <v>C5</v>
          </cell>
          <cell r="G1359" t="str">
            <v>SP</v>
          </cell>
          <cell r="H1359" t="str">
            <v>DISTRIBUIÇÃO</v>
          </cell>
          <cell r="I1359" t="str">
            <v>FOOD SERVICE</v>
          </cell>
          <cell r="J1359" t="str">
            <v>FLAC 6</v>
          </cell>
          <cell r="K1359" t="str">
            <v>LACTALIS</v>
          </cell>
          <cell r="L1359" t="str">
            <v>RODRIGO</v>
          </cell>
          <cell r="M1359" t="str">
            <v>RAQUEL BARBOSA</v>
          </cell>
        </row>
        <row r="1360">
          <cell r="B1360">
            <v>5104419</v>
          </cell>
          <cell r="C1360" t="str">
            <v>TEGEDA COM E DIST LTDA</v>
          </cell>
          <cell r="D1360">
            <v>6001</v>
          </cell>
          <cell r="E1360" t="str">
            <v>6125</v>
          </cell>
          <cell r="F1360" t="str">
            <v>C1</v>
          </cell>
          <cell r="G1360" t="str">
            <v>SP</v>
          </cell>
          <cell r="H1360" t="str">
            <v>DISTRIBUIÇÃO</v>
          </cell>
          <cell r="I1360" t="str">
            <v>FOOD SERVICE</v>
          </cell>
          <cell r="J1360" t="str">
            <v>VAGO SP</v>
          </cell>
          <cell r="K1360" t="str">
            <v>ITAMBÉ</v>
          </cell>
          <cell r="L1360" t="str">
            <v>RODRIGO</v>
          </cell>
          <cell r="M1360" t="str">
            <v>RAQUEL BARBOSA</v>
          </cell>
        </row>
        <row r="1361">
          <cell r="B1361">
            <v>5273105</v>
          </cell>
          <cell r="C1361" t="str">
            <v>TEJU BAKERY LTDA</v>
          </cell>
          <cell r="D1361">
            <v>7001</v>
          </cell>
          <cell r="E1361" t="str">
            <v>0749</v>
          </cell>
          <cell r="F1361" t="str">
            <v>C5</v>
          </cell>
          <cell r="G1361" t="str">
            <v>SP</v>
          </cell>
          <cell r="H1361" t="str">
            <v>DISTRIBUIÇÃO</v>
          </cell>
          <cell r="I1361" t="str">
            <v>FOOD SERVICE</v>
          </cell>
          <cell r="J1361" t="str">
            <v>FLAC 7</v>
          </cell>
          <cell r="K1361" t="str">
            <v>LACTALIS</v>
          </cell>
          <cell r="L1361" t="str">
            <v>RODRIGO</v>
          </cell>
          <cell r="M1361" t="str">
            <v>RAQUEL BARBOSA</v>
          </cell>
        </row>
        <row r="1362">
          <cell r="B1362">
            <v>5309134</v>
          </cell>
          <cell r="C1362" t="str">
            <v>TERAPIA CAFE LTDA</v>
          </cell>
          <cell r="D1362">
            <v>7001</v>
          </cell>
          <cell r="E1362" t="str">
            <v>0749</v>
          </cell>
          <cell r="F1362" t="str">
            <v>C5</v>
          </cell>
          <cell r="G1362" t="str">
            <v>SP</v>
          </cell>
          <cell r="H1362" t="str">
            <v>DISTRIBUIÇÃO</v>
          </cell>
          <cell r="I1362" t="str">
            <v>FOOD SERVICE</v>
          </cell>
          <cell r="J1362" t="str">
            <v>FLAC 2</v>
          </cell>
          <cell r="K1362" t="str">
            <v>LACTALIS</v>
          </cell>
          <cell r="L1362" t="str">
            <v>RODRIGO</v>
          </cell>
          <cell r="M1362" t="str">
            <v>RAQUEL BARBOSA</v>
          </cell>
        </row>
        <row r="1363">
          <cell r="B1363">
            <v>5278610</v>
          </cell>
          <cell r="C1363" t="str">
            <v>TERRAS ALTAS EMP HOT LAZER LTDA</v>
          </cell>
          <cell r="D1363">
            <v>7001</v>
          </cell>
          <cell r="E1363" t="str">
            <v>0749</v>
          </cell>
          <cell r="F1363" t="str">
            <v>C5</v>
          </cell>
          <cell r="G1363" t="str">
            <v>SP</v>
          </cell>
          <cell r="H1363" t="str">
            <v>DISTRIBUIÇÃO</v>
          </cell>
          <cell r="I1363" t="str">
            <v>FOOD SERVICE</v>
          </cell>
          <cell r="J1363" t="str">
            <v>FLAC 2</v>
          </cell>
          <cell r="K1363" t="str">
            <v>LACTALIS</v>
          </cell>
          <cell r="L1363" t="str">
            <v>RODRIGO</v>
          </cell>
          <cell r="M1363" t="str">
            <v>RAQUEL BARBOSA</v>
          </cell>
        </row>
        <row r="1364">
          <cell r="B1364">
            <v>5179227</v>
          </cell>
          <cell r="C1364" t="str">
            <v>TFGS ALIMENTOS E CONFEITARIA LTDA</v>
          </cell>
          <cell r="D1364">
            <v>7001</v>
          </cell>
          <cell r="E1364" t="str">
            <v>0749</v>
          </cell>
          <cell r="F1364" t="str">
            <v>C5</v>
          </cell>
          <cell r="G1364" t="str">
            <v>SP</v>
          </cell>
          <cell r="H1364" t="str">
            <v>DISTRIBUIÇÃO</v>
          </cell>
          <cell r="I1364" t="str">
            <v>FOOD SERVICE</v>
          </cell>
          <cell r="J1364" t="str">
            <v>FLAC 3</v>
          </cell>
          <cell r="K1364" t="str">
            <v>LACTALIS</v>
          </cell>
          <cell r="L1364" t="str">
            <v>RODRIGO</v>
          </cell>
          <cell r="M1364" t="str">
            <v>RAQUEL BARBOSA</v>
          </cell>
        </row>
        <row r="1365">
          <cell r="B1365">
            <v>5321719</v>
          </cell>
          <cell r="C1365" t="str">
            <v>TH RESTAURANTES E EVENTOS LTDA</v>
          </cell>
          <cell r="D1365">
            <v>7001</v>
          </cell>
          <cell r="E1365" t="str">
            <v>0749</v>
          </cell>
          <cell r="F1365" t="str">
            <v>C5</v>
          </cell>
          <cell r="G1365" t="str">
            <v>SP</v>
          </cell>
          <cell r="H1365" t="str">
            <v>DISTRIBUIÇÃO</v>
          </cell>
          <cell r="I1365" t="str">
            <v>FOOD SERVICE</v>
          </cell>
          <cell r="J1365" t="str">
            <v>FLAC 5</v>
          </cell>
          <cell r="K1365" t="str">
            <v>LACTALIS</v>
          </cell>
          <cell r="L1365" t="str">
            <v>RODRIGO</v>
          </cell>
          <cell r="M1365" t="str">
            <v>RAQUEL BARBOSA</v>
          </cell>
        </row>
        <row r="1366">
          <cell r="B1366">
            <v>5302755</v>
          </cell>
          <cell r="C1366" t="str">
            <v>THAINA DUARTE BRASIL 4738314980</v>
          </cell>
          <cell r="D1366">
            <v>7001</v>
          </cell>
          <cell r="E1366" t="str">
            <v>0749</v>
          </cell>
          <cell r="F1366" t="str">
            <v>C5</v>
          </cell>
          <cell r="G1366" t="str">
            <v>SP</v>
          </cell>
          <cell r="H1366" t="str">
            <v>DISTRIBUIÇÃO</v>
          </cell>
          <cell r="I1366" t="str">
            <v>FOOD SERVICE</v>
          </cell>
          <cell r="J1366" t="str">
            <v>FLAC 2</v>
          </cell>
          <cell r="K1366" t="str">
            <v>LACTALIS</v>
          </cell>
          <cell r="L1366" t="str">
            <v>RODRIGO</v>
          </cell>
          <cell r="M1366" t="str">
            <v>RAQUEL BARBOSA</v>
          </cell>
        </row>
        <row r="1367">
          <cell r="B1367">
            <v>5292229</v>
          </cell>
          <cell r="C1367" t="str">
            <v>THE BAKER FACTORY PANIF E CONF LTDA</v>
          </cell>
          <cell r="D1367">
            <v>7001</v>
          </cell>
          <cell r="E1367" t="str">
            <v>0749</v>
          </cell>
          <cell r="F1367" t="str">
            <v>C5</v>
          </cell>
          <cell r="G1367" t="str">
            <v>SP</v>
          </cell>
          <cell r="H1367" t="str">
            <v>DISTRIBUIÇÃO</v>
          </cell>
          <cell r="I1367" t="str">
            <v>FOOD SERVICE</v>
          </cell>
          <cell r="J1367" t="str">
            <v>FLAC 2</v>
          </cell>
          <cell r="K1367" t="str">
            <v>LACTALIS</v>
          </cell>
          <cell r="L1367" t="str">
            <v>RODRIGO</v>
          </cell>
          <cell r="M1367" t="str">
            <v>RAQUEL BARBOSA</v>
          </cell>
        </row>
        <row r="1368">
          <cell r="B1368">
            <v>5328788</v>
          </cell>
          <cell r="C1368" t="str">
            <v>THE VIEW BAR RESTAURANTES E EVENTOS LTDA</v>
          </cell>
          <cell r="D1368">
            <v>7001</v>
          </cell>
          <cell r="E1368" t="str">
            <v>0749</v>
          </cell>
          <cell r="F1368" t="str">
            <v>C5</v>
          </cell>
          <cell r="G1368" t="str">
            <v>SP</v>
          </cell>
          <cell r="H1368" t="str">
            <v>DISTRIBUIÇÃO</v>
          </cell>
          <cell r="I1368" t="str">
            <v>FOOD SERVICE</v>
          </cell>
          <cell r="J1368" t="str">
            <v>FLAC 2</v>
          </cell>
          <cell r="K1368" t="str">
            <v>LACTALIS</v>
          </cell>
          <cell r="L1368" t="str">
            <v>RODRIGO</v>
          </cell>
          <cell r="M1368" t="str">
            <v>RAQUEL BARBOSA</v>
          </cell>
        </row>
        <row r="1369">
          <cell r="B1369">
            <v>5291412</v>
          </cell>
          <cell r="C1369" t="str">
            <v>THE WAFFLE FACTORY EMPORIO E CAFE L</v>
          </cell>
          <cell r="D1369">
            <v>7001</v>
          </cell>
          <cell r="E1369" t="str">
            <v>0749</v>
          </cell>
          <cell r="F1369" t="str">
            <v>C5</v>
          </cell>
          <cell r="G1369" t="str">
            <v>SP</v>
          </cell>
          <cell r="H1369" t="str">
            <v>DISTRIBUIÇÃO</v>
          </cell>
          <cell r="I1369" t="str">
            <v>FOOD SERVICE</v>
          </cell>
          <cell r="J1369" t="str">
            <v>FLAC 6</v>
          </cell>
          <cell r="K1369" t="str">
            <v>LACTALIS</v>
          </cell>
          <cell r="L1369" t="str">
            <v>RODRIGO</v>
          </cell>
          <cell r="M1369" t="str">
            <v>RAQUEL BARBOSA</v>
          </cell>
        </row>
        <row r="1370">
          <cell r="B1370">
            <v>5230508</v>
          </cell>
          <cell r="C1370" t="str">
            <v>THIAGO MAGNO SILVERIO DA FONSEC</v>
          </cell>
          <cell r="D1370">
            <v>3001</v>
          </cell>
          <cell r="E1370" t="str">
            <v>0127</v>
          </cell>
          <cell r="F1370" t="str">
            <v>C1</v>
          </cell>
          <cell r="G1370" t="str">
            <v>CE</v>
          </cell>
          <cell r="H1370" t="str">
            <v>DISTRIBUIÇÃO</v>
          </cell>
          <cell r="I1370" t="str">
            <v>FOOD SERVICE</v>
          </cell>
          <cell r="J1370" t="str">
            <v>WH FOOD SERVICE CE</v>
          </cell>
          <cell r="K1370" t="str">
            <v>ITAMBÉ</v>
          </cell>
          <cell r="L1370" t="str">
            <v>RODRIGO</v>
          </cell>
          <cell r="M1370" t="str">
            <v>MARIA LOURDES</v>
          </cell>
        </row>
        <row r="1371">
          <cell r="B1371">
            <v>5210748</v>
          </cell>
          <cell r="C1371" t="str">
            <v>THYANACRIS HARA SCUOTEGUAZZA</v>
          </cell>
          <cell r="D1371">
            <v>7001</v>
          </cell>
          <cell r="E1371" t="str">
            <v>0749</v>
          </cell>
          <cell r="F1371" t="str">
            <v>C5</v>
          </cell>
          <cell r="G1371" t="str">
            <v>SP</v>
          </cell>
          <cell r="H1371" t="str">
            <v>DISTRIBUIÇÃO</v>
          </cell>
          <cell r="I1371" t="str">
            <v>FOOD SERVICE</v>
          </cell>
          <cell r="J1371" t="str">
            <v>FLAC 5</v>
          </cell>
          <cell r="K1371" t="str">
            <v>LACTALIS</v>
          </cell>
          <cell r="L1371" t="str">
            <v>RODRIGO</v>
          </cell>
          <cell r="M1371" t="str">
            <v>RAQUEL BARBOSA</v>
          </cell>
        </row>
        <row r="1372">
          <cell r="B1372">
            <v>5266544</v>
          </cell>
          <cell r="C1372" t="str">
            <v>TIMBIRAS PALACE HOTEL LTDA</v>
          </cell>
          <cell r="D1372">
            <v>7001</v>
          </cell>
          <cell r="E1372" t="str">
            <v>0749</v>
          </cell>
          <cell r="F1372" t="str">
            <v>C5</v>
          </cell>
          <cell r="G1372" t="str">
            <v>SP</v>
          </cell>
          <cell r="H1372" t="str">
            <v>DISTRIBUIÇÃO</v>
          </cell>
          <cell r="I1372" t="str">
            <v>FOOD SERVICE</v>
          </cell>
          <cell r="J1372" t="str">
            <v>FLAC 3</v>
          </cell>
          <cell r="K1372" t="str">
            <v>LACTALIS</v>
          </cell>
          <cell r="L1372" t="str">
            <v>RODRIGO</v>
          </cell>
          <cell r="M1372" t="str">
            <v>RAQUEL BARBOSA</v>
          </cell>
        </row>
        <row r="1373">
          <cell r="B1373">
            <v>5312629</v>
          </cell>
          <cell r="C1373" t="str">
            <v>TIMBIRAS PALACE HOTEL LTDA</v>
          </cell>
          <cell r="D1373">
            <v>7001</v>
          </cell>
          <cell r="E1373" t="str">
            <v>0749</v>
          </cell>
          <cell r="F1373" t="str">
            <v>C5</v>
          </cell>
          <cell r="G1373" t="str">
            <v>SP</v>
          </cell>
          <cell r="H1373" t="str">
            <v>DISTRIBUIÇÃO</v>
          </cell>
          <cell r="I1373" t="str">
            <v>FOOD SERVICE</v>
          </cell>
          <cell r="J1373" t="str">
            <v>FLAC 3</v>
          </cell>
          <cell r="K1373" t="str">
            <v>LACTALIS</v>
          </cell>
          <cell r="L1373" t="str">
            <v>RODRIGO</v>
          </cell>
          <cell r="M1373" t="str">
            <v>RAQUEL BARBOSA</v>
          </cell>
        </row>
        <row r="1374">
          <cell r="B1374">
            <v>5315163</v>
          </cell>
          <cell r="C1374" t="str">
            <v>TIMBIRAS PALACE HOTEL LTDA</v>
          </cell>
          <cell r="D1374">
            <v>7001</v>
          </cell>
          <cell r="E1374" t="str">
            <v>0749</v>
          </cell>
          <cell r="F1374" t="str">
            <v>C5</v>
          </cell>
          <cell r="G1374" t="str">
            <v>SP</v>
          </cell>
          <cell r="H1374" t="str">
            <v>DISTRIBUIÇÃO</v>
          </cell>
          <cell r="I1374" t="str">
            <v>FOOD SERVICE</v>
          </cell>
          <cell r="J1374" t="str">
            <v>FLAC 3</v>
          </cell>
          <cell r="K1374" t="str">
            <v>LACTALIS</v>
          </cell>
          <cell r="L1374" t="str">
            <v>RODRIGO</v>
          </cell>
          <cell r="M1374" t="str">
            <v>RAQUEL BARBOSA</v>
          </cell>
        </row>
        <row r="1375">
          <cell r="B1375">
            <v>5266191</v>
          </cell>
          <cell r="C1375" t="str">
            <v>TKS CAFE LTDA</v>
          </cell>
          <cell r="D1375">
            <v>7001</v>
          </cell>
          <cell r="E1375" t="str">
            <v>0749</v>
          </cell>
          <cell r="F1375" t="str">
            <v>C5</v>
          </cell>
          <cell r="G1375" t="str">
            <v>SP</v>
          </cell>
          <cell r="H1375" t="str">
            <v>DISTRIBUIÇÃO</v>
          </cell>
          <cell r="I1375" t="str">
            <v>FOOD SERVICE</v>
          </cell>
          <cell r="J1375" t="str">
            <v>FLAC 6</v>
          </cell>
          <cell r="K1375" t="str">
            <v>LACTALIS</v>
          </cell>
          <cell r="L1375" t="str">
            <v>RODRIGO</v>
          </cell>
          <cell r="M1375" t="str">
            <v>RAQUEL BARBOSA</v>
          </cell>
        </row>
        <row r="1376">
          <cell r="B1376">
            <v>5263140</v>
          </cell>
          <cell r="C1376" t="str">
            <v>TOGETHER AGENCIA DE VIAGEM TURISMO</v>
          </cell>
          <cell r="D1376">
            <v>7001</v>
          </cell>
          <cell r="E1376" t="str">
            <v>0749</v>
          </cell>
          <cell r="F1376" t="str">
            <v>C5</v>
          </cell>
          <cell r="G1376" t="str">
            <v>SP</v>
          </cell>
          <cell r="H1376" t="str">
            <v>DISTRIBUIÇÃO</v>
          </cell>
          <cell r="I1376" t="str">
            <v>FOOD SERVICE</v>
          </cell>
          <cell r="J1376" t="str">
            <v>FLAC 6</v>
          </cell>
          <cell r="K1376" t="str">
            <v>LACTALIS</v>
          </cell>
          <cell r="L1376" t="str">
            <v>RODRIGO</v>
          </cell>
          <cell r="M1376" t="str">
            <v>RAQUEL BARBOSA</v>
          </cell>
        </row>
        <row r="1377">
          <cell r="B1377">
            <v>5339246</v>
          </cell>
          <cell r="C1377" t="str">
            <v>TOGO MARKET COM DE ALIM LTDA</v>
          </cell>
          <cell r="D1377">
            <v>7001</v>
          </cell>
          <cell r="E1377" t="str">
            <v>0749</v>
          </cell>
          <cell r="F1377" t="str">
            <v>C5</v>
          </cell>
          <cell r="G1377" t="str">
            <v>SP</v>
          </cell>
          <cell r="H1377" t="str">
            <v>DISTRIBUIÇÃO</v>
          </cell>
          <cell r="I1377" t="str">
            <v>FOOD SERVICE</v>
          </cell>
          <cell r="J1377" t="str">
            <v>FLAC 2</v>
          </cell>
          <cell r="K1377" t="str">
            <v>LACTALIS</v>
          </cell>
          <cell r="L1377" t="str">
            <v>RODRIGO</v>
          </cell>
          <cell r="M1377" t="str">
            <v>RAQUEL BARBOSA</v>
          </cell>
        </row>
        <row r="1378">
          <cell r="B1378">
            <v>5042464</v>
          </cell>
          <cell r="C1378" t="str">
            <v>TONDO SA</v>
          </cell>
          <cell r="D1378">
            <v>4001</v>
          </cell>
          <cell r="E1378" t="str">
            <v>0423</v>
          </cell>
          <cell r="F1378" t="str">
            <v>C5</v>
          </cell>
          <cell r="G1378" t="str">
            <v>RS</v>
          </cell>
          <cell r="H1378" t="str">
            <v>INGREDIENTS</v>
          </cell>
          <cell r="I1378" t="str">
            <v>INGREDIENTS</v>
          </cell>
          <cell r="J1378" t="str">
            <v>MARCELO RODRIGUES</v>
          </cell>
          <cell r="K1378" t="str">
            <v>LACTALIS</v>
          </cell>
          <cell r="L1378" t="str">
            <v>MAURICIO</v>
          </cell>
          <cell r="M1378" t="str">
            <v>MARCELO</v>
          </cell>
        </row>
        <row r="1379">
          <cell r="B1379">
            <v>5042464</v>
          </cell>
          <cell r="C1379" t="str">
            <v>TONDO SA</v>
          </cell>
          <cell r="D1379">
            <v>4001</v>
          </cell>
          <cell r="E1379" t="str">
            <v>0437</v>
          </cell>
          <cell r="F1379" t="str">
            <v>C1</v>
          </cell>
          <cell r="G1379" t="str">
            <v>RS</v>
          </cell>
          <cell r="H1379" t="str">
            <v>INGREDIENTS</v>
          </cell>
          <cell r="I1379" t="str">
            <v>INGREDIENTS</v>
          </cell>
          <cell r="J1379" t="str">
            <v>MARCELO RODRIGUES</v>
          </cell>
          <cell r="K1379" t="str">
            <v>LACTALIS</v>
          </cell>
          <cell r="L1379" t="str">
            <v>MAURICIO</v>
          </cell>
          <cell r="M1379" t="str">
            <v>MARCELO</v>
          </cell>
        </row>
        <row r="1380">
          <cell r="B1380">
            <v>5161386</v>
          </cell>
          <cell r="C1380" t="str">
            <v>TOP ALTO PARTICIPACOES E COM LTDA</v>
          </cell>
          <cell r="D1380">
            <v>3001</v>
          </cell>
          <cell r="E1380" t="str">
            <v>0169</v>
          </cell>
          <cell r="F1380" t="str">
            <v>C1</v>
          </cell>
          <cell r="G1380" t="str">
            <v>RJ</v>
          </cell>
          <cell r="H1380" t="str">
            <v>DISTRIBUIÇÃO</v>
          </cell>
          <cell r="I1380" t="str">
            <v>FOOD SERVICE</v>
          </cell>
          <cell r="J1380" t="str">
            <v>JESSICA CARLA</v>
          </cell>
          <cell r="K1380" t="str">
            <v>ITAMBÉ</v>
          </cell>
          <cell r="L1380" t="str">
            <v>RODRIGO</v>
          </cell>
          <cell r="M1380" t="str">
            <v>JESSICA</v>
          </cell>
        </row>
        <row r="1381">
          <cell r="B1381">
            <v>5179953</v>
          </cell>
          <cell r="C1381" t="str">
            <v>TOP ARABE RESTAURANTE LTDA</v>
          </cell>
          <cell r="D1381">
            <v>7001</v>
          </cell>
          <cell r="E1381" t="str">
            <v>0749</v>
          </cell>
          <cell r="F1381" t="str">
            <v>C5</v>
          </cell>
          <cell r="G1381" t="str">
            <v>SP</v>
          </cell>
          <cell r="H1381" t="str">
            <v>DISTRIBUIÇÃO</v>
          </cell>
          <cell r="I1381" t="str">
            <v>FOOD SERVICE</v>
          </cell>
          <cell r="J1381" t="str">
            <v>FLAC 3</v>
          </cell>
          <cell r="K1381" t="str">
            <v>LACTALIS</v>
          </cell>
          <cell r="L1381" t="str">
            <v>RODRIGO</v>
          </cell>
          <cell r="M1381" t="str">
            <v>RAQUEL BARBOSA</v>
          </cell>
        </row>
        <row r="1382">
          <cell r="B1382">
            <v>5023997</v>
          </cell>
          <cell r="C1382" t="str">
            <v>TOP CESTA DE ALIMENTOS LTDA</v>
          </cell>
          <cell r="D1382">
            <v>3001</v>
          </cell>
          <cell r="E1382" t="str">
            <v>0122</v>
          </cell>
          <cell r="F1382" t="str">
            <v>C1</v>
          </cell>
          <cell r="G1382" t="str">
            <v>MG</v>
          </cell>
          <cell r="H1382" t="str">
            <v>DISTRIBUIÇÃO</v>
          </cell>
          <cell r="I1382" t="str">
            <v>FOOD SERVICE</v>
          </cell>
          <cell r="J1382" t="str">
            <v>MARCELO SILVA</v>
          </cell>
          <cell r="K1382" t="str">
            <v>ITAMBÉ</v>
          </cell>
          <cell r="L1382" t="str">
            <v>RODRIGO</v>
          </cell>
          <cell r="M1382" t="str">
            <v>CELIO MARTINS</v>
          </cell>
        </row>
        <row r="1383">
          <cell r="B1383">
            <v>5263331</v>
          </cell>
          <cell r="C1383" t="str">
            <v>TOQUE DE AMOR RESTAURANTE LTDA ME</v>
          </cell>
          <cell r="D1383">
            <v>7001</v>
          </cell>
          <cell r="E1383" t="str">
            <v>0749</v>
          </cell>
          <cell r="F1383" t="str">
            <v>C5</v>
          </cell>
          <cell r="G1383" t="str">
            <v>SP</v>
          </cell>
          <cell r="H1383" t="str">
            <v>DISTRIBUIÇÃO</v>
          </cell>
          <cell r="I1383" t="str">
            <v>FOOD SERVICE</v>
          </cell>
          <cell r="J1383" t="str">
            <v>FLAC 6</v>
          </cell>
          <cell r="K1383" t="str">
            <v>LACTALIS</v>
          </cell>
          <cell r="L1383" t="str">
            <v>RODRIGO</v>
          </cell>
          <cell r="M1383" t="str">
            <v>RAQUEL BARBOSA</v>
          </cell>
        </row>
        <row r="1384">
          <cell r="B1384">
            <v>5269528</v>
          </cell>
          <cell r="C1384" t="str">
            <v>TOR ALIMENTOS E COMERCIO LTDA</v>
          </cell>
          <cell r="D1384">
            <v>7001</v>
          </cell>
          <cell r="E1384" t="str">
            <v>0749</v>
          </cell>
          <cell r="F1384" t="str">
            <v>C5</v>
          </cell>
          <cell r="G1384" t="str">
            <v>SP</v>
          </cell>
          <cell r="H1384" t="str">
            <v>DISTRIBUIÇÃO</v>
          </cell>
          <cell r="I1384" t="str">
            <v>FOOD SERVICE</v>
          </cell>
          <cell r="J1384" t="str">
            <v>FLAC 3</v>
          </cell>
          <cell r="K1384" t="str">
            <v>LACTALIS</v>
          </cell>
          <cell r="L1384" t="str">
            <v>RODRIGO</v>
          </cell>
          <cell r="M1384" t="str">
            <v>RAQUEL BARBOSA</v>
          </cell>
        </row>
        <row r="1385">
          <cell r="B1385">
            <v>5327150</v>
          </cell>
          <cell r="C1385" t="str">
            <v>TP PATISSERIE COMERCIO DE ALIME</v>
          </cell>
          <cell r="D1385">
            <v>7001</v>
          </cell>
          <cell r="E1385" t="str">
            <v>0749</v>
          </cell>
          <cell r="F1385" t="str">
            <v>C5</v>
          </cell>
          <cell r="G1385" t="str">
            <v>SP</v>
          </cell>
          <cell r="H1385" t="str">
            <v>DISTRIBUIÇÃO</v>
          </cell>
          <cell r="I1385" t="str">
            <v>FOOD SERVICE</v>
          </cell>
          <cell r="J1385" t="str">
            <v>FLAC 6</v>
          </cell>
          <cell r="K1385" t="str">
            <v>LACTALIS</v>
          </cell>
          <cell r="L1385" t="str">
            <v>RODRIGO</v>
          </cell>
          <cell r="M1385" t="str">
            <v>RAQUEL BARBOSA</v>
          </cell>
        </row>
        <row r="1386">
          <cell r="B1386">
            <v>5302653</v>
          </cell>
          <cell r="C1386" t="str">
            <v>TRE BIMBI IND E COM DE ALIM LTDA</v>
          </cell>
          <cell r="D1386">
            <v>7001</v>
          </cell>
          <cell r="E1386" t="str">
            <v>0749</v>
          </cell>
          <cell r="F1386" t="str">
            <v>C5</v>
          </cell>
          <cell r="G1386" t="str">
            <v>SP</v>
          </cell>
          <cell r="H1386" t="str">
            <v>DISTRIBUIÇÃO</v>
          </cell>
          <cell r="I1386" t="str">
            <v>FOOD SERVICE</v>
          </cell>
          <cell r="J1386" t="str">
            <v>FLAC 2</v>
          </cell>
          <cell r="K1386" t="str">
            <v>LACTALIS</v>
          </cell>
          <cell r="L1386" t="str">
            <v>RODRIGO</v>
          </cell>
          <cell r="M1386" t="str">
            <v>RAQUEL BARBOSA</v>
          </cell>
        </row>
        <row r="1387">
          <cell r="B1387">
            <v>5160241</v>
          </cell>
          <cell r="C1387" t="str">
            <v>TRES CORACOES ALIMENTOS SA</v>
          </cell>
          <cell r="D1387">
            <v>3001</v>
          </cell>
          <cell r="E1387" t="str">
            <v>0126</v>
          </cell>
          <cell r="F1387" t="str">
            <v>C1</v>
          </cell>
          <cell r="G1387" t="str">
            <v>RN</v>
          </cell>
          <cell r="H1387" t="str">
            <v>INGREDIENTS</v>
          </cell>
          <cell r="I1387" t="str">
            <v>INGREDIENTS</v>
          </cell>
          <cell r="J1387" t="str">
            <v>JOEL ELEOTÉRIO</v>
          </cell>
          <cell r="K1387" t="str">
            <v>ITAMBÉ</v>
          </cell>
          <cell r="L1387" t="str">
            <v>MAURICIO</v>
          </cell>
          <cell r="M1387" t="str">
            <v>JOEL</v>
          </cell>
        </row>
        <row r="1388">
          <cell r="B1388">
            <v>5167171</v>
          </cell>
          <cell r="C1388" t="str">
            <v>TREVO LACTEOS SA</v>
          </cell>
          <cell r="D1388">
            <v>3001</v>
          </cell>
          <cell r="E1388" t="str">
            <v>0028</v>
          </cell>
          <cell r="F1388" t="str">
            <v>C1</v>
          </cell>
          <cell r="G1388" t="str">
            <v>MG</v>
          </cell>
          <cell r="H1388" t="str">
            <v>INGREDIENTS</v>
          </cell>
          <cell r="I1388" t="str">
            <v>INGREDIENTS</v>
          </cell>
          <cell r="J1388" t="str">
            <v>JOEL ELEOTÉRIO</v>
          </cell>
          <cell r="K1388" t="str">
            <v>ITAMBÉ</v>
          </cell>
          <cell r="L1388" t="str">
            <v>MAURICIO</v>
          </cell>
          <cell r="M1388" t="str">
            <v>JOEL</v>
          </cell>
        </row>
        <row r="1389">
          <cell r="B1389">
            <v>5322137</v>
          </cell>
          <cell r="C1389" t="str">
            <v>TREZ PADARIA ARTESANAL LTDA</v>
          </cell>
          <cell r="D1389">
            <v>7001</v>
          </cell>
          <cell r="E1389" t="str">
            <v>0749</v>
          </cell>
          <cell r="F1389" t="str">
            <v>C5</v>
          </cell>
          <cell r="G1389" t="str">
            <v>SP</v>
          </cell>
          <cell r="H1389" t="str">
            <v>DISTRIBUIÇÃO</v>
          </cell>
          <cell r="I1389" t="str">
            <v>FOOD SERVICE</v>
          </cell>
          <cell r="J1389" t="str">
            <v>FLAC 6</v>
          </cell>
          <cell r="K1389" t="str">
            <v>LACTALIS</v>
          </cell>
          <cell r="L1389" t="str">
            <v>RODRIGO</v>
          </cell>
          <cell r="M1389" t="str">
            <v>RAQUEL BARBOSA</v>
          </cell>
        </row>
        <row r="1390">
          <cell r="B1390">
            <v>5038591</v>
          </cell>
          <cell r="C1390" t="str">
            <v>TRIGAL IMP EXP PROD ALIM LTDA</v>
          </cell>
          <cell r="D1390">
            <v>3001</v>
          </cell>
          <cell r="E1390" t="str">
            <v>0127</v>
          </cell>
          <cell r="F1390" t="str">
            <v>C1</v>
          </cell>
          <cell r="G1390" t="str">
            <v>BA</v>
          </cell>
          <cell r="H1390" t="str">
            <v>DISTRIBUIÇÃO</v>
          </cell>
          <cell r="I1390" t="str">
            <v>FOOD SERVICE</v>
          </cell>
          <cell r="J1390" t="str">
            <v>CLAUDIO JORGE/LUIZ</v>
          </cell>
          <cell r="K1390" t="str">
            <v>ITAMBÉ</v>
          </cell>
          <cell r="L1390" t="str">
            <v>RODRIGO</v>
          </cell>
          <cell r="M1390" t="str">
            <v>MARIA LOURDES</v>
          </cell>
        </row>
        <row r="1391">
          <cell r="B1391">
            <v>5317575</v>
          </cell>
          <cell r="C1391" t="str">
            <v>TRINO LISTENING BAR LTDA</v>
          </cell>
          <cell r="D1391">
            <v>7001</v>
          </cell>
          <cell r="E1391" t="str">
            <v>0749</v>
          </cell>
          <cell r="F1391" t="str">
            <v>C5</v>
          </cell>
          <cell r="G1391" t="str">
            <v>SP</v>
          </cell>
          <cell r="H1391" t="str">
            <v>DISTRIBUIÇÃO</v>
          </cell>
          <cell r="I1391" t="str">
            <v>FOOD SERVICE</v>
          </cell>
          <cell r="J1391" t="str">
            <v>FLAC 5</v>
          </cell>
          <cell r="K1391" t="str">
            <v>LACTALIS</v>
          </cell>
          <cell r="L1391" t="str">
            <v>RODRIGO</v>
          </cell>
          <cell r="M1391" t="str">
            <v>RAQUEL BARBOSA</v>
          </cell>
        </row>
        <row r="1392">
          <cell r="B1392">
            <v>5022694</v>
          </cell>
          <cell r="C1392" t="str">
            <v>TRIUNFO IMPORT AND EXPORT FOOD CORP</v>
          </cell>
          <cell r="D1392">
            <v>3001</v>
          </cell>
          <cell r="E1392" t="str">
            <v>0062</v>
          </cell>
          <cell r="F1392" t="str">
            <v>C1</v>
          </cell>
          <cell r="G1392" t="str">
            <v>NJ</v>
          </cell>
          <cell r="H1392" t="str">
            <v>OUTROS</v>
          </cell>
          <cell r="I1392" t="str">
            <v>OUTROS</v>
          </cell>
          <cell r="J1392" t="str">
            <v>ITAMBE - EXPORTACAO</v>
          </cell>
          <cell r="K1392" t="str">
            <v>OUTROS</v>
          </cell>
          <cell r="L1392" t="str">
            <v>OUTROS</v>
          </cell>
          <cell r="M1392" t="str">
            <v>EXPORTAÇÃO</v>
          </cell>
        </row>
        <row r="1393">
          <cell r="B1393">
            <v>5308627</v>
          </cell>
          <cell r="C1393" t="str">
            <v>TRIUNFO SPECIALTY FOODS CORP</v>
          </cell>
          <cell r="D1393">
            <v>3001</v>
          </cell>
          <cell r="E1393" t="str">
            <v>0062</v>
          </cell>
          <cell r="F1393" t="str">
            <v>C1</v>
          </cell>
          <cell r="G1393" t="str">
            <v/>
          </cell>
          <cell r="H1393" t="str">
            <v>OUTROS</v>
          </cell>
          <cell r="I1393" t="str">
            <v>OUTROS</v>
          </cell>
          <cell r="J1393" t="str">
            <v>ITAMBE - EXPORTACAO</v>
          </cell>
          <cell r="K1393" t="str">
            <v>OUTROS</v>
          </cell>
          <cell r="L1393" t="str">
            <v>OUTROS</v>
          </cell>
          <cell r="M1393" t="str">
            <v>EXPORTAÇÃO</v>
          </cell>
        </row>
        <row r="1394">
          <cell r="B1394">
            <v>5311265</v>
          </cell>
          <cell r="C1394" t="str">
            <v>TRIVENTO RESTAURANTE E ROTISSER</v>
          </cell>
          <cell r="D1394">
            <v>7001</v>
          </cell>
          <cell r="E1394" t="str">
            <v>0749</v>
          </cell>
          <cell r="F1394" t="str">
            <v>C5</v>
          </cell>
          <cell r="G1394" t="str">
            <v>SP</v>
          </cell>
          <cell r="H1394" t="str">
            <v>DISTRIBUIÇÃO</v>
          </cell>
          <cell r="I1394" t="str">
            <v>FOOD SERVICE</v>
          </cell>
          <cell r="J1394" t="str">
            <v>FLAC 6</v>
          </cell>
          <cell r="K1394" t="str">
            <v>LACTALIS</v>
          </cell>
          <cell r="L1394" t="str">
            <v>RODRIGO</v>
          </cell>
          <cell r="M1394" t="str">
            <v>RAQUEL BARBOSA</v>
          </cell>
        </row>
        <row r="1395">
          <cell r="B1395">
            <v>5279507</v>
          </cell>
          <cell r="C1395" t="str">
            <v>TRIVIAL COMERCIO DE ALIM LTDA</v>
          </cell>
          <cell r="D1395">
            <v>7001</v>
          </cell>
          <cell r="E1395" t="str">
            <v>0749</v>
          </cell>
          <cell r="F1395" t="str">
            <v>C5</v>
          </cell>
          <cell r="G1395" t="str">
            <v>SP</v>
          </cell>
          <cell r="H1395" t="str">
            <v>DISTRIBUIÇÃO</v>
          </cell>
          <cell r="I1395" t="str">
            <v>FOOD SERVICE</v>
          </cell>
          <cell r="J1395" t="str">
            <v>FLAC 6</v>
          </cell>
          <cell r="K1395" t="str">
            <v>LACTALIS</v>
          </cell>
          <cell r="L1395" t="str">
            <v>RODRIGO</v>
          </cell>
          <cell r="M1395" t="str">
            <v>RAQUEL BARBOSA</v>
          </cell>
        </row>
        <row r="1396">
          <cell r="B1396">
            <v>5338457</v>
          </cell>
          <cell r="C1396" t="str">
            <v>TRIX ALIMENTACAO LTDA</v>
          </cell>
          <cell r="D1396">
            <v>7001</v>
          </cell>
          <cell r="E1396" t="str">
            <v>0749</v>
          </cell>
          <cell r="F1396" t="str">
            <v>C5</v>
          </cell>
          <cell r="G1396" t="str">
            <v>SP</v>
          </cell>
          <cell r="H1396" t="str">
            <v>DISTRIBUIÇÃO</v>
          </cell>
          <cell r="I1396" t="str">
            <v>FOOD SERVICE</v>
          </cell>
          <cell r="J1396" t="str">
            <v>FLAC 6</v>
          </cell>
          <cell r="K1396" t="str">
            <v>LACTALIS</v>
          </cell>
          <cell r="L1396" t="str">
            <v>RODRIGO</v>
          </cell>
          <cell r="M1396" t="str">
            <v>RAQUEL BARBOSA</v>
          </cell>
        </row>
        <row r="1397">
          <cell r="B1397">
            <v>5326106</v>
          </cell>
          <cell r="C1397" t="str">
            <v>TRIX PREMIUM ALIMENTACAO ESCOLA</v>
          </cell>
          <cell r="D1397">
            <v>7001</v>
          </cell>
          <cell r="E1397" t="str">
            <v>0749</v>
          </cell>
          <cell r="F1397" t="str">
            <v>C5</v>
          </cell>
          <cell r="G1397" t="str">
            <v>SP</v>
          </cell>
          <cell r="H1397" t="str">
            <v>DISTRIBUIÇÃO</v>
          </cell>
          <cell r="I1397" t="str">
            <v>FOOD SERVICE</v>
          </cell>
          <cell r="J1397" t="str">
            <v>FLAC 6</v>
          </cell>
          <cell r="K1397" t="str">
            <v>LACTALIS</v>
          </cell>
          <cell r="L1397" t="str">
            <v>RODRIGO</v>
          </cell>
          <cell r="M1397" t="str">
            <v>RAQUEL BARBOSA</v>
          </cell>
        </row>
        <row r="1398">
          <cell r="B1398">
            <v>5150168</v>
          </cell>
          <cell r="C1398" t="str">
            <v>TRUE ACAI DISTRIBUIDORA LTDA ME</v>
          </cell>
          <cell r="D1398">
            <v>3001</v>
          </cell>
          <cell r="E1398" t="str">
            <v>0127</v>
          </cell>
          <cell r="F1398" t="str">
            <v>C1</v>
          </cell>
          <cell r="G1398" t="str">
            <v>CE</v>
          </cell>
          <cell r="H1398" t="str">
            <v>DISTRIBUIÇÃO</v>
          </cell>
          <cell r="I1398" t="str">
            <v>FOOD SERVICE</v>
          </cell>
          <cell r="J1398" t="str">
            <v>WH FOOD SERVICE CE</v>
          </cell>
          <cell r="K1398" t="str">
            <v>ITAMBÉ</v>
          </cell>
          <cell r="L1398" t="str">
            <v>RODRIGO</v>
          </cell>
          <cell r="M1398" t="str">
            <v>MARIA LOURDES</v>
          </cell>
        </row>
        <row r="1399">
          <cell r="B1399">
            <v>5261543</v>
          </cell>
          <cell r="C1399" t="str">
            <v>TRUFATTI INDUSTRIA E COM DE ALIM LT</v>
          </cell>
          <cell r="D1399">
            <v>7001</v>
          </cell>
          <cell r="E1399" t="str">
            <v>0749</v>
          </cell>
          <cell r="F1399" t="str">
            <v>C5</v>
          </cell>
          <cell r="G1399" t="str">
            <v>SP</v>
          </cell>
          <cell r="H1399" t="str">
            <v>DISTRIBUIÇÃO</v>
          </cell>
          <cell r="I1399" t="str">
            <v>FOOD SERVICE</v>
          </cell>
          <cell r="J1399" t="str">
            <v>FLAC 7</v>
          </cell>
          <cell r="K1399" t="str">
            <v>LACTALIS</v>
          </cell>
          <cell r="L1399" t="str">
            <v>RODRIGO</v>
          </cell>
          <cell r="M1399" t="str">
            <v>RAQUEL BARBOSA</v>
          </cell>
        </row>
        <row r="1400">
          <cell r="B1400">
            <v>5008588</v>
          </cell>
          <cell r="C1400" t="str">
            <v>TUDO TORTAS COM SOBREMESAS LTDA ME</v>
          </cell>
          <cell r="D1400">
            <v>7001</v>
          </cell>
          <cell r="E1400" t="str">
            <v>0749</v>
          </cell>
          <cell r="F1400" t="str">
            <v>C5</v>
          </cell>
          <cell r="G1400" t="str">
            <v>SP</v>
          </cell>
          <cell r="H1400" t="str">
            <v>DISTRIBUIÇÃO</v>
          </cell>
          <cell r="I1400" t="str">
            <v>FOOD SERVICE</v>
          </cell>
          <cell r="J1400" t="str">
            <v>FLAC 5</v>
          </cell>
          <cell r="K1400" t="str">
            <v>LACTALIS</v>
          </cell>
          <cell r="L1400" t="str">
            <v>RODRIGO</v>
          </cell>
          <cell r="M1400" t="str">
            <v>RAQUEL BARBOSA</v>
          </cell>
        </row>
        <row r="1401">
          <cell r="B1401">
            <v>5073333</v>
          </cell>
          <cell r="C1401" t="str">
            <v>TUFFUS</v>
          </cell>
          <cell r="D1401">
            <v>3001</v>
          </cell>
          <cell r="E1401" t="str">
            <v>0127</v>
          </cell>
          <cell r="F1401" t="str">
            <v>C1</v>
          </cell>
          <cell r="G1401" t="str">
            <v>BA</v>
          </cell>
          <cell r="H1401" t="str">
            <v>DISTRIBUIÇÃO</v>
          </cell>
          <cell r="I1401" t="str">
            <v>FOOD SERVICE</v>
          </cell>
          <cell r="J1401" t="str">
            <v>CLAUDIO JORGE/LUIZ</v>
          </cell>
          <cell r="K1401" t="str">
            <v>ITAMBÉ</v>
          </cell>
          <cell r="L1401" t="str">
            <v>RODRIGO</v>
          </cell>
          <cell r="M1401" t="str">
            <v>MARIA LOURDES</v>
          </cell>
        </row>
        <row r="1402">
          <cell r="B1402">
            <v>5172996</v>
          </cell>
          <cell r="C1402" t="str">
            <v>TVL FOODS E DISTRIBUICAO EIRELI</v>
          </cell>
          <cell r="D1402">
            <v>3001</v>
          </cell>
          <cell r="E1402" t="str">
            <v>0128</v>
          </cell>
          <cell r="F1402" t="str">
            <v>C1</v>
          </cell>
          <cell r="G1402" t="str">
            <v>PA</v>
          </cell>
          <cell r="H1402" t="str">
            <v>DISTRIBUIÇÃO</v>
          </cell>
          <cell r="I1402" t="str">
            <v>FOOD SERVICE</v>
          </cell>
          <cell r="J1402" t="str">
            <v>TC REPRESENTAÇÕES</v>
          </cell>
          <cell r="K1402" t="str">
            <v>ITAMBÉ</v>
          </cell>
          <cell r="L1402" t="str">
            <v>RODRIGO</v>
          </cell>
          <cell r="M1402" t="str">
            <v>MARCO AURELIO</v>
          </cell>
        </row>
        <row r="1403">
          <cell r="B1403">
            <v>5266351</v>
          </cell>
          <cell r="C1403" t="str">
            <v>UBAIA CAFE LTDA</v>
          </cell>
          <cell r="D1403">
            <v>7001</v>
          </cell>
          <cell r="E1403" t="str">
            <v>0749</v>
          </cell>
          <cell r="F1403" t="str">
            <v>C5</v>
          </cell>
          <cell r="G1403" t="str">
            <v>SP</v>
          </cell>
          <cell r="H1403" t="str">
            <v>DISTRIBUIÇÃO</v>
          </cell>
          <cell r="I1403" t="str">
            <v>FOOD SERVICE</v>
          </cell>
          <cell r="J1403" t="str">
            <v>FLAC 3</v>
          </cell>
          <cell r="K1403" t="str">
            <v>LACTALIS</v>
          </cell>
          <cell r="L1403" t="str">
            <v>RODRIGO</v>
          </cell>
          <cell r="M1403" t="str">
            <v>RAQUEL BARBOSA</v>
          </cell>
        </row>
        <row r="1404">
          <cell r="B1404">
            <v>5337960</v>
          </cell>
          <cell r="C1404" t="str">
            <v>ULTRASUCAR LTDA</v>
          </cell>
          <cell r="D1404">
            <v>4001</v>
          </cell>
          <cell r="E1404" t="str">
            <v>0455</v>
          </cell>
          <cell r="F1404" t="str">
            <v>C1</v>
          </cell>
          <cell r="G1404" t="str">
            <v>SP</v>
          </cell>
          <cell r="H1404" t="str">
            <v>INGREDIENTS</v>
          </cell>
          <cell r="I1404" t="str">
            <v>INGREDIENTS</v>
          </cell>
          <cell r="J1404" t="str">
            <v>MARCELO RODRIGUES</v>
          </cell>
          <cell r="K1404" t="str">
            <v>LACTALIS</v>
          </cell>
          <cell r="L1404" t="str">
            <v>MAURICIO</v>
          </cell>
          <cell r="M1404" t="str">
            <v>MARCELO</v>
          </cell>
        </row>
        <row r="1405">
          <cell r="B1405">
            <v>5337960</v>
          </cell>
          <cell r="C1405" t="str">
            <v>ULTRASUCAR LTDA</v>
          </cell>
          <cell r="D1405">
            <v>3001</v>
          </cell>
          <cell r="E1405" t="str">
            <v>0122</v>
          </cell>
          <cell r="F1405" t="str">
            <v>C1</v>
          </cell>
          <cell r="G1405" t="str">
            <v>SP</v>
          </cell>
          <cell r="H1405" t="str">
            <v>INGREDIENTS</v>
          </cell>
          <cell r="I1405" t="str">
            <v>INGREDIENTS</v>
          </cell>
          <cell r="J1405" t="str">
            <v>MARCELO RODRIGUES</v>
          </cell>
          <cell r="K1405" t="str">
            <v>ITAMBÉ</v>
          </cell>
          <cell r="L1405" t="str">
            <v>MAURICIO</v>
          </cell>
          <cell r="M1405" t="str">
            <v>MARCELO</v>
          </cell>
        </row>
        <row r="1406">
          <cell r="B1406">
            <v>5159431</v>
          </cell>
          <cell r="C1406" t="str">
            <v>UNICENA LLC</v>
          </cell>
          <cell r="D1406">
            <v>3001</v>
          </cell>
          <cell r="E1406" t="str">
            <v>0062</v>
          </cell>
          <cell r="F1406" t="str">
            <v>C1</v>
          </cell>
          <cell r="G1406" t="str">
            <v/>
          </cell>
          <cell r="H1406" t="str">
            <v>OUTROS</v>
          </cell>
          <cell r="I1406" t="str">
            <v>OUTROS</v>
          </cell>
          <cell r="J1406" t="str">
            <v>ITAMBE - EXPORTACAO</v>
          </cell>
          <cell r="K1406" t="str">
            <v>OUTROS</v>
          </cell>
          <cell r="L1406" t="str">
            <v>OUTROS</v>
          </cell>
          <cell r="M1406" t="str">
            <v>EXPORTAÇÃO</v>
          </cell>
        </row>
        <row r="1407">
          <cell r="B1407">
            <v>5302013</v>
          </cell>
          <cell r="C1407" t="str">
            <v>UNIFLAVOR FROZEN YOGURT DO BRASIL L</v>
          </cell>
          <cell r="D1407">
            <v>7001</v>
          </cell>
          <cell r="E1407" t="str">
            <v>0749</v>
          </cell>
          <cell r="F1407" t="str">
            <v>C5</v>
          </cell>
          <cell r="G1407" t="str">
            <v>SP</v>
          </cell>
          <cell r="H1407" t="str">
            <v>DISTRIBUIÇÃO</v>
          </cell>
          <cell r="I1407" t="str">
            <v>FOOD SERVICE</v>
          </cell>
          <cell r="J1407" t="str">
            <v>FLAC 6</v>
          </cell>
          <cell r="K1407" t="str">
            <v>LACTALIS</v>
          </cell>
          <cell r="L1407" t="str">
            <v>RODRIGO</v>
          </cell>
          <cell r="M1407" t="str">
            <v>RAQUEL BARBOSA</v>
          </cell>
        </row>
        <row r="1408">
          <cell r="B1408">
            <v>5146491</v>
          </cell>
          <cell r="C1408" t="str">
            <v>UNILEVER BRASIL GELADOS LTDA</v>
          </cell>
          <cell r="D1408">
            <v>3001</v>
          </cell>
          <cell r="E1408" t="str">
            <v>0028</v>
          </cell>
          <cell r="F1408" t="str">
            <v>C1</v>
          </cell>
          <cell r="G1408" t="str">
            <v>SP</v>
          </cell>
          <cell r="H1408" t="str">
            <v>INGREDIENTS</v>
          </cell>
          <cell r="I1408" t="str">
            <v>INGREDIENTS</v>
          </cell>
          <cell r="J1408" t="str">
            <v>TATIANA NITTA</v>
          </cell>
          <cell r="K1408" t="str">
            <v>ITAMBÉ</v>
          </cell>
          <cell r="L1408" t="str">
            <v>MAURICIO</v>
          </cell>
          <cell r="M1408" t="str">
            <v>TATIANA NITTA</v>
          </cell>
        </row>
        <row r="1409">
          <cell r="B1409">
            <v>5146491</v>
          </cell>
          <cell r="C1409" t="str">
            <v>UNILEVER BRASIL GELADOS LTDA</v>
          </cell>
          <cell r="D1409">
            <v>6001</v>
          </cell>
          <cell r="E1409" t="str">
            <v>6028</v>
          </cell>
          <cell r="F1409" t="str">
            <v>C1</v>
          </cell>
          <cell r="G1409" t="str">
            <v>SP</v>
          </cell>
          <cell r="H1409" t="str">
            <v>INGREDIENTS</v>
          </cell>
          <cell r="I1409" t="str">
            <v>INGREDIENTS</v>
          </cell>
          <cell r="J1409" t="str">
            <v>TATIANA NITTA</v>
          </cell>
          <cell r="K1409" t="str">
            <v>ITAMBÉ</v>
          </cell>
          <cell r="L1409" t="str">
            <v>MAURICIO</v>
          </cell>
          <cell r="M1409" t="str">
            <v>TATIANA NITTA</v>
          </cell>
        </row>
        <row r="1410">
          <cell r="B1410">
            <v>5167678</v>
          </cell>
          <cell r="C1410" t="str">
            <v>UNIPAN COMERCIO DE PRODUTOS ALIM LT</v>
          </cell>
          <cell r="D1410">
            <v>3001</v>
          </cell>
          <cell r="E1410" t="str">
            <v>0123</v>
          </cell>
          <cell r="F1410" t="str">
            <v>C1</v>
          </cell>
          <cell r="G1410" t="str">
            <v>GO</v>
          </cell>
          <cell r="H1410" t="str">
            <v>DISTRIBUIÇÃO</v>
          </cell>
          <cell r="I1410" t="str">
            <v>FOOD SERVICE</v>
          </cell>
          <cell r="J1410" t="str">
            <v>CLAUDIO JORGE</v>
          </cell>
          <cell r="K1410" t="str">
            <v>ITAMBÉ</v>
          </cell>
          <cell r="L1410" t="str">
            <v>RODRIGO</v>
          </cell>
          <cell r="M1410" t="str">
            <v>MARCO AURELIO</v>
          </cell>
        </row>
        <row r="1411">
          <cell r="B1411">
            <v>5043976</v>
          </cell>
          <cell r="C1411" t="str">
            <v>UP DIST DE PRODS DESCARTAVEIS LTDA</v>
          </cell>
          <cell r="D1411">
            <v>3001</v>
          </cell>
          <cell r="E1411" t="str">
            <v>0127</v>
          </cell>
          <cell r="F1411" t="str">
            <v>C1</v>
          </cell>
          <cell r="G1411" t="str">
            <v>AL</v>
          </cell>
          <cell r="H1411" t="str">
            <v>DISTRIBUIÇÃO</v>
          </cell>
          <cell r="I1411" t="str">
            <v>FOOD SERVICE</v>
          </cell>
          <cell r="J1411" t="str">
            <v>DIGMA REPR LTDA</v>
          </cell>
          <cell r="K1411" t="str">
            <v>ITAMBÉ</v>
          </cell>
          <cell r="L1411" t="str">
            <v>RODRIGO</v>
          </cell>
          <cell r="M1411" t="str">
            <v>MARIA LOURDES</v>
          </cell>
        </row>
        <row r="1412">
          <cell r="B1412">
            <v>5323074</v>
          </cell>
          <cell r="C1412" t="str">
            <v>URBANATURE HOSPEDAGENS E SERVICOS L</v>
          </cell>
          <cell r="D1412">
            <v>7001</v>
          </cell>
          <cell r="E1412" t="str">
            <v>0749</v>
          </cell>
          <cell r="F1412" t="str">
            <v>C5</v>
          </cell>
          <cell r="G1412" t="str">
            <v>SP</v>
          </cell>
          <cell r="H1412" t="str">
            <v>DISTRIBUIÇÃO</v>
          </cell>
          <cell r="I1412" t="str">
            <v>FOOD SERVICE</v>
          </cell>
          <cell r="J1412" t="str">
            <v>FLAC 4</v>
          </cell>
          <cell r="K1412" t="str">
            <v>LACTALIS</v>
          </cell>
          <cell r="L1412" t="str">
            <v>RODRIGO</v>
          </cell>
          <cell r="M1412" t="str">
            <v>RAQUEL BARBOSA</v>
          </cell>
        </row>
        <row r="1413">
          <cell r="B1413">
            <v>5288228</v>
          </cell>
          <cell r="C1413" t="str">
            <v>URCA COMERCIO DE PAES EIRELI</v>
          </cell>
          <cell r="D1413">
            <v>7001</v>
          </cell>
          <cell r="E1413" t="str">
            <v>0749</v>
          </cell>
          <cell r="F1413" t="str">
            <v>C5</v>
          </cell>
          <cell r="G1413" t="str">
            <v>SP</v>
          </cell>
          <cell r="H1413" t="str">
            <v>DISTRIBUIÇÃO</v>
          </cell>
          <cell r="I1413" t="str">
            <v>FOOD SERVICE</v>
          </cell>
          <cell r="J1413" t="str">
            <v>FLAC 6</v>
          </cell>
          <cell r="K1413" t="str">
            <v>LACTALIS</v>
          </cell>
          <cell r="L1413" t="str">
            <v>RODRIGO</v>
          </cell>
          <cell r="M1413" t="str">
            <v>RAQUEL BARBOSA</v>
          </cell>
        </row>
        <row r="1414">
          <cell r="B1414">
            <v>5146430</v>
          </cell>
          <cell r="C1414" t="str">
            <v>USINA DE LATICINIOS JUSSARA SA</v>
          </cell>
          <cell r="D1414">
            <v>3001</v>
          </cell>
          <cell r="E1414" t="str">
            <v>0122</v>
          </cell>
          <cell r="F1414" t="str">
            <v>C1</v>
          </cell>
          <cell r="G1414" t="str">
            <v>MG</v>
          </cell>
          <cell r="H1414" t="str">
            <v>INGREDIENTS</v>
          </cell>
          <cell r="I1414" t="str">
            <v>INGREDIENTS</v>
          </cell>
          <cell r="J1414" t="str">
            <v>TATIANA NITTA</v>
          </cell>
          <cell r="K1414" t="str">
            <v>ITAMBÉ</v>
          </cell>
          <cell r="L1414" t="str">
            <v>MAURICIO</v>
          </cell>
          <cell r="M1414" t="str">
            <v>TATIANA NITTA</v>
          </cell>
        </row>
        <row r="1415">
          <cell r="B1415">
            <v>5141759</v>
          </cell>
          <cell r="C1415" t="str">
            <v>V C F BOM DOCE LTDA</v>
          </cell>
          <cell r="D1415">
            <v>3001</v>
          </cell>
          <cell r="E1415" t="str">
            <v>0169</v>
          </cell>
          <cell r="F1415" t="str">
            <v>C1</v>
          </cell>
          <cell r="G1415" t="str">
            <v>ES</v>
          </cell>
          <cell r="H1415" t="str">
            <v>DISTRIBUIÇÃO</v>
          </cell>
          <cell r="I1415" t="str">
            <v>FOOD SERVICE</v>
          </cell>
          <cell r="J1415" t="str">
            <v>MARCELO DUARTE</v>
          </cell>
          <cell r="K1415" t="str">
            <v>ITAMBÉ</v>
          </cell>
          <cell r="L1415" t="str">
            <v>RODRIGO</v>
          </cell>
          <cell r="M1415" t="str">
            <v>JESSICA</v>
          </cell>
        </row>
        <row r="1416">
          <cell r="B1416">
            <v>5141759</v>
          </cell>
          <cell r="C1416" t="str">
            <v>V C F BOM DOCE LTDA</v>
          </cell>
          <cell r="D1416">
            <v>3001</v>
          </cell>
          <cell r="E1416" t="str">
            <v>0122</v>
          </cell>
          <cell r="F1416" t="str">
            <v>C1</v>
          </cell>
          <cell r="G1416" t="str">
            <v>ES</v>
          </cell>
          <cell r="H1416" t="str">
            <v>DISTRIBUIÇÃO</v>
          </cell>
          <cell r="I1416" t="str">
            <v>FOOD SERVICE</v>
          </cell>
          <cell r="J1416" t="str">
            <v>MARCELO DUARTE</v>
          </cell>
          <cell r="K1416" t="str">
            <v>ITAMBÉ</v>
          </cell>
          <cell r="L1416" t="str">
            <v>RODRIGO</v>
          </cell>
          <cell r="M1416" t="str">
            <v>JESSICA</v>
          </cell>
        </row>
        <row r="1417">
          <cell r="B1417">
            <v>5339798</v>
          </cell>
          <cell r="C1417" t="str">
            <v>VALDINEI DE OLIVEIRA PANIFICADO</v>
          </cell>
          <cell r="D1417">
            <v>7001</v>
          </cell>
          <cell r="E1417" t="str">
            <v>0749</v>
          </cell>
          <cell r="F1417" t="str">
            <v>C5</v>
          </cell>
          <cell r="G1417" t="str">
            <v>SP</v>
          </cell>
          <cell r="H1417" t="str">
            <v>DISTRIBUIÇÃO</v>
          </cell>
          <cell r="I1417" t="str">
            <v>FOOD SERVICE</v>
          </cell>
          <cell r="J1417" t="str">
            <v>FLAC 7</v>
          </cell>
          <cell r="K1417" t="str">
            <v>LACTALIS</v>
          </cell>
          <cell r="L1417" t="str">
            <v>RODRIGO</v>
          </cell>
          <cell r="M1417" t="str">
            <v>RAQUEL BARBOSA</v>
          </cell>
        </row>
        <row r="1418">
          <cell r="B1418">
            <v>5106559</v>
          </cell>
          <cell r="C1418" t="str">
            <v>VALE DO ACO EMBALAGENS EIRELI</v>
          </cell>
          <cell r="D1418">
            <v>3001</v>
          </cell>
          <cell r="E1418" t="str">
            <v>0122</v>
          </cell>
          <cell r="F1418" t="str">
            <v>C1</v>
          </cell>
          <cell r="G1418" t="str">
            <v>MG</v>
          </cell>
          <cell r="H1418" t="str">
            <v>DISTRIBUIÇÃO</v>
          </cell>
          <cell r="I1418" t="str">
            <v>FOOD SERVICE</v>
          </cell>
          <cell r="J1418" t="str">
            <v>MARCELO SILVA</v>
          </cell>
          <cell r="K1418" t="str">
            <v>ITAMBÉ</v>
          </cell>
          <cell r="L1418" t="str">
            <v>RODRIGO</v>
          </cell>
          <cell r="M1418" t="str">
            <v>CELIO MARTINS</v>
          </cell>
        </row>
        <row r="1419">
          <cell r="B1419">
            <v>5214364</v>
          </cell>
          <cell r="C1419" t="str">
            <v>VALE DO ACO EMBALAGENS EIRELI</v>
          </cell>
          <cell r="D1419">
            <v>3001</v>
          </cell>
          <cell r="E1419" t="str">
            <v>0122</v>
          </cell>
          <cell r="F1419" t="str">
            <v>C1</v>
          </cell>
          <cell r="G1419" t="str">
            <v>MG</v>
          </cell>
          <cell r="H1419" t="str">
            <v>DISTRIBUIÇÃO</v>
          </cell>
          <cell r="I1419" t="str">
            <v>FOOD SERVICE</v>
          </cell>
          <cell r="J1419" t="str">
            <v>MARCELO SILVA</v>
          </cell>
          <cell r="K1419" t="str">
            <v>ITAMBÉ</v>
          </cell>
          <cell r="L1419" t="str">
            <v>RODRIGO</v>
          </cell>
          <cell r="M1419" t="str">
            <v>CELIO MARTINS</v>
          </cell>
        </row>
        <row r="1420">
          <cell r="B1420">
            <v>5192611</v>
          </cell>
          <cell r="C1420" t="str">
            <v>VALENTE E CASTRO DIST DE ALIMENTOS</v>
          </cell>
          <cell r="D1420">
            <v>3001</v>
          </cell>
          <cell r="E1420" t="str">
            <v>0169</v>
          </cell>
          <cell r="F1420" t="str">
            <v>C1</v>
          </cell>
          <cell r="G1420" t="str">
            <v>RJ</v>
          </cell>
          <cell r="H1420" t="str">
            <v>DISTRIBUIÇÃO</v>
          </cell>
          <cell r="I1420" t="str">
            <v>FOOD SERVICE</v>
          </cell>
          <cell r="J1420" t="str">
            <v>JULIANA CORDEIRO</v>
          </cell>
          <cell r="K1420" t="str">
            <v>ITAMBÉ</v>
          </cell>
          <cell r="L1420" t="str">
            <v>RODRIGO</v>
          </cell>
          <cell r="M1420" t="str">
            <v>JESSICA</v>
          </cell>
        </row>
        <row r="1421">
          <cell r="B1421">
            <v>5189062</v>
          </cell>
          <cell r="C1421" t="str">
            <v>VENTURA ALIMENTOS EIRELI ME</v>
          </cell>
          <cell r="D1421">
            <v>3001</v>
          </cell>
          <cell r="E1421" t="str">
            <v>0122</v>
          </cell>
          <cell r="F1421" t="str">
            <v>C1</v>
          </cell>
          <cell r="G1421" t="str">
            <v>ES</v>
          </cell>
          <cell r="H1421" t="str">
            <v>DISTRIBUIÇÃO</v>
          </cell>
          <cell r="I1421" t="str">
            <v>FOOD SERVICE</v>
          </cell>
          <cell r="J1421" t="str">
            <v>MARCELO DUARTE</v>
          </cell>
          <cell r="K1421" t="str">
            <v>ITAMBÉ</v>
          </cell>
          <cell r="L1421" t="str">
            <v>RODRIGO</v>
          </cell>
          <cell r="M1421" t="str">
            <v>JESSICA</v>
          </cell>
        </row>
        <row r="1422">
          <cell r="B1422">
            <v>5129364</v>
          </cell>
          <cell r="C1422" t="str">
            <v>VEP FROZEN FOODS IMPORT E EXPORT LT</v>
          </cell>
          <cell r="D1422">
            <v>6001</v>
          </cell>
          <cell r="E1422" t="str">
            <v>6125</v>
          </cell>
          <cell r="F1422" t="str">
            <v>C1</v>
          </cell>
          <cell r="G1422" t="str">
            <v>SP</v>
          </cell>
          <cell r="H1422" t="str">
            <v>INGREDIENTS</v>
          </cell>
          <cell r="I1422" t="str">
            <v>INGREDIENTS</v>
          </cell>
          <cell r="J1422" t="str">
            <v>TATIANA NITTA</v>
          </cell>
          <cell r="K1422" t="str">
            <v>ITAMBÉ</v>
          </cell>
          <cell r="L1422" t="str">
            <v>MAURICIO</v>
          </cell>
          <cell r="M1422" t="str">
            <v>TATIANA NITTA</v>
          </cell>
        </row>
        <row r="1423">
          <cell r="B1423">
            <v>5323737</v>
          </cell>
          <cell r="C1423" t="str">
            <v>VERMMER RESTAURANTES E EVENTOS LTDA</v>
          </cell>
          <cell r="D1423">
            <v>7001</v>
          </cell>
          <cell r="E1423" t="str">
            <v>0749</v>
          </cell>
          <cell r="F1423" t="str">
            <v>C5</v>
          </cell>
          <cell r="G1423" t="str">
            <v>SP</v>
          </cell>
          <cell r="H1423" t="str">
            <v>DISTRIBUIÇÃO</v>
          </cell>
          <cell r="I1423" t="str">
            <v>FOOD SERVICE</v>
          </cell>
          <cell r="J1423" t="str">
            <v>FLAC 6</v>
          </cell>
          <cell r="K1423" t="str">
            <v>LACTALIS</v>
          </cell>
          <cell r="L1423" t="str">
            <v>RODRIGO</v>
          </cell>
          <cell r="M1423" t="str">
            <v>RAQUEL BARBOSA</v>
          </cell>
        </row>
        <row r="1424">
          <cell r="B1424">
            <v>5098965</v>
          </cell>
          <cell r="C1424" t="str">
            <v>VHS ALIMENTOS LTDA</v>
          </cell>
          <cell r="D1424">
            <v>4001</v>
          </cell>
          <cell r="E1424" t="str">
            <v>0455</v>
          </cell>
          <cell r="F1424" t="str">
            <v>C1</v>
          </cell>
          <cell r="G1424" t="str">
            <v>PR</v>
          </cell>
          <cell r="H1424" t="str">
            <v>INGREDIENTS</v>
          </cell>
          <cell r="I1424" t="str">
            <v>INGREDIENTS</v>
          </cell>
          <cell r="J1424" t="str">
            <v>MARCELO RODRIGUES</v>
          </cell>
          <cell r="K1424" t="str">
            <v>LACTALIS</v>
          </cell>
          <cell r="L1424" t="str">
            <v>MAURICIO</v>
          </cell>
          <cell r="M1424" t="str">
            <v>MARCELO</v>
          </cell>
        </row>
        <row r="1425">
          <cell r="B1425">
            <v>5338552</v>
          </cell>
          <cell r="C1425" t="str">
            <v>VICENTE DE OLIVEIRA ALMEIDA 265</v>
          </cell>
          <cell r="D1425">
            <v>7001</v>
          </cell>
          <cell r="E1425" t="str">
            <v>0749</v>
          </cell>
          <cell r="F1425" t="str">
            <v>C5</v>
          </cell>
          <cell r="G1425" t="str">
            <v>SP</v>
          </cell>
          <cell r="H1425" t="str">
            <v>DISTRIBUIÇÃO</v>
          </cell>
          <cell r="I1425" t="str">
            <v>FOOD SERVICE</v>
          </cell>
          <cell r="J1425" t="str">
            <v>FLAC 6</v>
          </cell>
          <cell r="K1425" t="str">
            <v>LACTALIS</v>
          </cell>
          <cell r="L1425" t="str">
            <v>RODRIGO</v>
          </cell>
          <cell r="M1425" t="str">
            <v>RAQUEL BARBOSA</v>
          </cell>
        </row>
        <row r="1426">
          <cell r="B1426">
            <v>5012007</v>
          </cell>
          <cell r="C1426" t="str">
            <v>VIENA COMERCIO DE ALIMENTOS LTD</v>
          </cell>
          <cell r="D1426">
            <v>3001</v>
          </cell>
          <cell r="E1426" t="str">
            <v>0127</v>
          </cell>
          <cell r="F1426" t="str">
            <v>C1</v>
          </cell>
          <cell r="G1426" t="str">
            <v>BA</v>
          </cell>
          <cell r="H1426" t="str">
            <v>DISTRIBUIÇÃO</v>
          </cell>
          <cell r="I1426" t="str">
            <v>FOOD SERVICE</v>
          </cell>
          <cell r="J1426" t="str">
            <v>CLAUDIO JORGE/LUIZ</v>
          </cell>
          <cell r="K1426" t="str">
            <v>ITAMBÉ</v>
          </cell>
          <cell r="L1426" t="str">
            <v>RODRIGO</v>
          </cell>
          <cell r="M1426" t="str">
            <v>MARIA LOURDES</v>
          </cell>
        </row>
        <row r="1427">
          <cell r="B1427">
            <v>5340762</v>
          </cell>
          <cell r="C1427" t="str">
            <v>VILAREJO DA BRITES LTDA</v>
          </cell>
          <cell r="D1427">
            <v>7001</v>
          </cell>
          <cell r="E1427" t="str">
            <v>0749</v>
          </cell>
          <cell r="F1427" t="str">
            <v>C5</v>
          </cell>
          <cell r="G1427" t="str">
            <v>SP</v>
          </cell>
          <cell r="H1427" t="str">
            <v>DISTRIBUIÇÃO</v>
          </cell>
          <cell r="I1427" t="str">
            <v>FOOD SERVICE</v>
          </cell>
          <cell r="J1427" t="str">
            <v>FLAC 5</v>
          </cell>
          <cell r="K1427" t="str">
            <v>LACTALIS</v>
          </cell>
          <cell r="L1427" t="str">
            <v>RODRIGO</v>
          </cell>
          <cell r="M1427" t="str">
            <v>RAQUEL BARBOSA</v>
          </cell>
        </row>
        <row r="1428">
          <cell r="B1428">
            <v>5323849</v>
          </cell>
          <cell r="C1428" t="str">
            <v>VILLAGIO GASTRONOMIA E EVENTOS LTDA</v>
          </cell>
          <cell r="D1428">
            <v>7001</v>
          </cell>
          <cell r="E1428" t="str">
            <v>0749</v>
          </cell>
          <cell r="F1428" t="str">
            <v>C5</v>
          </cell>
          <cell r="G1428" t="str">
            <v>SP</v>
          </cell>
          <cell r="H1428" t="str">
            <v>DISTRIBUIÇÃO</v>
          </cell>
          <cell r="I1428" t="str">
            <v>FOOD SERVICE</v>
          </cell>
          <cell r="J1428" t="str">
            <v>FLAC 2</v>
          </cell>
          <cell r="K1428" t="str">
            <v>LACTALIS</v>
          </cell>
          <cell r="L1428" t="str">
            <v>RODRIGO</v>
          </cell>
          <cell r="M1428" t="str">
            <v>RAQUEL BARBOSA</v>
          </cell>
        </row>
        <row r="1429">
          <cell r="B1429">
            <v>5150121</v>
          </cell>
          <cell r="C1429" t="str">
            <v>VITAO ALIMENTOS LTDA</v>
          </cell>
          <cell r="D1429">
            <v>4001</v>
          </cell>
          <cell r="E1429" t="str">
            <v>0437</v>
          </cell>
          <cell r="F1429" t="str">
            <v>C1</v>
          </cell>
          <cell r="G1429" t="str">
            <v>PR</v>
          </cell>
          <cell r="H1429" t="str">
            <v>INGREDIENTS</v>
          </cell>
          <cell r="I1429" t="str">
            <v>INGREDIENTS</v>
          </cell>
          <cell r="J1429" t="str">
            <v>MARCELO RODRIGUES</v>
          </cell>
          <cell r="K1429" t="str">
            <v>LACTALIS</v>
          </cell>
          <cell r="L1429" t="str">
            <v>MAURICIO</v>
          </cell>
          <cell r="M1429" t="str">
            <v>MARCELO</v>
          </cell>
        </row>
        <row r="1430">
          <cell r="B1430">
            <v>5261411</v>
          </cell>
          <cell r="C1430" t="str">
            <v>VITHINSKI SUCOS E ALIMENTOS LTDA ME</v>
          </cell>
          <cell r="D1430">
            <v>7001</v>
          </cell>
          <cell r="E1430" t="str">
            <v>0749</v>
          </cell>
          <cell r="F1430" t="str">
            <v>C5</v>
          </cell>
          <cell r="G1430" t="str">
            <v>SP</v>
          </cell>
          <cell r="H1430" t="str">
            <v>QSR</v>
          </cell>
          <cell r="I1430" t="str">
            <v>FOOD SERVICE</v>
          </cell>
          <cell r="J1430" t="str">
            <v>NUTRI</v>
          </cell>
          <cell r="K1430" t="str">
            <v>LACTALIS</v>
          </cell>
          <cell r="L1430" t="str">
            <v>PEDRO</v>
          </cell>
          <cell r="M1430" t="str">
            <v>VAGO QSR</v>
          </cell>
        </row>
        <row r="1431">
          <cell r="B1431">
            <v>5113476</v>
          </cell>
          <cell r="C1431" t="str">
            <v>VITORIA HOTEIS LTDA</v>
          </cell>
          <cell r="D1431">
            <v>7001</v>
          </cell>
          <cell r="E1431" t="str">
            <v>0749</v>
          </cell>
          <cell r="F1431" t="str">
            <v>C5</v>
          </cell>
          <cell r="G1431" t="str">
            <v>SP</v>
          </cell>
          <cell r="H1431" t="str">
            <v>DISTRIBUIÇÃO</v>
          </cell>
          <cell r="I1431" t="str">
            <v>FOOD SERVICE</v>
          </cell>
          <cell r="J1431" t="str">
            <v>FLAC 3</v>
          </cell>
          <cell r="K1431" t="str">
            <v>LACTALIS</v>
          </cell>
          <cell r="L1431" t="str">
            <v>RODRIGO</v>
          </cell>
          <cell r="M1431" t="str">
            <v>RAQUEL BARBOSA</v>
          </cell>
        </row>
        <row r="1432">
          <cell r="B1432">
            <v>5180549</v>
          </cell>
          <cell r="C1432" t="str">
            <v>VITORIA HOTEIS LTDA</v>
          </cell>
          <cell r="D1432">
            <v>7001</v>
          </cell>
          <cell r="E1432" t="str">
            <v>0749</v>
          </cell>
          <cell r="F1432" t="str">
            <v>C5</v>
          </cell>
          <cell r="G1432" t="str">
            <v>SP</v>
          </cell>
          <cell r="H1432" t="str">
            <v>DISTRIBUIÇÃO</v>
          </cell>
          <cell r="I1432" t="str">
            <v>FOOD SERVICE</v>
          </cell>
          <cell r="J1432" t="str">
            <v>FLAC 7</v>
          </cell>
          <cell r="K1432" t="str">
            <v>LACTALIS</v>
          </cell>
          <cell r="L1432" t="str">
            <v>RODRIGO</v>
          </cell>
          <cell r="M1432" t="str">
            <v>RAQUEL BARBOSA</v>
          </cell>
        </row>
        <row r="1433">
          <cell r="B1433">
            <v>5268712</v>
          </cell>
          <cell r="C1433" t="str">
            <v>VIVA BAKERY PANIFICADORA E CONFEITA</v>
          </cell>
          <cell r="D1433">
            <v>7001</v>
          </cell>
          <cell r="E1433" t="str">
            <v>0749</v>
          </cell>
          <cell r="F1433" t="str">
            <v>C5</v>
          </cell>
          <cell r="G1433" t="str">
            <v>SP</v>
          </cell>
          <cell r="H1433" t="str">
            <v>DISTRIBUIÇÃO</v>
          </cell>
          <cell r="I1433" t="str">
            <v>FOOD SERVICE</v>
          </cell>
          <cell r="J1433" t="str">
            <v>FLAC 7</v>
          </cell>
          <cell r="K1433" t="str">
            <v>LACTALIS</v>
          </cell>
          <cell r="L1433" t="str">
            <v>RODRIGO</v>
          </cell>
          <cell r="M1433" t="str">
            <v>RAQUEL BARBOSA</v>
          </cell>
        </row>
        <row r="1434">
          <cell r="B1434">
            <v>5228856</v>
          </cell>
          <cell r="C1434" t="str">
            <v>VIVIANE BUZZO RODRIGUES</v>
          </cell>
          <cell r="D1434">
            <v>7001</v>
          </cell>
          <cell r="E1434" t="str">
            <v>0749</v>
          </cell>
          <cell r="F1434" t="str">
            <v>C5</v>
          </cell>
          <cell r="G1434" t="str">
            <v>SP</v>
          </cell>
          <cell r="H1434" t="str">
            <v>DISTRIBUIÇÃO</v>
          </cell>
          <cell r="I1434" t="str">
            <v>FOOD SERVICE</v>
          </cell>
          <cell r="J1434" t="str">
            <v>FLAC 2</v>
          </cell>
          <cell r="K1434" t="str">
            <v>LACTALIS</v>
          </cell>
          <cell r="L1434" t="str">
            <v>RODRIGO</v>
          </cell>
          <cell r="M1434" t="str">
            <v>RAQUEL BARBOSA</v>
          </cell>
        </row>
        <row r="1435">
          <cell r="B1435">
            <v>5288519</v>
          </cell>
          <cell r="C1435" t="str">
            <v>VIVIANE H V MENDOLA PATISSIERE LTDA</v>
          </cell>
          <cell r="D1435">
            <v>7001</v>
          </cell>
          <cell r="E1435" t="str">
            <v>0749</v>
          </cell>
          <cell r="F1435" t="str">
            <v>C5</v>
          </cell>
          <cell r="G1435" t="str">
            <v>SP</v>
          </cell>
          <cell r="H1435" t="str">
            <v>DISTRIBUIÇÃO</v>
          </cell>
          <cell r="I1435" t="str">
            <v>FOOD SERVICE</v>
          </cell>
          <cell r="J1435" t="str">
            <v>FLAC 6</v>
          </cell>
          <cell r="K1435" t="str">
            <v>LACTALIS</v>
          </cell>
          <cell r="L1435" t="str">
            <v>RODRIGO</v>
          </cell>
          <cell r="M1435" t="str">
            <v>RAQUEL BARBOSA</v>
          </cell>
        </row>
        <row r="1436">
          <cell r="B1436">
            <v>5182195</v>
          </cell>
          <cell r="C1436" t="str">
            <v>VR BUZIM COMERCIO PROD ALIMENTICIOS</v>
          </cell>
          <cell r="D1436">
            <v>3001</v>
          </cell>
          <cell r="E1436" t="str">
            <v>0169</v>
          </cell>
          <cell r="F1436" t="str">
            <v>C1</v>
          </cell>
          <cell r="G1436" t="str">
            <v>ES</v>
          </cell>
          <cell r="H1436" t="str">
            <v>DISTRIBUIÇÃO</v>
          </cell>
          <cell r="I1436" t="str">
            <v>FOOD SERVICE</v>
          </cell>
          <cell r="J1436" t="str">
            <v>MARCELO DUARTE</v>
          </cell>
          <cell r="K1436" t="str">
            <v>ITAMBÉ</v>
          </cell>
          <cell r="L1436" t="str">
            <v>RODRIGO</v>
          </cell>
          <cell r="M1436" t="str">
            <v>JESSICA</v>
          </cell>
        </row>
        <row r="1437">
          <cell r="B1437">
            <v>5230833</v>
          </cell>
          <cell r="C1437" t="str">
            <v>VSG DISTRIBUIDORA LTDA</v>
          </cell>
          <cell r="D1437">
            <v>3001</v>
          </cell>
          <cell r="E1437" t="str">
            <v>0028</v>
          </cell>
          <cell r="F1437" t="str">
            <v>C1</v>
          </cell>
          <cell r="G1437" t="str">
            <v>PR</v>
          </cell>
          <cell r="H1437" t="str">
            <v>INGREDIENTS</v>
          </cell>
          <cell r="I1437" t="str">
            <v>INGREDIENTS</v>
          </cell>
          <cell r="J1437" t="str">
            <v>DUAS RODAS</v>
          </cell>
          <cell r="K1437" t="str">
            <v>ITAMBÉ</v>
          </cell>
          <cell r="L1437" t="str">
            <v>MAURICIO</v>
          </cell>
          <cell r="M1437" t="str">
            <v>MARCELO</v>
          </cell>
        </row>
        <row r="1438">
          <cell r="B1438">
            <v>5160848</v>
          </cell>
          <cell r="C1438" t="str">
            <v>W AMARAL INDUSTRIA E COMERCIO LTDA</v>
          </cell>
          <cell r="D1438">
            <v>3001</v>
          </cell>
          <cell r="E1438" t="str">
            <v>0121</v>
          </cell>
          <cell r="F1438" t="str">
            <v>C1</v>
          </cell>
          <cell r="G1438" t="str">
            <v>MG</v>
          </cell>
          <cell r="H1438" t="str">
            <v>INGREDIENTS</v>
          </cell>
          <cell r="I1438" t="str">
            <v>INGREDIENTS</v>
          </cell>
          <cell r="J1438" t="str">
            <v>JOEL ELEOTÉRIO</v>
          </cell>
          <cell r="K1438" t="str">
            <v>ITAMBÉ</v>
          </cell>
          <cell r="L1438" t="str">
            <v>MAURICIO</v>
          </cell>
          <cell r="M1438" t="str">
            <v>JOEL</v>
          </cell>
        </row>
        <row r="1439">
          <cell r="B1439">
            <v>5319094</v>
          </cell>
          <cell r="C1439" t="str">
            <v>W RODRIGUES REFEICOES LTDA</v>
          </cell>
          <cell r="D1439">
            <v>7001</v>
          </cell>
          <cell r="E1439" t="str">
            <v>0749</v>
          </cell>
          <cell r="F1439" t="str">
            <v>C5</v>
          </cell>
          <cell r="G1439" t="str">
            <v>SP</v>
          </cell>
          <cell r="H1439" t="str">
            <v>DISTRIBUIÇÃO</v>
          </cell>
          <cell r="I1439" t="str">
            <v>FOOD SERVICE</v>
          </cell>
          <cell r="J1439" t="str">
            <v>FLAC 2</v>
          </cell>
          <cell r="K1439" t="str">
            <v>LACTALIS</v>
          </cell>
          <cell r="L1439" t="str">
            <v>RODRIGO</v>
          </cell>
          <cell r="M1439" t="str">
            <v>RAQUEL BARBOSA</v>
          </cell>
        </row>
        <row r="1440">
          <cell r="B1440">
            <v>5169969</v>
          </cell>
          <cell r="C1440" t="str">
            <v>WCN COM E REPRESENTACAO DE ALIM LTD</v>
          </cell>
          <cell r="D1440">
            <v>3001</v>
          </cell>
          <cell r="E1440" t="str">
            <v>0127</v>
          </cell>
          <cell r="F1440" t="str">
            <v>C1</v>
          </cell>
          <cell r="G1440" t="str">
            <v>BA</v>
          </cell>
          <cell r="H1440" t="str">
            <v>DISTRIBUIÇÃO</v>
          </cell>
          <cell r="I1440" t="str">
            <v>FOOD SERVICE</v>
          </cell>
          <cell r="J1440" t="str">
            <v>CLAUDIO JORGE/LUIZ</v>
          </cell>
          <cell r="K1440" t="str">
            <v>ITAMBÉ</v>
          </cell>
          <cell r="L1440" t="str">
            <v>RODRIGO</v>
          </cell>
          <cell r="M1440" t="str">
            <v>MARIA LOURDES</v>
          </cell>
        </row>
        <row r="1441">
          <cell r="B1441">
            <v>5070522</v>
          </cell>
          <cell r="C1441" t="str">
            <v>WEA COM DE PROD DE PANIF LTDA</v>
          </cell>
          <cell r="D1441">
            <v>6001</v>
          </cell>
          <cell r="E1441" t="str">
            <v>6125</v>
          </cell>
          <cell r="F1441" t="str">
            <v>C1</v>
          </cell>
          <cell r="G1441" t="str">
            <v>SP</v>
          </cell>
          <cell r="H1441" t="str">
            <v>DISTRIBUIÇÃO</v>
          </cell>
          <cell r="I1441" t="str">
            <v>FOOD SERVICE</v>
          </cell>
          <cell r="J1441" t="str">
            <v>GUILHERME NASCIMENTO</v>
          </cell>
          <cell r="K1441" t="str">
            <v>ITAMBÉ</v>
          </cell>
          <cell r="L1441" t="str">
            <v>RODRIGO</v>
          </cell>
          <cell r="M1441" t="str">
            <v>ALEXANDRO</v>
          </cell>
        </row>
        <row r="1442">
          <cell r="B1442">
            <v>5099068</v>
          </cell>
          <cell r="C1442" t="str">
            <v>WICKBOLD NOSSO PAO INDUSTRIAS ALIMEN</v>
          </cell>
          <cell r="D1442">
            <v>4001</v>
          </cell>
          <cell r="E1442" t="str">
            <v>0445</v>
          </cell>
          <cell r="F1442" t="str">
            <v>C7</v>
          </cell>
          <cell r="G1442" t="str">
            <v>SP</v>
          </cell>
          <cell r="H1442" t="str">
            <v>INGREDIENTS</v>
          </cell>
          <cell r="I1442" t="str">
            <v>INGREDIENTS</v>
          </cell>
          <cell r="J1442" t="str">
            <v>MARCELO RODRIGUES</v>
          </cell>
          <cell r="K1442" t="str">
            <v>LACTALIS</v>
          </cell>
          <cell r="L1442" t="str">
            <v>MAURICIO</v>
          </cell>
          <cell r="M1442" t="str">
            <v>MARCELO</v>
          </cell>
        </row>
        <row r="1443">
          <cell r="B1443">
            <v>5253730</v>
          </cell>
          <cell r="C1443" t="str">
            <v>WK COMERCIO DE DOCES E SALGADOS EIR</v>
          </cell>
          <cell r="D1443">
            <v>7001</v>
          </cell>
          <cell r="E1443" t="str">
            <v>0749</v>
          </cell>
          <cell r="F1443" t="str">
            <v>C5</v>
          </cell>
          <cell r="G1443" t="str">
            <v>SP</v>
          </cell>
          <cell r="H1443" t="str">
            <v>DISTRIBUIÇÃO</v>
          </cell>
          <cell r="I1443" t="str">
            <v>FOOD SERVICE</v>
          </cell>
          <cell r="J1443" t="str">
            <v>FLAC 3</v>
          </cell>
          <cell r="K1443" t="str">
            <v>LACTALIS</v>
          </cell>
          <cell r="L1443" t="str">
            <v>RODRIGO</v>
          </cell>
          <cell r="M1443" t="str">
            <v>RAQUEL BARBOSA</v>
          </cell>
        </row>
        <row r="1444">
          <cell r="B1444">
            <v>5098986</v>
          </cell>
          <cell r="C1444" t="str">
            <v>WRN INDUSTRIA DE ALIMENTOS LTDA</v>
          </cell>
          <cell r="D1444">
            <v>4001</v>
          </cell>
          <cell r="E1444" t="str">
            <v>0455</v>
          </cell>
          <cell r="F1444" t="str">
            <v>C1</v>
          </cell>
          <cell r="G1444" t="str">
            <v>PR</v>
          </cell>
          <cell r="H1444" t="str">
            <v>INGREDIENTS</v>
          </cell>
          <cell r="I1444" t="str">
            <v>INGREDIENTS</v>
          </cell>
          <cell r="J1444" t="str">
            <v>MARCELO RODRIGUES</v>
          </cell>
          <cell r="K1444" t="str">
            <v>LACTALIS</v>
          </cell>
          <cell r="L1444" t="str">
            <v>MAURICIO</v>
          </cell>
          <cell r="M1444" t="str">
            <v>MARCELO</v>
          </cell>
        </row>
        <row r="1445">
          <cell r="B1445">
            <v>5209627</v>
          </cell>
          <cell r="C1445" t="str">
            <v>WS COM E IND DE GEN ALIM LTDA</v>
          </cell>
          <cell r="D1445">
            <v>3001</v>
          </cell>
          <cell r="E1445" t="str">
            <v>0126</v>
          </cell>
          <cell r="F1445" t="str">
            <v>C1</v>
          </cell>
          <cell r="G1445" t="str">
            <v>SC</v>
          </cell>
          <cell r="H1445" t="str">
            <v>DISTRIBUIÇÃO</v>
          </cell>
          <cell r="I1445" t="str">
            <v>FOOD SERVICE</v>
          </cell>
          <cell r="J1445" t="str">
            <v>ANGELICA BATISTELA</v>
          </cell>
          <cell r="K1445" t="str">
            <v>ITAMBÉ</v>
          </cell>
          <cell r="L1445" t="str">
            <v>RODRIGO</v>
          </cell>
          <cell r="M1445" t="str">
            <v>ANGELICA BATISTELA</v>
          </cell>
        </row>
        <row r="1446">
          <cell r="B1446">
            <v>5264034</v>
          </cell>
          <cell r="C1446" t="str">
            <v>YANAGI CAFETERIA EIRELI</v>
          </cell>
          <cell r="D1446">
            <v>7001</v>
          </cell>
          <cell r="E1446" t="str">
            <v>0749</v>
          </cell>
          <cell r="F1446" t="str">
            <v>C5</v>
          </cell>
          <cell r="G1446" t="str">
            <v>SP</v>
          </cell>
          <cell r="H1446" t="str">
            <v>DISTRIBUIÇÃO</v>
          </cell>
          <cell r="I1446" t="str">
            <v>FOOD SERVICE</v>
          </cell>
          <cell r="J1446" t="str">
            <v>FLAC 2</v>
          </cell>
          <cell r="K1446" t="str">
            <v>LACTALIS</v>
          </cell>
          <cell r="L1446" t="str">
            <v>RODRIGO</v>
          </cell>
          <cell r="M1446" t="str">
            <v>RAQUEL BARBOSA</v>
          </cell>
        </row>
        <row r="1447">
          <cell r="B1447">
            <v>5190271</v>
          </cell>
          <cell r="C1447" t="str">
            <v>Z E Z DISTRIBUIDORA LTDA</v>
          </cell>
          <cell r="D1447">
            <v>7001</v>
          </cell>
          <cell r="E1447" t="str">
            <v>0722</v>
          </cell>
          <cell r="F1447" t="str">
            <v>C1</v>
          </cell>
          <cell r="G1447" t="str">
            <v>SP</v>
          </cell>
          <cell r="H1447" t="str">
            <v>DISTRIBUIÇÃO</v>
          </cell>
          <cell r="I1447" t="str">
            <v>FOOD SERVICE</v>
          </cell>
          <cell r="J1447" t="str">
            <v>SP ITB FS FLAC REP.E COMERCIO</v>
          </cell>
          <cell r="K1447" t="str">
            <v>LACTALIS</v>
          </cell>
          <cell r="L1447" t="str">
            <v>RODRIGO</v>
          </cell>
          <cell r="M1447" t="str">
            <v>RAQUEL BARBOSA</v>
          </cell>
        </row>
        <row r="1448">
          <cell r="B1448">
            <v>5190271</v>
          </cell>
          <cell r="C1448" t="str">
            <v>Z E Z DISTRIBUIDORA LTDA</v>
          </cell>
          <cell r="D1448">
            <v>6001</v>
          </cell>
          <cell r="E1448" t="str">
            <v>6170</v>
          </cell>
          <cell r="F1448" t="str">
            <v>C1</v>
          </cell>
          <cell r="G1448" t="str">
            <v>SP</v>
          </cell>
          <cell r="H1448" t="str">
            <v>DISTRIBUIÇÃO</v>
          </cell>
          <cell r="I1448" t="str">
            <v>FOOD SERVICE</v>
          </cell>
          <cell r="J1448" t="str">
            <v>SP ITB FS FLAC REP.E COMERCIO</v>
          </cell>
          <cell r="K1448" t="str">
            <v>ITAMBÉ</v>
          </cell>
          <cell r="L1448" t="str">
            <v>RODRIGO</v>
          </cell>
          <cell r="M1448" t="str">
            <v>RAQUEL BARBOSA</v>
          </cell>
        </row>
        <row r="1449">
          <cell r="B1449">
            <v>5110498</v>
          </cell>
          <cell r="C1449" t="str">
            <v>ZANEPAN COM ATAC DE GENEROS ALIM EI</v>
          </cell>
          <cell r="D1449">
            <v>3001</v>
          </cell>
          <cell r="E1449" t="str">
            <v>0169</v>
          </cell>
          <cell r="F1449" t="str">
            <v>C1</v>
          </cell>
          <cell r="G1449" t="str">
            <v>ES</v>
          </cell>
          <cell r="H1449" t="str">
            <v>DISTRIBUIÇÃO</v>
          </cell>
          <cell r="I1449" t="str">
            <v>FOOD SERVICE</v>
          </cell>
          <cell r="J1449" t="str">
            <v>MARCELO DUARTE</v>
          </cell>
          <cell r="K1449" t="str">
            <v>ITAMBÉ</v>
          </cell>
          <cell r="L1449" t="str">
            <v>RODRIGO</v>
          </cell>
          <cell r="M1449" t="str">
            <v>JESSICA</v>
          </cell>
        </row>
        <row r="1450">
          <cell r="B1450">
            <v>5317703</v>
          </cell>
          <cell r="C1450" t="str">
            <v>ZAP FOODS LLC</v>
          </cell>
          <cell r="D1450">
            <v>3001</v>
          </cell>
          <cell r="E1450" t="str">
            <v>0062</v>
          </cell>
          <cell r="F1450" t="str">
            <v>C1</v>
          </cell>
          <cell r="G1450" t="str">
            <v>FL</v>
          </cell>
          <cell r="H1450" t="str">
            <v>OUTROS</v>
          </cell>
          <cell r="I1450" t="str">
            <v>OUTROS</v>
          </cell>
          <cell r="J1450" t="str">
            <v>ITAMBE - EXPORTACAO</v>
          </cell>
          <cell r="K1450" t="str">
            <v>OUTROS</v>
          </cell>
          <cell r="L1450" t="str">
            <v>OUTROS</v>
          </cell>
          <cell r="M1450" t="str">
            <v>EXPORTAÇÃO</v>
          </cell>
        </row>
        <row r="1451">
          <cell r="B1451">
            <v>5339831</v>
          </cell>
          <cell r="C1451" t="str">
            <v>ZAPATTA E RIBEIRO LTDA</v>
          </cell>
          <cell r="D1451">
            <v>3001</v>
          </cell>
          <cell r="E1451" t="str">
            <v>0028</v>
          </cell>
          <cell r="F1451" t="str">
            <v>C1</v>
          </cell>
          <cell r="G1451" t="str">
            <v>PR</v>
          </cell>
          <cell r="H1451" t="str">
            <v>INGREDIENTS</v>
          </cell>
          <cell r="I1451" t="str">
            <v>INGREDIENTS</v>
          </cell>
          <cell r="J1451" t="str">
            <v>DUAS RODAS</v>
          </cell>
          <cell r="K1451" t="str">
            <v>ITAMBÉ</v>
          </cell>
          <cell r="L1451" t="str">
            <v>MAURICIO</v>
          </cell>
          <cell r="M1451" t="str">
            <v>MARCELO</v>
          </cell>
        </row>
        <row r="1452">
          <cell r="B1452">
            <v>5270927</v>
          </cell>
          <cell r="C1452" t="str">
            <v>ZESTZING PAD E COZINHA ARTESANAL LT</v>
          </cell>
          <cell r="D1452">
            <v>7001</v>
          </cell>
          <cell r="E1452" t="str">
            <v>0749</v>
          </cell>
          <cell r="F1452" t="str">
            <v>C5</v>
          </cell>
          <cell r="G1452" t="str">
            <v>SP</v>
          </cell>
          <cell r="H1452" t="str">
            <v>DISTRIBUIÇÃO</v>
          </cell>
          <cell r="I1452" t="str">
            <v>FOOD SERVICE</v>
          </cell>
          <cell r="J1452" t="str">
            <v>FLAC 2</v>
          </cell>
          <cell r="K1452" t="str">
            <v>LACTALIS</v>
          </cell>
          <cell r="L1452" t="str">
            <v>RODRIGO</v>
          </cell>
          <cell r="M1452" t="str">
            <v>RAQUEL BARBOSA</v>
          </cell>
        </row>
        <row r="1453">
          <cell r="B1453">
            <v>5296532</v>
          </cell>
          <cell r="C1453" t="str">
            <v>ZM COMERCIO E ADM HOTELAR LTDA</v>
          </cell>
          <cell r="D1453">
            <v>7001</v>
          </cell>
          <cell r="E1453" t="str">
            <v>0749</v>
          </cell>
          <cell r="F1453" t="str">
            <v>C5</v>
          </cell>
          <cell r="G1453" t="str">
            <v>SP</v>
          </cell>
          <cell r="H1453" t="str">
            <v>DISTRIBUIÇÃO</v>
          </cell>
          <cell r="I1453" t="str">
            <v>FOOD SERVICE</v>
          </cell>
          <cell r="J1453" t="str">
            <v>FLAC 3</v>
          </cell>
          <cell r="K1453" t="str">
            <v>LACTALIS</v>
          </cell>
          <cell r="L1453" t="str">
            <v>RODRIGO</v>
          </cell>
          <cell r="M1453" t="str">
            <v>RAQUEL BARBOSA</v>
          </cell>
        </row>
        <row r="1454">
          <cell r="B1454">
            <v>5337686</v>
          </cell>
          <cell r="C1454" t="str">
            <v>ZUCKER BISTRO 1 LTDA</v>
          </cell>
          <cell r="D1454">
            <v>7001</v>
          </cell>
          <cell r="E1454" t="str">
            <v>0749</v>
          </cell>
          <cell r="F1454" t="str">
            <v>C5</v>
          </cell>
          <cell r="G1454" t="str">
            <v>SP</v>
          </cell>
          <cell r="H1454" t="str">
            <v>DISTRIBUIÇÃO</v>
          </cell>
          <cell r="I1454" t="str">
            <v>FOOD SERVICE</v>
          </cell>
          <cell r="J1454" t="str">
            <v>FLAC 2</v>
          </cell>
          <cell r="K1454" t="str">
            <v>LACTALIS</v>
          </cell>
          <cell r="L1454" t="str">
            <v>RODRIGO</v>
          </cell>
          <cell r="M1454" t="str">
            <v>RAQUEL BARBOSA</v>
          </cell>
        </row>
        <row r="1455">
          <cell r="B1455">
            <v>5269327</v>
          </cell>
          <cell r="C1455" t="str">
            <v>ZUNZAL COMERCIO DE ALIMENTOS LTDA</v>
          </cell>
          <cell r="D1455">
            <v>7001</v>
          </cell>
          <cell r="E1455" t="str">
            <v>0749</v>
          </cell>
          <cell r="F1455" t="str">
            <v>C5</v>
          </cell>
          <cell r="G1455" t="str">
            <v>SP</v>
          </cell>
          <cell r="H1455" t="str">
            <v>DISTRIBUIÇÃO</v>
          </cell>
          <cell r="I1455" t="str">
            <v>FOOD SERVICE</v>
          </cell>
          <cell r="J1455" t="str">
            <v>FLAC 6</v>
          </cell>
          <cell r="K1455" t="str">
            <v>LACTALIS</v>
          </cell>
          <cell r="L1455" t="str">
            <v>RODRIGO</v>
          </cell>
          <cell r="M1455" t="str">
            <v>RAQUEL BARBOSA</v>
          </cell>
        </row>
        <row r="1456">
          <cell r="B1456">
            <v>5009328</v>
          </cell>
          <cell r="C1456" t="str">
            <v>NUTRICESTA COMERCIO DE ALIMENTOS LT</v>
          </cell>
          <cell r="D1456">
            <v>7001</v>
          </cell>
          <cell r="E1456" t="str">
            <v>0749</v>
          </cell>
          <cell r="F1456" t="str">
            <v>C5</v>
          </cell>
          <cell r="G1456" t="str">
            <v>SP</v>
          </cell>
          <cell r="H1456" t="str">
            <v>DISTRIBUIÇÃO</v>
          </cell>
          <cell r="I1456" t="str">
            <v>FOOD SERVICE</v>
          </cell>
          <cell r="J1456" t="str">
            <v>FLAC 1</v>
          </cell>
          <cell r="K1456" t="str">
            <v>LACTALIS</v>
          </cell>
          <cell r="L1456" t="str">
            <v>RODRIGO</v>
          </cell>
          <cell r="M1456" t="str">
            <v>RAQUEL BARBOSA</v>
          </cell>
        </row>
        <row r="1457">
          <cell r="B1457">
            <v>5222398</v>
          </cell>
          <cell r="C1457" t="str">
            <v>GOURMET EXPRESS ALIMENTACAO LTD</v>
          </cell>
          <cell r="D1457">
            <v>7001</v>
          </cell>
          <cell r="E1457" t="str">
            <v>0749</v>
          </cell>
          <cell r="F1457" t="str">
            <v>C5</v>
          </cell>
          <cell r="G1457" t="str">
            <v>SP</v>
          </cell>
          <cell r="H1457" t="str">
            <v>DISTRIBUIÇÃO</v>
          </cell>
          <cell r="I1457" t="str">
            <v>FOOD SERVICE</v>
          </cell>
          <cell r="J1457" t="str">
            <v>FLAC 5</v>
          </cell>
          <cell r="K1457" t="str">
            <v>LACTALIS</v>
          </cell>
          <cell r="L1457" t="str">
            <v>RODRIGO</v>
          </cell>
          <cell r="M1457" t="str">
            <v>RAQUEL BARBOSA</v>
          </cell>
        </row>
        <row r="1458">
          <cell r="B1458">
            <v>5270191</v>
          </cell>
          <cell r="C1458" t="str">
            <v>INTEGRAL NUTTRI ALIM E SERV LTD</v>
          </cell>
          <cell r="D1458">
            <v>7001</v>
          </cell>
          <cell r="E1458" t="str">
            <v>0749</v>
          </cell>
          <cell r="F1458" t="str">
            <v>C5</v>
          </cell>
          <cell r="G1458" t="str">
            <v>SP</v>
          </cell>
          <cell r="H1458" t="str">
            <v>DISTRIBUIÇÃO</v>
          </cell>
          <cell r="I1458" t="str">
            <v>FOOD SERVICE</v>
          </cell>
          <cell r="J1458" t="str">
            <v>FLAC 6</v>
          </cell>
          <cell r="K1458" t="str">
            <v>LACTALIS</v>
          </cell>
          <cell r="L1458" t="str">
            <v>RODRIGO</v>
          </cell>
          <cell r="M1458" t="str">
            <v>RAQUEL BARBOSA</v>
          </cell>
        </row>
        <row r="1459">
          <cell r="B1459">
            <v>5341269</v>
          </cell>
          <cell r="C1459" t="str">
            <v>FREAK CAFE BOMBONIER E DOCERIA</v>
          </cell>
          <cell r="D1459">
            <v>7001</v>
          </cell>
          <cell r="E1459" t="str">
            <v>0749</v>
          </cell>
          <cell r="F1459" t="str">
            <v>C5</v>
          </cell>
          <cell r="G1459" t="str">
            <v>SP</v>
          </cell>
          <cell r="H1459" t="str">
            <v>DISTRIBUIÇÃO</v>
          </cell>
          <cell r="I1459" t="str">
            <v>FOOD SERVICE</v>
          </cell>
          <cell r="J1459" t="str">
            <v>FLAC 4</v>
          </cell>
          <cell r="K1459" t="str">
            <v>LACTALIS</v>
          </cell>
          <cell r="L1459" t="str">
            <v>RODRIGO</v>
          </cell>
          <cell r="M1459" t="str">
            <v>RAQUEL BARBOSA</v>
          </cell>
        </row>
        <row r="1460">
          <cell r="B1460">
            <v>5341743</v>
          </cell>
          <cell r="C1460" t="str">
            <v>MAURO SIQUEIRA DE MOURA JUNIOR</v>
          </cell>
          <cell r="D1460">
            <v>4001</v>
          </cell>
          <cell r="E1460" t="str">
            <v>0423</v>
          </cell>
          <cell r="F1460" t="str">
            <v>C5</v>
          </cell>
          <cell r="G1460" t="str">
            <v>SP</v>
          </cell>
          <cell r="H1460" t="str">
            <v>INGREDIENTS</v>
          </cell>
          <cell r="I1460" t="str">
            <v>INGREDIENTS</v>
          </cell>
          <cell r="J1460" t="str">
            <v>JOEL ELEOTÉRIO</v>
          </cell>
          <cell r="K1460" t="str">
            <v>LACTALIS</v>
          </cell>
          <cell r="L1460" t="str">
            <v>MAURICIO</v>
          </cell>
          <cell r="M1460" t="str">
            <v>JOEL</v>
          </cell>
        </row>
        <row r="1461">
          <cell r="B1461">
            <v>5098939</v>
          </cell>
          <cell r="C1461" t="str">
            <v>STEVIA NATUS PRODUTOS NATURAIS LTDA</v>
          </cell>
          <cell r="D1461">
            <v>4001</v>
          </cell>
          <cell r="E1461" t="str">
            <v>0455</v>
          </cell>
          <cell r="F1461" t="str">
            <v>C1</v>
          </cell>
          <cell r="G1461" t="str">
            <v>PR</v>
          </cell>
          <cell r="H1461" t="str">
            <v>INGREDIENTS</v>
          </cell>
          <cell r="I1461" t="str">
            <v>INGREDIENTS</v>
          </cell>
          <cell r="J1461" t="str">
            <v>MARCELO RODRIGUES</v>
          </cell>
          <cell r="K1461" t="str">
            <v>LACTALIS</v>
          </cell>
          <cell r="L1461" t="str">
            <v>MAURICIO</v>
          </cell>
          <cell r="M1461" t="str">
            <v>MARCELO</v>
          </cell>
        </row>
        <row r="1462">
          <cell r="B1462">
            <v>5149044</v>
          </cell>
          <cell r="C1462" t="str">
            <v>SORVEMIX COMERCIO DE ALIMENTOS LTDA</v>
          </cell>
          <cell r="D1462">
            <v>6001</v>
          </cell>
          <cell r="E1462" t="str">
            <v>6028</v>
          </cell>
          <cell r="F1462" t="str">
            <v>C1</v>
          </cell>
          <cell r="G1462" t="str">
            <v>SP</v>
          </cell>
          <cell r="H1462" t="str">
            <v>INGREDIENTS</v>
          </cell>
          <cell r="I1462" t="str">
            <v>INGREDIENTS</v>
          </cell>
          <cell r="J1462" t="str">
            <v>DUAS RODAS</v>
          </cell>
          <cell r="K1462" t="str">
            <v>ITAMBÉ</v>
          </cell>
          <cell r="L1462" t="str">
            <v>MAURICIO</v>
          </cell>
          <cell r="M1462" t="str">
            <v>MARCELO</v>
          </cell>
        </row>
        <row r="1463">
          <cell r="B1463">
            <v>5339863</v>
          </cell>
          <cell r="C1463" t="str">
            <v>LIVIA FELICORI CARVALHO 0906289</v>
          </cell>
          <cell r="D1463">
            <v>7001</v>
          </cell>
          <cell r="E1463" t="str">
            <v>0749</v>
          </cell>
          <cell r="F1463" t="str">
            <v>C5</v>
          </cell>
          <cell r="G1463" t="str">
            <v>SP</v>
          </cell>
          <cell r="H1463" t="str">
            <v>DISTRIBUIÇÃO</v>
          </cell>
          <cell r="I1463" t="str">
            <v>FOOD SERVICE</v>
          </cell>
          <cell r="J1463" t="str">
            <v>FLAC 2</v>
          </cell>
          <cell r="K1463" t="str">
            <v>LACTALIS</v>
          </cell>
          <cell r="L1463" t="str">
            <v>RODRIGO</v>
          </cell>
          <cell r="M1463" t="str">
            <v>RAQUEL BARBOSA</v>
          </cell>
        </row>
        <row r="1464">
          <cell r="B1464">
            <v>5341682</v>
          </cell>
          <cell r="C1464" t="str">
            <v>TRANSWERLE COM DE ALIM LTDA</v>
          </cell>
          <cell r="D1464">
            <v>4001</v>
          </cell>
          <cell r="E1464" t="str">
            <v>0437</v>
          </cell>
          <cell r="F1464" t="str">
            <v>C1</v>
          </cell>
          <cell r="G1464" t="str">
            <v>RS</v>
          </cell>
          <cell r="H1464" t="str">
            <v>INGREDIENTS</v>
          </cell>
          <cell r="I1464" t="str">
            <v>INGREDIENTS</v>
          </cell>
          <cell r="J1464" t="str">
            <v>JOEL ELEOTÉRIO</v>
          </cell>
          <cell r="K1464" t="str">
            <v>LACTALIS</v>
          </cell>
          <cell r="L1464" t="str">
            <v>MAURICIO</v>
          </cell>
          <cell r="M1464" t="str">
            <v>JOEL</v>
          </cell>
        </row>
        <row r="1465">
          <cell r="B1465">
            <v>5034560</v>
          </cell>
          <cell r="C1465" t="str">
            <v>CHIENI COMERCIO DE ALIMENTOS LTDA</v>
          </cell>
          <cell r="D1465">
            <v>7001</v>
          </cell>
          <cell r="E1465" t="str">
            <v>0749</v>
          </cell>
          <cell r="F1465" t="str">
            <v>C5</v>
          </cell>
          <cell r="G1465" t="str">
            <v>SP</v>
          </cell>
          <cell r="H1465" t="str">
            <v>DISTRIBUIÇÃO</v>
          </cell>
          <cell r="I1465" t="str">
            <v>FOOD SERVICE</v>
          </cell>
          <cell r="J1465" t="str">
            <v>FLAC 2</v>
          </cell>
          <cell r="K1465" t="str">
            <v>LACTALIS</v>
          </cell>
          <cell r="L1465" t="str">
            <v>RODRIGO</v>
          </cell>
          <cell r="M1465" t="str">
            <v>RAQUEL BARBOSA</v>
          </cell>
        </row>
        <row r="1466">
          <cell r="B1466">
            <v>5099089</v>
          </cell>
          <cell r="C1466" t="str">
            <v>LATICINIOS SAO JOAO S/A</v>
          </cell>
          <cell r="D1466">
            <v>4001</v>
          </cell>
          <cell r="E1466" t="str">
            <v>0456</v>
          </cell>
          <cell r="F1466" t="str">
            <v>C1</v>
          </cell>
          <cell r="G1466" t="str">
            <v>SC</v>
          </cell>
          <cell r="H1466" t="str">
            <v>INGREDIENTS</v>
          </cell>
          <cell r="I1466" t="str">
            <v>INGREDIENTS</v>
          </cell>
          <cell r="J1466" t="str">
            <v>MARCELO RODRIGUES</v>
          </cell>
          <cell r="K1466" t="str">
            <v>LACTALIS</v>
          </cell>
          <cell r="L1466" t="str">
            <v>MAURICIO</v>
          </cell>
          <cell r="M1466" t="str">
            <v>MARCELO</v>
          </cell>
        </row>
        <row r="1467">
          <cell r="B1467">
            <v>5099125</v>
          </cell>
          <cell r="C1467" t="str">
            <v>JOSAPAR JOAQUIM OLIVEIRA SA PAR</v>
          </cell>
          <cell r="D1467">
            <v>4001</v>
          </cell>
          <cell r="E1467" t="str">
            <v>0456</v>
          </cell>
          <cell r="F1467" t="str">
            <v>C1</v>
          </cell>
          <cell r="G1467" t="str">
            <v>RS</v>
          </cell>
          <cell r="H1467" t="str">
            <v>INGREDIENTS</v>
          </cell>
          <cell r="I1467" t="str">
            <v>INGREDIENTS</v>
          </cell>
          <cell r="J1467" t="str">
            <v>MARCELO RODRIGUES</v>
          </cell>
          <cell r="K1467" t="str">
            <v>LACTALIS</v>
          </cell>
          <cell r="L1467" t="str">
            <v>MAURICIO</v>
          </cell>
          <cell r="M1467" t="str">
            <v>MARCELO</v>
          </cell>
        </row>
        <row r="1468">
          <cell r="B1468">
            <v>5261912</v>
          </cell>
          <cell r="C1468" t="str">
            <v>KOMAH RESTAURANTE TREINAMENTO E</v>
          </cell>
          <cell r="D1468">
            <v>7001</v>
          </cell>
          <cell r="E1468" t="str">
            <v>0749</v>
          </cell>
          <cell r="F1468" t="str">
            <v>C5</v>
          </cell>
          <cell r="G1468" t="str">
            <v>SP</v>
          </cell>
          <cell r="H1468" t="str">
            <v>DISTRIBUIÇÃO</v>
          </cell>
          <cell r="I1468" t="str">
            <v>FOOD SERVICE</v>
          </cell>
          <cell r="J1468" t="str">
            <v>FLAC 6</v>
          </cell>
          <cell r="K1468" t="str">
            <v>LACTALIS</v>
          </cell>
          <cell r="L1468" t="str">
            <v>RODRIGO</v>
          </cell>
          <cell r="M1468" t="str">
            <v>RAQUEL BARBOSA</v>
          </cell>
        </row>
        <row r="1469">
          <cell r="B1469">
            <v>5341874</v>
          </cell>
          <cell r="C1469" t="str">
            <v>EMPORIO MIQUELINA LTDA</v>
          </cell>
          <cell r="D1469">
            <v>7001</v>
          </cell>
          <cell r="E1469" t="str">
            <v>0749</v>
          </cell>
          <cell r="F1469" t="str">
            <v>C5</v>
          </cell>
          <cell r="G1469" t="str">
            <v>SP</v>
          </cell>
          <cell r="H1469" t="str">
            <v>DISTRIBUIÇÃO</v>
          </cell>
          <cell r="I1469" t="str">
            <v>FOOD SERVICE</v>
          </cell>
          <cell r="J1469" t="str">
            <v>FLAC 6</v>
          </cell>
          <cell r="K1469" t="str">
            <v>LACTALIS</v>
          </cell>
          <cell r="L1469" t="str">
            <v>RODRIGO</v>
          </cell>
          <cell r="M1469" t="str">
            <v>RAQUEL BARBOSA</v>
          </cell>
        </row>
        <row r="1470">
          <cell r="B1470">
            <v>5023334</v>
          </cell>
          <cell r="C1470" t="str">
            <v>S P PRODUTOS LTDA</v>
          </cell>
          <cell r="D1470">
            <v>4001</v>
          </cell>
          <cell r="E1470" t="str">
            <v>0439</v>
          </cell>
          <cell r="F1470" t="str">
            <v>C1</v>
          </cell>
          <cell r="G1470" t="str">
            <v>ES</v>
          </cell>
          <cell r="H1470" t="str">
            <v>DISTRIBUIÇÃO</v>
          </cell>
          <cell r="I1470" t="str">
            <v>FOOD SERVICE</v>
          </cell>
          <cell r="J1470" t="str">
            <v>MARCELO DUARTE</v>
          </cell>
          <cell r="K1470" t="str">
            <v>LACTALIS</v>
          </cell>
          <cell r="L1470" t="str">
            <v>RODRIGO</v>
          </cell>
          <cell r="M1470" t="str">
            <v>JESSICA</v>
          </cell>
        </row>
        <row r="1471">
          <cell r="B1471">
            <v>5034557</v>
          </cell>
          <cell r="C1471" t="str">
            <v>CHIENI COMERCIO DE ALIMENTOS LT</v>
          </cell>
          <cell r="D1471">
            <v>7001</v>
          </cell>
          <cell r="E1471" t="str">
            <v>0749</v>
          </cell>
          <cell r="F1471" t="str">
            <v>C5</v>
          </cell>
          <cell r="G1471" t="str">
            <v>SP</v>
          </cell>
          <cell r="H1471" t="str">
            <v>DISTRIBUIÇÃO</v>
          </cell>
          <cell r="I1471" t="str">
            <v>FOOD SERVICE</v>
          </cell>
          <cell r="J1471" t="str">
            <v>FLAC 2</v>
          </cell>
          <cell r="K1471" t="str">
            <v>LACTALIS</v>
          </cell>
          <cell r="L1471" t="str">
            <v>RODRIGO</v>
          </cell>
          <cell r="M1471" t="str">
            <v>RAQUEL BARBOSA</v>
          </cell>
        </row>
        <row r="1472">
          <cell r="B1472">
            <v>5034558</v>
          </cell>
          <cell r="C1472" t="str">
            <v>CHIENI COMERCIO DE ALIMENTOS LT</v>
          </cell>
          <cell r="D1472">
            <v>7001</v>
          </cell>
          <cell r="E1472" t="str">
            <v>0749</v>
          </cell>
          <cell r="F1472" t="str">
            <v>C5</v>
          </cell>
          <cell r="G1472" t="str">
            <v>SP</v>
          </cell>
          <cell r="H1472" t="str">
            <v>DISTRIBUIÇÃO</v>
          </cell>
          <cell r="I1472" t="str">
            <v>FOOD SERVICE</v>
          </cell>
          <cell r="J1472" t="str">
            <v>FLAC 2</v>
          </cell>
          <cell r="K1472" t="str">
            <v>LACTALIS</v>
          </cell>
          <cell r="L1472" t="str">
            <v>RODRIGO</v>
          </cell>
          <cell r="M1472" t="str">
            <v>RAQUEL BARBOSA</v>
          </cell>
        </row>
        <row r="1473">
          <cell r="B1473">
            <v>5034559</v>
          </cell>
          <cell r="C1473" t="str">
            <v>CHIENI COMERCIO DE ALIMENTOS LT</v>
          </cell>
          <cell r="D1473">
            <v>7001</v>
          </cell>
          <cell r="E1473" t="str">
            <v>0749</v>
          </cell>
          <cell r="F1473" t="str">
            <v>C5</v>
          </cell>
          <cell r="G1473" t="str">
            <v>SP</v>
          </cell>
          <cell r="H1473" t="str">
            <v>DISTRIBUIÇÃO</v>
          </cell>
          <cell r="I1473" t="str">
            <v>FOOD SERVICE</v>
          </cell>
          <cell r="J1473" t="str">
            <v>FLAC 2</v>
          </cell>
          <cell r="K1473" t="str">
            <v>LACTALIS</v>
          </cell>
          <cell r="L1473" t="str">
            <v>RODRIGO</v>
          </cell>
          <cell r="M1473" t="str">
            <v>RAQUEL BARBOSA</v>
          </cell>
        </row>
        <row r="1474">
          <cell r="B1474">
            <v>5034562</v>
          </cell>
          <cell r="C1474" t="str">
            <v>CHIENI COMERCIO DE ALIMENTOS LT</v>
          </cell>
          <cell r="D1474">
            <v>7001</v>
          </cell>
          <cell r="E1474" t="str">
            <v>0749</v>
          </cell>
          <cell r="F1474" t="str">
            <v>C5</v>
          </cell>
          <cell r="G1474" t="str">
            <v>SP</v>
          </cell>
          <cell r="H1474" t="str">
            <v>DISTRIBUIÇÃO</v>
          </cell>
          <cell r="I1474" t="str">
            <v>FOOD SERVICE</v>
          </cell>
          <cell r="J1474" t="str">
            <v>FLAC 3</v>
          </cell>
          <cell r="K1474" t="str">
            <v>LACTALIS</v>
          </cell>
          <cell r="L1474" t="str">
            <v>RODRIGO</v>
          </cell>
          <cell r="M1474" t="str">
            <v>RAQUEL BARBOSA</v>
          </cell>
        </row>
        <row r="1475">
          <cell r="B1475">
            <v>5111398</v>
          </cell>
          <cell r="C1475" t="str">
            <v>SCANIA LATIN AMERICA LTDA</v>
          </cell>
          <cell r="D1475">
            <v>6001</v>
          </cell>
          <cell r="E1475" t="str">
            <v>6125</v>
          </cell>
          <cell r="F1475" t="str">
            <v>C1</v>
          </cell>
          <cell r="G1475" t="str">
            <v>SP</v>
          </cell>
          <cell r="H1475" t="str">
            <v>QSR</v>
          </cell>
          <cell r="I1475" t="str">
            <v>FOOD SERVICE</v>
          </cell>
          <cell r="J1475" t="str">
            <v>VAGO QSR</v>
          </cell>
          <cell r="K1475" t="str">
            <v>ITAMBÉ</v>
          </cell>
          <cell r="L1475" t="str">
            <v>PEDRO</v>
          </cell>
          <cell r="M1475" t="str">
            <v>VAGO QSR</v>
          </cell>
        </row>
        <row r="1476">
          <cell r="B1476">
            <v>5160241</v>
          </cell>
          <cell r="C1476" t="str">
            <v>TRES CORACOES ALIMENTOS SA</v>
          </cell>
          <cell r="D1476">
            <v>3001</v>
          </cell>
          <cell r="E1476" t="str">
            <v>0028</v>
          </cell>
          <cell r="F1476" t="str">
            <v>C1</v>
          </cell>
          <cell r="G1476" t="str">
            <v>RN</v>
          </cell>
          <cell r="H1476" t="str">
            <v>INGREDIENTS</v>
          </cell>
          <cell r="I1476" t="str">
            <v>INGREDIENTS</v>
          </cell>
          <cell r="J1476" t="str">
            <v>JOEL ELEOTÉRIO</v>
          </cell>
          <cell r="K1476" t="str">
            <v>ITAMBÉ</v>
          </cell>
          <cell r="L1476" t="str">
            <v>MAURICIO</v>
          </cell>
          <cell r="M1476" t="str">
            <v>JOEL</v>
          </cell>
        </row>
        <row r="1477">
          <cell r="B1477">
            <v>5163906</v>
          </cell>
          <cell r="C1477" t="str">
            <v>E N COM PROD FESTAS E SORVETES EIRE</v>
          </cell>
          <cell r="D1477">
            <v>6001</v>
          </cell>
          <cell r="E1477" t="str">
            <v>6028</v>
          </cell>
          <cell r="F1477" t="str">
            <v>C1</v>
          </cell>
          <cell r="G1477" t="str">
            <v>SP</v>
          </cell>
          <cell r="H1477" t="str">
            <v>INGREDIENTS</v>
          </cell>
          <cell r="I1477" t="str">
            <v>INGREDIENTS</v>
          </cell>
          <cell r="J1477" t="str">
            <v>DUAS RODAS</v>
          </cell>
          <cell r="K1477" t="str">
            <v>ITAMBÉ</v>
          </cell>
          <cell r="L1477" t="str">
            <v>MAURICIO</v>
          </cell>
          <cell r="M1477" t="str">
            <v>TATIANA NITTA</v>
          </cell>
        </row>
        <row r="1478">
          <cell r="B1478">
            <v>5167905</v>
          </cell>
          <cell r="C1478" t="str">
            <v>CHIENI COMERCIO DE ALIMENTOS LT</v>
          </cell>
          <cell r="D1478">
            <v>7001</v>
          </cell>
          <cell r="E1478" t="str">
            <v>0749</v>
          </cell>
          <cell r="F1478" t="str">
            <v>C5</v>
          </cell>
          <cell r="G1478" t="str">
            <v>SP</v>
          </cell>
          <cell r="H1478" t="str">
            <v>DISTRIBUIÇÃO</v>
          </cell>
          <cell r="I1478" t="str">
            <v>FOOD SERVICE</v>
          </cell>
          <cell r="J1478" t="str">
            <v>FLAC 3</v>
          </cell>
          <cell r="K1478" t="str">
            <v>LACTALIS</v>
          </cell>
          <cell r="L1478" t="str">
            <v>RODRIGO</v>
          </cell>
          <cell r="M1478" t="str">
            <v>RAQUEL BARBOSA</v>
          </cell>
        </row>
        <row r="1479">
          <cell r="B1479">
            <v>5199893</v>
          </cell>
          <cell r="C1479" t="str">
            <v>JADE COM ATAC DE PROD EM SACHES LTD</v>
          </cell>
          <cell r="D1479">
            <v>4001</v>
          </cell>
          <cell r="E1479" t="str">
            <v>0456</v>
          </cell>
          <cell r="F1479" t="str">
            <v>C1</v>
          </cell>
          <cell r="G1479" t="str">
            <v>SC</v>
          </cell>
          <cell r="H1479" t="str">
            <v>DISTRIBUIÇÃO</v>
          </cell>
          <cell r="I1479" t="str">
            <v>FOOD SERVICE</v>
          </cell>
          <cell r="J1479" t="str">
            <v>ANGELICA BATISTELA</v>
          </cell>
          <cell r="K1479" t="str">
            <v>LACTALIS</v>
          </cell>
          <cell r="L1479" t="str">
            <v>RODRIGO</v>
          </cell>
          <cell r="M1479" t="str">
            <v>ANGELICA BATISTELA</v>
          </cell>
        </row>
        <row r="1480">
          <cell r="B1480">
            <v>5209004</v>
          </cell>
          <cell r="C1480" t="str">
            <v>SOLSOR DISTRIBUIDORA DE DOCES</v>
          </cell>
          <cell r="D1480">
            <v>3001</v>
          </cell>
          <cell r="E1480" t="str">
            <v>0028</v>
          </cell>
          <cell r="F1480" t="str">
            <v>C1</v>
          </cell>
          <cell r="G1480" t="str">
            <v>PR</v>
          </cell>
          <cell r="H1480" t="str">
            <v>INGREDIENTS</v>
          </cell>
          <cell r="I1480" t="str">
            <v>INGREDIENTS</v>
          </cell>
          <cell r="J1480" t="str">
            <v>DUAS RODAS</v>
          </cell>
          <cell r="K1480" t="str">
            <v>ITAMBÉ</v>
          </cell>
          <cell r="L1480" t="str">
            <v>MAURICIO</v>
          </cell>
          <cell r="M1480" t="str">
            <v>MARCELO</v>
          </cell>
        </row>
        <row r="1481">
          <cell r="B1481">
            <v>5260577</v>
          </cell>
          <cell r="C1481" t="str">
            <v>MAFRIOS DIST E IMPORTADORA LTDA</v>
          </cell>
          <cell r="D1481">
            <v>4001</v>
          </cell>
          <cell r="E1481" t="str">
            <v>0423</v>
          </cell>
          <cell r="F1481" t="str">
            <v>C5</v>
          </cell>
          <cell r="G1481" t="str">
            <v>SE</v>
          </cell>
          <cell r="H1481" t="str">
            <v>DISTRIBUIÇÃO</v>
          </cell>
          <cell r="I1481" t="str">
            <v>FOOD SERVICE</v>
          </cell>
          <cell r="J1481" t="str">
            <v>CLAUDIO JORGE</v>
          </cell>
          <cell r="K1481" t="str">
            <v>LACTALIS</v>
          </cell>
          <cell r="L1481" t="str">
            <v>RODRIGO</v>
          </cell>
          <cell r="M1481" t="str">
            <v>MARIA LOURDES</v>
          </cell>
        </row>
        <row r="1482">
          <cell r="B1482">
            <v>5292923</v>
          </cell>
          <cell r="C1482" t="str">
            <v>EPCA EMPRESA PAULISTA DE CESTA</v>
          </cell>
          <cell r="D1482">
            <v>7001</v>
          </cell>
          <cell r="E1482" t="str">
            <v>0749</v>
          </cell>
          <cell r="F1482" t="str">
            <v>C5</v>
          </cell>
          <cell r="G1482" t="str">
            <v>SP</v>
          </cell>
          <cell r="H1482" t="str">
            <v>DISTRIBUIÇÃO</v>
          </cell>
          <cell r="I1482" t="str">
            <v>FOOD SERVICE</v>
          </cell>
          <cell r="J1482" t="str">
            <v>FLAC 1</v>
          </cell>
          <cell r="K1482" t="str">
            <v>LACTALIS</v>
          </cell>
          <cell r="L1482" t="str">
            <v>RODRIGO</v>
          </cell>
          <cell r="M1482" t="str">
            <v>RAQUEL BARBOSA</v>
          </cell>
        </row>
        <row r="1483">
          <cell r="B1483">
            <v>5315266</v>
          </cell>
          <cell r="C1483" t="str">
            <v>DELICATTO GASTRONOM ROTISSER CO</v>
          </cell>
          <cell r="D1483">
            <v>7001</v>
          </cell>
          <cell r="E1483" t="str">
            <v>0749</v>
          </cell>
          <cell r="F1483" t="str">
            <v>C5</v>
          </cell>
          <cell r="G1483" t="str">
            <v>SP</v>
          </cell>
          <cell r="H1483" t="str">
            <v>DISTRIBUIÇÃO</v>
          </cell>
          <cell r="I1483" t="str">
            <v>FOOD SERVICE</v>
          </cell>
          <cell r="J1483" t="str">
            <v>FLAC 3</v>
          </cell>
          <cell r="K1483" t="str">
            <v>LACTALIS</v>
          </cell>
          <cell r="L1483" t="str">
            <v>RODRIGO</v>
          </cell>
          <cell r="M1483" t="str">
            <v>RAQUEL BARBOSA</v>
          </cell>
        </row>
        <row r="1484">
          <cell r="B1484">
            <v>5320070</v>
          </cell>
          <cell r="C1484" t="str">
            <v>MON CHOU COM IMPORTACAO E EXPOR</v>
          </cell>
          <cell r="D1484">
            <v>4001</v>
          </cell>
          <cell r="E1484" t="str">
            <v>0439</v>
          </cell>
          <cell r="F1484" t="str">
            <v>C1</v>
          </cell>
          <cell r="G1484" t="str">
            <v>RJ</v>
          </cell>
          <cell r="H1484" t="str">
            <v>DISTRIBUIÇÃO</v>
          </cell>
          <cell r="I1484" t="str">
            <v>FOOD SERVICE</v>
          </cell>
          <cell r="J1484" t="str">
            <v>LUCIANA MARTINS</v>
          </cell>
          <cell r="K1484" t="str">
            <v>LACTALIS</v>
          </cell>
          <cell r="L1484" t="str">
            <v>RODRIGO</v>
          </cell>
          <cell r="M1484" t="str">
            <v>JESSICA</v>
          </cell>
        </row>
        <row r="1485">
          <cell r="B1485">
            <v>5338679</v>
          </cell>
          <cell r="C1485" t="str">
            <v>AIZOME LTDA</v>
          </cell>
          <cell r="D1485">
            <v>7001</v>
          </cell>
          <cell r="E1485" t="str">
            <v>0749</v>
          </cell>
          <cell r="F1485" t="str">
            <v>C5</v>
          </cell>
          <cell r="G1485" t="str">
            <v>SP</v>
          </cell>
          <cell r="H1485" t="str">
            <v>DISTRIBUIÇÃO</v>
          </cell>
          <cell r="I1485" t="str">
            <v>FOOD SERVICE</v>
          </cell>
          <cell r="J1485" t="str">
            <v>FLAC 4</v>
          </cell>
          <cell r="K1485" t="str">
            <v>LACTALIS</v>
          </cell>
          <cell r="L1485" t="str">
            <v>RODRIGO</v>
          </cell>
          <cell r="M1485" t="str">
            <v>RAQUEL BARBOSA</v>
          </cell>
        </row>
        <row r="1486">
          <cell r="B1486">
            <v>5338918</v>
          </cell>
          <cell r="C1486" t="str">
            <v>40511051 JONAS JUNG</v>
          </cell>
          <cell r="D1486">
            <v>7001</v>
          </cell>
          <cell r="E1486" t="str">
            <v>0749</v>
          </cell>
          <cell r="F1486" t="str">
            <v>C5</v>
          </cell>
          <cell r="G1486" t="str">
            <v>SP</v>
          </cell>
          <cell r="H1486" t="str">
            <v>DISTRIBUIÇÃO</v>
          </cell>
          <cell r="I1486" t="str">
            <v>FOOD SERVICE</v>
          </cell>
          <cell r="J1486" t="str">
            <v>FLAC 2</v>
          </cell>
          <cell r="K1486" t="str">
            <v>LACTALIS</v>
          </cell>
          <cell r="L1486" t="str">
            <v>RODRIGO</v>
          </cell>
          <cell r="M1486" t="str">
            <v>RAQUEL BARBOSA</v>
          </cell>
        </row>
        <row r="1487">
          <cell r="B1487">
            <v>5341995</v>
          </cell>
          <cell r="C1487" t="str">
            <v>RESTAURANTE MANIOCA FARIA LIMA</v>
          </cell>
          <cell r="D1487">
            <v>7001</v>
          </cell>
          <cell r="E1487" t="str">
            <v>0749</v>
          </cell>
          <cell r="F1487" t="str">
            <v>C5</v>
          </cell>
          <cell r="G1487" t="str">
            <v>SP</v>
          </cell>
          <cell r="H1487" t="str">
            <v>DISTRIBUIÇÃO</v>
          </cell>
          <cell r="I1487" t="str">
            <v>FOOD SERVICE</v>
          </cell>
          <cell r="J1487" t="str">
            <v>FLAC 6</v>
          </cell>
          <cell r="K1487" t="str">
            <v>LACTALIS</v>
          </cell>
          <cell r="L1487" t="str">
            <v>RODRIGO</v>
          </cell>
          <cell r="M1487" t="str">
            <v>RAQUEL BARBOSA</v>
          </cell>
        </row>
        <row r="1488">
          <cell r="B1488">
            <v>5174699</v>
          </cell>
          <cell r="C1488" t="str">
            <v>SORVETERIA AVENIDA LTDA</v>
          </cell>
          <cell r="D1488">
            <v>3001</v>
          </cell>
          <cell r="E1488" t="str">
            <v>0028</v>
          </cell>
          <cell r="F1488" t="str">
            <v>C1</v>
          </cell>
          <cell r="G1488" t="str">
            <v>PR</v>
          </cell>
          <cell r="H1488" t="str">
            <v>INGREDIENTS</v>
          </cell>
          <cell r="I1488" t="str">
            <v>INGREDIENTS</v>
          </cell>
          <cell r="J1488" t="str">
            <v>DUAS RODAS</v>
          </cell>
          <cell r="K1488" t="str">
            <v>ITAMBÉ</v>
          </cell>
          <cell r="L1488" t="str">
            <v>MAURICIO</v>
          </cell>
          <cell r="M1488" t="str">
            <v>MARCELO</v>
          </cell>
        </row>
        <row r="1489">
          <cell r="B1489">
            <v>5001794</v>
          </cell>
          <cell r="C1489" t="str">
            <v>GATE GOURMET LTDA</v>
          </cell>
          <cell r="D1489">
            <v>7001</v>
          </cell>
          <cell r="E1489" t="str">
            <v>0739</v>
          </cell>
          <cell r="F1489" t="str">
            <v>C1</v>
          </cell>
          <cell r="G1489" t="str">
            <v>RJ</v>
          </cell>
          <cell r="H1489" t="str">
            <v>QSR</v>
          </cell>
          <cell r="I1489" t="str">
            <v>FOOD SERVICE</v>
          </cell>
          <cell r="J1489" t="str">
            <v>ANA MENIQUETE</v>
          </cell>
          <cell r="K1489" t="str">
            <v>LACTALIS</v>
          </cell>
          <cell r="L1489" t="str">
            <v>PEDRO</v>
          </cell>
          <cell r="M1489" t="str">
            <v>ANA MENIQUETE</v>
          </cell>
        </row>
        <row r="1490">
          <cell r="B1490">
            <v>5008636</v>
          </cell>
          <cell r="C1490" t="str">
            <v>GR SERVICOS E ALIMENTACAO LTDA</v>
          </cell>
          <cell r="D1490">
            <v>7001</v>
          </cell>
          <cell r="E1490" t="str">
            <v>0750</v>
          </cell>
          <cell r="F1490" t="str">
            <v>C5</v>
          </cell>
          <cell r="G1490" t="str">
            <v>RJ</v>
          </cell>
          <cell r="H1490" t="str">
            <v>QSR</v>
          </cell>
          <cell r="I1490" t="str">
            <v>FOOD SERVICE</v>
          </cell>
          <cell r="J1490" t="str">
            <v>NUTRI</v>
          </cell>
          <cell r="K1490" t="str">
            <v>LACTALIS</v>
          </cell>
          <cell r="L1490" t="str">
            <v>PEDRO</v>
          </cell>
          <cell r="M1490" t="str">
            <v>VAGO QSR</v>
          </cell>
        </row>
        <row r="1491">
          <cell r="B1491">
            <v>5017576</v>
          </cell>
          <cell r="C1491" t="str">
            <v>COMERCIAL DISKPAN LTDA</v>
          </cell>
          <cell r="D1491">
            <v>7001</v>
          </cell>
          <cell r="E1491" t="str">
            <v>0739</v>
          </cell>
          <cell r="F1491" t="str">
            <v>C1</v>
          </cell>
          <cell r="G1491" t="str">
            <v>ES</v>
          </cell>
          <cell r="H1491" t="str">
            <v>DISTRIBUIÇÃO</v>
          </cell>
          <cell r="I1491" t="str">
            <v>FOOD SERVICE</v>
          </cell>
          <cell r="J1491" t="str">
            <v>MARCELO DUARTE</v>
          </cell>
          <cell r="K1491" t="str">
            <v>LACTALIS</v>
          </cell>
          <cell r="L1491" t="str">
            <v>RODRIGO</v>
          </cell>
          <cell r="M1491" t="str">
            <v>JESSICA</v>
          </cell>
        </row>
        <row r="1492">
          <cell r="B1492">
            <v>5023770</v>
          </cell>
          <cell r="C1492" t="str">
            <v>SOLMAR DIST DE ALIMENTOS LTDA</v>
          </cell>
          <cell r="D1492">
            <v>3001</v>
          </cell>
          <cell r="E1492" t="str">
            <v>0075</v>
          </cell>
          <cell r="F1492" t="str">
            <v>C1</v>
          </cell>
          <cell r="G1492" t="str">
            <v>CE</v>
          </cell>
          <cell r="H1492" t="str">
            <v>DISTRIBUIÇÃO</v>
          </cell>
          <cell r="I1492" t="str">
            <v>FOOD SERVICE</v>
          </cell>
          <cell r="J1492" t="str">
            <v>WH FOOD SERVICE CE</v>
          </cell>
          <cell r="K1492" t="str">
            <v>ITAMBÉ</v>
          </cell>
          <cell r="L1492" t="str">
            <v>RODRIGO</v>
          </cell>
          <cell r="M1492" t="str">
            <v>MARIA LOURDES</v>
          </cell>
        </row>
        <row r="1493">
          <cell r="B1493">
            <v>5026399</v>
          </cell>
          <cell r="C1493" t="str">
            <v>RIO QUALITY COMERCIO DE ALIMENTOS</v>
          </cell>
          <cell r="D1493">
            <v>7001</v>
          </cell>
          <cell r="E1493" t="str">
            <v>0739</v>
          </cell>
          <cell r="F1493" t="str">
            <v>C1</v>
          </cell>
          <cell r="G1493" t="str">
            <v>RJ</v>
          </cell>
          <cell r="H1493" t="str">
            <v>DISTRIBUIÇÃO</v>
          </cell>
          <cell r="I1493" t="str">
            <v>FOOD SERVICE</v>
          </cell>
          <cell r="J1493" t="str">
            <v>JESSICA CARLA</v>
          </cell>
          <cell r="K1493" t="str">
            <v>LACTALIS</v>
          </cell>
          <cell r="L1493" t="str">
            <v>RODRIGO</v>
          </cell>
          <cell r="M1493" t="str">
            <v>JESSICA</v>
          </cell>
        </row>
        <row r="1494">
          <cell r="B1494">
            <v>5108984</v>
          </cell>
          <cell r="C1494" t="str">
            <v>IRMAOS BENASSI PROD E DIST DE F</v>
          </cell>
          <cell r="D1494">
            <v>7001</v>
          </cell>
          <cell r="E1494" t="str">
            <v>0739</v>
          </cell>
          <cell r="F1494" t="str">
            <v>C1</v>
          </cell>
          <cell r="G1494" t="str">
            <v>RJ</v>
          </cell>
          <cell r="H1494" t="str">
            <v>DISTRIBUIÇÃO</v>
          </cell>
          <cell r="I1494" t="str">
            <v>FOOD SERVICE</v>
          </cell>
          <cell r="J1494" t="str">
            <v>LUCIANA MARTINS</v>
          </cell>
          <cell r="K1494" t="str">
            <v>LACTALIS</v>
          </cell>
          <cell r="L1494" t="str">
            <v>RODRIGO</v>
          </cell>
          <cell r="M1494" t="str">
            <v>JESSICA</v>
          </cell>
        </row>
        <row r="1495">
          <cell r="B1495">
            <v>5147526</v>
          </cell>
          <cell r="C1495" t="str">
            <v>SAPORE SA</v>
          </cell>
          <cell r="D1495">
            <v>7001</v>
          </cell>
          <cell r="E1495" t="str">
            <v>0750</v>
          </cell>
          <cell r="F1495" t="str">
            <v>C5</v>
          </cell>
          <cell r="G1495" t="str">
            <v>RJ</v>
          </cell>
          <cell r="H1495" t="str">
            <v>QSR</v>
          </cell>
          <cell r="I1495" t="str">
            <v>FOOD SERVICE</v>
          </cell>
          <cell r="J1495" t="str">
            <v>NUTRI</v>
          </cell>
          <cell r="K1495" t="str">
            <v>LACTALIS</v>
          </cell>
          <cell r="L1495" t="str">
            <v>PEDRO</v>
          </cell>
          <cell r="M1495" t="str">
            <v>VAGO QSR</v>
          </cell>
        </row>
        <row r="1496">
          <cell r="B1496">
            <v>5174117</v>
          </cell>
          <cell r="C1496" t="str">
            <v>MASSIMA ALIMENTACAO SA</v>
          </cell>
          <cell r="D1496">
            <v>7001</v>
          </cell>
          <cell r="E1496" t="str">
            <v>0750</v>
          </cell>
          <cell r="F1496" t="str">
            <v>C5</v>
          </cell>
          <cell r="G1496" t="str">
            <v>RJ</v>
          </cell>
          <cell r="H1496" t="str">
            <v>QSR</v>
          </cell>
          <cell r="I1496" t="str">
            <v>FOOD SERVICE</v>
          </cell>
          <cell r="J1496" t="str">
            <v>NUTRI</v>
          </cell>
          <cell r="K1496" t="str">
            <v>LACTALIS</v>
          </cell>
          <cell r="L1496" t="str">
            <v>PEDRO</v>
          </cell>
          <cell r="M1496" t="str">
            <v>VAGO QSR</v>
          </cell>
        </row>
        <row r="1497">
          <cell r="B1497">
            <v>5231303</v>
          </cell>
          <cell r="C1497" t="str">
            <v>SUPER VINHOS DISTRIBUIDORA S A</v>
          </cell>
          <cell r="D1497">
            <v>7001</v>
          </cell>
          <cell r="E1497" t="str">
            <v>0739</v>
          </cell>
          <cell r="F1497" t="str">
            <v>C1</v>
          </cell>
          <cell r="G1497" t="str">
            <v>RJ</v>
          </cell>
          <cell r="H1497" t="str">
            <v>DISTRIBUIÇÃO</v>
          </cell>
          <cell r="I1497" t="str">
            <v>FOOD SERVICE</v>
          </cell>
          <cell r="J1497" t="str">
            <v>LUCIANA MARTINS</v>
          </cell>
          <cell r="K1497" t="str">
            <v>LACTALIS</v>
          </cell>
          <cell r="L1497" t="str">
            <v>RODRIGO</v>
          </cell>
          <cell r="M1497" t="str">
            <v>JESSICA</v>
          </cell>
        </row>
        <row r="1498">
          <cell r="B1498">
            <v>5254650</v>
          </cell>
          <cell r="C1498" t="str">
            <v>IACAO NOSSA SENHORA DO PARI</v>
          </cell>
          <cell r="D1498">
            <v>7001</v>
          </cell>
          <cell r="E1498" t="str">
            <v>0749</v>
          </cell>
          <cell r="F1498" t="str">
            <v>C5</v>
          </cell>
          <cell r="G1498" t="str">
            <v>SP</v>
          </cell>
          <cell r="H1498" t="str">
            <v>DISTRIBUIÇÃO</v>
          </cell>
          <cell r="I1498" t="str">
            <v>FOOD SERVICE</v>
          </cell>
          <cell r="J1498" t="str">
            <v>FLAC 6</v>
          </cell>
          <cell r="K1498" t="str">
            <v>LACTALIS</v>
          </cell>
          <cell r="L1498" t="str">
            <v>RODRIGO</v>
          </cell>
          <cell r="M1498" t="str">
            <v>RAQUEL BARBOSA</v>
          </cell>
        </row>
        <row r="1499">
          <cell r="B1499">
            <v>5308710</v>
          </cell>
          <cell r="C1499" t="str">
            <v>SODEXO DO BRASIL COMERCIAL SA</v>
          </cell>
          <cell r="D1499">
            <v>7001</v>
          </cell>
          <cell r="E1499" t="str">
            <v>0750</v>
          </cell>
          <cell r="F1499" t="str">
            <v>C5</v>
          </cell>
          <cell r="G1499" t="str">
            <v>RJ</v>
          </cell>
          <cell r="H1499" t="str">
            <v>QSR</v>
          </cell>
          <cell r="I1499" t="str">
            <v>FOOD SERVICE</v>
          </cell>
          <cell r="J1499" t="str">
            <v>NUTRI</v>
          </cell>
          <cell r="K1499" t="str">
            <v>LACTALIS</v>
          </cell>
          <cell r="L1499" t="str">
            <v>PEDRO</v>
          </cell>
          <cell r="M1499" t="str">
            <v>VAGO QSR</v>
          </cell>
        </row>
        <row r="1500">
          <cell r="B1500">
            <v>5341970</v>
          </cell>
          <cell r="C1500" t="str">
            <v>AQUI TEM SAGRADA MASSA COMERCIO</v>
          </cell>
          <cell r="D1500">
            <v>7001</v>
          </cell>
          <cell r="E1500" t="str">
            <v>0749</v>
          </cell>
          <cell r="F1500" t="str">
            <v>C5</v>
          </cell>
          <cell r="G1500" t="str">
            <v>SP</v>
          </cell>
          <cell r="H1500" t="str">
            <v>DISTRIBUIÇÃO</v>
          </cell>
          <cell r="I1500" t="str">
            <v>FOOD SERVICE</v>
          </cell>
          <cell r="J1500" t="str">
            <v>FLAC 5</v>
          </cell>
          <cell r="K1500" t="str">
            <v>LACTALIS</v>
          </cell>
          <cell r="L1500" t="str">
            <v>RODRIGO</v>
          </cell>
          <cell r="M1500" t="str">
            <v>RAQUEL BARBOSA</v>
          </cell>
        </row>
        <row r="1501">
          <cell r="B1501">
            <v>5023870</v>
          </cell>
          <cell r="C1501" t="str">
            <v>GOLD INDUSTRIA E COMERCIO LTDA</v>
          </cell>
          <cell r="D1501">
            <v>4001</v>
          </cell>
          <cell r="E1501" t="str">
            <v>0455</v>
          </cell>
          <cell r="F1501" t="str">
            <v>C1</v>
          </cell>
          <cell r="G1501" t="str">
            <v>PR</v>
          </cell>
          <cell r="H1501" t="str">
            <v>DISTRIBUIÇÃO</v>
          </cell>
          <cell r="I1501" t="str">
            <v>FOOD SERVICE</v>
          </cell>
          <cell r="J1501" t="str">
            <v>ANGELICA BATISTELA</v>
          </cell>
          <cell r="K1501" t="str">
            <v>LACTALIS</v>
          </cell>
          <cell r="L1501" t="str">
            <v>RODRIGO</v>
          </cell>
          <cell r="M1501" t="str">
            <v>ANGELICA BATISTELA</v>
          </cell>
        </row>
        <row r="1502">
          <cell r="B1502">
            <v>5227283</v>
          </cell>
          <cell r="C1502" t="str">
            <v>ACAITERIA EXPRESS LTDA</v>
          </cell>
          <cell r="D1502">
            <v>3001</v>
          </cell>
          <cell r="E1502" t="str">
            <v>0028</v>
          </cell>
          <cell r="F1502" t="str">
            <v>C1</v>
          </cell>
          <cell r="G1502" t="str">
            <v>MG</v>
          </cell>
          <cell r="H1502" t="str">
            <v>INGREDIENTS</v>
          </cell>
          <cell r="I1502" t="str">
            <v>INGREDIENTS</v>
          </cell>
          <cell r="J1502" t="str">
            <v>HENRIQUE FERREIRA</v>
          </cell>
          <cell r="K1502" t="str">
            <v>ITAMBÉ</v>
          </cell>
          <cell r="L1502" t="str">
            <v>MAURICIO</v>
          </cell>
          <cell r="M1502" t="str">
            <v>JOEL</v>
          </cell>
        </row>
        <row r="1503">
          <cell r="B1503">
            <v>5266993</v>
          </cell>
          <cell r="C1503" t="str">
            <v>HOTELARIA ACCOR BRASIL SA</v>
          </cell>
          <cell r="D1503">
            <v>7001</v>
          </cell>
          <cell r="E1503" t="str">
            <v>0749</v>
          </cell>
          <cell r="F1503" t="str">
            <v>C5</v>
          </cell>
          <cell r="G1503" t="str">
            <v>SP</v>
          </cell>
          <cell r="H1503" t="str">
            <v>DISTRIBUIÇÃO</v>
          </cell>
          <cell r="I1503" t="str">
            <v>FOOD SERVICE</v>
          </cell>
          <cell r="J1503" t="str">
            <v>FLAC 6</v>
          </cell>
          <cell r="K1503" t="str">
            <v>LACTALIS</v>
          </cell>
          <cell r="L1503" t="str">
            <v>RODRIGO</v>
          </cell>
          <cell r="M1503" t="str">
            <v>RAQUEL BARBOSA</v>
          </cell>
        </row>
        <row r="1504">
          <cell r="B1504">
            <v>5280639</v>
          </cell>
          <cell r="C1504" t="str">
            <v>DALVA E DITO RESTAURANTE LTDA</v>
          </cell>
          <cell r="D1504">
            <v>7001</v>
          </cell>
          <cell r="E1504" t="str">
            <v>0749</v>
          </cell>
          <cell r="F1504" t="str">
            <v>C5</v>
          </cell>
          <cell r="G1504" t="str">
            <v>SP</v>
          </cell>
          <cell r="H1504" t="str">
            <v>DISTRIBUIÇÃO</v>
          </cell>
          <cell r="I1504" t="str">
            <v>FOOD SERVICE</v>
          </cell>
          <cell r="J1504" t="str">
            <v>FLAC 4</v>
          </cell>
          <cell r="K1504" t="str">
            <v>LACTALIS</v>
          </cell>
          <cell r="L1504" t="str">
            <v>RODRIGO</v>
          </cell>
          <cell r="M1504" t="str">
            <v>RAQUEL BARBOSA</v>
          </cell>
        </row>
        <row r="1505">
          <cell r="B1505">
            <v>5320070</v>
          </cell>
          <cell r="C1505" t="str">
            <v>MON CHOU COM IMPORTACAO E EXPOR</v>
          </cell>
          <cell r="D1505">
            <v>7001</v>
          </cell>
          <cell r="E1505" t="str">
            <v>0739</v>
          </cell>
          <cell r="F1505" t="str">
            <v>C1</v>
          </cell>
          <cell r="G1505" t="str">
            <v>RJ</v>
          </cell>
          <cell r="H1505" t="str">
            <v>DISTRIBUIÇÃO</v>
          </cell>
          <cell r="I1505" t="str">
            <v>FOOD SERVICE</v>
          </cell>
          <cell r="J1505" t="str">
            <v>LUCIANA MARTINS</v>
          </cell>
          <cell r="K1505" t="str">
            <v>LACTALIS</v>
          </cell>
          <cell r="L1505" t="str">
            <v>RODRIGO</v>
          </cell>
          <cell r="M1505" t="str">
            <v>JESSICA</v>
          </cell>
        </row>
        <row r="1506">
          <cell r="B1506">
            <v>5033323</v>
          </cell>
          <cell r="C1506" t="str">
            <v>SORVESHOPES COMERCIAL LTDA</v>
          </cell>
          <cell r="D1506">
            <v>6001</v>
          </cell>
          <cell r="E1506" t="str">
            <v>6028</v>
          </cell>
          <cell r="F1506" t="str">
            <v>C1</v>
          </cell>
          <cell r="G1506" t="str">
            <v>ES</v>
          </cell>
          <cell r="H1506" t="str">
            <v>DISTRIBUIÇÃO</v>
          </cell>
          <cell r="I1506" t="str">
            <v>FOOD SERVICE</v>
          </cell>
          <cell r="J1506" t="str">
            <v>MARCELO DUARTE</v>
          </cell>
          <cell r="K1506" t="str">
            <v>ITAMBÉ</v>
          </cell>
          <cell r="L1506" t="str">
            <v>RODRIGO</v>
          </cell>
          <cell r="M1506" t="str">
            <v>JESSICA</v>
          </cell>
        </row>
        <row r="1507">
          <cell r="B1507">
            <v>5223996</v>
          </cell>
          <cell r="C1507" t="str">
            <v>PLASTIC DISTRIBUIDORA LTDA</v>
          </cell>
          <cell r="D1507">
            <v>6001</v>
          </cell>
          <cell r="E1507" t="str">
            <v>6028</v>
          </cell>
          <cell r="F1507" t="str">
            <v>C1</v>
          </cell>
          <cell r="G1507" t="str">
            <v>ES</v>
          </cell>
          <cell r="H1507" t="str">
            <v>INGREDIENTS</v>
          </cell>
          <cell r="I1507" t="str">
            <v>INGREDIENTS</v>
          </cell>
          <cell r="J1507" t="str">
            <v>ES ITB FS RADTKE REPRES</v>
          </cell>
          <cell r="K1507" t="str">
            <v>ITAMBÉ</v>
          </cell>
          <cell r="L1507" t="str">
            <v>MAURICIO</v>
          </cell>
          <cell r="M1507" t="str">
            <v>JOEL</v>
          </cell>
        </row>
        <row r="1508">
          <cell r="B1508">
            <v>5234290</v>
          </cell>
          <cell r="C1508" t="str">
            <v>ZAQUI E ZAQUI IND E COM BEBIDAS</v>
          </cell>
          <cell r="D1508">
            <v>6001</v>
          </cell>
          <cell r="E1508" t="str">
            <v>6125</v>
          </cell>
          <cell r="F1508" t="str">
            <v>C1</v>
          </cell>
          <cell r="G1508" t="str">
            <v>SP</v>
          </cell>
          <cell r="H1508" t="str">
            <v>INGREDIENTS</v>
          </cell>
          <cell r="I1508" t="str">
            <v>INGREDIENTS</v>
          </cell>
          <cell r="J1508" t="str">
            <v>TATIANA NITTA</v>
          </cell>
          <cell r="K1508" t="str">
            <v>ITAMBÉ</v>
          </cell>
          <cell r="L1508" t="str">
            <v>MAURICIO</v>
          </cell>
          <cell r="M1508" t="str">
            <v>TATIANA NITTA</v>
          </cell>
        </row>
        <row r="1509">
          <cell r="B1509">
            <v>5260663</v>
          </cell>
          <cell r="C1509" t="str">
            <v>M DIAS BRANCO SA IND E COM DE A</v>
          </cell>
          <cell r="D1509">
            <v>4001</v>
          </cell>
          <cell r="E1509" t="str">
            <v>0437</v>
          </cell>
          <cell r="F1509" t="str">
            <v>C1</v>
          </cell>
          <cell r="G1509" t="str">
            <v>RS</v>
          </cell>
          <cell r="H1509" t="str">
            <v>INGREDIENTS</v>
          </cell>
          <cell r="I1509" t="str">
            <v>INGREDIENTS</v>
          </cell>
          <cell r="J1509" t="str">
            <v>JOEL ELEOTÉRIO</v>
          </cell>
          <cell r="K1509" t="str">
            <v>LACTALIS</v>
          </cell>
          <cell r="L1509" t="str">
            <v>MAURICIO</v>
          </cell>
          <cell r="M1509" t="str">
            <v>JOEL</v>
          </cell>
        </row>
        <row r="1510">
          <cell r="B1510">
            <v>5287883</v>
          </cell>
          <cell r="C1510" t="str">
            <v>GISELE C L BIT CEGALINI 2898376</v>
          </cell>
          <cell r="D1510">
            <v>7001</v>
          </cell>
          <cell r="E1510" t="str">
            <v>0749</v>
          </cell>
          <cell r="F1510" t="str">
            <v>C5</v>
          </cell>
          <cell r="G1510" t="str">
            <v>SP</v>
          </cell>
          <cell r="H1510" t="str">
            <v>DISTRIBUIÇÃO</v>
          </cell>
          <cell r="I1510" t="str">
            <v>FOOD SERVICE</v>
          </cell>
          <cell r="J1510" t="str">
            <v>FLAC 6</v>
          </cell>
          <cell r="K1510" t="str">
            <v>LACTALIS</v>
          </cell>
          <cell r="L1510" t="str">
            <v>RODRIGO</v>
          </cell>
          <cell r="M1510" t="str">
            <v>RAQUEL BARBOSA</v>
          </cell>
        </row>
        <row r="1511">
          <cell r="B1511">
            <v>5328531</v>
          </cell>
          <cell r="C1511" t="str">
            <v>JOYA COMERCIO DE ALIMENTOS LTDA</v>
          </cell>
          <cell r="D1511">
            <v>7001</v>
          </cell>
          <cell r="E1511" t="str">
            <v>0749</v>
          </cell>
          <cell r="F1511" t="str">
            <v>C5</v>
          </cell>
          <cell r="G1511" t="str">
            <v>SP</v>
          </cell>
          <cell r="H1511" t="str">
            <v>DISTRIBUIÇÃO</v>
          </cell>
          <cell r="I1511" t="str">
            <v>FOOD SERVICE</v>
          </cell>
          <cell r="J1511" t="str">
            <v>FLAC 6</v>
          </cell>
          <cell r="K1511" t="str">
            <v>LACTALIS</v>
          </cell>
          <cell r="L1511" t="str">
            <v>RODRIGO</v>
          </cell>
          <cell r="M1511" t="str">
            <v>RAQUEL BARBOSA</v>
          </cell>
        </row>
        <row r="1512">
          <cell r="B1512">
            <v>5008636</v>
          </cell>
          <cell r="C1512" t="str">
            <v>GR SERVICOS E ALIMENTACAO LTDA</v>
          </cell>
          <cell r="D1512">
            <v>6001</v>
          </cell>
          <cell r="E1512" t="str">
            <v>6028</v>
          </cell>
          <cell r="F1512" t="str">
            <v>C1</v>
          </cell>
          <cell r="G1512" t="str">
            <v>RJ</v>
          </cell>
          <cell r="H1512" t="str">
            <v>QSR</v>
          </cell>
          <cell r="I1512" t="str">
            <v>FOOD SERVICE</v>
          </cell>
          <cell r="J1512" t="str">
            <v>NUTRI</v>
          </cell>
          <cell r="K1512" t="str">
            <v>ITAMBÉ</v>
          </cell>
          <cell r="L1512" t="str">
            <v>PEDRO</v>
          </cell>
          <cell r="M1512" t="str">
            <v>VAGO QSR</v>
          </cell>
        </row>
        <row r="1513">
          <cell r="B1513">
            <v>5017576</v>
          </cell>
          <cell r="C1513" t="str">
            <v>COMERCIAL DISKPAN LTDA</v>
          </cell>
          <cell r="D1513">
            <v>6001</v>
          </cell>
          <cell r="E1513" t="str">
            <v>6169</v>
          </cell>
          <cell r="F1513" t="str">
            <v>C1</v>
          </cell>
          <cell r="G1513" t="str">
            <v>ES</v>
          </cell>
          <cell r="H1513" t="str">
            <v>DISTRIBUIÇÃO</v>
          </cell>
          <cell r="I1513" t="str">
            <v>FOOD SERVICE</v>
          </cell>
          <cell r="J1513" t="str">
            <v>MARCELO DUARTE</v>
          </cell>
          <cell r="K1513" t="str">
            <v>ITAMBÉ</v>
          </cell>
          <cell r="L1513" t="str">
            <v>RODRIGO</v>
          </cell>
          <cell r="M1513" t="str">
            <v>JESSICA</v>
          </cell>
        </row>
        <row r="1514">
          <cell r="B1514">
            <v>5099077</v>
          </cell>
          <cell r="C1514" t="str">
            <v>ITAMARATY INDUSTRIA E COMERCIO S/A</v>
          </cell>
          <cell r="D1514">
            <v>4001</v>
          </cell>
          <cell r="E1514" t="str">
            <v>0455</v>
          </cell>
          <cell r="F1514" t="str">
            <v>C1</v>
          </cell>
          <cell r="G1514" t="str">
            <v>PR</v>
          </cell>
          <cell r="H1514" t="str">
            <v>INGREDIENTS</v>
          </cell>
          <cell r="I1514" t="str">
            <v>INGREDIENTS</v>
          </cell>
          <cell r="J1514" t="str">
            <v>MARCELO RODRIGUES</v>
          </cell>
          <cell r="K1514" t="str">
            <v>LACTALIS</v>
          </cell>
          <cell r="L1514" t="str">
            <v>MAURICIO</v>
          </cell>
          <cell r="M1514" t="str">
            <v>MARCELO</v>
          </cell>
        </row>
        <row r="1515">
          <cell r="B1515">
            <v>5131661</v>
          </cell>
          <cell r="C1515" t="str">
            <v>GR SERVICOS E ALIMENTACAO LTDA</v>
          </cell>
          <cell r="D1515">
            <v>6001</v>
          </cell>
          <cell r="E1515" t="str">
            <v>6028</v>
          </cell>
          <cell r="F1515" t="str">
            <v>C1</v>
          </cell>
          <cell r="G1515" t="str">
            <v>RJ</v>
          </cell>
          <cell r="H1515" t="str">
            <v>QSR</v>
          </cell>
          <cell r="I1515" t="str">
            <v>FOOD SERVICE</v>
          </cell>
          <cell r="J1515" t="str">
            <v>NUTRI</v>
          </cell>
          <cell r="K1515" t="str">
            <v>ITAMBÉ</v>
          </cell>
          <cell r="L1515" t="str">
            <v>PEDRO</v>
          </cell>
          <cell r="M1515" t="str">
            <v>VAGO QSR</v>
          </cell>
        </row>
        <row r="1516">
          <cell r="B1516">
            <v>5138406</v>
          </cell>
          <cell r="C1516" t="str">
            <v>PARMEZAO INDUSTRIA E COM DE ALIM LT</v>
          </cell>
          <cell r="D1516">
            <v>6001</v>
          </cell>
          <cell r="E1516" t="str">
            <v>6028</v>
          </cell>
          <cell r="F1516" t="str">
            <v>C1</v>
          </cell>
          <cell r="G1516" t="str">
            <v>RJ</v>
          </cell>
          <cell r="H1516" t="str">
            <v>INGREDIENTS</v>
          </cell>
          <cell r="I1516" t="str">
            <v>INGREDIENTS</v>
          </cell>
          <cell r="J1516" t="str">
            <v>HENRIQUE FERREIRA</v>
          </cell>
          <cell r="K1516" t="str">
            <v>ITAMBÉ</v>
          </cell>
          <cell r="L1516" t="str">
            <v>MAURICIO</v>
          </cell>
          <cell r="M1516" t="str">
            <v>JOEL</v>
          </cell>
        </row>
        <row r="1517">
          <cell r="B1517">
            <v>5145238</v>
          </cell>
          <cell r="C1517" t="str">
            <v>BIMBO DO BRASIL LTDA</v>
          </cell>
          <cell r="D1517">
            <v>6001</v>
          </cell>
          <cell r="E1517" t="str">
            <v>6125</v>
          </cell>
          <cell r="F1517" t="str">
            <v>C1</v>
          </cell>
          <cell r="G1517" t="str">
            <v>SP</v>
          </cell>
          <cell r="H1517" t="str">
            <v>INGREDIENTS</v>
          </cell>
          <cell r="I1517" t="str">
            <v>INGREDIENTS</v>
          </cell>
          <cell r="J1517" t="str">
            <v>TATIANA NITTA</v>
          </cell>
          <cell r="K1517" t="str">
            <v>ITAMBÉ</v>
          </cell>
          <cell r="L1517" t="str">
            <v>MAURICIO</v>
          </cell>
          <cell r="M1517" t="str">
            <v>TATIANA NITTA</v>
          </cell>
        </row>
        <row r="1518">
          <cell r="B1518">
            <v>5172313</v>
          </cell>
          <cell r="C1518" t="str">
            <v>FRONERI BRASIL DIST DE SORV E CONG</v>
          </cell>
          <cell r="D1518">
            <v>6001</v>
          </cell>
          <cell r="E1518" t="str">
            <v>6028</v>
          </cell>
          <cell r="F1518" t="str">
            <v>C1</v>
          </cell>
          <cell r="G1518" t="str">
            <v>RJ</v>
          </cell>
          <cell r="H1518" t="str">
            <v>INGREDIENTS</v>
          </cell>
          <cell r="I1518" t="str">
            <v>INGREDIENTS</v>
          </cell>
          <cell r="J1518" t="str">
            <v>JOEL ELEOTÉRIO</v>
          </cell>
          <cell r="K1518" t="str">
            <v>ITAMBÉ</v>
          </cell>
          <cell r="L1518" t="str">
            <v>MAURICIO</v>
          </cell>
          <cell r="M1518" t="str">
            <v>JOEL</v>
          </cell>
        </row>
        <row r="1519">
          <cell r="B1519">
            <v>5184715</v>
          </cell>
          <cell r="C1519" t="str">
            <v>CARLOS GEOVANE ALMEIDA DE PAULA LTDA</v>
          </cell>
          <cell r="D1519">
            <v>6001</v>
          </cell>
          <cell r="E1519" t="str">
            <v>6028</v>
          </cell>
          <cell r="F1519" t="str">
            <v>C1</v>
          </cell>
          <cell r="G1519" t="str">
            <v>MS</v>
          </cell>
          <cell r="H1519" t="str">
            <v>INGREDIENTS</v>
          </cell>
          <cell r="I1519" t="str">
            <v>INGREDIENTS</v>
          </cell>
          <cell r="J1519" t="str">
            <v>DUAS RODAS</v>
          </cell>
          <cell r="K1519" t="str">
            <v>ITAMBÉ</v>
          </cell>
          <cell r="L1519" t="str">
            <v>MAURICIO</v>
          </cell>
          <cell r="M1519" t="str">
            <v>MARCELO</v>
          </cell>
        </row>
        <row r="1520">
          <cell r="B1520">
            <v>5186251</v>
          </cell>
          <cell r="C1520" t="str">
            <v>GABRIELA MACHADO MATOS</v>
          </cell>
          <cell r="D1520">
            <v>6001</v>
          </cell>
          <cell r="E1520" t="str">
            <v>6028</v>
          </cell>
          <cell r="F1520" t="str">
            <v>C1</v>
          </cell>
          <cell r="G1520" t="str">
            <v>MS</v>
          </cell>
          <cell r="H1520" t="str">
            <v>INGREDIENTS</v>
          </cell>
          <cell r="I1520" t="str">
            <v>INGREDIENTS</v>
          </cell>
          <cell r="J1520" t="str">
            <v>DUAS RODAS</v>
          </cell>
          <cell r="K1520" t="str">
            <v>ITAMBÉ</v>
          </cell>
          <cell r="L1520" t="str">
            <v>MAURICIO</v>
          </cell>
          <cell r="M1520" t="str">
            <v>MARCELO</v>
          </cell>
        </row>
        <row r="1521">
          <cell r="B1521">
            <v>5198698</v>
          </cell>
          <cell r="C1521" t="str">
            <v>PANDURATA ALIMENTOS LTDA</v>
          </cell>
          <cell r="D1521">
            <v>7001</v>
          </cell>
          <cell r="E1521" t="str">
            <v>0737</v>
          </cell>
          <cell r="F1521" t="str">
            <v>C1</v>
          </cell>
          <cell r="G1521" t="str">
            <v>SP</v>
          </cell>
          <cell r="H1521" t="str">
            <v>INGREDIENTS</v>
          </cell>
          <cell r="I1521" t="str">
            <v>INGREDIENTS</v>
          </cell>
          <cell r="J1521" t="str">
            <v>JOEL ELEOTÉRIO</v>
          </cell>
          <cell r="K1521" t="str">
            <v>LACTALIS</v>
          </cell>
          <cell r="L1521" t="str">
            <v>MAURICIO</v>
          </cell>
          <cell r="M1521" t="str">
            <v>JOEL</v>
          </cell>
        </row>
        <row r="1522">
          <cell r="B1522">
            <v>5207394</v>
          </cell>
          <cell r="C1522" t="str">
            <v>NEWREST BRASIL S A AO T AEREO LTDA</v>
          </cell>
          <cell r="D1522">
            <v>7001</v>
          </cell>
          <cell r="E1522" t="str">
            <v>0739</v>
          </cell>
          <cell r="F1522" t="str">
            <v>C1</v>
          </cell>
          <cell r="G1522" t="str">
            <v>RJ</v>
          </cell>
          <cell r="H1522" t="str">
            <v>QSR</v>
          </cell>
          <cell r="I1522" t="str">
            <v>FOOD SERVICE</v>
          </cell>
          <cell r="J1522" t="str">
            <v>ANA MENIQUETE</v>
          </cell>
          <cell r="K1522" t="str">
            <v>LACTALIS</v>
          </cell>
          <cell r="L1522" t="str">
            <v>PEDRO</v>
          </cell>
          <cell r="M1522" t="str">
            <v>ANA MENIQUETE</v>
          </cell>
        </row>
        <row r="1523">
          <cell r="B1523">
            <v>5220627</v>
          </cell>
          <cell r="C1523" t="str">
            <v>JME RAUTA COMERCIAL DISTRIBUIDORA</v>
          </cell>
          <cell r="D1523">
            <v>6001</v>
          </cell>
          <cell r="E1523" t="str">
            <v>6028</v>
          </cell>
          <cell r="F1523" t="str">
            <v>C1</v>
          </cell>
          <cell r="G1523" t="str">
            <v>RJ</v>
          </cell>
          <cell r="H1523" t="str">
            <v>DISTRIBUIÇÃO</v>
          </cell>
          <cell r="I1523" t="str">
            <v>FOOD SERVICE</v>
          </cell>
          <cell r="J1523" t="str">
            <v>LUCIANA MARTINS</v>
          </cell>
          <cell r="K1523" t="str">
            <v>ITAMBÉ</v>
          </cell>
          <cell r="L1523" t="str">
            <v>RODRIGO</v>
          </cell>
          <cell r="M1523" t="str">
            <v>JESSICA</v>
          </cell>
        </row>
        <row r="1524">
          <cell r="B1524">
            <v>5228371</v>
          </cell>
          <cell r="C1524" t="str">
            <v>PLUMA SORVETES LTDA</v>
          </cell>
          <cell r="D1524">
            <v>6001</v>
          </cell>
          <cell r="E1524" t="str">
            <v>6028</v>
          </cell>
          <cell r="F1524" t="str">
            <v>C1</v>
          </cell>
          <cell r="G1524" t="str">
            <v>MS</v>
          </cell>
          <cell r="H1524" t="str">
            <v>INGREDIENTS</v>
          </cell>
          <cell r="I1524" t="str">
            <v>INGREDIENTS</v>
          </cell>
          <cell r="J1524" t="str">
            <v>DUAS RODAS</v>
          </cell>
          <cell r="K1524" t="str">
            <v>ITAMBÉ</v>
          </cell>
          <cell r="L1524" t="str">
            <v>MAURICIO</v>
          </cell>
          <cell r="M1524" t="str">
            <v>MARCELO</v>
          </cell>
        </row>
        <row r="1525">
          <cell r="B1525">
            <v>5293026</v>
          </cell>
          <cell r="C1525" t="str">
            <v>DOORMAN ROCHA DE PROD ALIM LTDA</v>
          </cell>
          <cell r="D1525">
            <v>7001</v>
          </cell>
          <cell r="E1525" t="str">
            <v>0749</v>
          </cell>
          <cell r="F1525" t="str">
            <v>C5</v>
          </cell>
          <cell r="G1525" t="str">
            <v>SP</v>
          </cell>
          <cell r="H1525" t="str">
            <v>DISTRIBUIÇÃO</v>
          </cell>
          <cell r="I1525" t="str">
            <v>FOOD SERVICE</v>
          </cell>
          <cell r="J1525" t="str">
            <v>FLAC 7</v>
          </cell>
          <cell r="K1525" t="str">
            <v>LACTALIS</v>
          </cell>
          <cell r="L1525" t="str">
            <v>RODRIGO</v>
          </cell>
          <cell r="M1525" t="str">
            <v>RAQUEL BARBOSA</v>
          </cell>
        </row>
        <row r="1526">
          <cell r="B1526">
            <v>5317846</v>
          </cell>
          <cell r="C1526" t="str">
            <v>ACAI GRUMARI AVARE LTDA</v>
          </cell>
          <cell r="D1526">
            <v>6001</v>
          </cell>
          <cell r="E1526" t="str">
            <v>6028</v>
          </cell>
          <cell r="F1526" t="str">
            <v>C1</v>
          </cell>
          <cell r="G1526" t="str">
            <v>RJ</v>
          </cell>
          <cell r="H1526" t="str">
            <v>INGREDIENTS</v>
          </cell>
          <cell r="I1526" t="str">
            <v>INGREDIENTS</v>
          </cell>
          <cell r="J1526" t="str">
            <v>RJ ITB FS CDR REPRESENTAÇÕES</v>
          </cell>
          <cell r="K1526" t="str">
            <v>ITAMBÉ</v>
          </cell>
          <cell r="L1526" t="str">
            <v>MAURICIO</v>
          </cell>
          <cell r="M1526" t="str">
            <v>TATIANA NITTA</v>
          </cell>
        </row>
        <row r="1527">
          <cell r="B1527">
            <v>5337583</v>
          </cell>
          <cell r="C1527" t="str">
            <v>ARKEO FOODS ALIMENTOS LTDA</v>
          </cell>
          <cell r="D1527">
            <v>3001</v>
          </cell>
          <cell r="E1527" t="str">
            <v>0122</v>
          </cell>
          <cell r="F1527" t="str">
            <v>C1</v>
          </cell>
          <cell r="G1527" t="str">
            <v>MG</v>
          </cell>
          <cell r="H1527" t="str">
            <v>INGREDIENTS</v>
          </cell>
          <cell r="I1527" t="str">
            <v>INGREDIENTS</v>
          </cell>
          <cell r="J1527" t="str">
            <v>HENRIQUE FERREIRA</v>
          </cell>
          <cell r="K1527" t="str">
            <v>ITAMBÉ</v>
          </cell>
          <cell r="L1527" t="str">
            <v>MAURICIO</v>
          </cell>
          <cell r="M1527" t="str">
            <v>JOEL</v>
          </cell>
        </row>
        <row r="1528">
          <cell r="B1528">
            <v>5008636</v>
          </cell>
          <cell r="C1528" t="str">
            <v>GR SERVICOS E ALIMENTACAO LTDA</v>
          </cell>
          <cell r="D1528">
            <v>7001</v>
          </cell>
          <cell r="E1528" t="str">
            <v>0739</v>
          </cell>
          <cell r="F1528" t="str">
            <v>C1</v>
          </cell>
          <cell r="G1528" t="str">
            <v>RJ</v>
          </cell>
          <cell r="H1528" t="str">
            <v>QSR</v>
          </cell>
          <cell r="I1528" t="str">
            <v>FOOD SERVICE</v>
          </cell>
          <cell r="J1528" t="str">
            <v>NUTRI</v>
          </cell>
          <cell r="K1528" t="str">
            <v>LACTALIS</v>
          </cell>
          <cell r="L1528" t="str">
            <v>PEDRO</v>
          </cell>
          <cell r="M1528" t="str">
            <v>VAGO QSR</v>
          </cell>
        </row>
        <row r="1529">
          <cell r="B1529">
            <v>5009328</v>
          </cell>
          <cell r="C1529" t="str">
            <v>NUTRICESTA COMERCIO DE ALIMENTOS LT</v>
          </cell>
          <cell r="D1529">
            <v>7001</v>
          </cell>
          <cell r="E1529" t="str">
            <v>0722</v>
          </cell>
          <cell r="F1529" t="str">
            <v>C1</v>
          </cell>
          <cell r="G1529" t="str">
            <v>SP</v>
          </cell>
          <cell r="H1529" t="str">
            <v>DISTRIBUIÇÃO</v>
          </cell>
          <cell r="I1529" t="str">
            <v>FOOD SERVICE</v>
          </cell>
          <cell r="J1529" t="str">
            <v>FLAC 1</v>
          </cell>
          <cell r="K1529" t="str">
            <v>LACTALIS</v>
          </cell>
          <cell r="L1529" t="str">
            <v>RODRIGO</v>
          </cell>
          <cell r="M1529" t="str">
            <v>RAQUEL BARBOSA</v>
          </cell>
        </row>
        <row r="1530">
          <cell r="B1530">
            <v>5015298</v>
          </cell>
          <cell r="C1530" t="str">
            <v>CASA DA PANI COM DE PROD PARA PANI</v>
          </cell>
          <cell r="D1530">
            <v>4001</v>
          </cell>
          <cell r="E1530" t="str">
            <v>0456</v>
          </cell>
          <cell r="F1530" t="str">
            <v>C1</v>
          </cell>
          <cell r="G1530" t="str">
            <v>SC</v>
          </cell>
          <cell r="H1530" t="str">
            <v>DISTRIBUIÇÃO</v>
          </cell>
          <cell r="I1530" t="str">
            <v>FOOD SERVICE</v>
          </cell>
          <cell r="J1530" t="str">
            <v>ANGELICA BATISTELA</v>
          </cell>
          <cell r="K1530" t="str">
            <v>LACTALIS</v>
          </cell>
          <cell r="L1530" t="str">
            <v>RODRIGO</v>
          </cell>
          <cell r="M1530" t="str">
            <v>ANGELICA BATISTELA</v>
          </cell>
        </row>
        <row r="1531">
          <cell r="B1531">
            <v>5017000</v>
          </cell>
          <cell r="C1531" t="str">
            <v>ESTANPLAZA ADM HOT E COM LTDA</v>
          </cell>
          <cell r="D1531">
            <v>7001</v>
          </cell>
          <cell r="E1531" t="str">
            <v>0722</v>
          </cell>
          <cell r="F1531" t="str">
            <v>C1</v>
          </cell>
          <cell r="G1531" t="str">
            <v>SP</v>
          </cell>
          <cell r="H1531" t="str">
            <v>QSR</v>
          </cell>
          <cell r="I1531" t="str">
            <v>FOOD SERVICE</v>
          </cell>
          <cell r="J1531" t="str">
            <v>NUTRI</v>
          </cell>
          <cell r="K1531" t="str">
            <v>LACTALIS</v>
          </cell>
          <cell r="L1531" t="str">
            <v>PEDRO</v>
          </cell>
          <cell r="M1531" t="str">
            <v>VAGO QSR</v>
          </cell>
        </row>
        <row r="1532">
          <cell r="B1532">
            <v>5023334</v>
          </cell>
          <cell r="C1532" t="str">
            <v>S P PRODUTOS LTDA</v>
          </cell>
          <cell r="D1532">
            <v>6001</v>
          </cell>
          <cell r="E1532" t="str">
            <v>6169</v>
          </cell>
          <cell r="F1532" t="str">
            <v>C1</v>
          </cell>
          <cell r="G1532" t="str">
            <v>ES</v>
          </cell>
          <cell r="H1532" t="str">
            <v>DISTRIBUIÇÃO</v>
          </cell>
          <cell r="I1532" t="str">
            <v>FOOD SERVICE</v>
          </cell>
          <cell r="J1532" t="str">
            <v>MARCELO DUARTE</v>
          </cell>
          <cell r="K1532" t="str">
            <v>ITAMBÉ</v>
          </cell>
          <cell r="L1532" t="str">
            <v>RODRIGO</v>
          </cell>
          <cell r="M1532" t="str">
            <v>JESSICA</v>
          </cell>
        </row>
        <row r="1533">
          <cell r="B1533">
            <v>5023334</v>
          </cell>
          <cell r="C1533" t="str">
            <v>S P PRODUTOS LTDA</v>
          </cell>
          <cell r="D1533">
            <v>7001</v>
          </cell>
          <cell r="E1533" t="str">
            <v>0739</v>
          </cell>
          <cell r="F1533" t="str">
            <v>C1</v>
          </cell>
          <cell r="G1533" t="str">
            <v>ES</v>
          </cell>
          <cell r="H1533" t="str">
            <v>DISTRIBUIÇÃO</v>
          </cell>
          <cell r="I1533" t="str">
            <v>FOOD SERVICE</v>
          </cell>
          <cell r="J1533" t="str">
            <v>MARCELO DUARTE</v>
          </cell>
          <cell r="K1533" t="str">
            <v>LACTALIS</v>
          </cell>
          <cell r="L1533" t="str">
            <v>RODRIGO</v>
          </cell>
          <cell r="M1533" t="str">
            <v>JESSICA</v>
          </cell>
        </row>
        <row r="1534">
          <cell r="B1534">
            <v>5024011</v>
          </cell>
          <cell r="C1534" t="str">
            <v>M C MORAES ME</v>
          </cell>
          <cell r="D1534">
            <v>6001</v>
          </cell>
          <cell r="E1534" t="str">
            <v>6169</v>
          </cell>
          <cell r="F1534" t="str">
            <v>C1</v>
          </cell>
          <cell r="G1534" t="str">
            <v>ES</v>
          </cell>
          <cell r="H1534" t="str">
            <v>DISTRIBUIÇÃO</v>
          </cell>
          <cell r="I1534" t="str">
            <v>FOOD SERVICE</v>
          </cell>
          <cell r="J1534" t="str">
            <v>MARCELO DUARTE</v>
          </cell>
          <cell r="K1534" t="str">
            <v>ITAMBÉ</v>
          </cell>
          <cell r="L1534" t="str">
            <v>RODRIGO</v>
          </cell>
          <cell r="M1534" t="str">
            <v>JESSICA</v>
          </cell>
        </row>
        <row r="1535">
          <cell r="B1535">
            <v>5026399</v>
          </cell>
          <cell r="C1535" t="str">
            <v>RIO QUALITY COMERCIO DE ALIMENTOS</v>
          </cell>
          <cell r="D1535">
            <v>6001</v>
          </cell>
          <cell r="E1535" t="str">
            <v>6169</v>
          </cell>
          <cell r="F1535" t="str">
            <v>C1</v>
          </cell>
          <cell r="G1535" t="str">
            <v>RJ</v>
          </cell>
          <cell r="H1535" t="str">
            <v>DISTRIBUIÇÃO</v>
          </cell>
          <cell r="I1535" t="str">
            <v>FOOD SERVICE</v>
          </cell>
          <cell r="J1535" t="str">
            <v>JESSICA CARLA</v>
          </cell>
          <cell r="K1535" t="str">
            <v>ITAMBÉ</v>
          </cell>
          <cell r="L1535" t="str">
            <v>RODRIGO</v>
          </cell>
          <cell r="M1535" t="str">
            <v>JESSICA</v>
          </cell>
        </row>
        <row r="1536">
          <cell r="B1536">
            <v>5027506</v>
          </cell>
          <cell r="C1536" t="str">
            <v>MULTPEL COM DE PAPEIS E EMBALAG</v>
          </cell>
          <cell r="D1536">
            <v>6001</v>
          </cell>
          <cell r="E1536" t="str">
            <v>6169</v>
          </cell>
          <cell r="F1536" t="str">
            <v>C1</v>
          </cell>
          <cell r="G1536" t="str">
            <v>ES</v>
          </cell>
          <cell r="H1536" t="str">
            <v>DISTRIBUIÇÃO</v>
          </cell>
          <cell r="I1536" t="str">
            <v>FOOD SERVICE</v>
          </cell>
          <cell r="J1536" t="str">
            <v>MARCELO DUARTE</v>
          </cell>
          <cell r="K1536" t="str">
            <v>ITAMBÉ</v>
          </cell>
          <cell r="L1536" t="str">
            <v>RODRIGO</v>
          </cell>
          <cell r="M1536" t="str">
            <v>JESSICA</v>
          </cell>
        </row>
        <row r="1537">
          <cell r="B1537">
            <v>5028282</v>
          </cell>
          <cell r="C1537" t="str">
            <v>SORVETES JUNDIA INDU E COM LTDA</v>
          </cell>
          <cell r="D1537">
            <v>4001</v>
          </cell>
          <cell r="E1537" t="str">
            <v>0437</v>
          </cell>
          <cell r="F1537" t="str">
            <v>C1</v>
          </cell>
          <cell r="G1537" t="str">
            <v>SP</v>
          </cell>
          <cell r="H1537" t="str">
            <v>INGREDIENTS</v>
          </cell>
          <cell r="I1537" t="str">
            <v>INGREDIENTS</v>
          </cell>
          <cell r="J1537" t="str">
            <v>JOEL ELEOTÉRIO</v>
          </cell>
          <cell r="K1537" t="str">
            <v>LACTALIS</v>
          </cell>
          <cell r="L1537" t="str">
            <v>MAURICIO</v>
          </cell>
          <cell r="M1537" t="str">
            <v>JOEL</v>
          </cell>
        </row>
        <row r="1538">
          <cell r="B1538">
            <v>5028457</v>
          </cell>
          <cell r="C1538" t="str">
            <v>F L EMBALAGENS LTDA</v>
          </cell>
          <cell r="D1538">
            <v>6001</v>
          </cell>
          <cell r="E1538" t="str">
            <v>6169</v>
          </cell>
          <cell r="F1538" t="str">
            <v>C1</v>
          </cell>
          <cell r="G1538" t="str">
            <v>ES</v>
          </cell>
          <cell r="H1538" t="str">
            <v>DISTRIBUIÇÃO</v>
          </cell>
          <cell r="I1538" t="str">
            <v>FOOD SERVICE</v>
          </cell>
          <cell r="J1538" t="str">
            <v>MARCELO DUARTE</v>
          </cell>
          <cell r="K1538" t="str">
            <v>ITAMBÉ</v>
          </cell>
          <cell r="L1538" t="str">
            <v>RODRIGO</v>
          </cell>
          <cell r="M1538" t="str">
            <v>JESSICA</v>
          </cell>
        </row>
        <row r="1539">
          <cell r="B1539">
            <v>5028647</v>
          </cell>
          <cell r="C1539" t="str">
            <v>LAURO DELEVEDOVE</v>
          </cell>
          <cell r="D1539">
            <v>6001</v>
          </cell>
          <cell r="E1539" t="str">
            <v>6169</v>
          </cell>
          <cell r="F1539" t="str">
            <v>C1</v>
          </cell>
          <cell r="G1539" t="str">
            <v>ES</v>
          </cell>
          <cell r="H1539" t="str">
            <v>DISTRIBUIÇÃO</v>
          </cell>
          <cell r="I1539" t="str">
            <v>FOOD SERVICE</v>
          </cell>
          <cell r="J1539" t="str">
            <v>MARCELO DUARTE</v>
          </cell>
          <cell r="K1539" t="str">
            <v>ITAMBÉ</v>
          </cell>
          <cell r="L1539" t="str">
            <v>RODRIGO</v>
          </cell>
          <cell r="M1539" t="str">
            <v>JESSICA</v>
          </cell>
        </row>
        <row r="1540">
          <cell r="B1540">
            <v>5034828</v>
          </cell>
          <cell r="C1540" t="str">
            <v>IMPERIO DOS DOCES CONFEITARIA LTDA</v>
          </cell>
          <cell r="D1540">
            <v>6001</v>
          </cell>
          <cell r="E1540" t="str">
            <v>6169</v>
          </cell>
          <cell r="F1540" t="str">
            <v>C1</v>
          </cell>
          <cell r="G1540" t="str">
            <v>RJ</v>
          </cell>
          <cell r="H1540" t="str">
            <v>DISTRIBUIÇÃO</v>
          </cell>
          <cell r="I1540" t="str">
            <v>FOOD SERVICE</v>
          </cell>
          <cell r="J1540" t="str">
            <v>JULIANA CORDEIRO</v>
          </cell>
          <cell r="K1540" t="str">
            <v>ITAMBÉ</v>
          </cell>
          <cell r="L1540" t="str">
            <v>RODRIGO</v>
          </cell>
          <cell r="M1540" t="str">
            <v>JESSICA</v>
          </cell>
        </row>
        <row r="1541">
          <cell r="B1541">
            <v>5035471</v>
          </cell>
          <cell r="C1541" t="str">
            <v>FLASH RIO PRODUTOS PARA PANIF LTDA</v>
          </cell>
          <cell r="D1541">
            <v>6001</v>
          </cell>
          <cell r="E1541" t="str">
            <v>6169</v>
          </cell>
          <cell r="F1541" t="str">
            <v>C1</v>
          </cell>
          <cell r="G1541" t="str">
            <v>RJ</v>
          </cell>
          <cell r="H1541" t="str">
            <v>DISTRIBUIÇÃO</v>
          </cell>
          <cell r="I1541" t="str">
            <v>FOOD SERVICE</v>
          </cell>
          <cell r="J1541" t="str">
            <v>JULIANA CORDEIRO</v>
          </cell>
          <cell r="K1541" t="str">
            <v>ITAMBÉ</v>
          </cell>
          <cell r="L1541" t="str">
            <v>RODRIGO</v>
          </cell>
          <cell r="M1541" t="str">
            <v>JESSICA</v>
          </cell>
        </row>
        <row r="1542">
          <cell r="B1542">
            <v>5040108</v>
          </cell>
          <cell r="C1542" t="str">
            <v>CCN COMERCIO CENTRO NORTE ALIM LTDA</v>
          </cell>
          <cell r="D1542">
            <v>6001</v>
          </cell>
          <cell r="E1542" t="str">
            <v>6169</v>
          </cell>
          <cell r="F1542" t="str">
            <v>C1</v>
          </cell>
          <cell r="G1542" t="str">
            <v>RJ</v>
          </cell>
          <cell r="H1542" t="str">
            <v>DISTRIBUIÇÃO</v>
          </cell>
          <cell r="I1542" t="str">
            <v>FOOD SERVICE</v>
          </cell>
          <cell r="J1542" t="str">
            <v>CLAUDIO JORGE</v>
          </cell>
          <cell r="K1542" t="str">
            <v>ITAMBÉ</v>
          </cell>
          <cell r="L1542" t="str">
            <v>RODRIGO</v>
          </cell>
          <cell r="M1542" t="str">
            <v>JESSICA</v>
          </cell>
        </row>
        <row r="1543">
          <cell r="B1543">
            <v>5042001</v>
          </cell>
          <cell r="C1543" t="str">
            <v>MEGA PAN DISTRIBUIDORA ALIMENTI</v>
          </cell>
          <cell r="D1543">
            <v>6001</v>
          </cell>
          <cell r="E1543" t="str">
            <v>6169</v>
          </cell>
          <cell r="F1543" t="str">
            <v>C1</v>
          </cell>
          <cell r="G1543" t="str">
            <v>ES</v>
          </cell>
          <cell r="H1543" t="str">
            <v>DISTRIBUIÇÃO</v>
          </cell>
          <cell r="I1543" t="str">
            <v>FOOD SERVICE</v>
          </cell>
          <cell r="J1543" t="str">
            <v>MARCELO DUARTE</v>
          </cell>
          <cell r="K1543" t="str">
            <v>ITAMBÉ</v>
          </cell>
          <cell r="L1543" t="str">
            <v>RODRIGO</v>
          </cell>
          <cell r="M1543" t="str">
            <v>JESSICA</v>
          </cell>
        </row>
        <row r="1544">
          <cell r="B1544">
            <v>5045491</v>
          </cell>
          <cell r="C1544" t="str">
            <v>LC ADMINISTRACAO DE RESTAURANTE</v>
          </cell>
          <cell r="D1544">
            <v>7001</v>
          </cell>
          <cell r="E1544" t="str">
            <v>0722</v>
          </cell>
          <cell r="F1544" t="str">
            <v>C1</v>
          </cell>
          <cell r="G1544" t="str">
            <v>SP</v>
          </cell>
          <cell r="H1544" t="str">
            <v>QSR</v>
          </cell>
          <cell r="I1544" t="str">
            <v>FOOD SERVICE</v>
          </cell>
          <cell r="J1544" t="str">
            <v>NUTRI</v>
          </cell>
          <cell r="K1544" t="str">
            <v>LACTALIS</v>
          </cell>
          <cell r="L1544" t="str">
            <v>PEDRO</v>
          </cell>
          <cell r="M1544" t="str">
            <v>VAGO QSR</v>
          </cell>
        </row>
        <row r="1545">
          <cell r="B1545">
            <v>5060394</v>
          </cell>
          <cell r="C1545" t="str">
            <v>SCHREIBER FOODS BRASIL IND ALIM LTD</v>
          </cell>
          <cell r="D1545">
            <v>4001</v>
          </cell>
          <cell r="E1545" t="str">
            <v>0437</v>
          </cell>
          <cell r="F1545" t="str">
            <v>C1</v>
          </cell>
          <cell r="G1545" t="str">
            <v>PR</v>
          </cell>
          <cell r="H1545" t="str">
            <v>INGREDIENTS</v>
          </cell>
          <cell r="I1545" t="str">
            <v>INGREDIENTS</v>
          </cell>
          <cell r="J1545" t="str">
            <v>MARCELO RODRIGUES</v>
          </cell>
          <cell r="K1545" t="str">
            <v>LACTALIS</v>
          </cell>
          <cell r="L1545" t="str">
            <v>MAURICIO</v>
          </cell>
          <cell r="M1545" t="str">
            <v>MARCELO</v>
          </cell>
        </row>
        <row r="1546">
          <cell r="B1546">
            <v>5063519</v>
          </cell>
          <cell r="C1546" t="str">
            <v>SAPORE SA</v>
          </cell>
          <cell r="D1546">
            <v>7001</v>
          </cell>
          <cell r="E1546" t="str">
            <v>0722</v>
          </cell>
          <cell r="F1546" t="str">
            <v>C1</v>
          </cell>
          <cell r="G1546" t="str">
            <v>SP</v>
          </cell>
          <cell r="H1546" t="str">
            <v>QSR</v>
          </cell>
          <cell r="I1546" t="str">
            <v>FOOD SERVICE</v>
          </cell>
          <cell r="J1546" t="str">
            <v>NUTRI</v>
          </cell>
          <cell r="K1546" t="str">
            <v>LACTALIS</v>
          </cell>
          <cell r="L1546" t="str">
            <v>PEDRO</v>
          </cell>
          <cell r="M1546" t="str">
            <v>VAGO QSR</v>
          </cell>
        </row>
        <row r="1547">
          <cell r="B1547">
            <v>5077482</v>
          </cell>
          <cell r="C1547" t="str">
            <v>DOREMUS ALIMENTOS LTDA</v>
          </cell>
          <cell r="D1547">
            <v>7001</v>
          </cell>
          <cell r="E1547" t="str">
            <v>0737</v>
          </cell>
          <cell r="F1547" t="str">
            <v>C1</v>
          </cell>
          <cell r="G1547" t="str">
            <v>SP</v>
          </cell>
          <cell r="H1547" t="str">
            <v>INGREDIENTS</v>
          </cell>
          <cell r="I1547" t="str">
            <v>INGREDIENTS</v>
          </cell>
          <cell r="J1547" t="str">
            <v>TATIANA NITTA</v>
          </cell>
          <cell r="K1547" t="str">
            <v>LACTALIS</v>
          </cell>
          <cell r="L1547" t="str">
            <v>MAURICIO</v>
          </cell>
          <cell r="M1547" t="str">
            <v>TATIANA NITTA</v>
          </cell>
        </row>
        <row r="1548">
          <cell r="B1548">
            <v>5108984</v>
          </cell>
          <cell r="C1548" t="str">
            <v>IRMAOS BENASSI PROD E DIST DE F</v>
          </cell>
          <cell r="D1548">
            <v>6001</v>
          </cell>
          <cell r="E1548" t="str">
            <v>6169</v>
          </cell>
          <cell r="F1548" t="str">
            <v>C1</v>
          </cell>
          <cell r="G1548" t="str">
            <v>RJ</v>
          </cell>
          <cell r="H1548" t="str">
            <v>DISTRIBUIÇÃO</v>
          </cell>
          <cell r="I1548" t="str">
            <v>FOOD SERVICE</v>
          </cell>
          <cell r="J1548" t="str">
            <v>LUCIANA MARTINS</v>
          </cell>
          <cell r="K1548" t="str">
            <v>ITAMBÉ</v>
          </cell>
          <cell r="L1548" t="str">
            <v>RODRIGO</v>
          </cell>
          <cell r="M1548" t="str">
            <v>JESSICA</v>
          </cell>
        </row>
        <row r="1549">
          <cell r="B1549">
            <v>5110498</v>
          </cell>
          <cell r="C1549" t="str">
            <v>ZANEPAN COM ATAC DE GENEROS ALIM EI</v>
          </cell>
          <cell r="D1549">
            <v>6001</v>
          </cell>
          <cell r="E1549" t="str">
            <v>6169</v>
          </cell>
          <cell r="F1549" t="str">
            <v>C1</v>
          </cell>
          <cell r="G1549" t="str">
            <v>ES</v>
          </cell>
          <cell r="H1549" t="str">
            <v>DISTRIBUIÇÃO</v>
          </cell>
          <cell r="I1549" t="str">
            <v>FOOD SERVICE</v>
          </cell>
          <cell r="J1549" t="str">
            <v>MARCELO DUARTE</v>
          </cell>
          <cell r="K1549" t="str">
            <v>ITAMBÉ</v>
          </cell>
          <cell r="L1549" t="str">
            <v>RODRIGO</v>
          </cell>
          <cell r="M1549" t="str">
            <v>JESSICA</v>
          </cell>
        </row>
        <row r="1550">
          <cell r="B1550">
            <v>5114515</v>
          </cell>
          <cell r="C1550" t="str">
            <v>NOSSOS SABORES IND E COM DE ALIM EI</v>
          </cell>
          <cell r="D1550">
            <v>6001</v>
          </cell>
          <cell r="E1550" t="str">
            <v>6169</v>
          </cell>
          <cell r="F1550" t="str">
            <v>C1</v>
          </cell>
          <cell r="G1550" t="str">
            <v>RJ</v>
          </cell>
          <cell r="H1550" t="str">
            <v>INGREDIENTS</v>
          </cell>
          <cell r="I1550" t="str">
            <v>INGREDIENTS</v>
          </cell>
          <cell r="J1550" t="str">
            <v>TATIANA NITTA</v>
          </cell>
          <cell r="K1550" t="str">
            <v>ITAMBÉ</v>
          </cell>
          <cell r="L1550" t="str">
            <v>MAURICIO</v>
          </cell>
          <cell r="M1550" t="str">
            <v>TATIANA NITTA</v>
          </cell>
        </row>
        <row r="1551">
          <cell r="B1551">
            <v>5114882</v>
          </cell>
          <cell r="C1551" t="str">
            <v>SORVEDOCES IND E COM DE PROD ALIM L</v>
          </cell>
          <cell r="D1551">
            <v>6001</v>
          </cell>
          <cell r="E1551" t="str">
            <v>6169</v>
          </cell>
          <cell r="F1551" t="str">
            <v>C1</v>
          </cell>
          <cell r="G1551" t="str">
            <v>ES</v>
          </cell>
          <cell r="H1551" t="str">
            <v>DISTRIBUIÇÃO</v>
          </cell>
          <cell r="I1551" t="str">
            <v>FOOD SERVICE</v>
          </cell>
          <cell r="J1551" t="str">
            <v>MARCELO DUARTE</v>
          </cell>
          <cell r="K1551" t="str">
            <v>ITAMBÉ</v>
          </cell>
          <cell r="L1551" t="str">
            <v>RODRIGO</v>
          </cell>
          <cell r="M1551" t="str">
            <v>JESSICA</v>
          </cell>
        </row>
        <row r="1552">
          <cell r="B1552">
            <v>5115019</v>
          </cell>
          <cell r="C1552" t="str">
            <v>J ARAUJO DISTRIBUIDORA IMP E EXP SA</v>
          </cell>
          <cell r="D1552">
            <v>6001</v>
          </cell>
          <cell r="E1552" t="str">
            <v>6169</v>
          </cell>
          <cell r="F1552" t="str">
            <v>C1</v>
          </cell>
          <cell r="G1552" t="str">
            <v>RJ</v>
          </cell>
          <cell r="H1552" t="str">
            <v>DISTRIBUIÇÃO</v>
          </cell>
          <cell r="I1552" t="str">
            <v>FOOD SERVICE</v>
          </cell>
          <cell r="J1552" t="str">
            <v>JESSICA CARLA</v>
          </cell>
          <cell r="K1552" t="str">
            <v>ITAMBÉ</v>
          </cell>
          <cell r="L1552" t="str">
            <v>RODRIGO</v>
          </cell>
          <cell r="M1552" t="str">
            <v>JESSICA</v>
          </cell>
        </row>
        <row r="1553">
          <cell r="B1553">
            <v>5118346</v>
          </cell>
          <cell r="C1553" t="str">
            <v>CONFESPAN COMERCIO E DISTRIBUICAO L</v>
          </cell>
          <cell r="D1553">
            <v>7001</v>
          </cell>
          <cell r="E1553" t="str">
            <v>0722</v>
          </cell>
          <cell r="F1553" t="str">
            <v>C1</v>
          </cell>
          <cell r="G1553" t="str">
            <v>SP</v>
          </cell>
          <cell r="H1553" t="str">
            <v>DISTRIBUIÇÃO</v>
          </cell>
          <cell r="I1553" t="str">
            <v>FOOD SERVICE</v>
          </cell>
          <cell r="J1553" t="str">
            <v>VAGO SP</v>
          </cell>
          <cell r="K1553" t="str">
            <v>LACTALIS</v>
          </cell>
          <cell r="L1553" t="str">
            <v>RODRIGO</v>
          </cell>
          <cell r="M1553" t="str">
            <v>RAQUEL BARBOSA</v>
          </cell>
        </row>
        <row r="1554">
          <cell r="B1554">
            <v>5122245</v>
          </cell>
          <cell r="C1554" t="str">
            <v>NOVAMIX FOOD SERVICE COM DE ALIM LT</v>
          </cell>
          <cell r="D1554">
            <v>6001</v>
          </cell>
          <cell r="E1554" t="str">
            <v>6169</v>
          </cell>
          <cell r="F1554" t="str">
            <v>C1</v>
          </cell>
          <cell r="G1554" t="str">
            <v>RJ</v>
          </cell>
          <cell r="H1554" t="str">
            <v>DISTRIBUIÇÃO</v>
          </cell>
          <cell r="I1554" t="str">
            <v>FOOD SERVICE</v>
          </cell>
          <cell r="J1554" t="str">
            <v>JULIANA CORDEIRO</v>
          </cell>
          <cell r="K1554" t="str">
            <v>ITAMBÉ</v>
          </cell>
          <cell r="L1554" t="str">
            <v>RODRIGO</v>
          </cell>
          <cell r="M1554" t="str">
            <v>JESSICA</v>
          </cell>
        </row>
        <row r="1555">
          <cell r="B1555">
            <v>5133641</v>
          </cell>
          <cell r="C1555" t="str">
            <v>FESTA MIX COMERCIO LTDA</v>
          </cell>
          <cell r="D1555">
            <v>6001</v>
          </cell>
          <cell r="E1555" t="str">
            <v>6169</v>
          </cell>
          <cell r="F1555" t="str">
            <v>C1</v>
          </cell>
          <cell r="G1555" t="str">
            <v>ES</v>
          </cell>
          <cell r="H1555" t="str">
            <v>DISTRIBUIÇÃO</v>
          </cell>
          <cell r="I1555" t="str">
            <v>FOOD SERVICE</v>
          </cell>
          <cell r="J1555" t="str">
            <v>MARCELO DUARTE</v>
          </cell>
          <cell r="K1555" t="str">
            <v>ITAMBÉ</v>
          </cell>
          <cell r="L1555" t="str">
            <v>RODRIGO</v>
          </cell>
          <cell r="M1555" t="str">
            <v>JESSICA</v>
          </cell>
        </row>
        <row r="1556">
          <cell r="B1556">
            <v>5134556</v>
          </cell>
          <cell r="C1556" t="str">
            <v>S P PRODUTOS LTDA</v>
          </cell>
          <cell r="D1556">
            <v>6001</v>
          </cell>
          <cell r="E1556" t="str">
            <v>6169</v>
          </cell>
          <cell r="F1556" t="str">
            <v>C1</v>
          </cell>
          <cell r="G1556" t="str">
            <v>ES</v>
          </cell>
          <cell r="H1556" t="str">
            <v>DISTRIBUIÇÃO</v>
          </cell>
          <cell r="I1556" t="str">
            <v>FOOD SERVICE</v>
          </cell>
          <cell r="J1556" t="str">
            <v>MARCELO DUARTE</v>
          </cell>
          <cell r="K1556" t="str">
            <v>ITAMBÉ</v>
          </cell>
          <cell r="L1556" t="str">
            <v>RODRIGO</v>
          </cell>
          <cell r="M1556" t="str">
            <v>JESSICA</v>
          </cell>
        </row>
        <row r="1557">
          <cell r="B1557">
            <v>5141759</v>
          </cell>
          <cell r="C1557" t="str">
            <v>V C F BOM DOCE LTDA</v>
          </cell>
          <cell r="D1557">
            <v>6001</v>
          </cell>
          <cell r="E1557" t="str">
            <v>6169</v>
          </cell>
          <cell r="F1557" t="str">
            <v>C1</v>
          </cell>
          <cell r="G1557" t="str">
            <v>ES</v>
          </cell>
          <cell r="H1557" t="str">
            <v>DISTRIBUIÇÃO</v>
          </cell>
          <cell r="I1557" t="str">
            <v>FOOD SERVICE</v>
          </cell>
          <cell r="J1557" t="str">
            <v>MARCELO DUARTE</v>
          </cell>
          <cell r="K1557" t="str">
            <v>ITAMBÉ</v>
          </cell>
          <cell r="L1557" t="str">
            <v>RODRIGO</v>
          </cell>
          <cell r="M1557" t="str">
            <v>JESSICA</v>
          </cell>
        </row>
        <row r="1558">
          <cell r="B1558">
            <v>5147462</v>
          </cell>
          <cell r="C1558" t="str">
            <v>NOVAMIX FOOD SERV COM DE ALIM LTDA</v>
          </cell>
          <cell r="D1558">
            <v>6001</v>
          </cell>
          <cell r="E1558" t="str">
            <v>6169</v>
          </cell>
          <cell r="F1558" t="str">
            <v>C1</v>
          </cell>
          <cell r="G1558" t="str">
            <v>RJ</v>
          </cell>
          <cell r="H1558" t="str">
            <v>DISTRIBUIÇÃO</v>
          </cell>
          <cell r="I1558" t="str">
            <v>FOOD SERVICE</v>
          </cell>
          <cell r="J1558" t="str">
            <v>JULIANA CORDEIRO</v>
          </cell>
          <cell r="K1558" t="str">
            <v>ITAMBÉ</v>
          </cell>
          <cell r="L1558" t="str">
            <v>RODRIGO</v>
          </cell>
          <cell r="M1558" t="str">
            <v>JESSICA</v>
          </cell>
        </row>
        <row r="1559">
          <cell r="B1559">
            <v>5147526</v>
          </cell>
          <cell r="C1559" t="str">
            <v>SAPORE SA</v>
          </cell>
          <cell r="D1559">
            <v>7001</v>
          </cell>
          <cell r="E1559" t="str">
            <v>0739</v>
          </cell>
          <cell r="F1559" t="str">
            <v>C1</v>
          </cell>
          <cell r="G1559" t="str">
            <v>RJ</v>
          </cell>
          <cell r="H1559" t="str">
            <v>QSR</v>
          </cell>
          <cell r="I1559" t="str">
            <v>FOOD SERVICE</v>
          </cell>
          <cell r="J1559" t="str">
            <v>NUTRI</v>
          </cell>
          <cell r="K1559" t="str">
            <v>LACTALIS</v>
          </cell>
          <cell r="L1559" t="str">
            <v>PEDRO</v>
          </cell>
          <cell r="M1559" t="str">
            <v>VAGO QSR</v>
          </cell>
        </row>
        <row r="1560">
          <cell r="B1560">
            <v>5161386</v>
          </cell>
          <cell r="C1560" t="str">
            <v>TOP ALTO PARTICIPACOES E COM LTDA</v>
          </cell>
          <cell r="D1560">
            <v>6001</v>
          </cell>
          <cell r="E1560" t="str">
            <v>6169</v>
          </cell>
          <cell r="F1560" t="str">
            <v>C1</v>
          </cell>
          <cell r="G1560" t="str">
            <v>RJ</v>
          </cell>
          <cell r="H1560" t="str">
            <v>DISTRIBUIÇÃO</v>
          </cell>
          <cell r="I1560" t="str">
            <v>FOOD SERVICE</v>
          </cell>
          <cell r="J1560" t="str">
            <v>JESSICA CARLA</v>
          </cell>
          <cell r="K1560" t="str">
            <v>ITAMBÉ</v>
          </cell>
          <cell r="L1560" t="str">
            <v>RODRIGO</v>
          </cell>
          <cell r="M1560" t="str">
            <v>JESSICA</v>
          </cell>
        </row>
        <row r="1561">
          <cell r="B1561">
            <v>5161504</v>
          </cell>
          <cell r="C1561" t="str">
            <v>BOX 34 COMERCIO DE PROD ALIMENT LTDA EPP</v>
          </cell>
          <cell r="D1561">
            <v>6001</v>
          </cell>
          <cell r="E1561" t="str">
            <v>6169</v>
          </cell>
          <cell r="F1561" t="str">
            <v>C1</v>
          </cell>
          <cell r="G1561" t="str">
            <v>RJ</v>
          </cell>
          <cell r="H1561" t="str">
            <v>DISTRIBUIÇÃO</v>
          </cell>
          <cell r="I1561" t="str">
            <v>FOOD SERVICE</v>
          </cell>
          <cell r="J1561" t="str">
            <v>JULIANA CORDEIRO</v>
          </cell>
          <cell r="K1561" t="str">
            <v>ITAMBÉ</v>
          </cell>
          <cell r="L1561" t="str">
            <v>RODRIGO</v>
          </cell>
          <cell r="M1561" t="str">
            <v>JESSICA</v>
          </cell>
        </row>
        <row r="1562">
          <cell r="B1562">
            <v>5161612</v>
          </cell>
          <cell r="C1562" t="str">
            <v>ESTANPLAZA ADMI HOTELEIRA E COML LT</v>
          </cell>
          <cell r="D1562">
            <v>7001</v>
          </cell>
          <cell r="E1562" t="str">
            <v>0722</v>
          </cell>
          <cell r="F1562" t="str">
            <v>C1</v>
          </cell>
          <cell r="G1562" t="str">
            <v>SP</v>
          </cell>
          <cell r="H1562" t="str">
            <v>QSR</v>
          </cell>
          <cell r="I1562" t="str">
            <v>FOOD SERVICE</v>
          </cell>
          <cell r="J1562" t="str">
            <v>NUTRI</v>
          </cell>
          <cell r="K1562" t="str">
            <v>LACTALIS</v>
          </cell>
          <cell r="L1562" t="str">
            <v>PEDRO</v>
          </cell>
          <cell r="M1562" t="str">
            <v>VAGO QSR</v>
          </cell>
        </row>
        <row r="1563">
          <cell r="B1563">
            <v>5161651</v>
          </cell>
          <cell r="C1563" t="str">
            <v>ESTANPLAZA ADM HOTELEIRA E COML LTD</v>
          </cell>
          <cell r="D1563">
            <v>7001</v>
          </cell>
          <cell r="E1563" t="str">
            <v>0722</v>
          </cell>
          <cell r="F1563" t="str">
            <v>C1</v>
          </cell>
          <cell r="G1563" t="str">
            <v>SP</v>
          </cell>
          <cell r="H1563" t="str">
            <v>QSR</v>
          </cell>
          <cell r="I1563" t="str">
            <v>FOOD SERVICE</v>
          </cell>
          <cell r="J1563" t="str">
            <v>NUTRI</v>
          </cell>
          <cell r="K1563" t="str">
            <v>LACTALIS</v>
          </cell>
          <cell r="L1563" t="str">
            <v>PEDRO</v>
          </cell>
          <cell r="M1563" t="str">
            <v>VAGO QSR</v>
          </cell>
        </row>
        <row r="1564">
          <cell r="B1564">
            <v>5161653</v>
          </cell>
          <cell r="C1564" t="str">
            <v>ESTANPLAZA ADM HOTELEIRA E COML LTD</v>
          </cell>
          <cell r="D1564">
            <v>7001</v>
          </cell>
          <cell r="E1564" t="str">
            <v>0722</v>
          </cell>
          <cell r="F1564" t="str">
            <v>C1</v>
          </cell>
          <cell r="G1564" t="str">
            <v>SP</v>
          </cell>
          <cell r="H1564" t="str">
            <v>QSR</v>
          </cell>
          <cell r="I1564" t="str">
            <v>FOOD SERVICE</v>
          </cell>
          <cell r="J1564" t="str">
            <v>NUTRI</v>
          </cell>
          <cell r="K1564" t="str">
            <v>LACTALIS</v>
          </cell>
          <cell r="L1564" t="str">
            <v>PEDRO</v>
          </cell>
          <cell r="M1564" t="str">
            <v>VAGO QSR</v>
          </cell>
        </row>
        <row r="1565">
          <cell r="B1565">
            <v>5161660</v>
          </cell>
          <cell r="C1565" t="str">
            <v>ESTANPLAZA ADM HOTELEIRA E COM</v>
          </cell>
          <cell r="D1565">
            <v>7001</v>
          </cell>
          <cell r="E1565" t="str">
            <v>0722</v>
          </cell>
          <cell r="F1565" t="str">
            <v>C1</v>
          </cell>
          <cell r="G1565" t="str">
            <v>SP</v>
          </cell>
          <cell r="H1565" t="str">
            <v>DISTRIBUIÇÃO</v>
          </cell>
          <cell r="I1565" t="str">
            <v>FOOD SERVICE</v>
          </cell>
          <cell r="J1565" t="str">
            <v>SP ITB FS FLAC REP.E COMERCIO</v>
          </cell>
          <cell r="K1565" t="str">
            <v>LACTALIS</v>
          </cell>
          <cell r="L1565" t="str">
            <v>RODRIGO</v>
          </cell>
          <cell r="M1565" t="str">
            <v>RAQUEL BARBOSA</v>
          </cell>
        </row>
        <row r="1566">
          <cell r="B1566">
            <v>5162513</v>
          </cell>
          <cell r="C1566" t="str">
            <v>EG MARTINS COM REPRESENTACOES ALIM</v>
          </cell>
          <cell r="D1566">
            <v>6001</v>
          </cell>
          <cell r="E1566" t="str">
            <v>6169</v>
          </cell>
          <cell r="F1566" t="str">
            <v>C1</v>
          </cell>
          <cell r="G1566" t="str">
            <v>RJ</v>
          </cell>
          <cell r="H1566" t="str">
            <v>INGREDIENTS</v>
          </cell>
          <cell r="I1566" t="str">
            <v>INGREDIENTS</v>
          </cell>
          <cell r="J1566" t="str">
            <v>HENRIQUE FERREIRA</v>
          </cell>
          <cell r="K1566" t="str">
            <v>ITAMBÉ</v>
          </cell>
          <cell r="L1566" t="str">
            <v>MAURICIO</v>
          </cell>
          <cell r="M1566" t="str">
            <v>JOEL</v>
          </cell>
        </row>
        <row r="1567">
          <cell r="B1567">
            <v>5165046</v>
          </cell>
          <cell r="C1567" t="str">
            <v>SLOOP IND COM DE ALIM LTDA</v>
          </cell>
          <cell r="D1567">
            <v>6001</v>
          </cell>
          <cell r="E1567" t="str">
            <v>6169</v>
          </cell>
          <cell r="F1567" t="str">
            <v>C1</v>
          </cell>
          <cell r="G1567" t="str">
            <v>RJ</v>
          </cell>
          <cell r="H1567" t="str">
            <v>INGREDIENTS</v>
          </cell>
          <cell r="I1567" t="str">
            <v>INGREDIENTS</v>
          </cell>
          <cell r="J1567" t="str">
            <v>RJ ITB FS L T MARTINS</v>
          </cell>
          <cell r="K1567" t="str">
            <v>ITAMBÉ</v>
          </cell>
          <cell r="L1567" t="str">
            <v>MAURICIO</v>
          </cell>
          <cell r="M1567" t="str">
            <v>TATIANA NITTA</v>
          </cell>
        </row>
        <row r="1568">
          <cell r="B1568">
            <v>5166159</v>
          </cell>
          <cell r="C1568" t="str">
            <v>JME RAUTA COM DIST LTDA</v>
          </cell>
          <cell r="D1568">
            <v>6001</v>
          </cell>
          <cell r="E1568" t="str">
            <v>6169</v>
          </cell>
          <cell r="F1568" t="str">
            <v>C1</v>
          </cell>
          <cell r="G1568" t="str">
            <v>RJ</v>
          </cell>
          <cell r="H1568" t="str">
            <v>DISTRIBUIÇÃO</v>
          </cell>
          <cell r="I1568" t="str">
            <v>FOOD SERVICE</v>
          </cell>
          <cell r="J1568" t="str">
            <v>LUCIANA MARTINS</v>
          </cell>
          <cell r="K1568" t="str">
            <v>ITAMBÉ</v>
          </cell>
          <cell r="L1568" t="str">
            <v>RODRIGO</v>
          </cell>
          <cell r="M1568" t="str">
            <v>JESSICA</v>
          </cell>
        </row>
        <row r="1569">
          <cell r="B1569">
            <v>5168173</v>
          </cell>
          <cell r="C1569" t="str">
            <v>CARNIELLI DISTRIBUIDORA EIRELI EPP</v>
          </cell>
          <cell r="D1569">
            <v>6001</v>
          </cell>
          <cell r="E1569" t="str">
            <v>6169</v>
          </cell>
          <cell r="F1569" t="str">
            <v>C1</v>
          </cell>
          <cell r="G1569" t="str">
            <v>ES</v>
          </cell>
          <cell r="H1569" t="str">
            <v>DISTRIBUIÇÃO</v>
          </cell>
          <cell r="I1569" t="str">
            <v>FOOD SERVICE</v>
          </cell>
          <cell r="J1569" t="str">
            <v>MARCELO DUARTE</v>
          </cell>
          <cell r="K1569" t="str">
            <v>ITAMBÉ</v>
          </cell>
          <cell r="L1569" t="str">
            <v>RODRIGO</v>
          </cell>
          <cell r="M1569" t="str">
            <v>JESSICA</v>
          </cell>
        </row>
        <row r="1570">
          <cell r="B1570">
            <v>5174117</v>
          </cell>
          <cell r="C1570" t="str">
            <v>MASSIMA ALIMENTACAO SA</v>
          </cell>
          <cell r="D1570">
            <v>7001</v>
          </cell>
          <cell r="E1570" t="str">
            <v>0739</v>
          </cell>
          <cell r="F1570" t="str">
            <v>C1</v>
          </cell>
          <cell r="G1570" t="str">
            <v>RJ</v>
          </cell>
          <cell r="H1570" t="str">
            <v>QSR</v>
          </cell>
          <cell r="I1570" t="str">
            <v>FOOD SERVICE</v>
          </cell>
          <cell r="J1570" t="str">
            <v>NUTRI</v>
          </cell>
          <cell r="K1570" t="str">
            <v>LACTALIS</v>
          </cell>
          <cell r="L1570" t="str">
            <v>PEDRO</v>
          </cell>
          <cell r="M1570" t="str">
            <v>VAGO QSR</v>
          </cell>
        </row>
        <row r="1571">
          <cell r="B1571">
            <v>5174259</v>
          </cell>
          <cell r="C1571" t="str">
            <v>MIX TUDO COMERCIO E SERVICOS EI</v>
          </cell>
          <cell r="D1571">
            <v>6001</v>
          </cell>
          <cell r="E1571" t="str">
            <v>6169</v>
          </cell>
          <cell r="F1571" t="str">
            <v>C1</v>
          </cell>
          <cell r="G1571" t="str">
            <v>ES</v>
          </cell>
          <cell r="H1571" t="str">
            <v>DISTRIBUIÇÃO</v>
          </cell>
          <cell r="I1571" t="str">
            <v>FOOD SERVICE</v>
          </cell>
          <cell r="J1571" t="str">
            <v>MARCELO DUARTE</v>
          </cell>
          <cell r="K1571" t="str">
            <v>ITAMBÉ</v>
          </cell>
          <cell r="L1571" t="str">
            <v>RODRIGO</v>
          </cell>
          <cell r="M1571" t="str">
            <v>JESSICA</v>
          </cell>
        </row>
        <row r="1572">
          <cell r="B1572">
            <v>5174861</v>
          </cell>
          <cell r="C1572" t="str">
            <v>SORVETERIA DRAGAO NEGRO LTDA</v>
          </cell>
          <cell r="D1572">
            <v>6001</v>
          </cell>
          <cell r="E1572" t="str">
            <v>6169</v>
          </cell>
          <cell r="F1572" t="str">
            <v>C1</v>
          </cell>
          <cell r="G1572" t="str">
            <v>RJ</v>
          </cell>
          <cell r="H1572" t="str">
            <v>DISTRIBUIÇÃO</v>
          </cell>
          <cell r="I1572" t="str">
            <v>FOOD SERVICE</v>
          </cell>
          <cell r="J1572" t="str">
            <v>JULIANA CORDEIRO</v>
          </cell>
          <cell r="K1572" t="str">
            <v>ITAMBÉ</v>
          </cell>
          <cell r="L1572" t="str">
            <v>RODRIGO</v>
          </cell>
          <cell r="M1572" t="str">
            <v>JESSICA</v>
          </cell>
        </row>
        <row r="1573">
          <cell r="B1573">
            <v>5175205</v>
          </cell>
          <cell r="C1573" t="str">
            <v>CANELA VERDE DIST E TRANSP LTDA ME</v>
          </cell>
          <cell r="D1573">
            <v>6001</v>
          </cell>
          <cell r="E1573" t="str">
            <v>6169</v>
          </cell>
          <cell r="F1573" t="str">
            <v>C1</v>
          </cell>
          <cell r="G1573" t="str">
            <v>ES</v>
          </cell>
          <cell r="H1573" t="str">
            <v>DISTRIBUIÇÃO</v>
          </cell>
          <cell r="I1573" t="str">
            <v>FOOD SERVICE</v>
          </cell>
          <cell r="J1573" t="str">
            <v>MARCELO DUARTE</v>
          </cell>
          <cell r="K1573" t="str">
            <v>ITAMBÉ</v>
          </cell>
          <cell r="L1573" t="str">
            <v>RODRIGO</v>
          </cell>
          <cell r="M1573" t="str">
            <v>JESSICA</v>
          </cell>
        </row>
        <row r="1574">
          <cell r="B1574">
            <v>5175227</v>
          </cell>
          <cell r="C1574" t="str">
            <v>MASSIMA SOLUCOES EM ALIMENTACAO</v>
          </cell>
          <cell r="D1574">
            <v>7001</v>
          </cell>
          <cell r="E1574" t="str">
            <v>0722</v>
          </cell>
          <cell r="F1574" t="str">
            <v>C1</v>
          </cell>
          <cell r="G1574" t="str">
            <v>SP</v>
          </cell>
          <cell r="H1574" t="str">
            <v>QSR</v>
          </cell>
          <cell r="I1574" t="str">
            <v>FOOD SERVICE</v>
          </cell>
          <cell r="J1574" t="str">
            <v>NUTRI</v>
          </cell>
          <cell r="K1574" t="str">
            <v>LACTALIS</v>
          </cell>
          <cell r="L1574" t="str">
            <v>PEDRO</v>
          </cell>
          <cell r="M1574" t="str">
            <v>VAGO QSR</v>
          </cell>
        </row>
        <row r="1575">
          <cell r="B1575">
            <v>5178518</v>
          </cell>
          <cell r="C1575" t="str">
            <v>NECHIO COMERCIO DISTRIB DE ALIMENT</v>
          </cell>
          <cell r="D1575">
            <v>6001</v>
          </cell>
          <cell r="E1575" t="str">
            <v>6169</v>
          </cell>
          <cell r="F1575" t="str">
            <v>C1</v>
          </cell>
          <cell r="G1575" t="str">
            <v>RJ</v>
          </cell>
          <cell r="H1575" t="str">
            <v>DISTRIBUIÇÃO</v>
          </cell>
          <cell r="I1575" t="str">
            <v>FOOD SERVICE</v>
          </cell>
          <cell r="J1575" t="str">
            <v>LUCIANA MARTINS</v>
          </cell>
          <cell r="K1575" t="str">
            <v>ITAMBÉ</v>
          </cell>
          <cell r="L1575" t="str">
            <v>RODRIGO</v>
          </cell>
          <cell r="M1575" t="str">
            <v>JESSICA</v>
          </cell>
        </row>
        <row r="1576">
          <cell r="B1576">
            <v>5181104</v>
          </cell>
          <cell r="C1576" t="str">
            <v>MIX TUDO COM ALIMENTOS E SERVICOS L</v>
          </cell>
          <cell r="D1576">
            <v>6001</v>
          </cell>
          <cell r="E1576" t="str">
            <v>6169</v>
          </cell>
          <cell r="F1576" t="str">
            <v>C1</v>
          </cell>
          <cell r="G1576" t="str">
            <v>ES</v>
          </cell>
          <cell r="H1576" t="str">
            <v>DISTRIBUIÇÃO</v>
          </cell>
          <cell r="I1576" t="str">
            <v>FOOD SERVICE</v>
          </cell>
          <cell r="J1576" t="str">
            <v>MARCELO DUARTE</v>
          </cell>
          <cell r="K1576" t="str">
            <v>ITAMBÉ</v>
          </cell>
          <cell r="L1576" t="str">
            <v>RODRIGO</v>
          </cell>
          <cell r="M1576" t="str">
            <v>JESSICA</v>
          </cell>
        </row>
        <row r="1577">
          <cell r="B1577">
            <v>5181208</v>
          </cell>
          <cell r="C1577" t="str">
            <v>PILLAR DISTRIB DE ALIMENTOS EIRELI</v>
          </cell>
          <cell r="D1577">
            <v>6001</v>
          </cell>
          <cell r="E1577" t="str">
            <v>6169</v>
          </cell>
          <cell r="F1577" t="str">
            <v>C1</v>
          </cell>
          <cell r="G1577" t="str">
            <v>ES</v>
          </cell>
          <cell r="H1577" t="str">
            <v>DISTRIBUIÇÃO</v>
          </cell>
          <cell r="I1577" t="str">
            <v>FOOD SERVICE</v>
          </cell>
          <cell r="J1577" t="str">
            <v>MARCELO DUARTE</v>
          </cell>
          <cell r="K1577" t="str">
            <v>ITAMBÉ</v>
          </cell>
          <cell r="L1577" t="str">
            <v>RODRIGO</v>
          </cell>
          <cell r="M1577" t="str">
            <v>JESSICA</v>
          </cell>
        </row>
        <row r="1578">
          <cell r="B1578">
            <v>5182195</v>
          </cell>
          <cell r="C1578" t="str">
            <v>VR BUZIM COMERCIO PROD ALIMENTICIOS</v>
          </cell>
          <cell r="D1578">
            <v>6001</v>
          </cell>
          <cell r="E1578" t="str">
            <v>6169</v>
          </cell>
          <cell r="F1578" t="str">
            <v>C1</v>
          </cell>
          <cell r="G1578" t="str">
            <v>ES</v>
          </cell>
          <cell r="H1578" t="str">
            <v>DISTRIBUIÇÃO</v>
          </cell>
          <cell r="I1578" t="str">
            <v>FOOD SERVICE</v>
          </cell>
          <cell r="J1578" t="str">
            <v>MARCELO DUARTE</v>
          </cell>
          <cell r="K1578" t="str">
            <v>ITAMBÉ</v>
          </cell>
          <cell r="L1578" t="str">
            <v>RODRIGO</v>
          </cell>
          <cell r="M1578" t="str">
            <v>JESSICA</v>
          </cell>
        </row>
        <row r="1579">
          <cell r="B1579">
            <v>5182435</v>
          </cell>
          <cell r="C1579" t="str">
            <v>NOVAMIX FOOD SERVICE COM DE ALIM LT</v>
          </cell>
          <cell r="D1579">
            <v>6001</v>
          </cell>
          <cell r="E1579" t="str">
            <v>6169</v>
          </cell>
          <cell r="F1579" t="str">
            <v>C1</v>
          </cell>
          <cell r="G1579" t="str">
            <v>RJ</v>
          </cell>
          <cell r="H1579" t="str">
            <v>DISTRIBUIÇÃO</v>
          </cell>
          <cell r="I1579" t="str">
            <v>FOOD SERVICE</v>
          </cell>
          <cell r="J1579" t="str">
            <v>JULIANA CORDEIRO</v>
          </cell>
          <cell r="K1579" t="str">
            <v>ITAMBÉ</v>
          </cell>
          <cell r="L1579" t="str">
            <v>RODRIGO</v>
          </cell>
          <cell r="M1579" t="str">
            <v>JESSICA</v>
          </cell>
        </row>
        <row r="1580">
          <cell r="B1580">
            <v>5184310</v>
          </cell>
          <cell r="C1580" t="str">
            <v>CONDOMINIO VILLA JARDINS</v>
          </cell>
          <cell r="D1580">
            <v>7001</v>
          </cell>
          <cell r="E1580" t="str">
            <v>0722</v>
          </cell>
          <cell r="F1580" t="str">
            <v>C1</v>
          </cell>
          <cell r="G1580" t="str">
            <v>SP</v>
          </cell>
          <cell r="H1580" t="str">
            <v>QSR</v>
          </cell>
          <cell r="I1580" t="str">
            <v>FOOD SERVICE</v>
          </cell>
          <cell r="J1580" t="str">
            <v>NUTRI</v>
          </cell>
          <cell r="K1580" t="str">
            <v>LACTALIS</v>
          </cell>
          <cell r="L1580" t="str">
            <v>PEDRO</v>
          </cell>
          <cell r="M1580" t="str">
            <v>VAGO QSR</v>
          </cell>
        </row>
        <row r="1581">
          <cell r="B1581">
            <v>5186815</v>
          </cell>
          <cell r="C1581" t="str">
            <v>PILLAR DOCES E EMBALAGENS LTDA</v>
          </cell>
          <cell r="D1581">
            <v>6001</v>
          </cell>
          <cell r="E1581" t="str">
            <v>6169</v>
          </cell>
          <cell r="F1581" t="str">
            <v>C1</v>
          </cell>
          <cell r="G1581" t="str">
            <v>ES</v>
          </cell>
          <cell r="H1581" t="str">
            <v>DISTRIBUIÇÃO</v>
          </cell>
          <cell r="I1581" t="str">
            <v>FOOD SERVICE</v>
          </cell>
          <cell r="J1581" t="str">
            <v>MARCELO DUARTE</v>
          </cell>
          <cell r="K1581" t="str">
            <v>ITAMBÉ</v>
          </cell>
          <cell r="L1581" t="str">
            <v>RODRIGO</v>
          </cell>
          <cell r="M1581" t="str">
            <v>JESSICA</v>
          </cell>
        </row>
        <row r="1582">
          <cell r="B1582">
            <v>5188352</v>
          </cell>
          <cell r="C1582" t="str">
            <v>MDIAS BRANCO SA IND E COM DE ALIMEN</v>
          </cell>
          <cell r="D1582">
            <v>7001</v>
          </cell>
          <cell r="E1582" t="str">
            <v>0737</v>
          </cell>
          <cell r="F1582" t="str">
            <v>C1</v>
          </cell>
          <cell r="G1582" t="str">
            <v>CE</v>
          </cell>
          <cell r="H1582" t="str">
            <v>INGREDIENTS</v>
          </cell>
          <cell r="I1582" t="str">
            <v>INGREDIENTS</v>
          </cell>
          <cell r="J1582" t="str">
            <v>JOEL ELEOTÉRIO</v>
          </cell>
          <cell r="K1582" t="str">
            <v>LACTALIS</v>
          </cell>
          <cell r="L1582" t="str">
            <v>MAURICIO</v>
          </cell>
          <cell r="M1582" t="str">
            <v>JOEL</v>
          </cell>
        </row>
        <row r="1583">
          <cell r="B1583">
            <v>5191804</v>
          </cell>
          <cell r="C1583" t="str">
            <v>BOX 81 DISTR DE PRODS ALIMENT</v>
          </cell>
          <cell r="D1583">
            <v>6001</v>
          </cell>
          <cell r="E1583" t="str">
            <v>6169</v>
          </cell>
          <cell r="F1583" t="str">
            <v>C1</v>
          </cell>
          <cell r="G1583" t="str">
            <v>RJ</v>
          </cell>
          <cell r="H1583" t="str">
            <v>DISTRIBUIÇÃO</v>
          </cell>
          <cell r="I1583" t="str">
            <v>FOOD SERVICE</v>
          </cell>
          <cell r="J1583" t="str">
            <v>JULIANA CORDEIRO</v>
          </cell>
          <cell r="K1583" t="str">
            <v>ITAMBÉ</v>
          </cell>
          <cell r="L1583" t="str">
            <v>RODRIGO</v>
          </cell>
          <cell r="M1583" t="str">
            <v>JESSICA</v>
          </cell>
        </row>
        <row r="1584">
          <cell r="B1584">
            <v>5192611</v>
          </cell>
          <cell r="C1584" t="str">
            <v>VALENTE E CASTRO DIST DE ALIMENTOS</v>
          </cell>
          <cell r="D1584">
            <v>6001</v>
          </cell>
          <cell r="E1584" t="str">
            <v>6169</v>
          </cell>
          <cell r="F1584" t="str">
            <v>C1</v>
          </cell>
          <cell r="G1584" t="str">
            <v>RJ</v>
          </cell>
          <cell r="H1584" t="str">
            <v>DISTRIBUIÇÃO</v>
          </cell>
          <cell r="I1584" t="str">
            <v>FOOD SERVICE</v>
          </cell>
          <cell r="J1584" t="str">
            <v>JULIANA CORDEIRO</v>
          </cell>
          <cell r="K1584" t="str">
            <v>ITAMBÉ</v>
          </cell>
          <cell r="L1584" t="str">
            <v>RODRIGO</v>
          </cell>
          <cell r="M1584" t="str">
            <v>JESSICA</v>
          </cell>
        </row>
        <row r="1585">
          <cell r="B1585">
            <v>5194018</v>
          </cell>
          <cell r="C1585" t="str">
            <v>GURIRI EMBALAGENS LTDA ME</v>
          </cell>
          <cell r="D1585">
            <v>6001</v>
          </cell>
          <cell r="E1585" t="str">
            <v>6169</v>
          </cell>
          <cell r="F1585" t="str">
            <v>C1</v>
          </cell>
          <cell r="G1585" t="str">
            <v>ES</v>
          </cell>
          <cell r="H1585" t="str">
            <v>DISTRIBUIÇÃO</v>
          </cell>
          <cell r="I1585" t="str">
            <v>FOOD SERVICE</v>
          </cell>
          <cell r="J1585" t="str">
            <v>MARCELO DUARTE</v>
          </cell>
          <cell r="K1585" t="str">
            <v>ITAMBÉ</v>
          </cell>
          <cell r="L1585" t="str">
            <v>RODRIGO</v>
          </cell>
          <cell r="M1585" t="str">
            <v>JESSICA</v>
          </cell>
        </row>
        <row r="1586">
          <cell r="B1586">
            <v>5194321</v>
          </cell>
          <cell r="C1586" t="str">
            <v>G PIEROTTI SHIP SUPPLIER LTDA</v>
          </cell>
          <cell r="D1586">
            <v>7001</v>
          </cell>
          <cell r="E1586" t="str">
            <v>0722</v>
          </cell>
          <cell r="F1586" t="str">
            <v>C1</v>
          </cell>
          <cell r="G1586" t="str">
            <v>SP</v>
          </cell>
          <cell r="H1586" t="str">
            <v>QSR</v>
          </cell>
          <cell r="I1586" t="str">
            <v>FOOD SERVICE</v>
          </cell>
          <cell r="J1586" t="str">
            <v>NUTRI</v>
          </cell>
          <cell r="K1586" t="str">
            <v>LACTALIS</v>
          </cell>
          <cell r="L1586" t="str">
            <v>PEDRO</v>
          </cell>
          <cell r="M1586" t="str">
            <v>VAGO QSR</v>
          </cell>
        </row>
        <row r="1587">
          <cell r="B1587">
            <v>5204180</v>
          </cell>
          <cell r="C1587" t="str">
            <v>E E MODOLO ME</v>
          </cell>
          <cell r="D1587">
            <v>6001</v>
          </cell>
          <cell r="E1587" t="str">
            <v>6169</v>
          </cell>
          <cell r="F1587" t="str">
            <v>C1</v>
          </cell>
          <cell r="G1587" t="str">
            <v>ES</v>
          </cell>
          <cell r="H1587" t="str">
            <v>DISTRIBUIÇÃO</v>
          </cell>
          <cell r="I1587" t="str">
            <v>FOOD SERVICE</v>
          </cell>
          <cell r="J1587" t="str">
            <v>MARCELO DUARTE</v>
          </cell>
          <cell r="K1587" t="str">
            <v>ITAMBÉ</v>
          </cell>
          <cell r="L1587" t="str">
            <v>RODRIGO</v>
          </cell>
          <cell r="M1587" t="str">
            <v>JESSICA</v>
          </cell>
        </row>
        <row r="1588">
          <cell r="B1588">
            <v>5206830</v>
          </cell>
          <cell r="C1588" t="str">
            <v>IND E COM DE SORVETES FRUTAMIX LTDA</v>
          </cell>
          <cell r="D1588">
            <v>4001</v>
          </cell>
          <cell r="E1588" t="str">
            <v>0458</v>
          </cell>
          <cell r="F1588" t="str">
            <v>C1</v>
          </cell>
          <cell r="G1588" t="str">
            <v>MG</v>
          </cell>
          <cell r="H1588" t="str">
            <v>INGREDIENTS</v>
          </cell>
          <cell r="I1588" t="str">
            <v>INGREDIENTS</v>
          </cell>
          <cell r="J1588" t="str">
            <v>HENRIQUE FERREIRA</v>
          </cell>
          <cell r="K1588" t="str">
            <v>LACTALIS</v>
          </cell>
          <cell r="L1588" t="str">
            <v>MAURICIO</v>
          </cell>
          <cell r="M1588" t="str">
            <v>JOEL</v>
          </cell>
        </row>
        <row r="1589">
          <cell r="B1589">
            <v>5207394</v>
          </cell>
          <cell r="C1589" t="str">
            <v>NEWREST BRASIL S A AO T AEREO LTDA</v>
          </cell>
          <cell r="D1589">
            <v>6001</v>
          </cell>
          <cell r="E1589" t="str">
            <v>6169</v>
          </cell>
          <cell r="F1589" t="str">
            <v>C1</v>
          </cell>
          <cell r="G1589" t="str">
            <v>RJ</v>
          </cell>
          <cell r="H1589" t="str">
            <v>QSR</v>
          </cell>
          <cell r="I1589" t="str">
            <v>FOOD SERVICE</v>
          </cell>
          <cell r="J1589" t="str">
            <v>ANA MENIQUETE</v>
          </cell>
          <cell r="K1589" t="str">
            <v>ITAMBÉ</v>
          </cell>
          <cell r="L1589" t="str">
            <v>PEDRO</v>
          </cell>
          <cell r="M1589" t="str">
            <v>ANA MENIQUETE</v>
          </cell>
        </row>
        <row r="1590">
          <cell r="B1590">
            <v>5211484</v>
          </cell>
          <cell r="C1590" t="str">
            <v>NMX COMERCIAL DE ALIMENTOS LTDA</v>
          </cell>
          <cell r="D1590">
            <v>6001</v>
          </cell>
          <cell r="E1590" t="str">
            <v>6169</v>
          </cell>
          <cell r="F1590" t="str">
            <v>C1</v>
          </cell>
          <cell r="G1590" t="str">
            <v>RJ</v>
          </cell>
          <cell r="H1590" t="str">
            <v>INGREDIENTS</v>
          </cell>
          <cell r="I1590" t="str">
            <v>INGREDIENTS</v>
          </cell>
          <cell r="J1590" t="str">
            <v>JOEL ELEOTÉRIO</v>
          </cell>
          <cell r="K1590" t="str">
            <v>ITAMBÉ</v>
          </cell>
          <cell r="L1590" t="str">
            <v>MAURICIO</v>
          </cell>
          <cell r="M1590" t="str">
            <v>JOEL</v>
          </cell>
        </row>
        <row r="1591">
          <cell r="B1591">
            <v>5213905</v>
          </cell>
          <cell r="C1591" t="str">
            <v>COLORADO FESTAS LTDA</v>
          </cell>
          <cell r="D1591">
            <v>6001</v>
          </cell>
          <cell r="E1591" t="str">
            <v>6169</v>
          </cell>
          <cell r="F1591" t="str">
            <v>C1</v>
          </cell>
          <cell r="G1591" t="str">
            <v>ES</v>
          </cell>
          <cell r="H1591" t="str">
            <v>DISTRIBUIÇÃO</v>
          </cell>
          <cell r="I1591" t="str">
            <v>FOOD SERVICE</v>
          </cell>
          <cell r="J1591" t="str">
            <v>MARCELO DUARTE</v>
          </cell>
          <cell r="K1591" t="str">
            <v>ITAMBÉ</v>
          </cell>
          <cell r="L1591" t="str">
            <v>RODRIGO</v>
          </cell>
          <cell r="M1591" t="str">
            <v>JESSICA</v>
          </cell>
        </row>
        <row r="1592">
          <cell r="B1592">
            <v>5219741</v>
          </cell>
          <cell r="C1592" t="str">
            <v>CASABLANCA CAFES LTDA</v>
          </cell>
          <cell r="D1592">
            <v>6001</v>
          </cell>
          <cell r="E1592" t="str">
            <v>6169</v>
          </cell>
          <cell r="F1592" t="str">
            <v>C1</v>
          </cell>
          <cell r="G1592" t="str">
            <v>ES</v>
          </cell>
          <cell r="H1592" t="str">
            <v>DISTRIBUIÇÃO</v>
          </cell>
          <cell r="I1592" t="str">
            <v>FOOD SERVICE</v>
          </cell>
          <cell r="J1592" t="str">
            <v>MARCELO DUARTE</v>
          </cell>
          <cell r="K1592" t="str">
            <v>ITAMBÉ</v>
          </cell>
          <cell r="L1592" t="str">
            <v>RODRIGO</v>
          </cell>
          <cell r="M1592" t="str">
            <v>JESSICA</v>
          </cell>
        </row>
        <row r="1593">
          <cell r="B1593">
            <v>5223816</v>
          </cell>
          <cell r="C1593" t="str">
            <v>CAMPO GRANDE C DE P ALIMENTICIOS LT</v>
          </cell>
          <cell r="D1593">
            <v>6001</v>
          </cell>
          <cell r="E1593" t="str">
            <v>6169</v>
          </cell>
          <cell r="F1593" t="str">
            <v>C1</v>
          </cell>
          <cell r="G1593" t="str">
            <v>ES</v>
          </cell>
          <cell r="H1593" t="str">
            <v>DISTRIBUIÇÃO</v>
          </cell>
          <cell r="I1593" t="str">
            <v>FOOD SERVICE</v>
          </cell>
          <cell r="J1593" t="str">
            <v>MARCELO DUARTE</v>
          </cell>
          <cell r="K1593" t="str">
            <v>ITAMBÉ</v>
          </cell>
          <cell r="L1593" t="str">
            <v>RODRIGO</v>
          </cell>
          <cell r="M1593" t="str">
            <v>JESSICA</v>
          </cell>
        </row>
        <row r="1594">
          <cell r="B1594">
            <v>5225153</v>
          </cell>
          <cell r="C1594" t="str">
            <v>JD DISTRIBUIDORA LTDA</v>
          </cell>
          <cell r="D1594">
            <v>6001</v>
          </cell>
          <cell r="E1594" t="str">
            <v>6169</v>
          </cell>
          <cell r="F1594" t="str">
            <v>C1</v>
          </cell>
          <cell r="G1594" t="str">
            <v>ES</v>
          </cell>
          <cell r="H1594" t="str">
            <v>DISTRIBUIÇÃO</v>
          </cell>
          <cell r="I1594" t="str">
            <v>FOOD SERVICE</v>
          </cell>
          <cell r="J1594" t="str">
            <v>MARCELO DUARTE</v>
          </cell>
          <cell r="K1594" t="str">
            <v>ITAMBÉ</v>
          </cell>
          <cell r="L1594" t="str">
            <v>RODRIGO</v>
          </cell>
          <cell r="M1594" t="str">
            <v>JESSICA</v>
          </cell>
        </row>
        <row r="1595">
          <cell r="B1595">
            <v>5226129</v>
          </cell>
          <cell r="C1595" t="str">
            <v>HSBL COMERCIO DE DESCARTAVEIS EIREL</v>
          </cell>
          <cell r="D1595">
            <v>6001</v>
          </cell>
          <cell r="E1595" t="str">
            <v>6169</v>
          </cell>
          <cell r="F1595" t="str">
            <v>C1</v>
          </cell>
          <cell r="G1595" t="str">
            <v>ES</v>
          </cell>
          <cell r="H1595" t="str">
            <v>DISTRIBUIÇÃO</v>
          </cell>
          <cell r="I1595" t="str">
            <v>FOOD SERVICE</v>
          </cell>
          <cell r="J1595" t="str">
            <v>MARCELO DUARTE</v>
          </cell>
          <cell r="K1595" t="str">
            <v>ITAMBÉ</v>
          </cell>
          <cell r="L1595" t="str">
            <v>RODRIGO</v>
          </cell>
          <cell r="M1595" t="str">
            <v>JESSICA</v>
          </cell>
        </row>
        <row r="1596">
          <cell r="B1596">
            <v>5226350</v>
          </cell>
          <cell r="C1596" t="str">
            <v>SOS ALIMENTOS E TRANSPORTES LTDA</v>
          </cell>
          <cell r="D1596">
            <v>4001</v>
          </cell>
          <cell r="E1596" t="str">
            <v>0456</v>
          </cell>
          <cell r="F1596" t="str">
            <v>C1</v>
          </cell>
          <cell r="G1596" t="str">
            <v>SC</v>
          </cell>
          <cell r="H1596" t="str">
            <v>DISTRIBUIÇÃO</v>
          </cell>
          <cell r="I1596" t="str">
            <v>FOOD SERVICE</v>
          </cell>
          <cell r="J1596" t="str">
            <v>ANGELICA BATISTELA</v>
          </cell>
          <cell r="K1596" t="str">
            <v>LACTALIS</v>
          </cell>
          <cell r="L1596" t="str">
            <v>RODRIGO</v>
          </cell>
          <cell r="M1596" t="str">
            <v>ANGELICA BATISTELA</v>
          </cell>
        </row>
        <row r="1597">
          <cell r="B1597">
            <v>5226531</v>
          </cell>
          <cell r="C1597" t="str">
            <v>NOBREDO COMERCIO E LOGISTICA LTDA</v>
          </cell>
          <cell r="D1597">
            <v>6001</v>
          </cell>
          <cell r="E1597" t="str">
            <v>6169</v>
          </cell>
          <cell r="F1597" t="str">
            <v>C1</v>
          </cell>
          <cell r="G1597" t="str">
            <v>RJ</v>
          </cell>
          <cell r="H1597" t="str">
            <v>DISTRIBUIÇÃO</v>
          </cell>
          <cell r="I1597" t="str">
            <v>FOOD SERVICE</v>
          </cell>
          <cell r="J1597" t="str">
            <v>LUCIANA MARTINS</v>
          </cell>
          <cell r="K1597" t="str">
            <v>ITAMBÉ</v>
          </cell>
          <cell r="L1597" t="str">
            <v>RODRIGO</v>
          </cell>
          <cell r="M1597" t="str">
            <v>JESSICA</v>
          </cell>
        </row>
        <row r="1598">
          <cell r="B1598">
            <v>5228955</v>
          </cell>
          <cell r="C1598" t="str">
            <v>GP SORVETERIA DISTRIBUIDORA LTDA</v>
          </cell>
          <cell r="D1598">
            <v>6001</v>
          </cell>
          <cell r="E1598" t="str">
            <v>6169</v>
          </cell>
          <cell r="F1598" t="str">
            <v>C1</v>
          </cell>
          <cell r="G1598" t="str">
            <v>ES</v>
          </cell>
          <cell r="H1598" t="str">
            <v>DISTRIBUIÇÃO</v>
          </cell>
          <cell r="I1598" t="str">
            <v>FOOD SERVICE</v>
          </cell>
          <cell r="J1598" t="str">
            <v>MARCELO DUARTE</v>
          </cell>
          <cell r="K1598" t="str">
            <v>ITAMBÉ</v>
          </cell>
          <cell r="L1598" t="str">
            <v>RODRIGO</v>
          </cell>
          <cell r="M1598" t="str">
            <v>JESSICA</v>
          </cell>
        </row>
        <row r="1599">
          <cell r="B1599">
            <v>5229621</v>
          </cell>
          <cell r="C1599" t="str">
            <v>NUTRY MAX COMERCIO DE PRODUTOS</v>
          </cell>
          <cell r="D1599">
            <v>6001</v>
          </cell>
          <cell r="E1599" t="str">
            <v>6169</v>
          </cell>
          <cell r="F1599" t="str">
            <v>C1</v>
          </cell>
          <cell r="G1599" t="str">
            <v>RJ</v>
          </cell>
          <cell r="H1599" t="str">
            <v>DISTRIBUIÇÃO</v>
          </cell>
          <cell r="I1599" t="str">
            <v>FOOD SERVICE</v>
          </cell>
          <cell r="J1599" t="str">
            <v>JESSICA CARLA</v>
          </cell>
          <cell r="K1599" t="str">
            <v>ITAMBÉ</v>
          </cell>
          <cell r="L1599" t="str">
            <v>RODRIGO</v>
          </cell>
          <cell r="M1599" t="str">
            <v>JESSICA</v>
          </cell>
        </row>
        <row r="1600">
          <cell r="B1600">
            <v>5230884</v>
          </cell>
          <cell r="C1600" t="str">
            <v>PROREGI IND COM E IMPORT LTDA</v>
          </cell>
          <cell r="D1600">
            <v>3001</v>
          </cell>
          <cell r="E1600" t="str">
            <v>0028</v>
          </cell>
          <cell r="F1600" t="str">
            <v>C1</v>
          </cell>
          <cell r="G1600" t="str">
            <v>MG</v>
          </cell>
          <cell r="H1600" t="str">
            <v>INGREDIENTS</v>
          </cell>
          <cell r="I1600" t="str">
            <v>INGREDIENTS</v>
          </cell>
          <cell r="J1600" t="str">
            <v>HENRIQUE FERREIRA</v>
          </cell>
          <cell r="K1600" t="str">
            <v>ITAMBÉ</v>
          </cell>
          <cell r="L1600" t="str">
            <v>MAURICIO</v>
          </cell>
          <cell r="M1600" t="str">
            <v>JOEL</v>
          </cell>
        </row>
        <row r="1601">
          <cell r="B1601">
            <v>5231303</v>
          </cell>
          <cell r="C1601" t="str">
            <v>SUPER VINHOS DISTRIBUIDORA S A</v>
          </cell>
          <cell r="D1601">
            <v>6001</v>
          </cell>
          <cell r="E1601" t="str">
            <v>6169</v>
          </cell>
          <cell r="F1601" t="str">
            <v>C1</v>
          </cell>
          <cell r="G1601" t="str">
            <v>RJ</v>
          </cell>
          <cell r="H1601" t="str">
            <v>DISTRIBUIÇÃO</v>
          </cell>
          <cell r="I1601" t="str">
            <v>FOOD SERVICE</v>
          </cell>
          <cell r="J1601" t="str">
            <v>LUCIANA MARTINS</v>
          </cell>
          <cell r="K1601" t="str">
            <v>ITAMBÉ</v>
          </cell>
          <cell r="L1601" t="str">
            <v>RODRIGO</v>
          </cell>
          <cell r="M1601" t="str">
            <v>JESSICA</v>
          </cell>
        </row>
        <row r="1602">
          <cell r="B1602">
            <v>5231717</v>
          </cell>
          <cell r="C1602" t="str">
            <v>IMM PRODUTOS NATURAIS LTDA</v>
          </cell>
          <cell r="D1602">
            <v>6001</v>
          </cell>
          <cell r="E1602" t="str">
            <v>6169</v>
          </cell>
          <cell r="F1602" t="str">
            <v>C1</v>
          </cell>
          <cell r="G1602" t="str">
            <v>ES</v>
          </cell>
          <cell r="H1602" t="str">
            <v>DISTRIBUIÇÃO</v>
          </cell>
          <cell r="I1602" t="str">
            <v>FOOD SERVICE</v>
          </cell>
          <cell r="J1602" t="str">
            <v>MARCELO DUARTE</v>
          </cell>
          <cell r="K1602" t="str">
            <v>ITAMBÉ</v>
          </cell>
          <cell r="L1602" t="str">
            <v>RODRIGO</v>
          </cell>
          <cell r="M1602" t="str">
            <v>JESSICA</v>
          </cell>
        </row>
        <row r="1603">
          <cell r="B1603">
            <v>5261291</v>
          </cell>
          <cell r="C1603" t="str">
            <v>LATURAN SUCOS E ALIMENTOS LTDA ME</v>
          </cell>
          <cell r="D1603">
            <v>7001</v>
          </cell>
          <cell r="E1603" t="str">
            <v>0722</v>
          </cell>
          <cell r="F1603" t="str">
            <v>C1</v>
          </cell>
          <cell r="G1603" t="str">
            <v>SP</v>
          </cell>
          <cell r="H1603" t="str">
            <v>QSR</v>
          </cell>
          <cell r="I1603" t="str">
            <v>FOOD SERVICE</v>
          </cell>
          <cell r="J1603" t="str">
            <v>NUTRI</v>
          </cell>
          <cell r="K1603" t="str">
            <v>LACTALIS</v>
          </cell>
          <cell r="L1603" t="str">
            <v>PEDRO</v>
          </cell>
          <cell r="M1603" t="str">
            <v>VAGO QSR</v>
          </cell>
        </row>
        <row r="1604">
          <cell r="B1604">
            <v>5261409</v>
          </cell>
          <cell r="C1604" t="str">
            <v>SOPHINSKI SUCOS E ALIMENTOS LTD</v>
          </cell>
          <cell r="D1604">
            <v>7001</v>
          </cell>
          <cell r="E1604" t="str">
            <v>0722</v>
          </cell>
          <cell r="F1604" t="str">
            <v>C1</v>
          </cell>
          <cell r="G1604" t="str">
            <v>SP</v>
          </cell>
          <cell r="H1604" t="str">
            <v>QSR</v>
          </cell>
          <cell r="I1604" t="str">
            <v>FOOD SERVICE</v>
          </cell>
          <cell r="J1604" t="str">
            <v>NUTRI</v>
          </cell>
          <cell r="K1604" t="str">
            <v>LACTALIS</v>
          </cell>
          <cell r="L1604" t="str">
            <v>PEDRO</v>
          </cell>
          <cell r="M1604" t="str">
            <v>VAGO QSR</v>
          </cell>
        </row>
        <row r="1605">
          <cell r="B1605">
            <v>5261411</v>
          </cell>
          <cell r="C1605" t="str">
            <v>VITHINSKI SUCOS E ALIMENTOS LTDA ME</v>
          </cell>
          <cell r="D1605">
            <v>7001</v>
          </cell>
          <cell r="E1605" t="str">
            <v>0722</v>
          </cell>
          <cell r="F1605" t="str">
            <v>C1</v>
          </cell>
          <cell r="G1605" t="str">
            <v>SP</v>
          </cell>
          <cell r="H1605" t="str">
            <v>QSR</v>
          </cell>
          <cell r="I1605" t="str">
            <v>FOOD SERVICE</v>
          </cell>
          <cell r="J1605" t="str">
            <v>NUTRI</v>
          </cell>
          <cell r="K1605" t="str">
            <v>LACTALIS</v>
          </cell>
          <cell r="L1605" t="str">
            <v>PEDRO</v>
          </cell>
          <cell r="M1605" t="str">
            <v>VAGO QSR</v>
          </cell>
        </row>
        <row r="1606">
          <cell r="B1606">
            <v>5263054</v>
          </cell>
          <cell r="C1606" t="str">
            <v>H G DE CAMPOS CARDOSO ME</v>
          </cell>
          <cell r="D1606">
            <v>7001</v>
          </cell>
          <cell r="E1606" t="str">
            <v>0722</v>
          </cell>
          <cell r="F1606" t="str">
            <v>C1</v>
          </cell>
          <cell r="G1606" t="str">
            <v>SP</v>
          </cell>
          <cell r="H1606" t="str">
            <v>QSR</v>
          </cell>
          <cell r="I1606" t="str">
            <v>FOOD SERVICE</v>
          </cell>
          <cell r="J1606" t="str">
            <v>NUTRI</v>
          </cell>
          <cell r="K1606" t="str">
            <v>LACTALIS</v>
          </cell>
          <cell r="L1606" t="str">
            <v>PEDRO</v>
          </cell>
          <cell r="M1606" t="str">
            <v>VAGO QSR</v>
          </cell>
        </row>
        <row r="1607">
          <cell r="B1607">
            <v>5263133</v>
          </cell>
          <cell r="C1607" t="str">
            <v>RDG KAVE ALIMENTOS LTDA ME</v>
          </cell>
          <cell r="D1607">
            <v>7001</v>
          </cell>
          <cell r="E1607" t="str">
            <v>0722</v>
          </cell>
          <cell r="F1607" t="str">
            <v>C1</v>
          </cell>
          <cell r="G1607" t="str">
            <v>SP</v>
          </cell>
          <cell r="H1607" t="str">
            <v>DISTRIBUIÇÃO</v>
          </cell>
          <cell r="I1607" t="str">
            <v>FOOD SERVICE</v>
          </cell>
          <cell r="J1607" t="str">
            <v>FLAC 3</v>
          </cell>
          <cell r="K1607" t="str">
            <v>LACTALIS</v>
          </cell>
          <cell r="L1607" t="str">
            <v>RODRIGO</v>
          </cell>
          <cell r="M1607" t="str">
            <v>RAQUEL BARBOSA</v>
          </cell>
        </row>
        <row r="1608">
          <cell r="B1608">
            <v>5263654</v>
          </cell>
          <cell r="C1608" t="str">
            <v>FRANCE PANIFICACAO LTDA</v>
          </cell>
          <cell r="D1608">
            <v>7001</v>
          </cell>
          <cell r="E1608" t="str">
            <v>0722</v>
          </cell>
          <cell r="F1608" t="str">
            <v>C1</v>
          </cell>
          <cell r="G1608" t="str">
            <v>SP</v>
          </cell>
          <cell r="H1608" t="str">
            <v>DISTRIBUIÇÃO</v>
          </cell>
          <cell r="I1608" t="str">
            <v>FOOD SERVICE</v>
          </cell>
          <cell r="J1608" t="str">
            <v>FLAC 2</v>
          </cell>
          <cell r="K1608" t="str">
            <v>LACTALIS</v>
          </cell>
          <cell r="L1608" t="str">
            <v>RODRIGO</v>
          </cell>
          <cell r="M1608" t="str">
            <v>RAQUEL BARBOSA</v>
          </cell>
        </row>
        <row r="1609">
          <cell r="B1609">
            <v>5265010</v>
          </cell>
          <cell r="C1609" t="str">
            <v>RDG CIDADE ALIMENTOS LTDA</v>
          </cell>
          <cell r="D1609">
            <v>7001</v>
          </cell>
          <cell r="E1609" t="str">
            <v>0722</v>
          </cell>
          <cell r="F1609" t="str">
            <v>C1</v>
          </cell>
          <cell r="G1609" t="str">
            <v>SP</v>
          </cell>
          <cell r="H1609" t="str">
            <v>DISTRIBUIÇÃO</v>
          </cell>
          <cell r="I1609" t="str">
            <v>FOOD SERVICE</v>
          </cell>
          <cell r="J1609" t="str">
            <v>FLAC 3</v>
          </cell>
          <cell r="K1609" t="str">
            <v>LACTALIS</v>
          </cell>
          <cell r="L1609" t="str">
            <v>RODRIGO</v>
          </cell>
          <cell r="M1609" t="str">
            <v>RAQUEL BARBOSA</v>
          </cell>
        </row>
        <row r="1610">
          <cell r="B1610">
            <v>5265314</v>
          </cell>
          <cell r="C1610" t="str">
            <v>EJE CONFEITARIA FRANCESA LTDA</v>
          </cell>
          <cell r="D1610">
            <v>7001</v>
          </cell>
          <cell r="E1610" t="str">
            <v>0722</v>
          </cell>
          <cell r="F1610" t="str">
            <v>C1</v>
          </cell>
          <cell r="G1610" t="str">
            <v>SP</v>
          </cell>
          <cell r="H1610" t="str">
            <v>QSR</v>
          </cell>
          <cell r="I1610" t="str">
            <v>FOOD SERVICE</v>
          </cell>
          <cell r="J1610" t="str">
            <v>NUTRI</v>
          </cell>
          <cell r="K1610" t="str">
            <v>LACTALIS</v>
          </cell>
          <cell r="L1610" t="str">
            <v>PEDRO</v>
          </cell>
          <cell r="M1610" t="str">
            <v>VAGO QSR</v>
          </cell>
        </row>
        <row r="1611">
          <cell r="B1611">
            <v>5267879</v>
          </cell>
          <cell r="C1611" t="str">
            <v>ELCASYAS SUCOS E ALIMENTO EIRELI</v>
          </cell>
          <cell r="D1611">
            <v>7001</v>
          </cell>
          <cell r="E1611" t="str">
            <v>0722</v>
          </cell>
          <cell r="F1611" t="str">
            <v>C1</v>
          </cell>
          <cell r="G1611" t="str">
            <v>SP</v>
          </cell>
          <cell r="H1611" t="str">
            <v>QSR</v>
          </cell>
          <cell r="I1611" t="str">
            <v>FOOD SERVICE</v>
          </cell>
          <cell r="J1611" t="str">
            <v>NUTRI</v>
          </cell>
          <cell r="K1611" t="str">
            <v>LACTALIS</v>
          </cell>
          <cell r="L1611" t="str">
            <v>PEDRO</v>
          </cell>
          <cell r="M1611" t="str">
            <v>VAGO QSR</v>
          </cell>
        </row>
        <row r="1612">
          <cell r="B1612">
            <v>5273626</v>
          </cell>
          <cell r="C1612" t="str">
            <v>CAMPO VERDE ALIMENTOS LTDA</v>
          </cell>
          <cell r="D1612">
            <v>7001</v>
          </cell>
          <cell r="E1612" t="str">
            <v>0737</v>
          </cell>
          <cell r="F1612" t="str">
            <v>C1</v>
          </cell>
          <cell r="G1612" t="str">
            <v>SP</v>
          </cell>
          <cell r="H1612" t="str">
            <v>INGREDIENTS</v>
          </cell>
          <cell r="I1612" t="str">
            <v>INGREDIENTS</v>
          </cell>
          <cell r="J1612" t="str">
            <v>JOEL ELEOTÉRIO</v>
          </cell>
          <cell r="K1612" t="str">
            <v>LACTALIS</v>
          </cell>
          <cell r="L1612" t="str">
            <v>MAURICIO</v>
          </cell>
          <cell r="M1612" t="str">
            <v>JOEL</v>
          </cell>
        </row>
        <row r="1613">
          <cell r="B1613">
            <v>5279462</v>
          </cell>
          <cell r="C1613" t="str">
            <v>RFG COMERCIO TRANSPORTES E SERVICOS</v>
          </cell>
          <cell r="D1613">
            <v>7001</v>
          </cell>
          <cell r="E1613" t="str">
            <v>0754</v>
          </cell>
          <cell r="F1613" t="str">
            <v>C1</v>
          </cell>
          <cell r="G1613" t="str">
            <v>SP</v>
          </cell>
          <cell r="H1613" t="str">
            <v>MC DONALDS</v>
          </cell>
          <cell r="I1613" t="str">
            <v>MC DONALDS</v>
          </cell>
          <cell r="J1613" t="str">
            <v>MAURICIO GALLI</v>
          </cell>
          <cell r="K1613" t="str">
            <v>LACTALIS</v>
          </cell>
          <cell r="L1613" t="str">
            <v>MAURICIO</v>
          </cell>
          <cell r="M1613" t="str">
            <v>MAURICIO</v>
          </cell>
        </row>
        <row r="1614">
          <cell r="B1614">
            <v>5280106</v>
          </cell>
          <cell r="C1614" t="str">
            <v>MELIA BRASIL ADM HOT E COM LTDA</v>
          </cell>
          <cell r="D1614">
            <v>7001</v>
          </cell>
          <cell r="E1614" t="str">
            <v>0722</v>
          </cell>
          <cell r="F1614" t="str">
            <v>C1</v>
          </cell>
          <cell r="G1614" t="str">
            <v>SP</v>
          </cell>
          <cell r="H1614" t="str">
            <v>DISTRIBUIÇÃO</v>
          </cell>
          <cell r="I1614" t="str">
            <v>FOOD SERVICE</v>
          </cell>
          <cell r="J1614" t="str">
            <v>FLAC 6</v>
          </cell>
          <cell r="K1614" t="str">
            <v>LACTALIS</v>
          </cell>
          <cell r="L1614" t="str">
            <v>RODRIGO</v>
          </cell>
          <cell r="M1614" t="str">
            <v>RAQUEL BARBOSA</v>
          </cell>
        </row>
        <row r="1615">
          <cell r="B1615">
            <v>5285639</v>
          </cell>
          <cell r="C1615" t="str">
            <v>LC ADMINISTRACAO DE REST LTDA</v>
          </cell>
          <cell r="D1615">
            <v>7001</v>
          </cell>
          <cell r="E1615" t="str">
            <v>0722</v>
          </cell>
          <cell r="F1615" t="str">
            <v>C1</v>
          </cell>
          <cell r="G1615" t="str">
            <v>SP</v>
          </cell>
          <cell r="H1615" t="str">
            <v>QSR</v>
          </cell>
          <cell r="I1615" t="str">
            <v>FOOD SERVICE</v>
          </cell>
          <cell r="J1615" t="str">
            <v>NUTRI</v>
          </cell>
          <cell r="K1615" t="str">
            <v>LACTALIS</v>
          </cell>
          <cell r="L1615" t="str">
            <v>PEDRO</v>
          </cell>
          <cell r="M1615" t="str">
            <v>VAGO QSR</v>
          </cell>
        </row>
        <row r="1616">
          <cell r="B1616">
            <v>5286332</v>
          </cell>
          <cell r="C1616" t="str">
            <v>FUNDACAO BRADESCO</v>
          </cell>
          <cell r="D1616">
            <v>7001</v>
          </cell>
          <cell r="E1616" t="str">
            <v>0722</v>
          </cell>
          <cell r="F1616" t="str">
            <v>C1</v>
          </cell>
          <cell r="G1616" t="str">
            <v>SP</v>
          </cell>
          <cell r="H1616" t="str">
            <v>QSR</v>
          </cell>
          <cell r="I1616" t="str">
            <v>FOOD SERVICE</v>
          </cell>
          <cell r="J1616" t="str">
            <v>NUTRI</v>
          </cell>
          <cell r="K1616" t="str">
            <v>LACTALIS</v>
          </cell>
          <cell r="L1616" t="str">
            <v>PEDRO</v>
          </cell>
          <cell r="M1616" t="str">
            <v>VAGO QSR</v>
          </cell>
        </row>
        <row r="1617">
          <cell r="B1617">
            <v>5301161</v>
          </cell>
          <cell r="C1617" t="str">
            <v>JOWI SUCOS LTDA</v>
          </cell>
          <cell r="D1617">
            <v>7001</v>
          </cell>
          <cell r="E1617" t="str">
            <v>0722</v>
          </cell>
          <cell r="F1617" t="str">
            <v>C1</v>
          </cell>
          <cell r="G1617" t="str">
            <v>SP</v>
          </cell>
          <cell r="H1617" t="str">
            <v>QSR</v>
          </cell>
          <cell r="I1617" t="str">
            <v>FOOD SERVICE</v>
          </cell>
          <cell r="J1617" t="str">
            <v>NUTRI</v>
          </cell>
          <cell r="K1617" t="str">
            <v>LACTALIS</v>
          </cell>
          <cell r="L1617" t="str">
            <v>PEDRO</v>
          </cell>
          <cell r="M1617" t="str">
            <v>VAGO QSR</v>
          </cell>
        </row>
        <row r="1618">
          <cell r="B1618">
            <v>5313456</v>
          </cell>
          <cell r="C1618" t="str">
            <v>PORTEFRIO DISTRIBUIDORA DE GENEROS</v>
          </cell>
          <cell r="D1618">
            <v>6001</v>
          </cell>
          <cell r="E1618" t="str">
            <v>6169</v>
          </cell>
          <cell r="F1618" t="str">
            <v>C1</v>
          </cell>
          <cell r="G1618" t="str">
            <v>RJ</v>
          </cell>
          <cell r="H1618" t="str">
            <v>DISTRIBUIÇÃO</v>
          </cell>
          <cell r="I1618" t="str">
            <v>FOOD SERVICE</v>
          </cell>
          <cell r="J1618" t="str">
            <v>JULIANA CORDEIRO</v>
          </cell>
          <cell r="K1618" t="str">
            <v>ITAMBÉ</v>
          </cell>
          <cell r="L1618" t="str">
            <v>RODRIGO</v>
          </cell>
          <cell r="M1618" t="str">
            <v>JESSICA</v>
          </cell>
        </row>
        <row r="1619">
          <cell r="B1619">
            <v>5327180</v>
          </cell>
          <cell r="C1619" t="str">
            <v>LUPE SOLUCOES EMPREENDEDORAS LTDA</v>
          </cell>
          <cell r="D1619">
            <v>6001</v>
          </cell>
          <cell r="E1619" t="str">
            <v>6169</v>
          </cell>
          <cell r="F1619" t="str">
            <v>C1</v>
          </cell>
          <cell r="G1619" t="str">
            <v>RJ</v>
          </cell>
          <cell r="H1619" t="str">
            <v>DISTRIBUIÇÃO</v>
          </cell>
          <cell r="I1619" t="str">
            <v>FOOD SERVICE</v>
          </cell>
          <cell r="J1619" t="str">
            <v>JULIANA CORDEIRO</v>
          </cell>
          <cell r="K1619" t="str">
            <v>ITAMBÉ</v>
          </cell>
          <cell r="L1619" t="str">
            <v>RODRIGO</v>
          </cell>
          <cell r="M1619" t="str">
            <v>JESSICA</v>
          </cell>
        </row>
        <row r="1620">
          <cell r="B1620">
            <v>5329708</v>
          </cell>
          <cell r="C1620" t="str">
            <v>CBX CAFE IMIGRANTES LTDA</v>
          </cell>
          <cell r="D1620">
            <v>7001</v>
          </cell>
          <cell r="E1620" t="str">
            <v>0749</v>
          </cell>
          <cell r="F1620" t="str">
            <v>C5</v>
          </cell>
          <cell r="G1620" t="str">
            <v>SP</v>
          </cell>
          <cell r="H1620" t="str">
            <v>DISTRIBUIÇÃO</v>
          </cell>
          <cell r="I1620" t="str">
            <v>FOOD SERVICE</v>
          </cell>
          <cell r="J1620" t="str">
            <v>FLAC 5</v>
          </cell>
          <cell r="K1620" t="str">
            <v>LACTALIS</v>
          </cell>
          <cell r="L1620" t="str">
            <v>RODRIGO</v>
          </cell>
          <cell r="M1620" t="str">
            <v>RAQUEL BARBOSA</v>
          </cell>
        </row>
        <row r="1621">
          <cell r="B1621">
            <v>5338214</v>
          </cell>
          <cell r="C1621" t="str">
            <v>GAPEIXOTO DIST DE PROD ALIM LTD</v>
          </cell>
          <cell r="D1621">
            <v>6001</v>
          </cell>
          <cell r="E1621" t="str">
            <v>6125</v>
          </cell>
          <cell r="F1621" t="str">
            <v>C1</v>
          </cell>
          <cell r="G1621" t="str">
            <v>SP</v>
          </cell>
          <cell r="H1621" t="str">
            <v>DISTRIBUIÇÃO</v>
          </cell>
          <cell r="I1621" t="str">
            <v>FOOD SERVICE</v>
          </cell>
          <cell r="J1621" t="str">
            <v>VAGO SP</v>
          </cell>
          <cell r="K1621" t="str">
            <v>ITAMBÉ</v>
          </cell>
          <cell r="L1621" t="str">
            <v>RODRIGO</v>
          </cell>
          <cell r="M1621" t="str">
            <v>RAQUEL BARBOSA</v>
          </cell>
        </row>
        <row r="1622">
          <cell r="B1622">
            <v>5016719</v>
          </cell>
          <cell r="C1622" t="str">
            <v>PENNACCHI E CIA LTDA</v>
          </cell>
          <cell r="D1622">
            <v>4001</v>
          </cell>
          <cell r="E1622" t="str">
            <v>0455</v>
          </cell>
          <cell r="F1622" t="str">
            <v>C1</v>
          </cell>
          <cell r="G1622" t="str">
            <v>PR</v>
          </cell>
          <cell r="H1622" t="str">
            <v>DISTRIBUIÇÃO</v>
          </cell>
          <cell r="I1622" t="str">
            <v>FOOD SERVICE</v>
          </cell>
          <cell r="J1622" t="str">
            <v>ANGELICA BATISTELA</v>
          </cell>
          <cell r="K1622" t="str">
            <v>LACTALIS</v>
          </cell>
          <cell r="L1622" t="str">
            <v>RODRIGO</v>
          </cell>
          <cell r="M1622" t="str">
            <v>ANGELICA BATISTELA</v>
          </cell>
        </row>
        <row r="1623">
          <cell r="B1623">
            <v>5321120</v>
          </cell>
          <cell r="C1623" t="str">
            <v>CHALANA SORVETES LTDA ME</v>
          </cell>
          <cell r="D1623">
            <v>6001</v>
          </cell>
          <cell r="E1623" t="str">
            <v>6028</v>
          </cell>
          <cell r="F1623" t="str">
            <v>C1</v>
          </cell>
          <cell r="G1623" t="str">
            <v>MS</v>
          </cell>
          <cell r="H1623" t="str">
            <v>INGREDIENTS</v>
          </cell>
          <cell r="I1623" t="str">
            <v>INGREDIENTS</v>
          </cell>
          <cell r="J1623" t="str">
            <v>DUAS RODAS</v>
          </cell>
          <cell r="K1623" t="str">
            <v>ITAMBÉ</v>
          </cell>
          <cell r="L1623" t="str">
            <v>MAURICIO</v>
          </cell>
          <cell r="M1623" t="str">
            <v>MARCELO</v>
          </cell>
        </row>
        <row r="1624">
          <cell r="B1624">
            <v>5011698</v>
          </cell>
          <cell r="C1624" t="str">
            <v>CASA DO SACHET LTDA</v>
          </cell>
          <cell r="D1624">
            <v>6001</v>
          </cell>
          <cell r="E1624" t="str">
            <v>6123</v>
          </cell>
          <cell r="F1624" t="str">
            <v>C1</v>
          </cell>
          <cell r="G1624" t="str">
            <v>MS</v>
          </cell>
          <cell r="H1624" t="str">
            <v>DISTRIBUIÇÃO</v>
          </cell>
          <cell r="I1624" t="str">
            <v>FOOD SERVICE</v>
          </cell>
          <cell r="J1624" t="str">
            <v>CLAUDIO JORGE</v>
          </cell>
          <cell r="K1624" t="str">
            <v>ITAMBÉ</v>
          </cell>
          <cell r="L1624" t="str">
            <v>RODRIGO</v>
          </cell>
          <cell r="M1624" t="str">
            <v>MARCO AURELIO</v>
          </cell>
        </row>
        <row r="1625">
          <cell r="B1625">
            <v>5043238</v>
          </cell>
          <cell r="C1625" t="str">
            <v>ARTPAN COMERCIO DE ALIMENTOS LT</v>
          </cell>
          <cell r="D1625">
            <v>6001</v>
          </cell>
          <cell r="E1625" t="str">
            <v>6123</v>
          </cell>
          <cell r="F1625" t="str">
            <v>C1</v>
          </cell>
          <cell r="G1625" t="str">
            <v>MS</v>
          </cell>
          <cell r="H1625" t="str">
            <v>DISTRIBUIÇÃO</v>
          </cell>
          <cell r="I1625" t="str">
            <v>FOOD SERVICE</v>
          </cell>
          <cell r="J1625" t="str">
            <v>CLAUDIO JORGE</v>
          </cell>
          <cell r="K1625" t="str">
            <v>ITAMBÉ</v>
          </cell>
          <cell r="L1625" t="str">
            <v>RODRIGO</v>
          </cell>
          <cell r="M1625" t="str">
            <v>MARCO AURELIO</v>
          </cell>
        </row>
        <row r="1626">
          <cell r="B1626">
            <v>5109334</v>
          </cell>
          <cell r="C1626" t="str">
            <v>CENTRAL OSASCO DIST ALIM E BEBI</v>
          </cell>
          <cell r="D1626">
            <v>7001</v>
          </cell>
          <cell r="E1626" t="str">
            <v>0722</v>
          </cell>
          <cell r="F1626" t="str">
            <v>C1</v>
          </cell>
          <cell r="G1626" t="str">
            <v>SP</v>
          </cell>
          <cell r="H1626" t="str">
            <v>DISTRIBUIÇÃO</v>
          </cell>
          <cell r="I1626" t="str">
            <v>FOOD SERVICE</v>
          </cell>
          <cell r="J1626" t="str">
            <v>SP ITB FS FLAC REP.E COMERCIO</v>
          </cell>
          <cell r="K1626" t="str">
            <v>LACTALIS</v>
          </cell>
          <cell r="L1626" t="str">
            <v>RODRIGO</v>
          </cell>
          <cell r="M1626" t="str">
            <v>RAQUEL BARBOSA</v>
          </cell>
        </row>
        <row r="1627">
          <cell r="B1627">
            <v>5179610</v>
          </cell>
          <cell r="C1627" t="str">
            <v>GP EMBALAGENS EIRELI EPP</v>
          </cell>
          <cell r="D1627">
            <v>6001</v>
          </cell>
          <cell r="E1627" t="str">
            <v>6123</v>
          </cell>
          <cell r="F1627" t="str">
            <v>C1</v>
          </cell>
          <cell r="G1627" t="str">
            <v>MS</v>
          </cell>
          <cell r="H1627" t="str">
            <v>DISTRIBUIÇÃO</v>
          </cell>
          <cell r="I1627" t="str">
            <v>FOOD SERVICE</v>
          </cell>
          <cell r="J1627" t="str">
            <v>CLAUDIO JORGE</v>
          </cell>
          <cell r="K1627" t="str">
            <v>ITAMBÉ</v>
          </cell>
          <cell r="L1627" t="str">
            <v>RODRIGO</v>
          </cell>
          <cell r="M1627" t="str">
            <v>MARCO AURELIO</v>
          </cell>
        </row>
        <row r="1628">
          <cell r="B1628">
            <v>5214670</v>
          </cell>
          <cell r="C1628" t="str">
            <v>LORENZ COMERCIO E DIST DE ALIM LTDA</v>
          </cell>
          <cell r="D1628">
            <v>6001</v>
          </cell>
          <cell r="E1628" t="str">
            <v>6123</v>
          </cell>
          <cell r="F1628" t="str">
            <v>C1</v>
          </cell>
          <cell r="G1628" t="str">
            <v>MS</v>
          </cell>
          <cell r="H1628" t="str">
            <v>DISTRIBUIÇÃO</v>
          </cell>
          <cell r="I1628" t="str">
            <v>FOOD SERVICE</v>
          </cell>
          <cell r="J1628" t="str">
            <v>CLAUDIO JORGE</v>
          </cell>
          <cell r="K1628" t="str">
            <v>ITAMBÉ</v>
          </cell>
          <cell r="L1628" t="str">
            <v>RODRIGO</v>
          </cell>
          <cell r="M1628" t="str">
            <v>MARCO AURELIO</v>
          </cell>
        </row>
        <row r="1629">
          <cell r="B1629">
            <v>5228827</v>
          </cell>
          <cell r="C1629" t="str">
            <v>FABRICA ACAI MAGNIFICO LTDA</v>
          </cell>
          <cell r="D1629">
            <v>6001</v>
          </cell>
          <cell r="E1629" t="str">
            <v>6125</v>
          </cell>
          <cell r="F1629" t="str">
            <v>C1</v>
          </cell>
          <cell r="G1629" t="str">
            <v>SP</v>
          </cell>
          <cell r="H1629" t="str">
            <v>INGREDIENTS</v>
          </cell>
          <cell r="I1629" t="str">
            <v>INGREDIENTS</v>
          </cell>
          <cell r="J1629" t="str">
            <v>HENRIQUE FERREIRA</v>
          </cell>
          <cell r="K1629" t="str">
            <v>ITAMBÉ</v>
          </cell>
          <cell r="L1629" t="str">
            <v>MAURICIO</v>
          </cell>
          <cell r="M1629" t="str">
            <v>JOEL</v>
          </cell>
        </row>
        <row r="1630">
          <cell r="B1630">
            <v>5230402</v>
          </cell>
          <cell r="C1630" t="str">
            <v>E V COMERCIO DE ALIMENTOS LTDA</v>
          </cell>
          <cell r="D1630">
            <v>6001</v>
          </cell>
          <cell r="E1630" t="str">
            <v>6123</v>
          </cell>
          <cell r="F1630" t="str">
            <v>C1</v>
          </cell>
          <cell r="G1630" t="str">
            <v>MS</v>
          </cell>
          <cell r="H1630" t="str">
            <v>DISTRIBUIÇÃO</v>
          </cell>
          <cell r="I1630" t="str">
            <v>FOOD SERVICE</v>
          </cell>
          <cell r="J1630" t="str">
            <v>CLAUDIO JORGE</v>
          </cell>
          <cell r="K1630" t="str">
            <v>ITAMBÉ</v>
          </cell>
          <cell r="L1630" t="str">
            <v>RODRIGO</v>
          </cell>
          <cell r="M1630" t="str">
            <v>MARCO AURELIO</v>
          </cell>
        </row>
        <row r="1631">
          <cell r="B1631">
            <v>5310560</v>
          </cell>
          <cell r="C1631" t="str">
            <v>ARTPAN COMERCIO DE ALIMENTOS LTDA</v>
          </cell>
          <cell r="D1631">
            <v>6001</v>
          </cell>
          <cell r="E1631" t="str">
            <v>6123</v>
          </cell>
          <cell r="F1631" t="str">
            <v>C1</v>
          </cell>
          <cell r="G1631" t="str">
            <v>MS</v>
          </cell>
          <cell r="H1631" t="str">
            <v>DISTRIBUIÇÃO</v>
          </cell>
          <cell r="I1631" t="str">
            <v>FOOD SERVICE</v>
          </cell>
          <cell r="J1631" t="str">
            <v>CLAUDIO JORGE</v>
          </cell>
          <cell r="K1631" t="str">
            <v>ITAMBÉ</v>
          </cell>
          <cell r="L1631" t="str">
            <v>RODRIGO</v>
          </cell>
          <cell r="M1631" t="str">
            <v>MARCO AURELIO</v>
          </cell>
        </row>
        <row r="1632">
          <cell r="B1632">
            <v>5317442</v>
          </cell>
          <cell r="C1632" t="str">
            <v>SEBASTIAO MARIO GIRALDELLI E CIA LT</v>
          </cell>
          <cell r="D1632">
            <v>6001</v>
          </cell>
          <cell r="E1632" t="str">
            <v>6123</v>
          </cell>
          <cell r="F1632" t="str">
            <v>C1</v>
          </cell>
          <cell r="G1632" t="str">
            <v>MT</v>
          </cell>
          <cell r="H1632" t="str">
            <v>DISTRIBUIÇÃO</v>
          </cell>
          <cell r="I1632" t="str">
            <v>FOOD SERVICE</v>
          </cell>
          <cell r="J1632" t="str">
            <v>CLAUDIO JORGE</v>
          </cell>
          <cell r="K1632" t="str">
            <v>ITAMBÉ</v>
          </cell>
          <cell r="L1632" t="str">
            <v>RODRIGO</v>
          </cell>
          <cell r="M1632" t="str">
            <v>MARCO AURELIO</v>
          </cell>
        </row>
        <row r="1633">
          <cell r="B1633">
            <v>5002086</v>
          </cell>
          <cell r="C1633" t="str">
            <v>GR SA</v>
          </cell>
          <cell r="D1633">
            <v>3001</v>
          </cell>
          <cell r="E1633" t="str">
            <v>0122</v>
          </cell>
          <cell r="F1633" t="str">
            <v>C1</v>
          </cell>
          <cell r="G1633" t="str">
            <v>MG</v>
          </cell>
          <cell r="H1633" t="str">
            <v>QSR</v>
          </cell>
          <cell r="I1633" t="str">
            <v>FOOD SERVICE</v>
          </cell>
          <cell r="J1633" t="str">
            <v>NUTRI</v>
          </cell>
          <cell r="K1633" t="str">
            <v>ITAMBÉ</v>
          </cell>
          <cell r="L1633" t="str">
            <v>PEDRO</v>
          </cell>
          <cell r="M1633" t="str">
            <v>VAGO QSR</v>
          </cell>
        </row>
        <row r="1634">
          <cell r="B1634">
            <v>5201726</v>
          </cell>
          <cell r="C1634" t="str">
            <v>M DIAS BRANCO SA IND E COM DE A</v>
          </cell>
          <cell r="D1634">
            <v>4001</v>
          </cell>
          <cell r="E1634" t="str">
            <v>0437</v>
          </cell>
          <cell r="F1634" t="str">
            <v>C1</v>
          </cell>
          <cell r="G1634" t="str">
            <v>RJ</v>
          </cell>
          <cell r="H1634" t="str">
            <v>INGREDIENTS</v>
          </cell>
          <cell r="I1634" t="str">
            <v>INGREDIENTS</v>
          </cell>
          <cell r="J1634" t="str">
            <v>JOEL ELEOTÉRIO</v>
          </cell>
          <cell r="K1634" t="str">
            <v>LACTALIS</v>
          </cell>
          <cell r="L1634" t="str">
            <v>MAURICIO</v>
          </cell>
          <cell r="M1634" t="str">
            <v>JOEL</v>
          </cell>
        </row>
        <row r="1635">
          <cell r="B1635">
            <v>5259915</v>
          </cell>
          <cell r="C1635" t="str">
            <v>PAMA COM DE GENEROS ALIMENTICIOS LT</v>
          </cell>
          <cell r="D1635">
            <v>6001</v>
          </cell>
          <cell r="E1635" t="str">
            <v>6125</v>
          </cell>
          <cell r="F1635" t="str">
            <v>C1</v>
          </cell>
          <cell r="G1635" t="str">
            <v>SP</v>
          </cell>
          <cell r="H1635" t="str">
            <v>DISTRIBUIÇÃO</v>
          </cell>
          <cell r="I1635" t="str">
            <v>FOOD SERVICE</v>
          </cell>
          <cell r="J1635" t="str">
            <v>GUILHERME NASCIMENTO</v>
          </cell>
          <cell r="K1635" t="str">
            <v>ITAMBÉ</v>
          </cell>
          <cell r="L1635" t="str">
            <v>RODRIGO</v>
          </cell>
          <cell r="M1635" t="str">
            <v>ALEXANDRO</v>
          </cell>
        </row>
        <row r="1636">
          <cell r="B1636">
            <v>5341784</v>
          </cell>
          <cell r="C1636" t="str">
            <v>GEA COMERCIAL LTDA</v>
          </cell>
          <cell r="D1636">
            <v>7001</v>
          </cell>
          <cell r="E1636" t="str">
            <v>0749</v>
          </cell>
          <cell r="F1636" t="str">
            <v>C5</v>
          </cell>
          <cell r="G1636" t="str">
            <v>SP</v>
          </cell>
          <cell r="H1636" t="str">
            <v>DISTRIBUIÇÃO</v>
          </cell>
          <cell r="I1636" t="str">
            <v>FOOD SERVICE</v>
          </cell>
          <cell r="J1636" t="str">
            <v>FLAC 8</v>
          </cell>
          <cell r="K1636" t="str">
            <v>LACTALIS</v>
          </cell>
          <cell r="L1636" t="str">
            <v>RODRIGO</v>
          </cell>
          <cell r="M1636" t="str">
            <v>RAQUEL BARBOSA</v>
          </cell>
        </row>
        <row r="1637">
          <cell r="B1637">
            <v>5343099</v>
          </cell>
          <cell r="C1637" t="str">
            <v>MATHEUS TORRES CONFEITARIA LTDA</v>
          </cell>
          <cell r="D1637">
            <v>7001</v>
          </cell>
          <cell r="E1637" t="str">
            <v>0749</v>
          </cell>
          <cell r="F1637" t="str">
            <v>C5</v>
          </cell>
          <cell r="G1637" t="str">
            <v>SP</v>
          </cell>
          <cell r="H1637" t="str">
            <v>DISTRIBUIÇÃO</v>
          </cell>
          <cell r="I1637" t="str">
            <v>FOOD SERVICE</v>
          </cell>
          <cell r="J1637" t="str">
            <v>FLAC 2</v>
          </cell>
          <cell r="K1637" t="str">
            <v>LACTALIS</v>
          </cell>
          <cell r="L1637" t="str">
            <v>RODRIGO</v>
          </cell>
          <cell r="M1637" t="str">
            <v>RAQUEL BARBOSA</v>
          </cell>
        </row>
        <row r="1638">
          <cell r="B1638">
            <v>5089548</v>
          </cell>
          <cell r="C1638" t="str">
            <v>COOPERATIVA AGROINDUSTRIAL SERRAMAR</v>
          </cell>
          <cell r="D1638">
            <v>3001</v>
          </cell>
          <cell r="E1638" t="str">
            <v>0028</v>
          </cell>
          <cell r="F1638" t="str">
            <v>C1</v>
          </cell>
          <cell r="G1638" t="str">
            <v>SP</v>
          </cell>
          <cell r="H1638" t="str">
            <v>INGREDIENTS</v>
          </cell>
          <cell r="I1638" t="str">
            <v>INGREDIENTS</v>
          </cell>
          <cell r="J1638" t="str">
            <v>TATIANA NITTA</v>
          </cell>
          <cell r="K1638" t="str">
            <v>ITAMBÉ</v>
          </cell>
          <cell r="L1638" t="str">
            <v>MAURICIO</v>
          </cell>
          <cell r="M1638" t="str">
            <v>TATIANA NITTA</v>
          </cell>
        </row>
        <row r="1639">
          <cell r="B1639">
            <v>5208856</v>
          </cell>
          <cell r="C1639" t="str">
            <v>BATISTA E IZEPE LTDA</v>
          </cell>
          <cell r="D1639">
            <v>3001</v>
          </cell>
          <cell r="E1639" t="str">
            <v>0028</v>
          </cell>
          <cell r="F1639" t="str">
            <v>C1</v>
          </cell>
          <cell r="G1639" t="str">
            <v>PR</v>
          </cell>
          <cell r="H1639" t="str">
            <v>INGREDIENTS</v>
          </cell>
          <cell r="I1639" t="str">
            <v>INGREDIENTS</v>
          </cell>
          <cell r="J1639" t="str">
            <v>DUAS RODAS</v>
          </cell>
          <cell r="K1639" t="str">
            <v>ITAMBÉ</v>
          </cell>
          <cell r="L1639" t="str">
            <v>MAURICIO</v>
          </cell>
          <cell r="M1639" t="str">
            <v>MARCELO</v>
          </cell>
        </row>
        <row r="1640">
          <cell r="B1640">
            <v>5224070</v>
          </cell>
          <cell r="C1640" t="str">
            <v>DISTRIBUIDORA JJ DE ALIMENTOS</v>
          </cell>
          <cell r="D1640">
            <v>3001</v>
          </cell>
          <cell r="E1640" t="str">
            <v>0075</v>
          </cell>
          <cell r="F1640" t="str">
            <v>C1</v>
          </cell>
          <cell r="G1640" t="str">
            <v>CE</v>
          </cell>
          <cell r="H1640" t="str">
            <v>DISTRIBUIÇÃO</v>
          </cell>
          <cell r="I1640" t="str">
            <v>FOOD SERVICE</v>
          </cell>
          <cell r="J1640" t="str">
            <v>WH FOOD SERVICE CE</v>
          </cell>
          <cell r="K1640" t="str">
            <v>ITAMBÉ</v>
          </cell>
          <cell r="L1640" t="str">
            <v>RODRIGO</v>
          </cell>
          <cell r="M1640" t="str">
            <v>MARIA LOURDES</v>
          </cell>
        </row>
        <row r="1641">
          <cell r="B1641">
            <v>5229985</v>
          </cell>
          <cell r="C1641" t="str">
            <v>FRANCISCO C LIMA DISTRIB DE ALI</v>
          </cell>
          <cell r="D1641">
            <v>3001</v>
          </cell>
          <cell r="E1641" t="str">
            <v>0075</v>
          </cell>
          <cell r="F1641" t="str">
            <v>C1</v>
          </cell>
          <cell r="G1641" t="str">
            <v>CE</v>
          </cell>
          <cell r="H1641" t="str">
            <v>DISTRIBUIÇÃO</v>
          </cell>
          <cell r="I1641" t="str">
            <v>FOOD SERVICE</v>
          </cell>
          <cell r="J1641" t="str">
            <v>WH FOOD SERVICE CE</v>
          </cell>
          <cell r="K1641" t="str">
            <v>ITAMBÉ</v>
          </cell>
          <cell r="L1641" t="str">
            <v>RODRIGO</v>
          </cell>
          <cell r="M1641" t="str">
            <v>MARIA LOURDES</v>
          </cell>
        </row>
        <row r="1642">
          <cell r="B1642">
            <v>5321782</v>
          </cell>
          <cell r="C1642" t="str">
            <v>CENTER COMERCIO DE EMBALAGENS L</v>
          </cell>
          <cell r="D1642">
            <v>3001</v>
          </cell>
          <cell r="E1642" t="str">
            <v>0126</v>
          </cell>
          <cell r="F1642" t="str">
            <v>C1</v>
          </cell>
          <cell r="G1642" t="str">
            <v>PR</v>
          </cell>
          <cell r="H1642" t="str">
            <v>DISTRIBUIÇÃO</v>
          </cell>
          <cell r="I1642" t="str">
            <v>FOOD SERVICE</v>
          </cell>
          <cell r="J1642" t="str">
            <v>ANGELICA BATISTELA</v>
          </cell>
          <cell r="K1642" t="str">
            <v>ITAMBÉ</v>
          </cell>
          <cell r="L1642" t="str">
            <v>RODRIGO</v>
          </cell>
          <cell r="M1642" t="str">
            <v>ANGELICA BATISTELA</v>
          </cell>
        </row>
        <row r="1643">
          <cell r="B1643">
            <v>5115019</v>
          </cell>
          <cell r="C1643" t="str">
            <v>J ARAUJO DISTRIBUIDORA IMP E EXP SA</v>
          </cell>
          <cell r="D1643">
            <v>7001</v>
          </cell>
          <cell r="E1643" t="str">
            <v>0739</v>
          </cell>
          <cell r="F1643" t="str">
            <v>C1</v>
          </cell>
          <cell r="G1643" t="str">
            <v>RJ</v>
          </cell>
          <cell r="H1643" t="str">
            <v>DISTRIBUIÇÃO</v>
          </cell>
          <cell r="I1643" t="str">
            <v>FOOD SERVICE</v>
          </cell>
          <cell r="J1643" t="str">
            <v>JESSICA CARLA</v>
          </cell>
          <cell r="K1643" t="str">
            <v>LACTALIS</v>
          </cell>
          <cell r="L1643" t="str">
            <v>RODRIGO</v>
          </cell>
          <cell r="M1643" t="str">
            <v>JESSICA</v>
          </cell>
        </row>
        <row r="1644">
          <cell r="B1644">
            <v>5284751</v>
          </cell>
          <cell r="C1644" t="str">
            <v>LATICINIO MARIANNA LTDA</v>
          </cell>
          <cell r="D1644">
            <v>3001</v>
          </cell>
          <cell r="E1644" t="str">
            <v>0028</v>
          </cell>
          <cell r="F1644" t="str">
            <v>C1</v>
          </cell>
          <cell r="G1644" t="str">
            <v>BA</v>
          </cell>
          <cell r="H1644" t="str">
            <v>INGREDIENTS</v>
          </cell>
          <cell r="I1644" t="str">
            <v>INGREDIENTS</v>
          </cell>
          <cell r="J1644" t="str">
            <v>JOEL ELEOTÉRIO</v>
          </cell>
          <cell r="K1644" t="str">
            <v>ITAMBÉ</v>
          </cell>
          <cell r="L1644" t="str">
            <v>MAURICIO</v>
          </cell>
          <cell r="M1644" t="str">
            <v>JOEL</v>
          </cell>
        </row>
        <row r="1645">
          <cell r="B1645">
            <v>5341998</v>
          </cell>
          <cell r="C1645" t="str">
            <v>CENTAURO INDUSTRIA E COMERCIO L</v>
          </cell>
          <cell r="D1645">
            <v>7001</v>
          </cell>
          <cell r="E1645" t="str">
            <v>0749</v>
          </cell>
          <cell r="F1645" t="str">
            <v>C5</v>
          </cell>
          <cell r="G1645" t="str">
            <v>SP</v>
          </cell>
          <cell r="H1645" t="str">
            <v>DISTRIBUIÇÃO</v>
          </cell>
          <cell r="I1645" t="str">
            <v>FOOD SERVICE</v>
          </cell>
          <cell r="J1645" t="str">
            <v>FLAC 2</v>
          </cell>
          <cell r="K1645" t="str">
            <v>LACTALIS</v>
          </cell>
          <cell r="L1645" t="str">
            <v>RODRIGO</v>
          </cell>
          <cell r="M1645" t="str">
            <v>RAQUEL BARBOSA</v>
          </cell>
        </row>
        <row r="1646">
          <cell r="B1646">
            <v>5012419</v>
          </cell>
          <cell r="C1646" t="str">
            <v>BONNA CESTA CAMPS COM ALIM LTDA</v>
          </cell>
          <cell r="D1646">
            <v>7001</v>
          </cell>
          <cell r="E1646" t="str">
            <v>0749</v>
          </cell>
          <cell r="F1646" t="str">
            <v>C5</v>
          </cell>
          <cell r="G1646" t="str">
            <v>SP</v>
          </cell>
          <cell r="H1646" t="str">
            <v>DISTRIBUIÇÃO</v>
          </cell>
          <cell r="I1646" t="str">
            <v>FOOD SERVICE</v>
          </cell>
          <cell r="J1646" t="str">
            <v>FLAC 1</v>
          </cell>
          <cell r="K1646" t="str">
            <v>LACTALIS</v>
          </cell>
          <cell r="L1646" t="str">
            <v>RODRIGO</v>
          </cell>
          <cell r="M1646" t="str">
            <v>RAQUEL BARBOSA</v>
          </cell>
        </row>
        <row r="1647">
          <cell r="B1647">
            <v>5224927</v>
          </cell>
          <cell r="C1647" t="str">
            <v>BF SORVETES LTDA</v>
          </cell>
          <cell r="D1647">
            <v>3001</v>
          </cell>
          <cell r="E1647" t="str">
            <v>0028</v>
          </cell>
          <cell r="F1647" t="str">
            <v>C1</v>
          </cell>
          <cell r="G1647" t="str">
            <v>PR</v>
          </cell>
          <cell r="H1647" t="str">
            <v>INGREDIENTS</v>
          </cell>
          <cell r="I1647" t="str">
            <v>INGREDIENTS</v>
          </cell>
          <cell r="J1647" t="str">
            <v>DUAS RODAS</v>
          </cell>
          <cell r="K1647" t="str">
            <v>ITAMBÉ</v>
          </cell>
          <cell r="L1647" t="str">
            <v>MAURICIO</v>
          </cell>
          <cell r="M1647" t="str">
            <v>MARCELO</v>
          </cell>
        </row>
        <row r="1648">
          <cell r="B1648">
            <v>5300135</v>
          </cell>
          <cell r="C1648" t="str">
            <v>SUPERMIX NUTRICAO ANIMAL LTDA</v>
          </cell>
          <cell r="D1648">
            <v>3001</v>
          </cell>
          <cell r="E1648" t="str">
            <v>0122</v>
          </cell>
          <cell r="F1648" t="str">
            <v>C1</v>
          </cell>
          <cell r="G1648" t="str">
            <v>MG</v>
          </cell>
          <cell r="H1648" t="str">
            <v>INGREDIENTS</v>
          </cell>
          <cell r="I1648" t="str">
            <v>INGREDIENTS</v>
          </cell>
          <cell r="J1648" t="str">
            <v>JOEL ELEOTÉRIO</v>
          </cell>
          <cell r="K1648" t="str">
            <v>ITAMBÉ</v>
          </cell>
          <cell r="L1648" t="str">
            <v>MAURICIO</v>
          </cell>
          <cell r="M1648" t="str">
            <v>JOEL</v>
          </cell>
        </row>
        <row r="1649">
          <cell r="B1649">
            <v>5335146</v>
          </cell>
          <cell r="C1649" t="str">
            <v>BERRY S INDUSTRIA DE SORVETES L</v>
          </cell>
          <cell r="D1649">
            <v>3001</v>
          </cell>
          <cell r="E1649" t="str">
            <v>0028</v>
          </cell>
          <cell r="F1649" t="str">
            <v>C1</v>
          </cell>
          <cell r="G1649" t="str">
            <v>MG</v>
          </cell>
          <cell r="H1649" t="str">
            <v>INGREDIENTS</v>
          </cell>
          <cell r="I1649" t="str">
            <v>INGREDIENTS</v>
          </cell>
          <cell r="J1649" t="str">
            <v>HENRIQUE FERREIRA</v>
          </cell>
          <cell r="K1649" t="str">
            <v>ITAMBÉ</v>
          </cell>
          <cell r="L1649" t="str">
            <v>MAURICIO</v>
          </cell>
          <cell r="M1649" t="str">
            <v>JOEL</v>
          </cell>
        </row>
        <row r="1650">
          <cell r="B1650">
            <v>5342187</v>
          </cell>
          <cell r="C1650" t="str">
            <v>LUCHIARI E FERRAZ I E COM D ALI</v>
          </cell>
          <cell r="D1650">
            <v>7001</v>
          </cell>
          <cell r="E1650" t="str">
            <v>0749</v>
          </cell>
          <cell r="F1650" t="str">
            <v>C5</v>
          </cell>
          <cell r="G1650" t="str">
            <v>SP</v>
          </cell>
          <cell r="H1650" t="str">
            <v>DISTRIBUIÇÃO</v>
          </cell>
          <cell r="I1650" t="str">
            <v>FOOD SERVICE</v>
          </cell>
          <cell r="J1650" t="str">
            <v>FLAC 5</v>
          </cell>
          <cell r="K1650" t="str">
            <v>LACTALIS</v>
          </cell>
          <cell r="L1650" t="str">
            <v>RODRIGO</v>
          </cell>
          <cell r="M1650" t="str">
            <v>RAQUEL BARBOSA</v>
          </cell>
        </row>
        <row r="1651">
          <cell r="B1651">
            <v>5342972</v>
          </cell>
          <cell r="C1651" t="str">
            <v>MICH MICH PADARIA ARTESANAL LTD</v>
          </cell>
          <cell r="D1651">
            <v>7001</v>
          </cell>
          <cell r="E1651" t="str">
            <v>0749</v>
          </cell>
          <cell r="F1651" t="str">
            <v>C5</v>
          </cell>
          <cell r="G1651" t="str">
            <v>SP</v>
          </cell>
          <cell r="H1651" t="str">
            <v>DISTRIBUIÇÃO</v>
          </cell>
          <cell r="I1651" t="str">
            <v>FOOD SERVICE</v>
          </cell>
          <cell r="J1651" t="str">
            <v>FLAC 2</v>
          </cell>
          <cell r="K1651" t="str">
            <v>LACTALIS</v>
          </cell>
          <cell r="L1651" t="str">
            <v>RODRIGO</v>
          </cell>
          <cell r="M1651" t="str">
            <v>RAQUEL BARBOSA</v>
          </cell>
        </row>
        <row r="1652">
          <cell r="B1652">
            <v>5343040</v>
          </cell>
          <cell r="C1652" t="str">
            <v>BRASIL ARARAJUBA LTDA</v>
          </cell>
          <cell r="D1652">
            <v>3001</v>
          </cell>
          <cell r="E1652" t="str">
            <v>0028</v>
          </cell>
          <cell r="F1652" t="str">
            <v>C1</v>
          </cell>
          <cell r="G1652" t="str">
            <v>SC</v>
          </cell>
          <cell r="H1652" t="str">
            <v>INGREDIENTS</v>
          </cell>
          <cell r="I1652" t="str">
            <v>INGREDIENTS</v>
          </cell>
          <cell r="J1652" t="str">
            <v>DUAS RODAS</v>
          </cell>
          <cell r="K1652" t="str">
            <v>ITAMBÉ</v>
          </cell>
          <cell r="L1652" t="str">
            <v>MAURICIO</v>
          </cell>
          <cell r="M1652" t="str">
            <v>MARCELO</v>
          </cell>
        </row>
        <row r="1653">
          <cell r="B1653">
            <v>5150509</v>
          </cell>
          <cell r="C1653" t="str">
            <v>SELECIONATA IND ALIM</v>
          </cell>
          <cell r="D1653">
            <v>3001</v>
          </cell>
          <cell r="E1653" t="str">
            <v>0028</v>
          </cell>
          <cell r="F1653" t="str">
            <v>C1</v>
          </cell>
          <cell r="G1653" t="str">
            <v>MG</v>
          </cell>
          <cell r="H1653" t="str">
            <v>INGREDIENTS</v>
          </cell>
          <cell r="I1653" t="str">
            <v>INGREDIENTS</v>
          </cell>
          <cell r="J1653" t="str">
            <v>HENRIQUE FERREIRA</v>
          </cell>
          <cell r="K1653" t="str">
            <v>ITAMBÉ</v>
          </cell>
          <cell r="L1653" t="str">
            <v>MAURICIO</v>
          </cell>
          <cell r="M1653" t="str">
            <v>JOEL</v>
          </cell>
        </row>
        <row r="1654">
          <cell r="B1654">
            <v>5194511</v>
          </cell>
          <cell r="C1654" t="str">
            <v>DOCEMEL ALIMENTOS EIRELI EPP</v>
          </cell>
          <cell r="D1654">
            <v>6001</v>
          </cell>
          <cell r="E1654" t="str">
            <v>6123</v>
          </cell>
          <cell r="F1654" t="str">
            <v>C1</v>
          </cell>
          <cell r="G1654" t="str">
            <v>MS</v>
          </cell>
          <cell r="H1654" t="str">
            <v>INGREDIENTS</v>
          </cell>
          <cell r="I1654" t="str">
            <v>INGREDIENTS</v>
          </cell>
          <cell r="J1654" t="str">
            <v>DUAS RODAS</v>
          </cell>
          <cell r="K1654" t="str">
            <v>ITAMBÉ</v>
          </cell>
          <cell r="L1654" t="str">
            <v>MAURICIO</v>
          </cell>
          <cell r="M1654" t="str">
            <v>MARCELO</v>
          </cell>
        </row>
        <row r="1655">
          <cell r="B1655">
            <v>5320317</v>
          </cell>
          <cell r="C1655" t="str">
            <v>L F S COM E IMPORTACAO DE ALIM</v>
          </cell>
          <cell r="D1655">
            <v>6001</v>
          </cell>
          <cell r="E1655" t="str">
            <v>6075</v>
          </cell>
          <cell r="F1655" t="str">
            <v>C1</v>
          </cell>
          <cell r="G1655" t="str">
            <v>CE</v>
          </cell>
          <cell r="H1655" t="str">
            <v>DISTRIBUIÇÃO</v>
          </cell>
          <cell r="I1655" t="str">
            <v>FOOD SERVICE</v>
          </cell>
          <cell r="J1655" t="str">
            <v>WH FOOD SERVICE CE</v>
          </cell>
          <cell r="K1655" t="str">
            <v>ITAMBÉ</v>
          </cell>
          <cell r="L1655" t="str">
            <v>RODRIGO</v>
          </cell>
          <cell r="M1655" t="str">
            <v>MARIA LOURDES</v>
          </cell>
        </row>
        <row r="1656">
          <cell r="B1656">
            <v>5331370</v>
          </cell>
          <cell r="C1656" t="str">
            <v>DMS COM E DISTRIBUICAO DE CAFE</v>
          </cell>
          <cell r="D1656">
            <v>4001</v>
          </cell>
          <cell r="E1656" t="str">
            <v>0423</v>
          </cell>
          <cell r="F1656" t="str">
            <v>C5</v>
          </cell>
          <cell r="G1656" t="str">
            <v>MG</v>
          </cell>
          <cell r="H1656" t="str">
            <v>INGREDIENTS</v>
          </cell>
          <cell r="I1656" t="str">
            <v>INGREDIENTS</v>
          </cell>
          <cell r="J1656" t="str">
            <v>JOEL ELEOTÉRIO</v>
          </cell>
          <cell r="K1656" t="str">
            <v>LACTALIS</v>
          </cell>
          <cell r="L1656" t="str">
            <v>MAURICIO</v>
          </cell>
          <cell r="M1656" t="str">
            <v>JOEL</v>
          </cell>
        </row>
        <row r="1657">
          <cell r="B1657">
            <v>5339140</v>
          </cell>
          <cell r="C1657" t="str">
            <v>SORVETERIA NORONHA LTDA</v>
          </cell>
          <cell r="D1657">
            <v>6001</v>
          </cell>
          <cell r="E1657" t="str">
            <v>6028</v>
          </cell>
          <cell r="F1657" t="str">
            <v>C1</v>
          </cell>
          <cell r="G1657" t="str">
            <v>MS</v>
          </cell>
          <cell r="H1657" t="str">
            <v>INGREDIENTS</v>
          </cell>
          <cell r="I1657" t="str">
            <v>INGREDIENTS</v>
          </cell>
          <cell r="J1657" t="str">
            <v>DUAS RODAS</v>
          </cell>
          <cell r="K1657" t="str">
            <v>ITAMBÉ</v>
          </cell>
          <cell r="L1657" t="str">
            <v>MAURICIO</v>
          </cell>
          <cell r="M1657" t="str">
            <v>MARCELO</v>
          </cell>
        </row>
        <row r="1658">
          <cell r="B1658">
            <v>5023770</v>
          </cell>
          <cell r="C1658" t="str">
            <v>SOLMAR DIST DE ALIMENTOS LTDA</v>
          </cell>
          <cell r="D1658">
            <v>6001</v>
          </cell>
          <cell r="E1658" t="str">
            <v>6127</v>
          </cell>
          <cell r="F1658" t="str">
            <v>C1</v>
          </cell>
          <cell r="G1658" t="str">
            <v>CE</v>
          </cell>
          <cell r="H1658" t="str">
            <v>DISTRIBUIÇÃO</v>
          </cell>
          <cell r="I1658" t="str">
            <v>FOOD SERVICE</v>
          </cell>
          <cell r="J1658" t="str">
            <v>WH FOOD SERVICE CE</v>
          </cell>
          <cell r="K1658" t="str">
            <v>ITAMBÉ</v>
          </cell>
          <cell r="L1658" t="str">
            <v>RODRIGO</v>
          </cell>
          <cell r="M1658" t="str">
            <v>MARIA LOURDES</v>
          </cell>
        </row>
        <row r="1659">
          <cell r="B1659">
            <v>5026768</v>
          </cell>
          <cell r="C1659" t="str">
            <v>FORTALI DIST DE ALIMENTOS LTDA</v>
          </cell>
          <cell r="D1659">
            <v>6001</v>
          </cell>
          <cell r="E1659" t="str">
            <v>6127</v>
          </cell>
          <cell r="F1659" t="str">
            <v>C1</v>
          </cell>
          <cell r="G1659" t="str">
            <v>CE</v>
          </cell>
          <cell r="H1659" t="str">
            <v>DISTRIBUIÇÃO</v>
          </cell>
          <cell r="I1659" t="str">
            <v>FOOD SERVICE</v>
          </cell>
          <cell r="J1659" t="str">
            <v>WH FOOD SERVICE CE</v>
          </cell>
          <cell r="K1659" t="str">
            <v>ITAMBÉ</v>
          </cell>
          <cell r="L1659" t="str">
            <v>RODRIGO</v>
          </cell>
          <cell r="M1659" t="str">
            <v>MARIA LOURDES</v>
          </cell>
        </row>
        <row r="1660">
          <cell r="B1660">
            <v>5105940</v>
          </cell>
          <cell r="C1660" t="str">
            <v>MERCANTIL PRIMAR LTDA</v>
          </cell>
          <cell r="D1660">
            <v>6001</v>
          </cell>
          <cell r="E1660" t="str">
            <v>6125</v>
          </cell>
          <cell r="F1660" t="str">
            <v>C1</v>
          </cell>
          <cell r="G1660" t="str">
            <v>SP</v>
          </cell>
          <cell r="H1660" t="str">
            <v>DISTRIBUIÇÃO</v>
          </cell>
          <cell r="I1660" t="str">
            <v>FOOD SERVICE</v>
          </cell>
          <cell r="J1660" t="str">
            <v>VAGO SP</v>
          </cell>
          <cell r="K1660" t="str">
            <v>ITAMBÉ</v>
          </cell>
          <cell r="L1660" t="str">
            <v>RODRIGO</v>
          </cell>
          <cell r="M1660" t="str">
            <v>RAQUEL BARBOSA</v>
          </cell>
        </row>
        <row r="1661">
          <cell r="B1661">
            <v>5201973</v>
          </cell>
          <cell r="C1661" t="str">
            <v>HARUS COM VAREJ DE COSM LTDA</v>
          </cell>
          <cell r="D1661">
            <v>6001</v>
          </cell>
          <cell r="E1661" t="str">
            <v>6127</v>
          </cell>
          <cell r="F1661" t="str">
            <v>C1</v>
          </cell>
          <cell r="G1661" t="str">
            <v>CE</v>
          </cell>
          <cell r="H1661" t="str">
            <v>DISTRIBUIÇÃO</v>
          </cell>
          <cell r="I1661" t="str">
            <v>FOOD SERVICE</v>
          </cell>
          <cell r="J1661" t="str">
            <v>WH FOOD SERVICE CE</v>
          </cell>
          <cell r="K1661" t="str">
            <v>ITAMBÉ</v>
          </cell>
          <cell r="L1661" t="str">
            <v>RODRIGO</v>
          </cell>
          <cell r="M1661" t="str">
            <v>MARIA LOURDES</v>
          </cell>
        </row>
        <row r="1662">
          <cell r="B1662">
            <v>5224070</v>
          </cell>
          <cell r="C1662" t="str">
            <v>DISTRIBUIDORA JJ DE ALIMENTOS</v>
          </cell>
          <cell r="D1662">
            <v>6001</v>
          </cell>
          <cell r="E1662" t="str">
            <v>6127</v>
          </cell>
          <cell r="F1662" t="str">
            <v>C1</v>
          </cell>
          <cell r="G1662" t="str">
            <v>CE</v>
          </cell>
          <cell r="H1662" t="str">
            <v>DISTRIBUIÇÃO</v>
          </cell>
          <cell r="I1662" t="str">
            <v>FOOD SERVICE</v>
          </cell>
          <cell r="J1662" t="str">
            <v>WH FOOD SERVICE CE</v>
          </cell>
          <cell r="K1662" t="str">
            <v>ITAMBÉ</v>
          </cell>
          <cell r="L1662" t="str">
            <v>RODRIGO</v>
          </cell>
          <cell r="M1662" t="str">
            <v>MARIA LOURDES</v>
          </cell>
        </row>
        <row r="1663">
          <cell r="B1663">
            <v>5229985</v>
          </cell>
          <cell r="C1663" t="str">
            <v>FRANCISCO C LIMA DISTRIB DE ALI</v>
          </cell>
          <cell r="D1663">
            <v>6001</v>
          </cell>
          <cell r="E1663" t="str">
            <v>6075</v>
          </cell>
          <cell r="F1663" t="str">
            <v>C1</v>
          </cell>
          <cell r="G1663" t="str">
            <v>CE</v>
          </cell>
          <cell r="H1663" t="str">
            <v>DISTRIBUIÇÃO</v>
          </cell>
          <cell r="I1663" t="str">
            <v>FOOD SERVICE</v>
          </cell>
          <cell r="J1663" t="str">
            <v>WH FOOD SERVICE CE</v>
          </cell>
          <cell r="K1663" t="str">
            <v>ITAMBÉ</v>
          </cell>
          <cell r="L1663" t="str">
            <v>RODRIGO</v>
          </cell>
          <cell r="M1663" t="str">
            <v>MARIA LOURDES</v>
          </cell>
        </row>
        <row r="1664">
          <cell r="B1664">
            <v>5229985</v>
          </cell>
          <cell r="C1664" t="str">
            <v>FRANCISCO C LIMA DISTRIB DE ALI</v>
          </cell>
          <cell r="D1664">
            <v>6001</v>
          </cell>
          <cell r="E1664" t="str">
            <v>6127</v>
          </cell>
          <cell r="F1664" t="str">
            <v>C1</v>
          </cell>
          <cell r="G1664" t="str">
            <v>CE</v>
          </cell>
          <cell r="H1664" t="str">
            <v>DISTRIBUIÇÃO</v>
          </cell>
          <cell r="I1664" t="str">
            <v>FOOD SERVICE</v>
          </cell>
          <cell r="J1664" t="str">
            <v>WH FOOD SERVICE CE</v>
          </cell>
          <cell r="K1664" t="str">
            <v>ITAMBÉ</v>
          </cell>
          <cell r="L1664" t="str">
            <v>RODRIGO</v>
          </cell>
          <cell r="M1664" t="str">
            <v>MARIA LOURDES</v>
          </cell>
        </row>
        <row r="1665">
          <cell r="B1665">
            <v>5331461</v>
          </cell>
          <cell r="C1665" t="str">
            <v>TANGARA IMPORTADORA E EXPORTADO</v>
          </cell>
          <cell r="D1665">
            <v>4001</v>
          </cell>
          <cell r="E1665" t="str">
            <v>0456</v>
          </cell>
          <cell r="F1665" t="str">
            <v>C1</v>
          </cell>
          <cell r="G1665" t="str">
            <v>RS</v>
          </cell>
          <cell r="H1665" t="str">
            <v>INGREDIENTS</v>
          </cell>
          <cell r="I1665" t="str">
            <v>INGREDIENTS</v>
          </cell>
          <cell r="J1665" t="str">
            <v>MARCELO RODRIGUES</v>
          </cell>
          <cell r="K1665" t="str">
            <v>LACTALIS</v>
          </cell>
          <cell r="L1665" t="str">
            <v>MAURICIO</v>
          </cell>
          <cell r="M1665" t="str">
            <v>MARCELO</v>
          </cell>
        </row>
        <row r="1666">
          <cell r="B1666">
            <v>5341678</v>
          </cell>
          <cell r="C1666" t="str">
            <v>CAFETERIA COFFEE BY BIA LTDA</v>
          </cell>
          <cell r="D1666">
            <v>7001</v>
          </cell>
          <cell r="E1666" t="str">
            <v>0749</v>
          </cell>
          <cell r="F1666" t="str">
            <v>C5</v>
          </cell>
          <cell r="G1666" t="str">
            <v>SP</v>
          </cell>
          <cell r="H1666" t="str">
            <v>DISTRIBUIÇÃO</v>
          </cell>
          <cell r="I1666" t="str">
            <v>FOOD SERVICE</v>
          </cell>
          <cell r="J1666" t="str">
            <v>FLAC 3</v>
          </cell>
          <cell r="K1666" t="str">
            <v>LACTALIS</v>
          </cell>
          <cell r="L1666" t="str">
            <v>RODRIGO</v>
          </cell>
          <cell r="M1666" t="str">
            <v>RAQUEL BARBOSA</v>
          </cell>
        </row>
        <row r="1667">
          <cell r="B1667">
            <v>5343417</v>
          </cell>
          <cell r="C1667" t="str">
            <v>LEITE CONFIANCA IND E COMERCIO</v>
          </cell>
          <cell r="D1667">
            <v>4001</v>
          </cell>
          <cell r="E1667" t="str">
            <v>0423</v>
          </cell>
          <cell r="F1667" t="str">
            <v>C5</v>
          </cell>
          <cell r="G1667" t="str">
            <v>PE</v>
          </cell>
          <cell r="H1667" t="str">
            <v>INGREDIENTS</v>
          </cell>
          <cell r="I1667" t="str">
            <v>INGREDIENTS</v>
          </cell>
          <cell r="J1667" t="str">
            <v>JOEL ELEOTÉRIO</v>
          </cell>
          <cell r="K1667" t="str">
            <v>LACTALIS</v>
          </cell>
          <cell r="L1667" t="str">
            <v>MAURICIO</v>
          </cell>
          <cell r="M1667" t="str">
            <v>JOEL</v>
          </cell>
        </row>
        <row r="1668">
          <cell r="B1668">
            <v>5147526</v>
          </cell>
          <cell r="C1668" t="str">
            <v>SAPORE SA</v>
          </cell>
          <cell r="D1668">
            <v>6001</v>
          </cell>
          <cell r="E1668" t="str">
            <v>6028</v>
          </cell>
          <cell r="F1668" t="str">
            <v>C1</v>
          </cell>
          <cell r="G1668" t="str">
            <v>RJ</v>
          </cell>
          <cell r="H1668" t="str">
            <v>QSR</v>
          </cell>
          <cell r="I1668" t="str">
            <v>FOOD SERVICE</v>
          </cell>
          <cell r="J1668" t="str">
            <v>NUTRI</v>
          </cell>
          <cell r="K1668" t="str">
            <v>ITAMBÉ</v>
          </cell>
          <cell r="L1668" t="str">
            <v>PEDRO</v>
          </cell>
          <cell r="M1668" t="str">
            <v>VAGO QSR</v>
          </cell>
        </row>
        <row r="1669">
          <cell r="B1669">
            <v>5168811</v>
          </cell>
          <cell r="C1669" t="str">
            <v>ESPACO CHEF COM PROD ALIM DOM LTDA</v>
          </cell>
          <cell r="D1669">
            <v>6001</v>
          </cell>
          <cell r="E1669" t="str">
            <v>6127</v>
          </cell>
          <cell r="F1669" t="str">
            <v>C1</v>
          </cell>
          <cell r="G1669" t="str">
            <v>CE</v>
          </cell>
          <cell r="H1669" t="str">
            <v>DISTRIBUIÇÃO</v>
          </cell>
          <cell r="I1669" t="str">
            <v>FOOD SERVICE</v>
          </cell>
          <cell r="J1669" t="str">
            <v>WH FOOD SERVICE CE</v>
          </cell>
          <cell r="K1669" t="str">
            <v>ITAMBÉ</v>
          </cell>
          <cell r="L1669" t="str">
            <v>RODRIGO</v>
          </cell>
          <cell r="M1669" t="str">
            <v>MARIA LOURDES</v>
          </cell>
        </row>
        <row r="1670">
          <cell r="B1670">
            <v>5201973</v>
          </cell>
          <cell r="C1670" t="str">
            <v>HARUS COM VAREJ DE COSM LTDA</v>
          </cell>
          <cell r="D1670">
            <v>6001</v>
          </cell>
          <cell r="E1670" t="str">
            <v>6075</v>
          </cell>
          <cell r="F1670" t="str">
            <v>C1</v>
          </cell>
          <cell r="G1670" t="str">
            <v>CE</v>
          </cell>
          <cell r="H1670" t="str">
            <v>DISTRIBUIÇÃO</v>
          </cell>
          <cell r="I1670" t="str">
            <v>FOOD SERVICE</v>
          </cell>
          <cell r="J1670" t="str">
            <v>WH FOOD SERVICE CE</v>
          </cell>
          <cell r="K1670" t="str">
            <v>ITAMBÉ</v>
          </cell>
          <cell r="L1670" t="str">
            <v>RODRIGO</v>
          </cell>
          <cell r="M1670" t="str">
            <v>MARIA LOURDES</v>
          </cell>
        </row>
        <row r="1671">
          <cell r="B1671">
            <v>5224070</v>
          </cell>
          <cell r="C1671" t="str">
            <v>DISTRIBUIDORA JJ DE ALIMENTOS</v>
          </cell>
          <cell r="D1671">
            <v>6001</v>
          </cell>
          <cell r="E1671" t="str">
            <v>6075</v>
          </cell>
          <cell r="F1671" t="str">
            <v>C1</v>
          </cell>
          <cell r="G1671" t="str">
            <v>CE</v>
          </cell>
          <cell r="H1671" t="str">
            <v>DISTRIBUIÇÃO</v>
          </cell>
          <cell r="I1671" t="str">
            <v>FOOD SERVICE</v>
          </cell>
          <cell r="J1671" t="str">
            <v>WH FOOD SERVICE CE</v>
          </cell>
          <cell r="K1671" t="str">
            <v>ITAMBÉ</v>
          </cell>
          <cell r="L1671" t="str">
            <v>RODRIGO</v>
          </cell>
          <cell r="M1671" t="str">
            <v>MARIA LOURDES</v>
          </cell>
        </row>
        <row r="1672">
          <cell r="B1672">
            <v>5255373</v>
          </cell>
          <cell r="C1672" t="str">
            <v>NOVA ITALIA RESTAURANTE LTDA</v>
          </cell>
          <cell r="D1672">
            <v>7001</v>
          </cell>
          <cell r="E1672" t="str">
            <v>0749</v>
          </cell>
          <cell r="F1672" t="str">
            <v>C5</v>
          </cell>
          <cell r="G1672" t="str">
            <v>SP</v>
          </cell>
          <cell r="H1672" t="str">
            <v>DISTRIBUIÇÃO</v>
          </cell>
          <cell r="I1672" t="str">
            <v>FOOD SERVICE</v>
          </cell>
          <cell r="J1672" t="str">
            <v>FLAC 2</v>
          </cell>
          <cell r="K1672" t="str">
            <v>LACTALIS</v>
          </cell>
          <cell r="L1672" t="str">
            <v>RODRIGO</v>
          </cell>
          <cell r="M1672" t="str">
            <v>RAQUEL BARBOSA</v>
          </cell>
        </row>
        <row r="1673">
          <cell r="B1673">
            <v>5268118</v>
          </cell>
          <cell r="C1673" t="str">
            <v>BASE DE HIDROGRAFIA DA MARIN EM</v>
          </cell>
          <cell r="D1673">
            <v>3001</v>
          </cell>
          <cell r="E1673" t="str">
            <v>0121</v>
          </cell>
          <cell r="F1673" t="str">
            <v>C1</v>
          </cell>
          <cell r="G1673" t="str">
            <v>RJ</v>
          </cell>
          <cell r="H1673" t="str">
            <v>OUTROS</v>
          </cell>
          <cell r="I1673" t="str">
            <v>OUTROS</v>
          </cell>
          <cell r="J1673" t="str">
            <v>EDUARDO LEITE LEVE LEITE</v>
          </cell>
          <cell r="K1673" t="str">
            <v>OUTROS</v>
          </cell>
          <cell r="L1673" t="str">
            <v>OUTROS</v>
          </cell>
          <cell r="M1673" t="str">
            <v>LICITAÇÃO</v>
          </cell>
        </row>
        <row r="1674">
          <cell r="B1674">
            <v>5311832</v>
          </cell>
          <cell r="C1674" t="str">
            <v>COMANDO DA MARINHA</v>
          </cell>
          <cell r="D1674">
            <v>3001</v>
          </cell>
          <cell r="E1674" t="str">
            <v>0121</v>
          </cell>
          <cell r="F1674" t="str">
            <v>C1</v>
          </cell>
          <cell r="G1674" t="str">
            <v>RJ</v>
          </cell>
          <cell r="H1674" t="str">
            <v>OUTROS</v>
          </cell>
          <cell r="I1674" t="str">
            <v>OUTROS</v>
          </cell>
          <cell r="J1674" t="str">
            <v>EDUARDO LEITE LEVE LEITE</v>
          </cell>
          <cell r="K1674" t="str">
            <v>OUTROS</v>
          </cell>
          <cell r="L1674" t="str">
            <v>OUTROS</v>
          </cell>
          <cell r="M1674" t="str">
            <v>LICITAÇÃO</v>
          </cell>
        </row>
        <row r="1675">
          <cell r="B1675">
            <v>5343609</v>
          </cell>
          <cell r="C1675" t="str">
            <v>UNICANDIE DISTRIBUIDORA DE DOCE</v>
          </cell>
          <cell r="D1675">
            <v>3001</v>
          </cell>
          <cell r="E1675" t="str">
            <v>0028</v>
          </cell>
          <cell r="F1675" t="str">
            <v>C1</v>
          </cell>
          <cell r="G1675" t="str">
            <v>PR</v>
          </cell>
          <cell r="H1675" t="str">
            <v>INGREDIENTS</v>
          </cell>
          <cell r="I1675" t="str">
            <v>INGREDIENTS</v>
          </cell>
          <cell r="J1675" t="str">
            <v>DUAS RODAS</v>
          </cell>
          <cell r="K1675" t="str">
            <v>ITAMBÉ</v>
          </cell>
          <cell r="L1675" t="str">
            <v>MAURICIO</v>
          </cell>
          <cell r="M1675" t="str">
            <v>MARCELO</v>
          </cell>
        </row>
        <row r="1676">
          <cell r="B1676">
            <v>5210624</v>
          </cell>
          <cell r="C1676" t="str">
            <v>PLATINA ESTOQUE ONLINE ALIMENTO</v>
          </cell>
          <cell r="D1676">
            <v>7001</v>
          </cell>
          <cell r="E1676" t="str">
            <v>0749</v>
          </cell>
          <cell r="F1676" t="str">
            <v>C5</v>
          </cell>
          <cell r="G1676" t="str">
            <v>SP</v>
          </cell>
          <cell r="H1676" t="str">
            <v>DISTRIBUIÇÃO</v>
          </cell>
          <cell r="I1676" t="str">
            <v>FOOD SERVICE</v>
          </cell>
          <cell r="J1676" t="str">
            <v>FLAC 1</v>
          </cell>
          <cell r="K1676" t="str">
            <v>LACTALIS</v>
          </cell>
          <cell r="L1676" t="str">
            <v>RODRIGO</v>
          </cell>
          <cell r="M1676" t="str">
            <v>RAQUEL BARBOSA</v>
          </cell>
        </row>
        <row r="1677">
          <cell r="B1677">
            <v>5009026</v>
          </cell>
          <cell r="C1677" t="str">
            <v>CENTRO DE ALIMENTOS LTDA</v>
          </cell>
          <cell r="D1677">
            <v>7001</v>
          </cell>
          <cell r="E1677" t="str">
            <v>0749</v>
          </cell>
          <cell r="F1677" t="str">
            <v>C5</v>
          </cell>
          <cell r="G1677" t="str">
            <v>SP</v>
          </cell>
          <cell r="H1677" t="str">
            <v>DISTRIBUIÇÃO</v>
          </cell>
          <cell r="I1677" t="str">
            <v>FOOD SERVICE</v>
          </cell>
          <cell r="J1677" t="str">
            <v>FLAC 1</v>
          </cell>
          <cell r="K1677" t="str">
            <v>LACTALIS</v>
          </cell>
          <cell r="L1677" t="str">
            <v>RODRIGO</v>
          </cell>
          <cell r="M1677" t="str">
            <v>RAQUEL BARBOSA</v>
          </cell>
        </row>
        <row r="1678">
          <cell r="B1678">
            <v>5135612</v>
          </cell>
          <cell r="C1678" t="str">
            <v>GR SERVICOS E ALIMENTACAO LTDA</v>
          </cell>
          <cell r="D1678">
            <v>3001</v>
          </cell>
          <cell r="E1678" t="str">
            <v>0123</v>
          </cell>
          <cell r="F1678" t="str">
            <v>C1</v>
          </cell>
          <cell r="G1678" t="str">
            <v>DF</v>
          </cell>
          <cell r="H1678" t="str">
            <v>QSR</v>
          </cell>
          <cell r="I1678" t="str">
            <v>FOOD SERVICE</v>
          </cell>
          <cell r="J1678" t="str">
            <v>NUTRI</v>
          </cell>
          <cell r="K1678" t="str">
            <v>ITAMBÉ</v>
          </cell>
          <cell r="L1678" t="str">
            <v>PEDRO</v>
          </cell>
          <cell r="M1678" t="str">
            <v>VAGO QSR</v>
          </cell>
        </row>
        <row r="1679">
          <cell r="B1679">
            <v>5183577</v>
          </cell>
          <cell r="C1679" t="str">
            <v>MULTI ATACADO DE ALIMENTOS LTDA</v>
          </cell>
          <cell r="D1679">
            <v>3001</v>
          </cell>
          <cell r="E1679" t="str">
            <v>0127</v>
          </cell>
          <cell r="F1679" t="str">
            <v>C1</v>
          </cell>
          <cell r="G1679" t="str">
            <v>PE</v>
          </cell>
          <cell r="H1679" t="str">
            <v>DISTRIBUIÇÃO</v>
          </cell>
          <cell r="I1679" t="str">
            <v>FOOD SERVICE</v>
          </cell>
          <cell r="J1679" t="str">
            <v>CLAUDIO JORGE</v>
          </cell>
          <cell r="K1679" t="str">
            <v>ITAMBÉ</v>
          </cell>
          <cell r="L1679" t="str">
            <v>RODRIGO</v>
          </cell>
          <cell r="M1679" t="str">
            <v>MARIA LOURDES</v>
          </cell>
        </row>
        <row r="1680">
          <cell r="B1680">
            <v>5191490</v>
          </cell>
          <cell r="C1680" t="str">
            <v>G S LIMA ALIMENTOS</v>
          </cell>
          <cell r="D1680">
            <v>6001</v>
          </cell>
          <cell r="E1680" t="str">
            <v>6127</v>
          </cell>
          <cell r="F1680" t="str">
            <v>C1</v>
          </cell>
          <cell r="G1680" t="str">
            <v>CE</v>
          </cell>
          <cell r="H1680" t="str">
            <v>DISTRIBUIÇÃO</v>
          </cell>
          <cell r="I1680" t="str">
            <v>FOOD SERVICE</v>
          </cell>
          <cell r="J1680" t="str">
            <v>WH FOOD SERVICE CE</v>
          </cell>
          <cell r="K1680" t="str">
            <v>ITAMBÉ</v>
          </cell>
          <cell r="L1680" t="str">
            <v>RODRIGO</v>
          </cell>
          <cell r="M1680" t="str">
            <v>MARIA LOURDES</v>
          </cell>
        </row>
        <row r="1681">
          <cell r="B1681">
            <v>5230141</v>
          </cell>
          <cell r="C1681" t="str">
            <v>DADALTO E SILVA LTDA</v>
          </cell>
          <cell r="D1681">
            <v>6001</v>
          </cell>
          <cell r="E1681" t="str">
            <v>6169</v>
          </cell>
          <cell r="F1681" t="str">
            <v>C1</v>
          </cell>
          <cell r="G1681" t="str">
            <v>ES</v>
          </cell>
          <cell r="H1681" t="str">
            <v>DISTRIBUIÇÃO</v>
          </cell>
          <cell r="I1681" t="str">
            <v>FOOD SERVICE</v>
          </cell>
          <cell r="J1681" t="str">
            <v>MARCELO DUARTE</v>
          </cell>
          <cell r="K1681" t="str">
            <v>ITAMBÉ</v>
          </cell>
          <cell r="L1681" t="str">
            <v>RODRIGO</v>
          </cell>
          <cell r="M1681" t="str">
            <v>JESSICA</v>
          </cell>
        </row>
        <row r="1682">
          <cell r="B1682">
            <v>5272524</v>
          </cell>
          <cell r="C1682" t="str">
            <v>ANDRE REGIANI</v>
          </cell>
          <cell r="D1682">
            <v>6001</v>
          </cell>
          <cell r="E1682" t="str">
            <v>6125</v>
          </cell>
          <cell r="F1682" t="str">
            <v>C1</v>
          </cell>
          <cell r="G1682" t="str">
            <v>SP</v>
          </cell>
          <cell r="H1682" t="str">
            <v>OUTROS</v>
          </cell>
          <cell r="I1682" t="str">
            <v>OUTROS</v>
          </cell>
          <cell r="J1682" t="str">
            <v>OUTROS</v>
          </cell>
          <cell r="K1682" t="str">
            <v>OUTROS</v>
          </cell>
          <cell r="L1682" t="str">
            <v>OUTROS</v>
          </cell>
          <cell r="M1682" t="str">
            <v>OUTROS</v>
          </cell>
        </row>
        <row r="1683">
          <cell r="B1683">
            <v>5289989</v>
          </cell>
          <cell r="C1683" t="str">
            <v>MARIA DA VILLA ITAQUERA REST LT</v>
          </cell>
          <cell r="D1683">
            <v>7001</v>
          </cell>
          <cell r="E1683" t="str">
            <v>0749</v>
          </cell>
          <cell r="F1683" t="str">
            <v>C5</v>
          </cell>
          <cell r="G1683" t="str">
            <v>SP</v>
          </cell>
          <cell r="H1683" t="str">
            <v>DISTRIBUIÇÃO</v>
          </cell>
          <cell r="I1683" t="str">
            <v>FOOD SERVICE</v>
          </cell>
          <cell r="J1683" t="str">
            <v>FLAC 2</v>
          </cell>
          <cell r="K1683" t="str">
            <v>LACTALIS</v>
          </cell>
          <cell r="L1683" t="str">
            <v>RODRIGO</v>
          </cell>
          <cell r="M1683" t="str">
            <v>RAQUEL BARBOSA</v>
          </cell>
        </row>
        <row r="1684">
          <cell r="B1684">
            <v>5309465</v>
          </cell>
          <cell r="C1684" t="str">
            <v>MARIA DA VILLA INTERLAGOS RESTA</v>
          </cell>
          <cell r="D1684">
            <v>7001</v>
          </cell>
          <cell r="E1684" t="str">
            <v>0749</v>
          </cell>
          <cell r="F1684" t="str">
            <v>C5</v>
          </cell>
          <cell r="G1684" t="str">
            <v>SP</v>
          </cell>
          <cell r="H1684" t="str">
            <v>DISTRIBUIÇÃO</v>
          </cell>
          <cell r="I1684" t="str">
            <v>FOOD SERVICE</v>
          </cell>
          <cell r="J1684" t="str">
            <v>FLAC 2</v>
          </cell>
          <cell r="K1684" t="str">
            <v>LACTALIS</v>
          </cell>
          <cell r="L1684" t="str">
            <v>RODRIGO</v>
          </cell>
          <cell r="M1684" t="str">
            <v>RAQUEL BARBOSA</v>
          </cell>
        </row>
        <row r="1685">
          <cell r="B1685">
            <v>5329387</v>
          </cell>
          <cell r="C1685" t="str">
            <v>MARIA DA VILLA ARICANDUVA RESTA</v>
          </cell>
          <cell r="D1685">
            <v>7001</v>
          </cell>
          <cell r="E1685" t="str">
            <v>0749</v>
          </cell>
          <cell r="F1685" t="str">
            <v>C5</v>
          </cell>
          <cell r="G1685" t="str">
            <v>SP</v>
          </cell>
          <cell r="H1685" t="str">
            <v>DISTRIBUIÇÃO</v>
          </cell>
          <cell r="I1685" t="str">
            <v>FOOD SERVICE</v>
          </cell>
          <cell r="J1685" t="str">
            <v>FLAC 2</v>
          </cell>
          <cell r="K1685" t="str">
            <v>LACTALIS</v>
          </cell>
          <cell r="L1685" t="str">
            <v>RODRIGO</v>
          </cell>
          <cell r="M1685" t="str">
            <v>RAQUEL BARBOSA</v>
          </cell>
        </row>
        <row r="1686">
          <cell r="B1686">
            <v>5178518</v>
          </cell>
          <cell r="C1686" t="str">
            <v>NECHIO COMERCIO DISTRIB DE ALIMENT</v>
          </cell>
          <cell r="D1686">
            <v>7001</v>
          </cell>
          <cell r="E1686" t="str">
            <v>0739</v>
          </cell>
          <cell r="F1686" t="str">
            <v>C1</v>
          </cell>
          <cell r="G1686" t="str">
            <v>RJ</v>
          </cell>
          <cell r="H1686" t="str">
            <v>DISTRIBUIÇÃO</v>
          </cell>
          <cell r="I1686" t="str">
            <v>FOOD SERVICE</v>
          </cell>
          <cell r="J1686" t="str">
            <v>LUCIANA MARTINS</v>
          </cell>
          <cell r="K1686" t="str">
            <v>LACTALIS</v>
          </cell>
          <cell r="L1686" t="str">
            <v>RODRIGO</v>
          </cell>
          <cell r="M1686" t="str">
            <v>JESSICA</v>
          </cell>
        </row>
        <row r="1687">
          <cell r="B1687">
            <v>5182512</v>
          </cell>
          <cell r="C1687" t="str">
            <v>DOCA COMERCIO DE PROD ALIM LTDA</v>
          </cell>
          <cell r="D1687">
            <v>6001</v>
          </cell>
          <cell r="E1687" t="str">
            <v>6127</v>
          </cell>
          <cell r="F1687" t="str">
            <v>C1</v>
          </cell>
          <cell r="G1687" t="str">
            <v>CE</v>
          </cell>
          <cell r="H1687" t="str">
            <v>DISTRIBUIÇÃO</v>
          </cell>
          <cell r="I1687" t="str">
            <v>FOOD SERVICE</v>
          </cell>
          <cell r="J1687" t="str">
            <v>WH FOOD SERVICE CE</v>
          </cell>
          <cell r="K1687" t="str">
            <v>ITAMBÉ</v>
          </cell>
          <cell r="L1687" t="str">
            <v>RODRIGO</v>
          </cell>
          <cell r="M1687" t="str">
            <v>MARIA LOURDES</v>
          </cell>
        </row>
        <row r="1688">
          <cell r="B1688">
            <v>5264084</v>
          </cell>
          <cell r="C1688" t="str">
            <v>PANETTERIA ATTIMINO LTDA</v>
          </cell>
          <cell r="D1688">
            <v>7001</v>
          </cell>
          <cell r="E1688" t="str">
            <v>0749</v>
          </cell>
          <cell r="F1688" t="str">
            <v>C5</v>
          </cell>
          <cell r="G1688" t="str">
            <v>SP</v>
          </cell>
          <cell r="H1688" t="str">
            <v>DISTRIBUIÇÃO</v>
          </cell>
          <cell r="I1688" t="str">
            <v>FOOD SERVICE</v>
          </cell>
          <cell r="J1688" t="str">
            <v>FLAC 3</v>
          </cell>
          <cell r="K1688" t="str">
            <v>LACTALIS</v>
          </cell>
          <cell r="L1688" t="str">
            <v>RODRIGO</v>
          </cell>
          <cell r="M1688" t="str">
            <v>RAQUEL BARBOSA</v>
          </cell>
        </row>
        <row r="1689">
          <cell r="B1689">
            <v>5331354</v>
          </cell>
          <cell r="C1689" t="str">
            <v>JFS ALIMENTOS LTDA</v>
          </cell>
          <cell r="D1689">
            <v>6001</v>
          </cell>
          <cell r="E1689" t="str">
            <v>6028</v>
          </cell>
          <cell r="F1689" t="str">
            <v>C1</v>
          </cell>
          <cell r="G1689" t="str">
            <v>SP</v>
          </cell>
          <cell r="H1689" t="str">
            <v>INGREDIENTS</v>
          </cell>
          <cell r="I1689" t="str">
            <v>INGREDIENTS</v>
          </cell>
          <cell r="J1689" t="str">
            <v>MARCELO RODRIGUES</v>
          </cell>
          <cell r="K1689" t="str">
            <v>ITAMBÉ</v>
          </cell>
          <cell r="L1689" t="str">
            <v>MAURICIO</v>
          </cell>
          <cell r="M1689" t="str">
            <v>MARCELO</v>
          </cell>
        </row>
        <row r="1690">
          <cell r="B1690">
            <v>5026399</v>
          </cell>
          <cell r="C1690" t="str">
            <v>RIO QUALITY COMERCIO DE ALIMENTOS</v>
          </cell>
          <cell r="D1690">
            <v>4001</v>
          </cell>
          <cell r="E1690" t="str">
            <v>0437</v>
          </cell>
          <cell r="F1690" t="str">
            <v>C1</v>
          </cell>
          <cell r="G1690" t="str">
            <v>RJ</v>
          </cell>
          <cell r="H1690" t="str">
            <v>DISTRIBUIÇÃO</v>
          </cell>
          <cell r="I1690" t="str">
            <v>FOOD SERVICE</v>
          </cell>
          <cell r="J1690" t="str">
            <v>JESSICA CARLA</v>
          </cell>
          <cell r="K1690" t="str">
            <v>LACTALIS</v>
          </cell>
          <cell r="L1690" t="str">
            <v>RODRIGO</v>
          </cell>
          <cell r="M1690" t="str">
            <v>JESSICA</v>
          </cell>
        </row>
        <row r="1691">
          <cell r="B1691">
            <v>5145674</v>
          </cell>
          <cell r="C1691" t="str">
            <v>DOCE VERAO LTDA</v>
          </cell>
          <cell r="D1691">
            <v>3001</v>
          </cell>
          <cell r="E1691" t="str">
            <v>0127</v>
          </cell>
          <cell r="F1691" t="str">
            <v>C1</v>
          </cell>
          <cell r="G1691" t="str">
            <v>BA</v>
          </cell>
          <cell r="H1691" t="str">
            <v>DISTRIBUIÇÃO</v>
          </cell>
          <cell r="I1691" t="str">
            <v>FOOD SERVICE</v>
          </cell>
          <cell r="J1691" t="str">
            <v>CLAUDIO JORGE/LUIZ</v>
          </cell>
          <cell r="K1691" t="str">
            <v>ITAMBÉ</v>
          </cell>
          <cell r="L1691" t="str">
            <v>RODRIGO</v>
          </cell>
          <cell r="M1691" t="str">
            <v>MARIA LOURDES</v>
          </cell>
        </row>
        <row r="1692">
          <cell r="B1692">
            <v>5163884</v>
          </cell>
          <cell r="C1692" t="str">
            <v>SORVEMIX COMERCIO DE ALIM LTDA</v>
          </cell>
          <cell r="D1692">
            <v>6001</v>
          </cell>
          <cell r="E1692" t="str">
            <v>6028</v>
          </cell>
          <cell r="F1692" t="str">
            <v>C1</v>
          </cell>
          <cell r="G1692" t="str">
            <v>SP</v>
          </cell>
          <cell r="H1692" t="str">
            <v>INGREDIENTS</v>
          </cell>
          <cell r="I1692" t="str">
            <v>INGREDIENTS</v>
          </cell>
          <cell r="J1692" t="str">
            <v>MARCELO RODRIGUES</v>
          </cell>
          <cell r="K1692" t="str">
            <v>ITAMBÉ</v>
          </cell>
          <cell r="L1692" t="str">
            <v>MAURICIO</v>
          </cell>
          <cell r="M1692" t="str">
            <v>MARCELO</v>
          </cell>
        </row>
        <row r="1693">
          <cell r="B1693">
            <v>5187333</v>
          </cell>
          <cell r="C1693" t="str">
            <v>MONTE CARLO COMERCIO DE ALIMENT</v>
          </cell>
          <cell r="D1693">
            <v>6001</v>
          </cell>
          <cell r="E1693" t="str">
            <v>6127</v>
          </cell>
          <cell r="F1693" t="str">
            <v>C1</v>
          </cell>
          <cell r="G1693" t="str">
            <v>CE</v>
          </cell>
          <cell r="H1693" t="str">
            <v>DISTRIBUIÇÃO</v>
          </cell>
          <cell r="I1693" t="str">
            <v>FOOD SERVICE</v>
          </cell>
          <cell r="J1693" t="str">
            <v>WH FOOD SERVICE CE</v>
          </cell>
          <cell r="K1693" t="str">
            <v>ITAMBÉ</v>
          </cell>
          <cell r="L1693" t="str">
            <v>RODRIGO</v>
          </cell>
          <cell r="M1693" t="str">
            <v>MARIA LOURDES</v>
          </cell>
        </row>
        <row r="1694">
          <cell r="B1694">
            <v>5204301</v>
          </cell>
          <cell r="C1694" t="str">
            <v>LATICINIOS SANTA RITA LTDA</v>
          </cell>
          <cell r="D1694">
            <v>3001</v>
          </cell>
          <cell r="E1694" t="str">
            <v>0028</v>
          </cell>
          <cell r="F1694" t="str">
            <v>C1</v>
          </cell>
          <cell r="G1694" t="str">
            <v>MG</v>
          </cell>
          <cell r="H1694" t="str">
            <v>INGREDIENTS</v>
          </cell>
          <cell r="I1694" t="str">
            <v>INGREDIENTS</v>
          </cell>
          <cell r="J1694" t="str">
            <v>JOEL ELEOTÉRIO</v>
          </cell>
          <cell r="K1694" t="str">
            <v>ITAMBÉ</v>
          </cell>
          <cell r="L1694" t="str">
            <v>MAURICIO</v>
          </cell>
          <cell r="M1694" t="str">
            <v>JOEL</v>
          </cell>
        </row>
        <row r="1695">
          <cell r="B1695">
            <v>5221391</v>
          </cell>
          <cell r="C1695" t="str">
            <v>LEONARDO RODRIGO SILVA SANTOS M</v>
          </cell>
          <cell r="D1695">
            <v>6001</v>
          </cell>
          <cell r="E1695" t="str">
            <v>6169</v>
          </cell>
          <cell r="F1695" t="str">
            <v>C1</v>
          </cell>
          <cell r="G1695" t="str">
            <v>RJ</v>
          </cell>
          <cell r="H1695" t="str">
            <v>DISTRIBUIÇÃO</v>
          </cell>
          <cell r="I1695" t="str">
            <v>FOOD SERVICE</v>
          </cell>
          <cell r="J1695" t="str">
            <v>JULIANA CORDEIRO</v>
          </cell>
          <cell r="K1695" t="str">
            <v>ITAMBÉ</v>
          </cell>
          <cell r="L1695" t="str">
            <v>RODRIGO</v>
          </cell>
          <cell r="M1695" t="str">
            <v>JESSICA</v>
          </cell>
        </row>
        <row r="1696">
          <cell r="B1696">
            <v>5224055</v>
          </cell>
          <cell r="C1696" t="str">
            <v>BRUXELAS INDUSTRIA E COMERCIO</v>
          </cell>
          <cell r="D1696">
            <v>6001</v>
          </cell>
          <cell r="E1696" t="str">
            <v>6028</v>
          </cell>
          <cell r="F1696" t="str">
            <v>C1</v>
          </cell>
          <cell r="G1696" t="str">
            <v>SP</v>
          </cell>
          <cell r="H1696" t="str">
            <v>INGREDIENTS</v>
          </cell>
          <cell r="I1696" t="str">
            <v>INGREDIENTS</v>
          </cell>
          <cell r="J1696" t="str">
            <v>HENRIQUE FERREIRA</v>
          </cell>
          <cell r="K1696" t="str">
            <v>ITAMBÉ</v>
          </cell>
          <cell r="L1696" t="str">
            <v>MAURICIO</v>
          </cell>
          <cell r="M1696" t="str">
            <v>JOEL</v>
          </cell>
        </row>
        <row r="1697">
          <cell r="B1697">
            <v>5323712</v>
          </cell>
          <cell r="C1697" t="str">
            <v>LATICINIOS REZENDE LTDA</v>
          </cell>
          <cell r="D1697">
            <v>4001</v>
          </cell>
          <cell r="E1697" t="str">
            <v>0423</v>
          </cell>
          <cell r="F1697" t="str">
            <v>C5</v>
          </cell>
          <cell r="G1697" t="str">
            <v>SE</v>
          </cell>
          <cell r="H1697" t="str">
            <v>INGREDIENTS</v>
          </cell>
          <cell r="I1697" t="str">
            <v>INGREDIENTS</v>
          </cell>
          <cell r="J1697" t="str">
            <v>JOEL ELEOTÉRIO</v>
          </cell>
          <cell r="K1697" t="str">
            <v>LACTALIS</v>
          </cell>
          <cell r="L1697" t="str">
            <v>MAURICIO</v>
          </cell>
          <cell r="M1697" t="str">
            <v>JOEL</v>
          </cell>
        </row>
        <row r="1698">
          <cell r="B1698">
            <v>5340606</v>
          </cell>
          <cell r="C1698" t="str">
            <v>49963972 GRAZIELLA BARBOSA ALVE</v>
          </cell>
          <cell r="D1698">
            <v>6001</v>
          </cell>
          <cell r="E1698" t="str">
            <v>6125</v>
          </cell>
          <cell r="F1698" t="str">
            <v>C1</v>
          </cell>
          <cell r="G1698" t="str">
            <v>SP</v>
          </cell>
          <cell r="H1698" t="str">
            <v>INGREDIENTS</v>
          </cell>
          <cell r="I1698" t="str">
            <v>INGREDIENTS</v>
          </cell>
          <cell r="J1698" t="str">
            <v>HENRIQUE FERREIRA</v>
          </cell>
          <cell r="K1698" t="str">
            <v>ITAMBÉ</v>
          </cell>
          <cell r="L1698" t="str">
            <v>MAURICIO</v>
          </cell>
          <cell r="M1698" t="str">
            <v>JOEL</v>
          </cell>
        </row>
        <row r="1699">
          <cell r="B1699">
            <v>5208028</v>
          </cell>
          <cell r="C1699" t="str">
            <v>MISTUREX COMERCIO ATACA DE ALIMENT</v>
          </cell>
          <cell r="D1699">
            <v>6001</v>
          </cell>
          <cell r="E1699" t="str">
            <v>6169</v>
          </cell>
          <cell r="F1699" t="str">
            <v>C1</v>
          </cell>
          <cell r="G1699" t="str">
            <v>ES</v>
          </cell>
          <cell r="H1699" t="str">
            <v>INGREDIENTS</v>
          </cell>
          <cell r="I1699" t="str">
            <v>INGREDIENTS</v>
          </cell>
          <cell r="J1699" t="str">
            <v>TATIANA NITTA</v>
          </cell>
          <cell r="K1699" t="str">
            <v>ITAMBÉ</v>
          </cell>
          <cell r="L1699" t="str">
            <v>MAURICIO</v>
          </cell>
          <cell r="M1699" t="str">
            <v>TATIANA NITTA</v>
          </cell>
        </row>
        <row r="1700">
          <cell r="B1700">
            <v>5343974</v>
          </cell>
          <cell r="C1700" t="str">
            <v>LLG PADARIA ARTESANAL LTDA</v>
          </cell>
          <cell r="D1700">
            <v>7001</v>
          </cell>
          <cell r="E1700" t="str">
            <v>0749</v>
          </cell>
          <cell r="F1700" t="str">
            <v>C5</v>
          </cell>
          <cell r="G1700" t="str">
            <v>SP</v>
          </cell>
          <cell r="H1700" t="str">
            <v>DISTRIBUIÇÃO</v>
          </cell>
          <cell r="I1700" t="str">
            <v>FOOD SERVICE</v>
          </cell>
          <cell r="J1700" t="str">
            <v>FLAC 2</v>
          </cell>
          <cell r="K1700" t="str">
            <v>LACTALIS</v>
          </cell>
          <cell r="L1700" t="str">
            <v>RODRIGO</v>
          </cell>
          <cell r="M1700" t="str">
            <v>RAQUEL BARBOSA</v>
          </cell>
        </row>
        <row r="1701">
          <cell r="B1701">
            <v>5098965</v>
          </cell>
          <cell r="C1701" t="str">
            <v>VHS ALIMENTOS LTDA</v>
          </cell>
          <cell r="D1701">
            <v>3001</v>
          </cell>
          <cell r="E1701" t="str">
            <v>0028</v>
          </cell>
          <cell r="F1701" t="str">
            <v>C1</v>
          </cell>
          <cell r="G1701" t="str">
            <v>PR</v>
          </cell>
          <cell r="H1701" t="str">
            <v>INGREDIENTS</v>
          </cell>
          <cell r="I1701" t="str">
            <v>INGREDIENTS</v>
          </cell>
          <cell r="J1701" t="str">
            <v>MARCELO RODRIGUES</v>
          </cell>
          <cell r="K1701" t="str">
            <v>ITAMBÉ</v>
          </cell>
          <cell r="L1701" t="str">
            <v>MAURICIO</v>
          </cell>
          <cell r="M1701" t="str">
            <v>MARCELO</v>
          </cell>
        </row>
        <row r="1702">
          <cell r="B1702">
            <v>5138292</v>
          </cell>
          <cell r="C1702" t="str">
            <v>AROMITALIA DO BRASIL LTDA</v>
          </cell>
          <cell r="D1702">
            <v>3001</v>
          </cell>
          <cell r="E1702" t="str">
            <v>0028</v>
          </cell>
          <cell r="F1702" t="str">
            <v>C1</v>
          </cell>
          <cell r="G1702" t="str">
            <v>SC</v>
          </cell>
          <cell r="H1702" t="str">
            <v>INGREDIENTS</v>
          </cell>
          <cell r="I1702" t="str">
            <v>INGREDIENTS</v>
          </cell>
          <cell r="J1702" t="str">
            <v>MARCELO RODRIGUES</v>
          </cell>
          <cell r="K1702" t="str">
            <v>ITAMBÉ</v>
          </cell>
          <cell r="L1702" t="str">
            <v>MAURICIO</v>
          </cell>
          <cell r="M1702" t="str">
            <v>MARCELO</v>
          </cell>
        </row>
        <row r="1703">
          <cell r="B1703">
            <v>5144654</v>
          </cell>
          <cell r="C1703" t="str">
            <v>SAUIPE SA</v>
          </cell>
          <cell r="D1703">
            <v>6001</v>
          </cell>
          <cell r="E1703" t="str">
            <v>6127</v>
          </cell>
          <cell r="F1703" t="str">
            <v>C1</v>
          </cell>
          <cell r="G1703" t="str">
            <v>BA</v>
          </cell>
          <cell r="H1703" t="str">
            <v>DISTRIBUIÇÃO</v>
          </cell>
          <cell r="I1703" t="str">
            <v>FOOD SERVICE</v>
          </cell>
          <cell r="J1703" t="str">
            <v>CLAUDIO JORGE/LUIZ</v>
          </cell>
          <cell r="K1703" t="str">
            <v>ITAMBÉ</v>
          </cell>
          <cell r="L1703" t="str">
            <v>RODRIGO</v>
          </cell>
          <cell r="M1703" t="str">
            <v>MARIA LOURDES</v>
          </cell>
        </row>
        <row r="1704">
          <cell r="B1704">
            <v>5224382</v>
          </cell>
          <cell r="C1704" t="str">
            <v>SORVETES SKINEVE LTDA</v>
          </cell>
          <cell r="D1704">
            <v>3001</v>
          </cell>
          <cell r="E1704" t="str">
            <v>0126</v>
          </cell>
          <cell r="F1704" t="str">
            <v>C1</v>
          </cell>
          <cell r="G1704" t="str">
            <v>PR</v>
          </cell>
          <cell r="H1704" t="str">
            <v>INGREDIENTS</v>
          </cell>
          <cell r="I1704" t="str">
            <v>INGREDIENTS</v>
          </cell>
          <cell r="J1704" t="str">
            <v>MARCELO RODRIGUES</v>
          </cell>
          <cell r="K1704" t="str">
            <v>ITAMBÉ</v>
          </cell>
          <cell r="L1704" t="str">
            <v>MAURICIO</v>
          </cell>
          <cell r="M1704" t="str">
            <v>MARCELO</v>
          </cell>
        </row>
        <row r="1705">
          <cell r="B1705">
            <v>5227605</v>
          </cell>
          <cell r="C1705" t="str">
            <v>FORTE DIST DE GENERO ALIM DES E LIM</v>
          </cell>
          <cell r="D1705">
            <v>6001</v>
          </cell>
          <cell r="E1705" t="str">
            <v>6127</v>
          </cell>
          <cell r="F1705" t="str">
            <v>C1</v>
          </cell>
          <cell r="G1705" t="str">
            <v>BA</v>
          </cell>
          <cell r="H1705" t="str">
            <v>DISTRIBUIÇÃO</v>
          </cell>
          <cell r="I1705" t="str">
            <v>FOOD SERVICE</v>
          </cell>
          <cell r="J1705" t="str">
            <v>CLAUDIO JORGE/LUIZ</v>
          </cell>
          <cell r="K1705" t="str">
            <v>ITAMBÉ</v>
          </cell>
          <cell r="L1705" t="str">
            <v>RODRIGO</v>
          </cell>
          <cell r="M1705" t="str">
            <v>MARIA LOURDES</v>
          </cell>
        </row>
        <row r="1706">
          <cell r="B1706">
            <v>5275476</v>
          </cell>
          <cell r="C1706" t="str">
            <v>MON CHOU COM IMP E EXP LTDA</v>
          </cell>
          <cell r="D1706">
            <v>7001</v>
          </cell>
          <cell r="E1706" t="str">
            <v>0722</v>
          </cell>
          <cell r="F1706" t="str">
            <v>C1</v>
          </cell>
          <cell r="G1706" t="str">
            <v>SP</v>
          </cell>
          <cell r="H1706" t="str">
            <v>DISTRIBUIÇÃO</v>
          </cell>
          <cell r="I1706" t="str">
            <v>FOOD SERVICE</v>
          </cell>
          <cell r="J1706" t="str">
            <v>LUCIANA MARTINS</v>
          </cell>
          <cell r="K1706" t="str">
            <v>LACTALIS</v>
          </cell>
          <cell r="L1706" t="str">
            <v>RODRIGO</v>
          </cell>
          <cell r="M1706" t="str">
            <v>JESSICA</v>
          </cell>
        </row>
        <row r="1707">
          <cell r="B1707">
            <v>5342209</v>
          </cell>
          <cell r="C1707" t="str">
            <v>PALACIO GASTRONOMICO LTDA</v>
          </cell>
          <cell r="D1707">
            <v>7001</v>
          </cell>
          <cell r="E1707" t="str">
            <v>0749</v>
          </cell>
          <cell r="F1707" t="str">
            <v>C5</v>
          </cell>
          <cell r="G1707" t="str">
            <v>SP</v>
          </cell>
          <cell r="H1707" t="str">
            <v>DISTRIBUIÇÃO</v>
          </cell>
          <cell r="I1707" t="str">
            <v>FOOD SERVICE</v>
          </cell>
          <cell r="J1707" t="str">
            <v>FLAC 2</v>
          </cell>
          <cell r="K1707" t="str">
            <v>LACTALIS</v>
          </cell>
          <cell r="L1707" t="str">
            <v>RODRIGO</v>
          </cell>
          <cell r="M1707" t="str">
            <v>RAQUEL BARBOSA</v>
          </cell>
        </row>
        <row r="1708">
          <cell r="B1708">
            <v>5343385</v>
          </cell>
          <cell r="C1708" t="str">
            <v>18135706 CLAUDIANA MARIA DE QUE</v>
          </cell>
          <cell r="D1708">
            <v>7001</v>
          </cell>
          <cell r="E1708" t="str">
            <v>0749</v>
          </cell>
          <cell r="F1708" t="str">
            <v>C5</v>
          </cell>
          <cell r="G1708" t="str">
            <v>SP</v>
          </cell>
          <cell r="H1708" t="str">
            <v>DISTRIBUIÇÃO</v>
          </cell>
          <cell r="I1708" t="str">
            <v>FOOD SERVICE</v>
          </cell>
          <cell r="J1708" t="str">
            <v>FLAC 6</v>
          </cell>
          <cell r="K1708" t="str">
            <v>LACTALIS</v>
          </cell>
          <cell r="L1708" t="str">
            <v>RODRIGO</v>
          </cell>
          <cell r="M1708" t="str">
            <v>RAQUEL BARBOSA</v>
          </cell>
        </row>
        <row r="1709">
          <cell r="B1709">
            <v>5343598</v>
          </cell>
          <cell r="C1709" t="str">
            <v>QUARTIERO LTDA</v>
          </cell>
          <cell r="D1709">
            <v>3001</v>
          </cell>
          <cell r="E1709" t="str">
            <v>0028</v>
          </cell>
          <cell r="F1709" t="str">
            <v>C1</v>
          </cell>
          <cell r="G1709" t="str">
            <v>SC</v>
          </cell>
          <cell r="H1709" t="str">
            <v>INGREDIENTS</v>
          </cell>
          <cell r="I1709" t="str">
            <v>INGREDIENTS</v>
          </cell>
          <cell r="J1709" t="str">
            <v>DUAS RODAS</v>
          </cell>
          <cell r="K1709" t="str">
            <v>ITAMBÉ</v>
          </cell>
          <cell r="L1709" t="str">
            <v>MAURICIO</v>
          </cell>
          <cell r="M1709" t="str">
            <v>MARCELO</v>
          </cell>
        </row>
        <row r="1710">
          <cell r="B1710">
            <v>5344288</v>
          </cell>
          <cell r="C1710" t="str">
            <v>55958530 MARCELO DE SOUZA PAIXA</v>
          </cell>
          <cell r="D1710">
            <v>7001</v>
          </cell>
          <cell r="E1710" t="str">
            <v>0749</v>
          </cell>
          <cell r="F1710" t="str">
            <v>C5</v>
          </cell>
          <cell r="G1710" t="str">
            <v>SP</v>
          </cell>
          <cell r="H1710" t="str">
            <v>DISTRIBUIÇÃO</v>
          </cell>
          <cell r="I1710" t="str">
            <v>FOOD SERVICE</v>
          </cell>
          <cell r="J1710" t="str">
            <v>FLAC 2</v>
          </cell>
          <cell r="K1710" t="str">
            <v>LACTALIS</v>
          </cell>
          <cell r="L1710" t="str">
            <v>RODRIGO</v>
          </cell>
          <cell r="M1710" t="str">
            <v>RAQUEL BARBOSA</v>
          </cell>
        </row>
        <row r="1711">
          <cell r="B1711">
            <v>5344289</v>
          </cell>
          <cell r="C1711" t="str">
            <v>TRES SERVICOS E EVENTOS LTDA</v>
          </cell>
          <cell r="D1711">
            <v>7001</v>
          </cell>
          <cell r="E1711" t="str">
            <v>0749</v>
          </cell>
          <cell r="F1711" t="str">
            <v>C5</v>
          </cell>
          <cell r="G1711" t="str">
            <v>SP</v>
          </cell>
          <cell r="H1711" t="str">
            <v>DISTRIBUIÇÃO</v>
          </cell>
          <cell r="I1711" t="str">
            <v>FOOD SERVICE</v>
          </cell>
          <cell r="J1711" t="str">
            <v>FLAC 6</v>
          </cell>
          <cell r="K1711" t="str">
            <v>LACTALIS</v>
          </cell>
          <cell r="L1711" t="str">
            <v>RODRIGO</v>
          </cell>
          <cell r="M1711" t="str">
            <v>RAQUEL BARBOSA</v>
          </cell>
        </row>
        <row r="1712">
          <cell r="B1712">
            <v>5344365</v>
          </cell>
          <cell r="C1712" t="str">
            <v>SOBERANA SERV DE REFEIC E COM L</v>
          </cell>
          <cell r="D1712">
            <v>7001</v>
          </cell>
          <cell r="E1712" t="str">
            <v>0749</v>
          </cell>
          <cell r="F1712" t="str">
            <v>C5</v>
          </cell>
          <cell r="G1712" t="str">
            <v>SP</v>
          </cell>
          <cell r="H1712" t="str">
            <v>QSR</v>
          </cell>
          <cell r="I1712" t="str">
            <v>FOOD SERVICE</v>
          </cell>
          <cell r="J1712" t="str">
            <v>NUTRI</v>
          </cell>
          <cell r="K1712" t="str">
            <v>LACTALIS</v>
          </cell>
          <cell r="L1712" t="str">
            <v>PEDRO</v>
          </cell>
          <cell r="M1712" t="str">
            <v>VAGO QSR</v>
          </cell>
        </row>
        <row r="1713">
          <cell r="B1713">
            <v>5001794</v>
          </cell>
          <cell r="C1713" t="str">
            <v>GATE GOURMET LTDA</v>
          </cell>
          <cell r="D1713">
            <v>4001</v>
          </cell>
          <cell r="E1713" t="str">
            <v>0437</v>
          </cell>
          <cell r="F1713" t="str">
            <v>C1</v>
          </cell>
          <cell r="G1713" t="str">
            <v>RJ</v>
          </cell>
          <cell r="H1713" t="str">
            <v>QSR</v>
          </cell>
          <cell r="I1713" t="str">
            <v>FOOD SERVICE</v>
          </cell>
          <cell r="J1713" t="str">
            <v>ANA MENIQUETE</v>
          </cell>
          <cell r="K1713" t="str">
            <v>LACTALIS</v>
          </cell>
          <cell r="L1713" t="str">
            <v>PEDRO</v>
          </cell>
          <cell r="M1713" t="str">
            <v>ANA MENIQUETE</v>
          </cell>
        </row>
        <row r="1714">
          <cell r="B1714">
            <v>5008636</v>
          </cell>
          <cell r="C1714" t="str">
            <v>GR SERVICOS E ALIMENTACAO LTDA</v>
          </cell>
          <cell r="D1714">
            <v>4001</v>
          </cell>
          <cell r="E1714" t="str">
            <v>0423</v>
          </cell>
          <cell r="F1714" t="str">
            <v>C5</v>
          </cell>
          <cell r="G1714" t="str">
            <v>RJ</v>
          </cell>
          <cell r="H1714" t="str">
            <v>QSR</v>
          </cell>
          <cell r="I1714" t="str">
            <v>FOOD SERVICE</v>
          </cell>
          <cell r="J1714" t="str">
            <v>NUTRI</v>
          </cell>
          <cell r="K1714" t="str">
            <v>LACTALIS</v>
          </cell>
          <cell r="L1714" t="str">
            <v>PEDRO</v>
          </cell>
          <cell r="M1714" t="str">
            <v>VAGO QSR</v>
          </cell>
        </row>
        <row r="1715">
          <cell r="B1715">
            <v>5017576</v>
          </cell>
          <cell r="C1715" t="str">
            <v>COMERCIAL DISKPAN LTDA</v>
          </cell>
          <cell r="D1715">
            <v>4001</v>
          </cell>
          <cell r="E1715" t="str">
            <v>0437</v>
          </cell>
          <cell r="F1715" t="str">
            <v>C1</v>
          </cell>
          <cell r="G1715" t="str">
            <v>ES</v>
          </cell>
          <cell r="H1715" t="str">
            <v>DISTRIBUIÇÃO</v>
          </cell>
          <cell r="I1715" t="str">
            <v>FOOD SERVICE</v>
          </cell>
          <cell r="J1715" t="str">
            <v>MARCELO DUARTE</v>
          </cell>
          <cell r="K1715" t="str">
            <v>LACTALIS</v>
          </cell>
          <cell r="L1715" t="str">
            <v>RODRIGO</v>
          </cell>
          <cell r="M1715" t="str">
            <v>JESSICA</v>
          </cell>
        </row>
        <row r="1716">
          <cell r="B1716">
            <v>5108984</v>
          </cell>
          <cell r="C1716" t="str">
            <v>IRMAOS BENASSI PROD E DIST DE F</v>
          </cell>
          <cell r="D1716">
            <v>4001</v>
          </cell>
          <cell r="E1716" t="str">
            <v>0437</v>
          </cell>
          <cell r="F1716" t="str">
            <v>C1</v>
          </cell>
          <cell r="G1716" t="str">
            <v>RJ</v>
          </cell>
          <cell r="H1716" t="str">
            <v>DISTRIBUIÇÃO</v>
          </cell>
          <cell r="I1716" t="str">
            <v>FOOD SERVICE</v>
          </cell>
          <cell r="J1716" t="str">
            <v>LUCIANA MARTINS</v>
          </cell>
          <cell r="K1716" t="str">
            <v>LACTALIS</v>
          </cell>
          <cell r="L1716" t="str">
            <v>RODRIGO</v>
          </cell>
          <cell r="M1716" t="str">
            <v>JESSICA</v>
          </cell>
        </row>
        <row r="1717">
          <cell r="B1717">
            <v>5138561</v>
          </cell>
          <cell r="C1717" t="str">
            <v>M J SAIA E CIA LTDA ME</v>
          </cell>
          <cell r="D1717">
            <v>6001</v>
          </cell>
          <cell r="E1717" t="str">
            <v>6028</v>
          </cell>
          <cell r="F1717" t="str">
            <v>C1</v>
          </cell>
          <cell r="G1717" t="str">
            <v>SP</v>
          </cell>
          <cell r="H1717" t="str">
            <v>INGREDIENTS</v>
          </cell>
          <cell r="I1717" t="str">
            <v>INGREDIENTS</v>
          </cell>
          <cell r="J1717" t="str">
            <v>HENRIQUE FERREIRA</v>
          </cell>
          <cell r="K1717" t="str">
            <v>ITAMBÉ</v>
          </cell>
          <cell r="L1717" t="str">
            <v>MAURICIO</v>
          </cell>
          <cell r="M1717" t="str">
            <v>JOEL</v>
          </cell>
        </row>
        <row r="1718">
          <cell r="B1718">
            <v>5147526</v>
          </cell>
          <cell r="C1718" t="str">
            <v>SAPORE SA</v>
          </cell>
          <cell r="D1718">
            <v>4001</v>
          </cell>
          <cell r="E1718" t="str">
            <v>0423</v>
          </cell>
          <cell r="F1718" t="str">
            <v>C5</v>
          </cell>
          <cell r="G1718" t="str">
            <v>RJ</v>
          </cell>
          <cell r="H1718" t="str">
            <v>QSR</v>
          </cell>
          <cell r="I1718" t="str">
            <v>FOOD SERVICE</v>
          </cell>
          <cell r="J1718" t="str">
            <v>NUTRI</v>
          </cell>
          <cell r="K1718" t="str">
            <v>LACTALIS</v>
          </cell>
          <cell r="L1718" t="str">
            <v>PEDRO</v>
          </cell>
          <cell r="M1718" t="str">
            <v>VAGO QSR</v>
          </cell>
        </row>
        <row r="1719">
          <cell r="B1719">
            <v>5169969</v>
          </cell>
          <cell r="C1719" t="str">
            <v>WCN COM E REPRESENTACAO DE ALIM LTD</v>
          </cell>
          <cell r="D1719">
            <v>6001</v>
          </cell>
          <cell r="E1719" t="str">
            <v>6127</v>
          </cell>
          <cell r="F1719" t="str">
            <v>C1</v>
          </cell>
          <cell r="G1719" t="str">
            <v>BA</v>
          </cell>
          <cell r="H1719" t="str">
            <v>DISTRIBUIÇÃO</v>
          </cell>
          <cell r="I1719" t="str">
            <v>FOOD SERVICE</v>
          </cell>
          <cell r="J1719" t="str">
            <v>CLAUDIO JORGE/LUIZ</v>
          </cell>
          <cell r="K1719" t="str">
            <v>ITAMBÉ</v>
          </cell>
          <cell r="L1719" t="str">
            <v>RODRIGO</v>
          </cell>
          <cell r="M1719" t="str">
            <v>MARIA LOURDES</v>
          </cell>
        </row>
        <row r="1720">
          <cell r="B1720">
            <v>5174117</v>
          </cell>
          <cell r="C1720" t="str">
            <v>MASSIMA ALIMENTACAO SA</v>
          </cell>
          <cell r="D1720">
            <v>4001</v>
          </cell>
          <cell r="E1720" t="str">
            <v>0423</v>
          </cell>
          <cell r="F1720" t="str">
            <v>C5</v>
          </cell>
          <cell r="G1720" t="str">
            <v>RJ</v>
          </cell>
          <cell r="H1720" t="str">
            <v>QSR</v>
          </cell>
          <cell r="I1720" t="str">
            <v>FOOD SERVICE</v>
          </cell>
          <cell r="J1720" t="str">
            <v>NUTRI</v>
          </cell>
          <cell r="K1720" t="str">
            <v>LACTALIS</v>
          </cell>
          <cell r="L1720" t="str">
            <v>PEDRO</v>
          </cell>
          <cell r="M1720" t="str">
            <v>VAGO QSR</v>
          </cell>
        </row>
        <row r="1721">
          <cell r="B1721">
            <v>5207394</v>
          </cell>
          <cell r="C1721" t="str">
            <v>NEWREST BRASIL S A AO T AEREO LTDA</v>
          </cell>
          <cell r="D1721">
            <v>4001</v>
          </cell>
          <cell r="E1721" t="str">
            <v>0437</v>
          </cell>
          <cell r="F1721" t="str">
            <v>C1</v>
          </cell>
          <cell r="G1721" t="str">
            <v>RJ</v>
          </cell>
          <cell r="H1721" t="str">
            <v>QSR</v>
          </cell>
          <cell r="I1721" t="str">
            <v>FOOD SERVICE</v>
          </cell>
          <cell r="J1721" t="str">
            <v>ANA MENIQUETE</v>
          </cell>
          <cell r="K1721" t="str">
            <v>LACTALIS</v>
          </cell>
          <cell r="L1721" t="str">
            <v>PEDRO</v>
          </cell>
          <cell r="M1721" t="str">
            <v>ANA MENIQUETE</v>
          </cell>
        </row>
        <row r="1722">
          <cell r="B1722">
            <v>5210615</v>
          </cell>
          <cell r="C1722" t="str">
            <v>M A DA SILVA COMERCIO</v>
          </cell>
          <cell r="D1722">
            <v>6001</v>
          </cell>
          <cell r="E1722" t="str">
            <v>6169</v>
          </cell>
          <cell r="F1722" t="str">
            <v>C1</v>
          </cell>
          <cell r="G1722" t="str">
            <v>ES</v>
          </cell>
          <cell r="H1722" t="str">
            <v>DISTRIBUIÇÃO</v>
          </cell>
          <cell r="I1722" t="str">
            <v>FOOD SERVICE</v>
          </cell>
          <cell r="J1722" t="str">
            <v>MARCELO DUARTE</v>
          </cell>
          <cell r="K1722" t="str">
            <v>ITAMBÉ</v>
          </cell>
          <cell r="L1722" t="str">
            <v>RODRIGO</v>
          </cell>
          <cell r="M1722" t="str">
            <v>JESSICA</v>
          </cell>
        </row>
        <row r="1723">
          <cell r="B1723">
            <v>5226360</v>
          </cell>
          <cell r="C1723" t="str">
            <v>GELA GOURMET LTDA</v>
          </cell>
          <cell r="D1723">
            <v>6001</v>
          </cell>
          <cell r="E1723" t="str">
            <v>6127</v>
          </cell>
          <cell r="F1723" t="str">
            <v>C1</v>
          </cell>
          <cell r="G1723" t="str">
            <v>BA</v>
          </cell>
          <cell r="H1723" t="str">
            <v>DISTRIBUIÇÃO</v>
          </cell>
          <cell r="I1723" t="str">
            <v>FOOD SERVICE</v>
          </cell>
          <cell r="J1723" t="str">
            <v>CLAUDIO JORGE/LUIZ</v>
          </cell>
          <cell r="K1723" t="str">
            <v>ITAMBÉ</v>
          </cell>
          <cell r="L1723" t="str">
            <v>RODRIGO</v>
          </cell>
          <cell r="M1723" t="str">
            <v>MARIA LOURDES</v>
          </cell>
        </row>
        <row r="1724">
          <cell r="B1724">
            <v>5308710</v>
          </cell>
          <cell r="C1724" t="str">
            <v>SODEXO DO BRASIL COMERCIAL SA</v>
          </cell>
          <cell r="D1724">
            <v>4001</v>
          </cell>
          <cell r="E1724" t="str">
            <v>0423</v>
          </cell>
          <cell r="F1724" t="str">
            <v>C5</v>
          </cell>
          <cell r="G1724" t="str">
            <v>RJ</v>
          </cell>
          <cell r="H1724" t="str">
            <v>QSR</v>
          </cell>
          <cell r="I1724" t="str">
            <v>FOOD SERVICE</v>
          </cell>
          <cell r="J1724" t="str">
            <v>NUTRI</v>
          </cell>
          <cell r="K1724" t="str">
            <v>LACTALIS</v>
          </cell>
          <cell r="L1724" t="str">
            <v>PEDRO</v>
          </cell>
          <cell r="M1724" t="str">
            <v>VAGO QSR</v>
          </cell>
        </row>
        <row r="1725">
          <cell r="B1725">
            <v>5320070</v>
          </cell>
          <cell r="C1725" t="str">
            <v>MON CHOU COM IMPORTACAO E EXPOR</v>
          </cell>
          <cell r="D1725">
            <v>4001</v>
          </cell>
          <cell r="E1725" t="str">
            <v>0437</v>
          </cell>
          <cell r="F1725" t="str">
            <v>C1</v>
          </cell>
          <cell r="G1725" t="str">
            <v>RJ</v>
          </cell>
          <cell r="H1725" t="str">
            <v>DISTRIBUIÇÃO</v>
          </cell>
          <cell r="I1725" t="str">
            <v>FOOD SERVICE</v>
          </cell>
          <cell r="J1725" t="str">
            <v>LUCIANA MARTINS</v>
          </cell>
          <cell r="K1725" t="str">
            <v>LACTALIS</v>
          </cell>
          <cell r="L1725" t="str">
            <v>RODRIGO</v>
          </cell>
          <cell r="M1725" t="str">
            <v>JESSICA</v>
          </cell>
        </row>
        <row r="1726">
          <cell r="B1726">
            <v>5342353</v>
          </cell>
          <cell r="C1726" t="str">
            <v>COOP REG DE COM DO EXT OESTE CO</v>
          </cell>
          <cell r="D1726">
            <v>4001</v>
          </cell>
          <cell r="E1726" t="str">
            <v>0456</v>
          </cell>
          <cell r="F1726" t="str">
            <v>C1</v>
          </cell>
          <cell r="G1726" t="str">
            <v>SC</v>
          </cell>
          <cell r="H1726" t="str">
            <v>INGREDIENTS</v>
          </cell>
          <cell r="I1726" t="str">
            <v>INGREDIENTS</v>
          </cell>
          <cell r="J1726" t="str">
            <v>MARCELO RODRIGUES</v>
          </cell>
          <cell r="K1726" t="str">
            <v>LACTALIS</v>
          </cell>
          <cell r="L1726" t="str">
            <v>MAURICIO</v>
          </cell>
          <cell r="M1726" t="str">
            <v>MARCELO</v>
          </cell>
        </row>
        <row r="1727">
          <cell r="B1727">
            <v>5344450</v>
          </cell>
          <cell r="C1727" t="str">
            <v>40992865 CAMILA ALMEIDA C COELH</v>
          </cell>
          <cell r="D1727">
            <v>7001</v>
          </cell>
          <cell r="E1727" t="str">
            <v>0749</v>
          </cell>
          <cell r="F1727" t="str">
            <v>C5</v>
          </cell>
          <cell r="G1727" t="str">
            <v>SP</v>
          </cell>
          <cell r="H1727" t="str">
            <v>DISTRIBUIÇÃO</v>
          </cell>
          <cell r="I1727" t="str">
            <v>FOOD SERVICE</v>
          </cell>
          <cell r="J1727" t="str">
            <v>FLAC 3</v>
          </cell>
          <cell r="K1727" t="str">
            <v>LACTALIS</v>
          </cell>
          <cell r="L1727" t="str">
            <v>RODRIGO</v>
          </cell>
          <cell r="M1727" t="str">
            <v>RAQUEL BARBOSA</v>
          </cell>
        </row>
        <row r="1728">
          <cell r="B1728">
            <v>5012038</v>
          </cell>
          <cell r="C1728" t="str">
            <v>HARALD INDUSTRIA E COMERCIO ALI</v>
          </cell>
          <cell r="D1728">
            <v>3001</v>
          </cell>
          <cell r="E1728" t="str">
            <v>0028</v>
          </cell>
          <cell r="F1728" t="str">
            <v>C1</v>
          </cell>
          <cell r="G1728" t="str">
            <v>SP</v>
          </cell>
          <cell r="H1728" t="str">
            <v>INGREDIENTS</v>
          </cell>
          <cell r="I1728" t="str">
            <v>INGREDIENTS</v>
          </cell>
          <cell r="J1728" t="str">
            <v>TATIANA NITTA</v>
          </cell>
          <cell r="K1728" t="str">
            <v>ITAMBÉ</v>
          </cell>
          <cell r="L1728" t="str">
            <v>MAURICIO</v>
          </cell>
          <cell r="M1728" t="str">
            <v>TATIANA NITTA</v>
          </cell>
        </row>
        <row r="1729">
          <cell r="B1729">
            <v>5067885</v>
          </cell>
          <cell r="C1729" t="str">
            <v>SOAZA COM PROD ALIMENTICIOS LTD</v>
          </cell>
          <cell r="D1729">
            <v>6001</v>
          </cell>
          <cell r="E1729" t="str">
            <v>6125</v>
          </cell>
          <cell r="F1729" t="str">
            <v>C1</v>
          </cell>
          <cell r="G1729" t="str">
            <v>SP</v>
          </cell>
          <cell r="H1729" t="str">
            <v>DISTRIBUIÇÃO</v>
          </cell>
          <cell r="I1729" t="str">
            <v>FOOD SERVICE</v>
          </cell>
          <cell r="J1729" t="str">
            <v>ALEXANDRE BONANI</v>
          </cell>
          <cell r="K1729" t="str">
            <v>ITAMBÉ</v>
          </cell>
          <cell r="L1729" t="str">
            <v>RODRIGO</v>
          </cell>
          <cell r="M1729" t="str">
            <v>ALEXANDRE BONANI</v>
          </cell>
        </row>
        <row r="1730">
          <cell r="B1730">
            <v>5099067</v>
          </cell>
          <cell r="C1730" t="str">
            <v>DR OETKER BRASIL LTDA</v>
          </cell>
          <cell r="D1730">
            <v>4001</v>
          </cell>
          <cell r="E1730" t="str">
            <v>0455</v>
          </cell>
          <cell r="F1730" t="str">
            <v>C1</v>
          </cell>
          <cell r="G1730" t="str">
            <v>SP</v>
          </cell>
          <cell r="H1730" t="str">
            <v>INGREDIENTS</v>
          </cell>
          <cell r="I1730" t="str">
            <v>INGREDIENTS</v>
          </cell>
          <cell r="J1730" t="str">
            <v>MARCELO RODRIGUES</v>
          </cell>
          <cell r="K1730" t="str">
            <v>LACTALIS</v>
          </cell>
          <cell r="L1730" t="str">
            <v>MAURICIO</v>
          </cell>
          <cell r="M1730" t="str">
            <v>MARCELO</v>
          </cell>
        </row>
        <row r="1731">
          <cell r="B1731">
            <v>5177629</v>
          </cell>
          <cell r="C1731" t="str">
            <v>BFS DISTRIB DE PRODUT ALIMENTIC</v>
          </cell>
          <cell r="D1731">
            <v>6001</v>
          </cell>
          <cell r="E1731" t="str">
            <v>6127</v>
          </cell>
          <cell r="F1731" t="str">
            <v>C1</v>
          </cell>
          <cell r="G1731" t="str">
            <v>BA</v>
          </cell>
          <cell r="H1731" t="str">
            <v>DISTRIBUIÇÃO</v>
          </cell>
          <cell r="I1731" t="str">
            <v>FOOD SERVICE</v>
          </cell>
          <cell r="J1731" t="str">
            <v>CLAUDIO JORGE/LUIZ</v>
          </cell>
          <cell r="K1731" t="str">
            <v>ITAMBÉ</v>
          </cell>
          <cell r="L1731" t="str">
            <v>RODRIGO</v>
          </cell>
          <cell r="M1731" t="str">
            <v>MARIA LOURDES</v>
          </cell>
        </row>
        <row r="1732">
          <cell r="B1732">
            <v>5342433</v>
          </cell>
          <cell r="C1732" t="str">
            <v>CONFEITARIA PRAZERES DA DEGUSTA</v>
          </cell>
          <cell r="D1732">
            <v>7001</v>
          </cell>
          <cell r="E1732" t="str">
            <v>0749</v>
          </cell>
          <cell r="F1732" t="str">
            <v>C5</v>
          </cell>
          <cell r="G1732" t="str">
            <v>SP</v>
          </cell>
          <cell r="H1732" t="str">
            <v>DISTRIBUIÇÃO</v>
          </cell>
          <cell r="I1732" t="str">
            <v>FOOD SERVICE</v>
          </cell>
          <cell r="J1732" t="str">
            <v>FLAC 2</v>
          </cell>
          <cell r="K1732" t="str">
            <v>LACTALIS</v>
          </cell>
          <cell r="L1732" t="str">
            <v>RODRIGO</v>
          </cell>
          <cell r="M1732" t="str">
            <v>RAQUEL BARBOSA</v>
          </cell>
        </row>
        <row r="1733">
          <cell r="B1733">
            <v>5344080</v>
          </cell>
          <cell r="C1733" t="str">
            <v>AC DOS SANTOS COMERCIO DE ALIM</v>
          </cell>
          <cell r="D1733">
            <v>7001</v>
          </cell>
          <cell r="E1733" t="str">
            <v>0749</v>
          </cell>
          <cell r="F1733" t="str">
            <v>C5</v>
          </cell>
          <cell r="G1733" t="str">
            <v>SP</v>
          </cell>
          <cell r="H1733" t="str">
            <v>DISTRIBUIÇÃO</v>
          </cell>
          <cell r="I1733" t="str">
            <v>FOOD SERVICE</v>
          </cell>
          <cell r="J1733" t="str">
            <v>FLAC 4</v>
          </cell>
          <cell r="K1733" t="str">
            <v>LACTALIS</v>
          </cell>
          <cell r="L1733" t="str">
            <v>RODRIGO</v>
          </cell>
          <cell r="M1733" t="str">
            <v>RAQUEL BARBOSA</v>
          </cell>
        </row>
        <row r="1734">
          <cell r="B1734">
            <v>5001788</v>
          </cell>
          <cell r="C1734" t="str">
            <v>SAPORE SA</v>
          </cell>
          <cell r="D1734">
            <v>3001</v>
          </cell>
          <cell r="E1734" t="str">
            <v>0122</v>
          </cell>
          <cell r="F1734" t="str">
            <v>C1</v>
          </cell>
          <cell r="G1734" t="str">
            <v>MG</v>
          </cell>
          <cell r="H1734" t="str">
            <v>QSR</v>
          </cell>
          <cell r="I1734" t="str">
            <v>FOOD SERVICE</v>
          </cell>
          <cell r="J1734" t="str">
            <v>NUTRI</v>
          </cell>
          <cell r="K1734" t="str">
            <v>ITAMBÉ</v>
          </cell>
          <cell r="L1734" t="str">
            <v>PEDRO</v>
          </cell>
          <cell r="M1734" t="str">
            <v>VAGO QSR</v>
          </cell>
        </row>
        <row r="1735">
          <cell r="B1735">
            <v>5020319</v>
          </cell>
          <cell r="C1735" t="str">
            <v>SOST IND E COM DE ALIMENTOS EIRELI</v>
          </cell>
          <cell r="D1735">
            <v>6001</v>
          </cell>
          <cell r="E1735" t="str">
            <v>6127</v>
          </cell>
          <cell r="F1735" t="str">
            <v>C1</v>
          </cell>
          <cell r="G1735" t="str">
            <v>BA</v>
          </cell>
          <cell r="H1735" t="str">
            <v>DISTRIBUIÇÃO</v>
          </cell>
          <cell r="I1735" t="str">
            <v>FOOD SERVICE</v>
          </cell>
          <cell r="J1735" t="str">
            <v>CLAUDIO JORGE/LUIZ</v>
          </cell>
          <cell r="K1735" t="str">
            <v>ITAMBÉ</v>
          </cell>
          <cell r="L1735" t="str">
            <v>RODRIGO</v>
          </cell>
          <cell r="M1735" t="str">
            <v>MARIA LOURDES</v>
          </cell>
        </row>
        <row r="1736">
          <cell r="B1736">
            <v>5036214</v>
          </cell>
          <cell r="C1736" t="str">
            <v>ESPACO CHEF COMERCIO E DIST LTD</v>
          </cell>
          <cell r="D1736">
            <v>6001</v>
          </cell>
          <cell r="E1736" t="str">
            <v>6127</v>
          </cell>
          <cell r="F1736" t="str">
            <v>C1</v>
          </cell>
          <cell r="G1736" t="str">
            <v>CE</v>
          </cell>
          <cell r="H1736" t="str">
            <v>DISTRIBUIÇÃO</v>
          </cell>
          <cell r="I1736" t="str">
            <v>FOOD SERVICE</v>
          </cell>
          <cell r="J1736" t="str">
            <v>WH FOOD SERVICE CE</v>
          </cell>
          <cell r="K1736" t="str">
            <v>ITAMBÉ</v>
          </cell>
          <cell r="L1736" t="str">
            <v>RODRIGO</v>
          </cell>
          <cell r="M1736" t="str">
            <v>MARIA LOURDES</v>
          </cell>
        </row>
        <row r="1737">
          <cell r="B1737">
            <v>5036304</v>
          </cell>
          <cell r="C1737" t="str">
            <v>GR SERVICOS E ALIMENTACAO LTDA</v>
          </cell>
          <cell r="D1737">
            <v>3001</v>
          </cell>
          <cell r="E1737" t="str">
            <v>0128</v>
          </cell>
          <cell r="F1737" t="str">
            <v>C1</v>
          </cell>
          <cell r="G1737" t="str">
            <v>AM</v>
          </cell>
          <cell r="H1737" t="str">
            <v>QSR</v>
          </cell>
          <cell r="I1737" t="str">
            <v>FOOD SERVICE</v>
          </cell>
          <cell r="J1737" t="str">
            <v>NUTRI</v>
          </cell>
          <cell r="K1737" t="str">
            <v>ITAMBÉ</v>
          </cell>
          <cell r="L1737" t="str">
            <v>PEDRO</v>
          </cell>
          <cell r="M1737" t="str">
            <v>VAGO QSR</v>
          </cell>
        </row>
        <row r="1738">
          <cell r="B1738">
            <v>5038591</v>
          </cell>
          <cell r="C1738" t="str">
            <v>TRIGAL IMP EXP PROD ALIM LTDA</v>
          </cell>
          <cell r="D1738">
            <v>6001</v>
          </cell>
          <cell r="E1738" t="str">
            <v>6127</v>
          </cell>
          <cell r="F1738" t="str">
            <v>C1</v>
          </cell>
          <cell r="G1738" t="str">
            <v>BA</v>
          </cell>
          <cell r="H1738" t="str">
            <v>DISTRIBUIÇÃO</v>
          </cell>
          <cell r="I1738" t="str">
            <v>FOOD SERVICE</v>
          </cell>
          <cell r="J1738" t="str">
            <v>CLAUDIO JORGE/LUIZ</v>
          </cell>
          <cell r="K1738" t="str">
            <v>ITAMBÉ</v>
          </cell>
          <cell r="L1738" t="str">
            <v>RODRIGO</v>
          </cell>
          <cell r="M1738" t="str">
            <v>MARIA LOURDES</v>
          </cell>
        </row>
        <row r="1739">
          <cell r="B1739">
            <v>5073333</v>
          </cell>
          <cell r="C1739" t="str">
            <v>TUFFUS</v>
          </cell>
          <cell r="D1739">
            <v>6001</v>
          </cell>
          <cell r="E1739" t="str">
            <v>6127</v>
          </cell>
          <cell r="F1739" t="str">
            <v>C1</v>
          </cell>
          <cell r="G1739" t="str">
            <v>BA</v>
          </cell>
          <cell r="H1739" t="str">
            <v>DISTRIBUIÇÃO</v>
          </cell>
          <cell r="I1739" t="str">
            <v>FOOD SERVICE</v>
          </cell>
          <cell r="J1739" t="str">
            <v>CLAUDIO JORGE/LUIZ</v>
          </cell>
          <cell r="K1739" t="str">
            <v>ITAMBÉ</v>
          </cell>
          <cell r="L1739" t="str">
            <v>RODRIGO</v>
          </cell>
          <cell r="M1739" t="str">
            <v>MARIA LOURDES</v>
          </cell>
        </row>
        <row r="1740">
          <cell r="B1740">
            <v>5118035</v>
          </cell>
          <cell r="C1740" t="str">
            <v>A B GUIMARAES BRANDAO VILAR</v>
          </cell>
          <cell r="D1740">
            <v>6001</v>
          </cell>
          <cell r="E1740" t="str">
            <v>6127</v>
          </cell>
          <cell r="F1740" t="str">
            <v>C1</v>
          </cell>
          <cell r="G1740" t="str">
            <v>BA</v>
          </cell>
          <cell r="H1740" t="str">
            <v>DISTRIBUIÇÃO</v>
          </cell>
          <cell r="I1740" t="str">
            <v>FOOD SERVICE</v>
          </cell>
          <cell r="J1740" t="str">
            <v>CLAUDIO JORGE/LUIZ</v>
          </cell>
          <cell r="K1740" t="str">
            <v>ITAMBÉ</v>
          </cell>
          <cell r="L1740" t="str">
            <v>RODRIGO</v>
          </cell>
          <cell r="M1740" t="str">
            <v>MARIA LOURDES</v>
          </cell>
        </row>
        <row r="1741">
          <cell r="B1741">
            <v>5128991</v>
          </cell>
          <cell r="C1741" t="str">
            <v>FORPAN FORTALEZA PAO LTDA</v>
          </cell>
          <cell r="D1741">
            <v>6001</v>
          </cell>
          <cell r="E1741" t="str">
            <v>6127</v>
          </cell>
          <cell r="F1741" t="str">
            <v>C1</v>
          </cell>
          <cell r="G1741" t="str">
            <v>CE</v>
          </cell>
          <cell r="H1741" t="str">
            <v>DISTRIBUIÇÃO</v>
          </cell>
          <cell r="I1741" t="str">
            <v>FOOD SERVICE</v>
          </cell>
          <cell r="J1741" t="str">
            <v>WH FOOD SERVICE CE</v>
          </cell>
          <cell r="K1741" t="str">
            <v>ITAMBÉ</v>
          </cell>
          <cell r="L1741" t="str">
            <v>RODRIGO</v>
          </cell>
          <cell r="M1741" t="str">
            <v>MARIA LOURDES</v>
          </cell>
        </row>
        <row r="1742">
          <cell r="B1742">
            <v>5129139</v>
          </cell>
          <cell r="C1742" t="str">
            <v>GR SERVICOS E ALIMENTACAO LTDA</v>
          </cell>
          <cell r="D1742">
            <v>6001</v>
          </cell>
          <cell r="E1742" t="str">
            <v>6028</v>
          </cell>
          <cell r="F1742" t="str">
            <v>C1</v>
          </cell>
          <cell r="G1742" t="str">
            <v>BA</v>
          </cell>
          <cell r="H1742" t="str">
            <v>QSR</v>
          </cell>
          <cell r="I1742" t="str">
            <v>FOOD SERVICE</v>
          </cell>
          <cell r="J1742" t="str">
            <v>NUTRI</v>
          </cell>
          <cell r="K1742" t="str">
            <v>ITAMBÉ</v>
          </cell>
          <cell r="L1742" t="str">
            <v>PEDRO</v>
          </cell>
          <cell r="M1742" t="str">
            <v>VAGO QSR</v>
          </cell>
        </row>
        <row r="1743">
          <cell r="B1743">
            <v>5139324</v>
          </cell>
          <cell r="C1743" t="str">
            <v>H P EMABALAGENS LTDA ME</v>
          </cell>
          <cell r="D1743">
            <v>6001</v>
          </cell>
          <cell r="E1743" t="str">
            <v>6169</v>
          </cell>
          <cell r="F1743" t="str">
            <v>C1</v>
          </cell>
          <cell r="G1743" t="str">
            <v>ES</v>
          </cell>
          <cell r="H1743" t="str">
            <v>INGREDIENTS</v>
          </cell>
          <cell r="I1743" t="str">
            <v>INGREDIENTS</v>
          </cell>
          <cell r="J1743" t="str">
            <v>DUAS RODAS</v>
          </cell>
          <cell r="K1743" t="str">
            <v>ITAMBÉ</v>
          </cell>
          <cell r="L1743" t="str">
            <v>MAURICIO</v>
          </cell>
          <cell r="M1743" t="str">
            <v>TATIANA NITTA</v>
          </cell>
        </row>
        <row r="1744">
          <cell r="B1744">
            <v>5150168</v>
          </cell>
          <cell r="C1744" t="str">
            <v>TRUE ACAI DISTRIBUIDORA LTDA ME</v>
          </cell>
          <cell r="D1744">
            <v>6001</v>
          </cell>
          <cell r="E1744" t="str">
            <v>6127</v>
          </cell>
          <cell r="F1744" t="str">
            <v>C1</v>
          </cell>
          <cell r="G1744" t="str">
            <v>CE</v>
          </cell>
          <cell r="H1744" t="str">
            <v>DISTRIBUIÇÃO</v>
          </cell>
          <cell r="I1744" t="str">
            <v>FOOD SERVICE</v>
          </cell>
          <cell r="J1744" t="str">
            <v>WH FOOD SERVICE CE</v>
          </cell>
          <cell r="K1744" t="str">
            <v>ITAMBÉ</v>
          </cell>
          <cell r="L1744" t="str">
            <v>RODRIGO</v>
          </cell>
          <cell r="M1744" t="str">
            <v>MARIA LOURDES</v>
          </cell>
        </row>
        <row r="1745">
          <cell r="B1745">
            <v>5168003</v>
          </cell>
          <cell r="C1745" t="str">
            <v>DAMAIS GELATUS F DE SORVETES E D LT</v>
          </cell>
          <cell r="D1745">
            <v>6001</v>
          </cell>
          <cell r="E1745" t="str">
            <v>6028</v>
          </cell>
          <cell r="F1745" t="str">
            <v>C1</v>
          </cell>
          <cell r="G1745" t="str">
            <v>BA</v>
          </cell>
          <cell r="H1745" t="str">
            <v>INGREDIENTS</v>
          </cell>
          <cell r="I1745" t="str">
            <v>INGREDIENTS</v>
          </cell>
          <cell r="J1745" t="str">
            <v>BA ITB FS ML FLAVORS</v>
          </cell>
          <cell r="K1745" t="str">
            <v>ITAMBÉ</v>
          </cell>
          <cell r="L1745" t="str">
            <v>MAURICIO</v>
          </cell>
          <cell r="M1745" t="str">
            <v>JOEL</v>
          </cell>
        </row>
        <row r="1746">
          <cell r="B1746">
            <v>5172911</v>
          </cell>
          <cell r="C1746" t="str">
            <v>COMERCIAL DE ALIMENTOS FAVORITA</v>
          </cell>
          <cell r="D1746">
            <v>6001</v>
          </cell>
          <cell r="E1746" t="str">
            <v>6127</v>
          </cell>
          <cell r="F1746" t="str">
            <v>C1</v>
          </cell>
          <cell r="G1746" t="str">
            <v>BA</v>
          </cell>
          <cell r="H1746" t="str">
            <v>DISTRIBUIÇÃO</v>
          </cell>
          <cell r="I1746" t="str">
            <v>FOOD SERVICE</v>
          </cell>
          <cell r="J1746" t="str">
            <v>CLAUDIO JORGE/LUIZ</v>
          </cell>
          <cell r="K1746" t="str">
            <v>ITAMBÉ</v>
          </cell>
          <cell r="L1746" t="str">
            <v>RODRIGO</v>
          </cell>
          <cell r="M1746" t="str">
            <v>MARIA LOURDES</v>
          </cell>
        </row>
        <row r="1747">
          <cell r="B1747">
            <v>5184155</v>
          </cell>
          <cell r="C1747" t="str">
            <v>EJP COMERCIO DE ALIMENTOS LTDA</v>
          </cell>
          <cell r="D1747">
            <v>6001</v>
          </cell>
          <cell r="E1747" t="str">
            <v>6127</v>
          </cell>
          <cell r="F1747" t="str">
            <v>C1</v>
          </cell>
          <cell r="G1747" t="str">
            <v>CE</v>
          </cell>
          <cell r="H1747" t="str">
            <v>DISTRIBUIÇÃO</v>
          </cell>
          <cell r="I1747" t="str">
            <v>FOOD SERVICE</v>
          </cell>
          <cell r="J1747" t="str">
            <v>WH FOOD SERVICE CE</v>
          </cell>
          <cell r="K1747" t="str">
            <v>ITAMBÉ</v>
          </cell>
          <cell r="L1747" t="str">
            <v>RODRIGO</v>
          </cell>
          <cell r="M1747" t="str">
            <v>MARIA LOURDES</v>
          </cell>
        </row>
        <row r="1748">
          <cell r="B1748">
            <v>5185277</v>
          </cell>
          <cell r="C1748" t="str">
            <v>CSS DISTRIBUIDORA LTDA</v>
          </cell>
          <cell r="D1748">
            <v>6001</v>
          </cell>
          <cell r="E1748" t="str">
            <v>6123</v>
          </cell>
          <cell r="F1748" t="str">
            <v>C1</v>
          </cell>
          <cell r="G1748" t="str">
            <v>MT</v>
          </cell>
          <cell r="H1748" t="str">
            <v>DISTRIBUIÇÃO</v>
          </cell>
          <cell r="I1748" t="str">
            <v>FOOD SERVICE</v>
          </cell>
          <cell r="J1748" t="str">
            <v>CLAUDIO JORGE</v>
          </cell>
          <cell r="K1748" t="str">
            <v>ITAMBÉ</v>
          </cell>
          <cell r="L1748" t="str">
            <v>RODRIGO</v>
          </cell>
          <cell r="M1748" t="str">
            <v>MARCO AURELIO</v>
          </cell>
        </row>
        <row r="1749">
          <cell r="B1749">
            <v>5197137</v>
          </cell>
          <cell r="C1749" t="str">
            <v>M LEILIANE M DA S LIMA ME</v>
          </cell>
          <cell r="D1749">
            <v>6001</v>
          </cell>
          <cell r="E1749" t="str">
            <v>6127</v>
          </cell>
          <cell r="F1749" t="str">
            <v>C1</v>
          </cell>
          <cell r="G1749" t="str">
            <v>CE</v>
          </cell>
          <cell r="H1749" t="str">
            <v>DISTRIBUIÇÃO</v>
          </cell>
          <cell r="I1749" t="str">
            <v>FOOD SERVICE</v>
          </cell>
          <cell r="J1749" t="str">
            <v>WH FOOD SERVICE CE</v>
          </cell>
          <cell r="K1749" t="str">
            <v>ITAMBÉ</v>
          </cell>
          <cell r="L1749" t="str">
            <v>RODRIGO</v>
          </cell>
          <cell r="M1749" t="str">
            <v>MARIA LOURDES</v>
          </cell>
        </row>
        <row r="1750">
          <cell r="B1750">
            <v>5200125</v>
          </cell>
          <cell r="C1750" t="str">
            <v>DOCA COM DE EMB LTDA</v>
          </cell>
          <cell r="D1750">
            <v>6001</v>
          </cell>
          <cell r="E1750" t="str">
            <v>6127</v>
          </cell>
          <cell r="F1750" t="str">
            <v>C1</v>
          </cell>
          <cell r="G1750" t="str">
            <v>CE</v>
          </cell>
          <cell r="H1750" t="str">
            <v>DISTRIBUIÇÃO</v>
          </cell>
          <cell r="I1750" t="str">
            <v>FOOD SERVICE</v>
          </cell>
          <cell r="J1750" t="str">
            <v>WH FOOD SERVICE CE</v>
          </cell>
          <cell r="K1750" t="str">
            <v>ITAMBÉ</v>
          </cell>
          <cell r="L1750" t="str">
            <v>RODRIGO</v>
          </cell>
          <cell r="M1750" t="str">
            <v>MARIA LOURDES</v>
          </cell>
        </row>
        <row r="1751">
          <cell r="B1751">
            <v>5209002</v>
          </cell>
          <cell r="C1751" t="str">
            <v>DOCA COME DE PROD ALIMEN LTDA</v>
          </cell>
          <cell r="D1751">
            <v>6001</v>
          </cell>
          <cell r="E1751" t="str">
            <v>6127</v>
          </cell>
          <cell r="F1751" t="str">
            <v>C1</v>
          </cell>
          <cell r="G1751" t="str">
            <v>CE</v>
          </cell>
          <cell r="H1751" t="str">
            <v>DISTRIBUIÇÃO</v>
          </cell>
          <cell r="I1751" t="str">
            <v>FOOD SERVICE</v>
          </cell>
          <cell r="J1751" t="str">
            <v>WH FOOD SERVICE CE</v>
          </cell>
          <cell r="K1751" t="str">
            <v>ITAMBÉ</v>
          </cell>
          <cell r="L1751" t="str">
            <v>RODRIGO</v>
          </cell>
          <cell r="M1751" t="str">
            <v>MARIA LOURDES</v>
          </cell>
        </row>
        <row r="1752">
          <cell r="B1752">
            <v>5212418</v>
          </cell>
          <cell r="C1752" t="str">
            <v>MIRI PADARIA E CONFEITARIA LTDA</v>
          </cell>
          <cell r="D1752">
            <v>6001</v>
          </cell>
          <cell r="E1752" t="str">
            <v>6127</v>
          </cell>
          <cell r="F1752" t="str">
            <v>C1</v>
          </cell>
          <cell r="G1752" t="str">
            <v>BA</v>
          </cell>
          <cell r="H1752" t="str">
            <v>DISTRIBUIÇÃO</v>
          </cell>
          <cell r="I1752" t="str">
            <v>FOOD SERVICE</v>
          </cell>
          <cell r="J1752" t="str">
            <v>CLAUDIO JORGE/LUIZ</v>
          </cell>
          <cell r="K1752" t="str">
            <v>ITAMBÉ</v>
          </cell>
          <cell r="L1752" t="str">
            <v>RODRIGO</v>
          </cell>
          <cell r="M1752" t="str">
            <v>MARIA LOURDES</v>
          </cell>
        </row>
        <row r="1753">
          <cell r="B1753">
            <v>5212456</v>
          </cell>
          <cell r="C1753" t="str">
            <v>SEJA LETS FIT COMERCIO DE ALIM</v>
          </cell>
          <cell r="D1753">
            <v>6001</v>
          </cell>
          <cell r="E1753" t="str">
            <v>6127</v>
          </cell>
          <cell r="F1753" t="str">
            <v>C1</v>
          </cell>
          <cell r="G1753" t="str">
            <v>CE</v>
          </cell>
          <cell r="H1753" t="str">
            <v>DISTRIBUIÇÃO</v>
          </cell>
          <cell r="I1753" t="str">
            <v>FOOD SERVICE</v>
          </cell>
          <cell r="J1753" t="str">
            <v>WH FOOD SERVICE CE</v>
          </cell>
          <cell r="K1753" t="str">
            <v>ITAMBÉ</v>
          </cell>
          <cell r="L1753" t="str">
            <v>RODRIGO</v>
          </cell>
          <cell r="M1753" t="str">
            <v>MARIA LOURDES</v>
          </cell>
        </row>
        <row r="1754">
          <cell r="B1754">
            <v>5226443</v>
          </cell>
          <cell r="C1754" t="str">
            <v>J A DISTRIBUIDORA LTDA</v>
          </cell>
          <cell r="D1754">
            <v>6001</v>
          </cell>
          <cell r="E1754" t="str">
            <v>6127</v>
          </cell>
          <cell r="F1754" t="str">
            <v>C1</v>
          </cell>
          <cell r="G1754" t="str">
            <v>CE</v>
          </cell>
          <cell r="H1754" t="str">
            <v>DISTRIBUIÇÃO</v>
          </cell>
          <cell r="I1754" t="str">
            <v>FOOD SERVICE</v>
          </cell>
          <cell r="J1754" t="str">
            <v>WH FOOD SERVICE CE</v>
          </cell>
          <cell r="K1754" t="str">
            <v>ITAMBÉ</v>
          </cell>
          <cell r="L1754" t="str">
            <v>RODRIGO</v>
          </cell>
          <cell r="M1754" t="str">
            <v>MARIA LOURDES</v>
          </cell>
        </row>
        <row r="1755">
          <cell r="B1755">
            <v>5226476</v>
          </cell>
          <cell r="C1755" t="str">
            <v>HARUS FOOD BAHIA LTDA</v>
          </cell>
          <cell r="D1755">
            <v>6001</v>
          </cell>
          <cell r="E1755" t="str">
            <v>6127</v>
          </cell>
          <cell r="F1755" t="str">
            <v>C1</v>
          </cell>
          <cell r="G1755" t="str">
            <v>BA</v>
          </cell>
          <cell r="H1755" t="str">
            <v>DISTRIBUIÇÃO</v>
          </cell>
          <cell r="I1755" t="str">
            <v>FOOD SERVICE</v>
          </cell>
          <cell r="J1755" t="str">
            <v>CLAUDIO JORGE/LUIZ</v>
          </cell>
          <cell r="K1755" t="str">
            <v>ITAMBÉ</v>
          </cell>
          <cell r="L1755" t="str">
            <v>RODRIGO</v>
          </cell>
          <cell r="M1755" t="str">
            <v>MARIA LOURDES</v>
          </cell>
        </row>
        <row r="1756">
          <cell r="B1756">
            <v>5226643</v>
          </cell>
          <cell r="C1756" t="str">
            <v>HOSPITAL MATER DEI SA</v>
          </cell>
          <cell r="D1756">
            <v>6001</v>
          </cell>
          <cell r="E1756" t="str">
            <v>6127</v>
          </cell>
          <cell r="F1756" t="str">
            <v>C1</v>
          </cell>
          <cell r="G1756" t="str">
            <v>BA</v>
          </cell>
          <cell r="H1756" t="str">
            <v>DISTRIBUIÇÃO</v>
          </cell>
          <cell r="I1756" t="str">
            <v>FOOD SERVICE</v>
          </cell>
          <cell r="J1756" t="str">
            <v>CLAUDIO JORGE/LUIZ</v>
          </cell>
          <cell r="K1756" t="str">
            <v>ITAMBÉ</v>
          </cell>
          <cell r="L1756" t="str">
            <v>RODRIGO</v>
          </cell>
          <cell r="M1756" t="str">
            <v>MARIA LOURDES</v>
          </cell>
        </row>
        <row r="1757">
          <cell r="B1757">
            <v>5228827</v>
          </cell>
          <cell r="C1757" t="str">
            <v>FABRICA ACAI MAGNIFICO LTDA</v>
          </cell>
          <cell r="D1757">
            <v>6001</v>
          </cell>
          <cell r="E1757" t="str">
            <v>6028</v>
          </cell>
          <cell r="F1757" t="str">
            <v>C1</v>
          </cell>
          <cell r="G1757" t="str">
            <v>SP</v>
          </cell>
          <cell r="H1757" t="str">
            <v>INGREDIENTS</v>
          </cell>
          <cell r="I1757" t="str">
            <v>INGREDIENTS</v>
          </cell>
          <cell r="J1757" t="str">
            <v>HENRIQUE FERREIRA</v>
          </cell>
          <cell r="K1757" t="str">
            <v>ITAMBÉ</v>
          </cell>
          <cell r="L1757" t="str">
            <v>MAURICIO</v>
          </cell>
          <cell r="M1757" t="str">
            <v>JOEL</v>
          </cell>
        </row>
        <row r="1758">
          <cell r="B1758">
            <v>5232460</v>
          </cell>
          <cell r="C1758" t="str">
            <v>GELATO LUCE COMERCIO LTDA</v>
          </cell>
          <cell r="D1758">
            <v>6001</v>
          </cell>
          <cell r="E1758" t="str">
            <v>6127</v>
          </cell>
          <cell r="F1758" t="str">
            <v>C1</v>
          </cell>
          <cell r="G1758" t="str">
            <v>BA</v>
          </cell>
          <cell r="H1758" t="str">
            <v>DISTRIBUIÇÃO</v>
          </cell>
          <cell r="I1758" t="str">
            <v>FOOD SERVICE</v>
          </cell>
          <cell r="J1758" t="str">
            <v>CLAUDIO JORGE/LUIZ</v>
          </cell>
          <cell r="K1758" t="str">
            <v>ITAMBÉ</v>
          </cell>
          <cell r="L1758" t="str">
            <v>RODRIGO</v>
          </cell>
          <cell r="M1758" t="str">
            <v>MARIA LOURDES</v>
          </cell>
        </row>
        <row r="1759">
          <cell r="B1759">
            <v>5250636</v>
          </cell>
          <cell r="C1759" t="str">
            <v>SUPER GRILL EXPRESS MORUMBI ALI</v>
          </cell>
          <cell r="D1759">
            <v>7001</v>
          </cell>
          <cell r="E1759" t="str">
            <v>0749</v>
          </cell>
          <cell r="F1759" t="str">
            <v>C5</v>
          </cell>
          <cell r="G1759" t="str">
            <v>SP</v>
          </cell>
          <cell r="H1759" t="str">
            <v>DISTRIBUIÇÃO</v>
          </cell>
          <cell r="I1759" t="str">
            <v>FOOD SERVICE</v>
          </cell>
          <cell r="J1759" t="str">
            <v>FLAC 2</v>
          </cell>
          <cell r="K1759" t="str">
            <v>LACTALIS</v>
          </cell>
          <cell r="L1759" t="str">
            <v>RODRIGO</v>
          </cell>
          <cell r="M1759" t="str">
            <v>RAQUEL BARBOSA</v>
          </cell>
        </row>
        <row r="1760">
          <cell r="B1760">
            <v>5256539</v>
          </cell>
          <cell r="C1760" t="str">
            <v>MAGAZZINO DIST DE ALIMENTOS LTD</v>
          </cell>
          <cell r="D1760">
            <v>6001</v>
          </cell>
          <cell r="E1760" t="str">
            <v>6169</v>
          </cell>
          <cell r="F1760" t="str">
            <v>C1</v>
          </cell>
          <cell r="G1760" t="str">
            <v>RJ</v>
          </cell>
          <cell r="H1760" t="str">
            <v>QSR</v>
          </cell>
          <cell r="I1760" t="str">
            <v>FOOD SERVICE</v>
          </cell>
          <cell r="J1760" t="str">
            <v>VAGO QSR</v>
          </cell>
          <cell r="K1760" t="str">
            <v>ITAMBÉ</v>
          </cell>
          <cell r="L1760" t="str">
            <v>PEDRO</v>
          </cell>
          <cell r="M1760" t="str">
            <v>VAGO QSR</v>
          </cell>
        </row>
        <row r="1761">
          <cell r="B1761">
            <v>5257842</v>
          </cell>
          <cell r="C1761" t="str">
            <v>SUPER GRILL EX PAULISTA REST LT</v>
          </cell>
          <cell r="D1761">
            <v>7001</v>
          </cell>
          <cell r="E1761" t="str">
            <v>0749</v>
          </cell>
          <cell r="F1761" t="str">
            <v>C5</v>
          </cell>
          <cell r="G1761" t="str">
            <v>SP</v>
          </cell>
          <cell r="H1761" t="str">
            <v>DISTRIBUIÇÃO</v>
          </cell>
          <cell r="I1761" t="str">
            <v>FOOD SERVICE</v>
          </cell>
          <cell r="J1761" t="str">
            <v>FLAC 2</v>
          </cell>
          <cell r="K1761" t="str">
            <v>LACTALIS</v>
          </cell>
          <cell r="L1761" t="str">
            <v>RODRIGO</v>
          </cell>
          <cell r="M1761" t="str">
            <v>RAQUEL BARBOSA</v>
          </cell>
        </row>
        <row r="1762">
          <cell r="B1762">
            <v>5275629</v>
          </cell>
          <cell r="C1762" t="str">
            <v>LATIT 13 CAFES ESP COM CAF E AC</v>
          </cell>
          <cell r="D1762">
            <v>6001</v>
          </cell>
          <cell r="E1762" t="str">
            <v>6127</v>
          </cell>
          <cell r="F1762" t="str">
            <v>C1</v>
          </cell>
          <cell r="G1762" t="str">
            <v>BA</v>
          </cell>
          <cell r="H1762" t="str">
            <v>DISTRIBUIÇÃO</v>
          </cell>
          <cell r="I1762" t="str">
            <v>FOOD SERVICE</v>
          </cell>
          <cell r="J1762" t="str">
            <v>CLAUDIO JORGE/LUIZ</v>
          </cell>
          <cell r="K1762" t="str">
            <v>ITAMBÉ</v>
          </cell>
          <cell r="L1762" t="str">
            <v>RODRIGO</v>
          </cell>
          <cell r="M1762" t="str">
            <v>MARIA LOURDES</v>
          </cell>
        </row>
        <row r="1763">
          <cell r="B1763">
            <v>5297860</v>
          </cell>
          <cell r="C1763" t="str">
            <v>GRAN SAPORE BR BRASIL S A</v>
          </cell>
          <cell r="D1763">
            <v>3001</v>
          </cell>
          <cell r="E1763" t="str">
            <v>0123</v>
          </cell>
          <cell r="F1763" t="str">
            <v>C1</v>
          </cell>
          <cell r="G1763" t="str">
            <v>DF</v>
          </cell>
          <cell r="H1763" t="str">
            <v>QSR</v>
          </cell>
          <cell r="I1763" t="str">
            <v>FOOD SERVICE</v>
          </cell>
          <cell r="J1763" t="str">
            <v>NUTRI</v>
          </cell>
          <cell r="K1763" t="str">
            <v>ITAMBÉ</v>
          </cell>
          <cell r="L1763" t="str">
            <v>PEDRO</v>
          </cell>
          <cell r="M1763" t="str">
            <v>VAGO QSR</v>
          </cell>
        </row>
        <row r="1764">
          <cell r="B1764">
            <v>5320317</v>
          </cell>
          <cell r="C1764" t="str">
            <v>L F S COM E IMPORTACAO DE ALIM</v>
          </cell>
          <cell r="D1764">
            <v>6001</v>
          </cell>
          <cell r="E1764" t="str">
            <v>6127</v>
          </cell>
          <cell r="F1764" t="str">
            <v>C1</v>
          </cell>
          <cell r="G1764" t="str">
            <v>CE</v>
          </cell>
          <cell r="H1764" t="str">
            <v>DISTRIBUIÇÃO</v>
          </cell>
          <cell r="I1764" t="str">
            <v>FOOD SERVICE</v>
          </cell>
          <cell r="J1764" t="str">
            <v>WH FOOD SERVICE CE</v>
          </cell>
          <cell r="K1764" t="str">
            <v>ITAMBÉ</v>
          </cell>
          <cell r="L1764" t="str">
            <v>RODRIGO</v>
          </cell>
          <cell r="M1764" t="str">
            <v>MARIA LOURDES</v>
          </cell>
        </row>
        <row r="1765">
          <cell r="B1765">
            <v>5331983</v>
          </cell>
          <cell r="C1765" t="str">
            <v>SCALONA ALIMENTOS LTDA</v>
          </cell>
          <cell r="D1765">
            <v>6001</v>
          </cell>
          <cell r="E1765" t="str">
            <v>6127</v>
          </cell>
          <cell r="F1765" t="str">
            <v>C1</v>
          </cell>
          <cell r="G1765" t="str">
            <v>BA</v>
          </cell>
          <cell r="H1765" t="str">
            <v>DISTRIBUIÇÃO</v>
          </cell>
          <cell r="I1765" t="str">
            <v>FOOD SERVICE</v>
          </cell>
          <cell r="J1765" t="str">
            <v>CLAUDIO JORGE/LUIZ</v>
          </cell>
          <cell r="K1765" t="str">
            <v>ITAMBÉ</v>
          </cell>
          <cell r="L1765" t="str">
            <v>RODRIGO</v>
          </cell>
          <cell r="M1765" t="str">
            <v>MARIA LOURDES</v>
          </cell>
        </row>
        <row r="1766">
          <cell r="B1766">
            <v>5335635</v>
          </cell>
          <cell r="C1766" t="str">
            <v>SUSANA SALES SIQUEIRA 159179698</v>
          </cell>
          <cell r="D1766">
            <v>6001</v>
          </cell>
          <cell r="E1766" t="str">
            <v>6028</v>
          </cell>
          <cell r="F1766" t="str">
            <v>C1</v>
          </cell>
          <cell r="G1766" t="str">
            <v>BA</v>
          </cell>
          <cell r="H1766" t="str">
            <v>INGREDIENTS</v>
          </cell>
          <cell r="I1766" t="str">
            <v>INGREDIENTS</v>
          </cell>
          <cell r="J1766" t="str">
            <v>BA ITB FS ML FLAVORS</v>
          </cell>
          <cell r="K1766" t="str">
            <v>ITAMBÉ</v>
          </cell>
          <cell r="L1766" t="str">
            <v>MAURICIO</v>
          </cell>
          <cell r="M1766" t="str">
            <v>JOEL</v>
          </cell>
        </row>
        <row r="1767">
          <cell r="B1767">
            <v>5342210</v>
          </cell>
          <cell r="C1767" t="str">
            <v>MULTLAZER POUSADA LTDA</v>
          </cell>
          <cell r="D1767">
            <v>7001</v>
          </cell>
          <cell r="E1767" t="str">
            <v>0749</v>
          </cell>
          <cell r="F1767" t="str">
            <v>C5</v>
          </cell>
          <cell r="G1767" t="str">
            <v>SP</v>
          </cell>
          <cell r="H1767" t="str">
            <v>DISTRIBUIÇÃO</v>
          </cell>
          <cell r="I1767" t="str">
            <v>FOOD SERVICE</v>
          </cell>
          <cell r="J1767" t="str">
            <v>FLAC 5</v>
          </cell>
          <cell r="K1767" t="str">
            <v>LACTALIS</v>
          </cell>
          <cell r="L1767" t="str">
            <v>RODRIGO</v>
          </cell>
          <cell r="M1767" t="str">
            <v>RAQUEL BARBOSA</v>
          </cell>
        </row>
        <row r="1768">
          <cell r="B1768">
            <v>5344670</v>
          </cell>
          <cell r="C1768" t="str">
            <v>SALT BAKERY LTDA</v>
          </cell>
          <cell r="D1768">
            <v>7001</v>
          </cell>
          <cell r="E1768" t="str">
            <v>0749</v>
          </cell>
          <cell r="F1768" t="str">
            <v>C5</v>
          </cell>
          <cell r="G1768" t="str">
            <v>SP</v>
          </cell>
          <cell r="H1768" t="str">
            <v>DISTRIBUIÇÃO</v>
          </cell>
          <cell r="I1768" t="str">
            <v>FOOD SERVICE</v>
          </cell>
          <cell r="J1768" t="str">
            <v>FLAC 2</v>
          </cell>
          <cell r="K1768" t="str">
            <v>LACTALIS</v>
          </cell>
          <cell r="L1768" t="str">
            <v>RODRIGO</v>
          </cell>
          <cell r="M1768" t="str">
            <v>RAQUEL BARBOSA</v>
          </cell>
        </row>
        <row r="1769">
          <cell r="B1769">
            <v>5344709</v>
          </cell>
          <cell r="C1769" t="str">
            <v>ADL COMERCIO DE ALIMENTOS LTDA</v>
          </cell>
          <cell r="D1769">
            <v>6001</v>
          </cell>
          <cell r="E1769" t="str">
            <v>6127</v>
          </cell>
          <cell r="F1769" t="str">
            <v>C1</v>
          </cell>
          <cell r="G1769" t="str">
            <v>BA</v>
          </cell>
          <cell r="H1769" t="str">
            <v>DISTRIBUIÇÃO</v>
          </cell>
          <cell r="I1769" t="str">
            <v>FOOD SERVICE</v>
          </cell>
          <cell r="J1769" t="str">
            <v>CLAUDIO JORGE/LUIZ</v>
          </cell>
          <cell r="K1769" t="str">
            <v>ITAMBÉ</v>
          </cell>
          <cell r="L1769" t="str">
            <v>RODRIGO</v>
          </cell>
          <cell r="M1769" t="str">
            <v>MARIA LOURDES</v>
          </cell>
        </row>
        <row r="1770">
          <cell r="B1770">
            <v>5337000</v>
          </cell>
          <cell r="C1770" t="str">
            <v>ST WICH SANDUICHERIA LTDA</v>
          </cell>
          <cell r="D1770">
            <v>7001</v>
          </cell>
          <cell r="E1770" t="str">
            <v>0749</v>
          </cell>
          <cell r="F1770" t="str">
            <v>C5</v>
          </cell>
          <cell r="G1770" t="str">
            <v>SP</v>
          </cell>
          <cell r="H1770" t="str">
            <v>DISTRIBUIÇÃO</v>
          </cell>
          <cell r="I1770" t="str">
            <v>FOOD SERVICE</v>
          </cell>
          <cell r="J1770" t="str">
            <v>FLAC 6</v>
          </cell>
          <cell r="K1770" t="str">
            <v>LACTALIS</v>
          </cell>
          <cell r="L1770" t="str">
            <v>RODRIGO</v>
          </cell>
          <cell r="M1770" t="str">
            <v>RAQUEL BARBOSA</v>
          </cell>
        </row>
        <row r="1771">
          <cell r="B1771">
            <v>5146430</v>
          </cell>
          <cell r="C1771" t="str">
            <v>USINA DE LATICINIOS JUSSARA SA</v>
          </cell>
          <cell r="D1771">
            <v>4001</v>
          </cell>
          <cell r="E1771" t="str">
            <v>0458</v>
          </cell>
          <cell r="F1771" t="str">
            <v>C1</v>
          </cell>
          <cell r="G1771" t="str">
            <v>MG</v>
          </cell>
          <cell r="H1771" t="str">
            <v>INGREDIENTS</v>
          </cell>
          <cell r="I1771" t="str">
            <v>INGREDIENTS</v>
          </cell>
          <cell r="J1771" t="str">
            <v>TATIANA NITTA</v>
          </cell>
          <cell r="K1771" t="str">
            <v>LACTALIS</v>
          </cell>
          <cell r="L1771" t="str">
            <v>MAURICIO</v>
          </cell>
          <cell r="M1771" t="str">
            <v>TATIANA NITTA</v>
          </cell>
        </row>
        <row r="1772">
          <cell r="B1772">
            <v>5171873</v>
          </cell>
          <cell r="C1772" t="str">
            <v>JULIO YOKIO DEMIZU</v>
          </cell>
          <cell r="D1772">
            <v>3001</v>
          </cell>
          <cell r="E1772" t="str">
            <v>0028</v>
          </cell>
          <cell r="F1772" t="str">
            <v>C1</v>
          </cell>
          <cell r="G1772" t="str">
            <v>PR</v>
          </cell>
          <cell r="H1772" t="str">
            <v>INGREDIENTS</v>
          </cell>
          <cell r="I1772" t="str">
            <v>INGREDIENTS</v>
          </cell>
          <cell r="J1772" t="str">
            <v>DUAS RODAS</v>
          </cell>
          <cell r="K1772" t="str">
            <v>ITAMBÉ</v>
          </cell>
          <cell r="L1772" t="str">
            <v>MAURICIO</v>
          </cell>
          <cell r="M1772" t="str">
            <v>MARCELO</v>
          </cell>
        </row>
        <row r="1773">
          <cell r="B1773">
            <v>5344781</v>
          </cell>
          <cell r="C1773" t="str">
            <v>SORVETES DO VALE LTDA</v>
          </cell>
          <cell r="D1773">
            <v>3001</v>
          </cell>
          <cell r="E1773" t="str">
            <v>0122</v>
          </cell>
          <cell r="F1773" t="str">
            <v>C1</v>
          </cell>
          <cell r="G1773" t="str">
            <v>MG</v>
          </cell>
          <cell r="H1773" t="str">
            <v>INGREDIENTS</v>
          </cell>
          <cell r="I1773" t="str">
            <v>INGREDIENTS</v>
          </cell>
          <cell r="J1773" t="str">
            <v>HENRIQUE FERREIRA</v>
          </cell>
          <cell r="K1773" t="str">
            <v>ITAMBÉ</v>
          </cell>
          <cell r="L1773" t="str">
            <v>MAURICIO</v>
          </cell>
          <cell r="M1773" t="str">
            <v>JOEL</v>
          </cell>
        </row>
        <row r="1774">
          <cell r="B1774">
            <v>5058881</v>
          </cell>
          <cell r="C1774" t="str">
            <v>GR SERVICOS E ALIMENTACAO LTDA</v>
          </cell>
          <cell r="D1774">
            <v>3001</v>
          </cell>
          <cell r="E1774" t="str">
            <v>0028</v>
          </cell>
          <cell r="F1774" t="str">
            <v>C1</v>
          </cell>
          <cell r="G1774" t="str">
            <v>SP</v>
          </cell>
          <cell r="H1774" t="str">
            <v>QSR</v>
          </cell>
          <cell r="I1774" t="str">
            <v>FOOD SERVICE</v>
          </cell>
          <cell r="J1774" t="str">
            <v>NUTRI</v>
          </cell>
          <cell r="K1774" t="str">
            <v>ITAMBÉ</v>
          </cell>
          <cell r="L1774" t="str">
            <v>PEDRO</v>
          </cell>
          <cell r="M1774" t="str">
            <v>VAGO QSR</v>
          </cell>
        </row>
        <row r="1775">
          <cell r="B1775">
            <v>5181722</v>
          </cell>
          <cell r="C1775" t="str">
            <v>CINDERELA SORVETES LTDA ME</v>
          </cell>
          <cell r="D1775">
            <v>6001</v>
          </cell>
          <cell r="E1775" t="str">
            <v>6028</v>
          </cell>
          <cell r="F1775" t="str">
            <v>C1</v>
          </cell>
          <cell r="G1775" t="str">
            <v>ES</v>
          </cell>
          <cell r="H1775" t="str">
            <v>INGREDIENTS</v>
          </cell>
          <cell r="I1775" t="str">
            <v>INGREDIENTS</v>
          </cell>
          <cell r="J1775" t="str">
            <v>ES ITB FS RADTKE REPRES</v>
          </cell>
          <cell r="K1775" t="str">
            <v>ITAMBÉ</v>
          </cell>
          <cell r="L1775" t="str">
            <v>MAURICIO</v>
          </cell>
          <cell r="M1775" t="str">
            <v>JOEL</v>
          </cell>
        </row>
        <row r="1776">
          <cell r="B1776">
            <v>5231123</v>
          </cell>
          <cell r="C1776" t="str">
            <v>CRAF BRASIL IND E COM ALIM LTDA</v>
          </cell>
          <cell r="D1776">
            <v>6001</v>
          </cell>
          <cell r="E1776" t="str">
            <v>6028</v>
          </cell>
          <cell r="F1776" t="str">
            <v>C1</v>
          </cell>
          <cell r="G1776" t="str">
            <v>ES</v>
          </cell>
          <cell r="H1776" t="str">
            <v>INGREDIENTS</v>
          </cell>
          <cell r="I1776" t="str">
            <v>INGREDIENTS</v>
          </cell>
          <cell r="J1776" t="str">
            <v>ES ITB FS RADTKE REPRES</v>
          </cell>
          <cell r="K1776" t="str">
            <v>ITAMBÉ</v>
          </cell>
          <cell r="L1776" t="str">
            <v>MAURICIO</v>
          </cell>
          <cell r="M1776" t="str">
            <v>JOEL</v>
          </cell>
        </row>
        <row r="1777">
          <cell r="B1777">
            <v>5233288</v>
          </cell>
          <cell r="C1777" t="str">
            <v>HUGO JOSE DE FREITAS 0977326160</v>
          </cell>
          <cell r="D1777">
            <v>3001</v>
          </cell>
          <cell r="E1777" t="str">
            <v>0028</v>
          </cell>
          <cell r="F1777" t="str">
            <v>C1</v>
          </cell>
          <cell r="G1777" t="str">
            <v>MG</v>
          </cell>
          <cell r="H1777" t="str">
            <v>INGREDIENTS</v>
          </cell>
          <cell r="I1777" t="str">
            <v>INGREDIENTS</v>
          </cell>
          <cell r="J1777" t="str">
            <v>TATIANA NITTA</v>
          </cell>
          <cell r="K1777" t="str">
            <v>ITAMBÉ</v>
          </cell>
          <cell r="L1777" t="str">
            <v>MAURICIO</v>
          </cell>
          <cell r="M1777" t="str">
            <v>TATIANA NITTA</v>
          </cell>
        </row>
        <row r="1778">
          <cell r="B1778">
            <v>5253214</v>
          </cell>
          <cell r="C1778" t="str">
            <v>COOPERATIVA AGRICOLA MISTA DE MARAN</v>
          </cell>
          <cell r="D1778">
            <v>4001</v>
          </cell>
          <cell r="E1778" t="str">
            <v>0423</v>
          </cell>
          <cell r="F1778" t="str">
            <v>C5</v>
          </cell>
          <cell r="G1778" t="str">
            <v>CE</v>
          </cell>
          <cell r="H1778" t="str">
            <v>INGREDIENTS</v>
          </cell>
          <cell r="I1778" t="str">
            <v>INGREDIENTS</v>
          </cell>
          <cell r="J1778" t="str">
            <v>JOEL ELEOTÉRIO</v>
          </cell>
          <cell r="K1778" t="str">
            <v>LACTALIS</v>
          </cell>
          <cell r="L1778" t="str">
            <v>MAURICIO</v>
          </cell>
          <cell r="M1778" t="str">
            <v>JOEL</v>
          </cell>
        </row>
        <row r="1779">
          <cell r="B1779">
            <v>5344927</v>
          </cell>
          <cell r="C1779" t="str">
            <v>RATIONAL BRASIL COMERCIO E DISTRIBU</v>
          </cell>
          <cell r="D1779">
            <v>7001</v>
          </cell>
          <cell r="E1779" t="str">
            <v>0749</v>
          </cell>
          <cell r="F1779" t="str">
            <v>C5</v>
          </cell>
          <cell r="G1779" t="str">
            <v>SP</v>
          </cell>
          <cell r="H1779" t="str">
            <v>DISTRIBUIÇÃO</v>
          </cell>
          <cell r="I1779" t="str">
            <v>FOOD SERVICE</v>
          </cell>
          <cell r="J1779" t="str">
            <v>FLAC 2</v>
          </cell>
          <cell r="K1779" t="str">
            <v>LACTALIS</v>
          </cell>
          <cell r="L1779" t="str">
            <v>RODRIGO</v>
          </cell>
          <cell r="M1779" t="str">
            <v>RAQUEL BARBOSA</v>
          </cell>
        </row>
        <row r="1780">
          <cell r="B1780">
            <v>5225860</v>
          </cell>
          <cell r="C1780" t="str">
            <v>DISPAN DISTRIBUIDORA DE ALIMENTOS</v>
          </cell>
          <cell r="D1780">
            <v>4001</v>
          </cell>
          <cell r="E1780" t="str">
            <v>0454</v>
          </cell>
          <cell r="F1780" t="str">
            <v>C1</v>
          </cell>
          <cell r="G1780" t="str">
            <v>PE</v>
          </cell>
          <cell r="H1780" t="str">
            <v>DISTRIBUIÇÃO</v>
          </cell>
          <cell r="I1780" t="str">
            <v>FOOD SERVICE</v>
          </cell>
          <cell r="J1780" t="str">
            <v>CLAUDIO JORGE/AMANDA SANDS</v>
          </cell>
          <cell r="K1780" t="str">
            <v>LACTALIS</v>
          </cell>
          <cell r="L1780" t="str">
            <v>RODRIGO</v>
          </cell>
          <cell r="M1780" t="str">
            <v>MARIA LOURDES</v>
          </cell>
        </row>
        <row r="1781">
          <cell r="B1781">
            <v>5226500</v>
          </cell>
          <cell r="C1781" t="str">
            <v>GARRA COMERCIO ATACADISTA DE ALIM L</v>
          </cell>
          <cell r="D1781">
            <v>6001</v>
          </cell>
          <cell r="E1781" t="str">
            <v>6123</v>
          </cell>
          <cell r="F1781" t="str">
            <v>C1</v>
          </cell>
          <cell r="G1781" t="str">
            <v>DF</v>
          </cell>
          <cell r="H1781" t="str">
            <v>DISTRIBUIÇÃO</v>
          </cell>
          <cell r="I1781" t="str">
            <v>FOOD SERVICE</v>
          </cell>
          <cell r="J1781" t="str">
            <v>CLAUDIO JORGE</v>
          </cell>
          <cell r="K1781" t="str">
            <v>ITAMBÉ</v>
          </cell>
          <cell r="L1781" t="str">
            <v>RODRIGO</v>
          </cell>
          <cell r="M1781" t="str">
            <v>MARCO AURELIO</v>
          </cell>
        </row>
        <row r="1782">
          <cell r="B1782">
            <v>5344060</v>
          </cell>
          <cell r="C1782" t="str">
            <v>SORVETERIA PINETTO LTDA</v>
          </cell>
          <cell r="D1782">
            <v>3001</v>
          </cell>
          <cell r="E1782" t="str">
            <v>0028</v>
          </cell>
          <cell r="F1782" t="str">
            <v>C1</v>
          </cell>
          <cell r="G1782" t="str">
            <v>SC</v>
          </cell>
          <cell r="H1782" t="str">
            <v>INGREDIENTS</v>
          </cell>
          <cell r="I1782" t="str">
            <v>INGREDIENTS</v>
          </cell>
          <cell r="J1782" t="str">
            <v>DUAS RODAS</v>
          </cell>
          <cell r="K1782" t="str">
            <v>ITAMBÉ</v>
          </cell>
          <cell r="L1782" t="str">
            <v>MAURICIO</v>
          </cell>
          <cell r="M1782" t="str">
            <v>MARCELO</v>
          </cell>
        </row>
        <row r="1783">
          <cell r="B1783">
            <v>5026768</v>
          </cell>
          <cell r="C1783" t="str">
            <v>FORTALI DIST DE ALIMENTOS LTDA</v>
          </cell>
          <cell r="D1783">
            <v>6001</v>
          </cell>
          <cell r="E1783" t="str">
            <v>6075</v>
          </cell>
          <cell r="F1783" t="str">
            <v>C1</v>
          </cell>
          <cell r="G1783" t="str">
            <v>CE</v>
          </cell>
          <cell r="H1783" t="str">
            <v>DISTRIBUIÇÃO</v>
          </cell>
          <cell r="I1783" t="str">
            <v>FOOD SERVICE</v>
          </cell>
          <cell r="J1783" t="str">
            <v>WH FOOD SERVICE CE</v>
          </cell>
          <cell r="K1783" t="str">
            <v>ITAMBÉ</v>
          </cell>
          <cell r="L1783" t="str">
            <v>RODRIGO</v>
          </cell>
          <cell r="M1783" t="str">
            <v>MARIA LOURDES</v>
          </cell>
        </row>
        <row r="1784">
          <cell r="B1784">
            <v>5069172</v>
          </cell>
          <cell r="C1784" t="str">
            <v>SANNA COMERCIO DE ALIMENTOS LTDA</v>
          </cell>
          <cell r="D1784">
            <v>6001</v>
          </cell>
          <cell r="E1784" t="str">
            <v>6125</v>
          </cell>
          <cell r="F1784" t="str">
            <v>C1</v>
          </cell>
          <cell r="G1784" t="str">
            <v>SP</v>
          </cell>
          <cell r="H1784" t="str">
            <v>DISTRIBUIÇÃO</v>
          </cell>
          <cell r="I1784" t="str">
            <v>FOOD SERVICE</v>
          </cell>
          <cell r="J1784" t="str">
            <v>ALEXANDRE BONANI</v>
          </cell>
          <cell r="K1784" t="str">
            <v>ITAMBÉ</v>
          </cell>
          <cell r="L1784" t="str">
            <v>RODRIGO</v>
          </cell>
          <cell r="M1784" t="str">
            <v>ALEXANDRE BONANI</v>
          </cell>
        </row>
        <row r="1785">
          <cell r="B1785">
            <v>5139324</v>
          </cell>
          <cell r="C1785" t="str">
            <v>H P EMABALAGENS LTDA ME</v>
          </cell>
          <cell r="D1785">
            <v>6001</v>
          </cell>
          <cell r="E1785" t="str">
            <v>6028</v>
          </cell>
          <cell r="F1785" t="str">
            <v>C1</v>
          </cell>
          <cell r="G1785" t="str">
            <v>ES</v>
          </cell>
          <cell r="H1785" t="str">
            <v>INGREDIENTS</v>
          </cell>
          <cell r="I1785" t="str">
            <v>INGREDIENTS</v>
          </cell>
          <cell r="J1785" t="str">
            <v>DUAS RODAS</v>
          </cell>
          <cell r="K1785" t="str">
            <v>ITAMBÉ</v>
          </cell>
          <cell r="L1785" t="str">
            <v>MAURICIO</v>
          </cell>
          <cell r="M1785" t="str">
            <v>TATIANA NITTA</v>
          </cell>
        </row>
        <row r="1786">
          <cell r="B1786">
            <v>5210640</v>
          </cell>
          <cell r="C1786" t="str">
            <v>SALT PIE INDUSTRIA COMERCIO</v>
          </cell>
          <cell r="D1786">
            <v>6001</v>
          </cell>
          <cell r="E1786" t="str">
            <v>6028</v>
          </cell>
          <cell r="F1786" t="str">
            <v>C1</v>
          </cell>
          <cell r="G1786" t="str">
            <v>SP</v>
          </cell>
          <cell r="H1786" t="str">
            <v>INGREDIENTS</v>
          </cell>
          <cell r="I1786" t="str">
            <v>INGREDIENTS</v>
          </cell>
          <cell r="J1786" t="str">
            <v>HENRIQUE FERREIRA</v>
          </cell>
          <cell r="K1786" t="str">
            <v>ITAMBÉ</v>
          </cell>
          <cell r="L1786" t="str">
            <v>MAURICIO</v>
          </cell>
          <cell r="M1786" t="str">
            <v>JOEL</v>
          </cell>
        </row>
        <row r="1787">
          <cell r="B1787">
            <v>5212843</v>
          </cell>
          <cell r="C1787" t="str">
            <v>SORVDOCE COMERCIAL ALIM LTDA</v>
          </cell>
          <cell r="D1787">
            <v>6001</v>
          </cell>
          <cell r="E1787" t="str">
            <v>6125</v>
          </cell>
          <cell r="F1787" t="str">
            <v>C1</v>
          </cell>
          <cell r="G1787" t="str">
            <v>SP</v>
          </cell>
          <cell r="H1787" t="str">
            <v>DISTRIBUIÇÃO</v>
          </cell>
          <cell r="I1787" t="str">
            <v>FOOD SERVICE</v>
          </cell>
          <cell r="J1787" t="str">
            <v>VAGO SP</v>
          </cell>
          <cell r="K1787" t="str">
            <v>ITAMBÉ</v>
          </cell>
          <cell r="L1787" t="str">
            <v>RODRIGO</v>
          </cell>
          <cell r="M1787" t="str">
            <v>RAQUEL BARBOSA</v>
          </cell>
        </row>
        <row r="1788">
          <cell r="B1788">
            <v>5262839</v>
          </cell>
          <cell r="C1788" t="str">
            <v>W D RIBEIRO CONFEITARIA LTDA</v>
          </cell>
          <cell r="D1788">
            <v>7001</v>
          </cell>
          <cell r="E1788" t="str">
            <v>0749</v>
          </cell>
          <cell r="F1788" t="str">
            <v>C5</v>
          </cell>
          <cell r="G1788" t="str">
            <v>SP</v>
          </cell>
          <cell r="H1788" t="str">
            <v>DISTRIBUIÇÃO</v>
          </cell>
          <cell r="I1788" t="str">
            <v>FOOD SERVICE</v>
          </cell>
          <cell r="J1788" t="str">
            <v>FLAC 3</v>
          </cell>
          <cell r="K1788" t="str">
            <v>LACTALIS</v>
          </cell>
          <cell r="L1788" t="str">
            <v>RODRIGO</v>
          </cell>
          <cell r="M1788" t="str">
            <v>RAQUEL BARBOSA</v>
          </cell>
        </row>
        <row r="1789">
          <cell r="B1789">
            <v>5338003</v>
          </cell>
          <cell r="C1789" t="str">
            <v>WGS COMERCIO DE PROD ALIMENTICI</v>
          </cell>
          <cell r="D1789">
            <v>6001</v>
          </cell>
          <cell r="E1789" t="str">
            <v>6127</v>
          </cell>
          <cell r="F1789" t="str">
            <v>C1</v>
          </cell>
          <cell r="G1789" t="str">
            <v>BA</v>
          </cell>
          <cell r="H1789" t="str">
            <v>DISTRIBUIÇÃO</v>
          </cell>
          <cell r="I1789" t="str">
            <v>FOOD SERVICE</v>
          </cell>
          <cell r="J1789" t="str">
            <v>CLAUDIO JORGE/LUIZ</v>
          </cell>
          <cell r="K1789" t="str">
            <v>ITAMBÉ</v>
          </cell>
          <cell r="L1789" t="str">
            <v>RODRIGO</v>
          </cell>
          <cell r="M1789" t="str">
            <v>MARIA LOURDES</v>
          </cell>
        </row>
        <row r="1790">
          <cell r="B1790">
            <v>5141420</v>
          </cell>
          <cell r="C1790" t="str">
            <v>UNIPAN COMERCIO DE PROD ALIM LT</v>
          </cell>
          <cell r="D1790">
            <v>6001</v>
          </cell>
          <cell r="E1790" t="str">
            <v>6123</v>
          </cell>
          <cell r="F1790" t="str">
            <v>C1</v>
          </cell>
          <cell r="G1790" t="str">
            <v>DF</v>
          </cell>
          <cell r="H1790" t="str">
            <v>DISTRIBUIÇÃO</v>
          </cell>
          <cell r="I1790" t="str">
            <v>FOOD SERVICE</v>
          </cell>
          <cell r="J1790" t="str">
            <v>CLAUDIO JORGE</v>
          </cell>
          <cell r="K1790" t="str">
            <v>ITAMBÉ</v>
          </cell>
          <cell r="L1790" t="str">
            <v>RODRIGO</v>
          </cell>
          <cell r="M1790" t="str">
            <v>MARCO AURELIO</v>
          </cell>
        </row>
        <row r="1791">
          <cell r="B1791">
            <v>5344936</v>
          </cell>
          <cell r="C1791" t="str">
            <v>C HENRIQUE MOREIRA SOUZA</v>
          </cell>
          <cell r="D1791">
            <v>6001</v>
          </cell>
          <cell r="E1791" t="str">
            <v>6028</v>
          </cell>
          <cell r="F1791" t="str">
            <v>C1</v>
          </cell>
          <cell r="G1791" t="str">
            <v>SP</v>
          </cell>
          <cell r="H1791" t="str">
            <v>INGREDIENTS</v>
          </cell>
          <cell r="I1791" t="str">
            <v>INGREDIENTS</v>
          </cell>
          <cell r="J1791" t="str">
            <v>SP ITB FS IKM REPRESENTACOES</v>
          </cell>
          <cell r="K1791" t="str">
            <v>ITAMBÉ</v>
          </cell>
          <cell r="L1791" t="str">
            <v>MAURICIO</v>
          </cell>
          <cell r="M1791" t="str">
            <v>TATIANA NITTA</v>
          </cell>
        </row>
        <row r="1792">
          <cell r="B1792">
            <v>5344937</v>
          </cell>
          <cell r="C1792" t="str">
            <v>SORVETERIA NOVO SABOR LTDA</v>
          </cell>
          <cell r="D1792">
            <v>6001</v>
          </cell>
          <cell r="E1792" t="str">
            <v>6028</v>
          </cell>
          <cell r="F1792" t="str">
            <v>C1</v>
          </cell>
          <cell r="G1792" t="str">
            <v>SP</v>
          </cell>
          <cell r="H1792" t="str">
            <v>INGREDIENTS</v>
          </cell>
          <cell r="I1792" t="str">
            <v>INGREDIENTS</v>
          </cell>
          <cell r="J1792" t="str">
            <v>SP ITB FS LUIZ PEREIRA</v>
          </cell>
          <cell r="K1792" t="str">
            <v>ITAMBÉ</v>
          </cell>
          <cell r="L1792" t="str">
            <v>MAURICIO</v>
          </cell>
          <cell r="M1792" t="str">
            <v>TATIANA NITTA</v>
          </cell>
        </row>
        <row r="1793">
          <cell r="B1793">
            <v>5032480</v>
          </cell>
          <cell r="C1793" t="str">
            <v>ATACADO E DISTRIBUIDORA MARITER</v>
          </cell>
          <cell r="D1793">
            <v>6001</v>
          </cell>
          <cell r="E1793" t="str">
            <v>6169</v>
          </cell>
          <cell r="F1793" t="str">
            <v>C1</v>
          </cell>
          <cell r="G1793" t="str">
            <v>ES</v>
          </cell>
          <cell r="H1793" t="str">
            <v>DISTRIBUIÇÃO</v>
          </cell>
          <cell r="I1793" t="str">
            <v>FOOD SERVICE</v>
          </cell>
          <cell r="J1793" t="str">
            <v>MARCELO DUARTE</v>
          </cell>
          <cell r="K1793" t="str">
            <v>ITAMBÉ</v>
          </cell>
          <cell r="L1793" t="str">
            <v>RODRIGO</v>
          </cell>
          <cell r="M1793" t="str">
            <v>JESSICA</v>
          </cell>
        </row>
        <row r="1794">
          <cell r="B1794">
            <v>5107358</v>
          </cell>
          <cell r="C1794" t="str">
            <v>GOMES E ANTUNES REFEICOES COLET</v>
          </cell>
          <cell r="D1794">
            <v>6001</v>
          </cell>
          <cell r="E1794" t="str">
            <v>6028</v>
          </cell>
          <cell r="F1794" t="str">
            <v>C1</v>
          </cell>
          <cell r="G1794" t="str">
            <v>SP</v>
          </cell>
          <cell r="H1794" t="str">
            <v>QSR</v>
          </cell>
          <cell r="I1794" t="str">
            <v>FOOD SERVICE</v>
          </cell>
          <cell r="J1794" t="str">
            <v>NUTRI</v>
          </cell>
          <cell r="K1794" t="str">
            <v>ITAMBÉ</v>
          </cell>
          <cell r="L1794" t="str">
            <v>PEDRO</v>
          </cell>
          <cell r="M1794" t="str">
            <v>VAGO QSR</v>
          </cell>
        </row>
        <row r="1795">
          <cell r="B1795">
            <v>5128707</v>
          </cell>
          <cell r="C1795" t="str">
            <v>ARMAZEM TOP ALTO LTDA</v>
          </cell>
          <cell r="D1795">
            <v>6001</v>
          </cell>
          <cell r="E1795" t="str">
            <v>6127</v>
          </cell>
          <cell r="F1795" t="str">
            <v>C1</v>
          </cell>
          <cell r="G1795" t="str">
            <v>BA</v>
          </cell>
          <cell r="H1795" t="str">
            <v>DISTRIBUIÇÃO</v>
          </cell>
          <cell r="I1795" t="str">
            <v>FOOD SERVICE</v>
          </cell>
          <cell r="J1795" t="str">
            <v>CLAUDIO JORGE/LUIZ</v>
          </cell>
          <cell r="K1795" t="str">
            <v>ITAMBÉ</v>
          </cell>
          <cell r="L1795" t="str">
            <v>RODRIGO</v>
          </cell>
          <cell r="M1795" t="str">
            <v>MARIA LOURDES</v>
          </cell>
        </row>
        <row r="1796">
          <cell r="B1796">
            <v>5171893</v>
          </cell>
          <cell r="C1796" t="str">
            <v>M DIAS BRANCO SA IND COM ALIM</v>
          </cell>
          <cell r="D1796">
            <v>4001</v>
          </cell>
          <cell r="E1796" t="str">
            <v>0437</v>
          </cell>
          <cell r="F1796" t="str">
            <v>C1</v>
          </cell>
          <cell r="G1796" t="str">
            <v>PE</v>
          </cell>
          <cell r="H1796" t="str">
            <v>INGREDIENTS</v>
          </cell>
          <cell r="I1796" t="str">
            <v>INGREDIENTS</v>
          </cell>
          <cell r="J1796" t="str">
            <v>JOEL ELEOTÉRIO</v>
          </cell>
          <cell r="K1796" t="str">
            <v>LACTALIS</v>
          </cell>
          <cell r="L1796" t="str">
            <v>MAURICIO</v>
          </cell>
          <cell r="M1796" t="str">
            <v>JOEL</v>
          </cell>
        </row>
        <row r="1797">
          <cell r="B1797">
            <v>5109682</v>
          </cell>
          <cell r="C1797" t="str">
            <v>FERPEREZ COMERCIO DE ALIMENTOS</v>
          </cell>
          <cell r="D1797">
            <v>7001</v>
          </cell>
          <cell r="E1797" t="str">
            <v>0722</v>
          </cell>
          <cell r="F1797" t="str">
            <v>C1</v>
          </cell>
          <cell r="G1797" t="str">
            <v>SP</v>
          </cell>
          <cell r="H1797" t="str">
            <v>DISTRIBUIÇÃO</v>
          </cell>
          <cell r="I1797" t="str">
            <v>FOOD SERVICE</v>
          </cell>
          <cell r="J1797" t="str">
            <v>VAGO SP</v>
          </cell>
          <cell r="K1797" t="str">
            <v>LACTALIS</v>
          </cell>
          <cell r="L1797" t="str">
            <v>RODRIGO</v>
          </cell>
          <cell r="M1797" t="str">
            <v>RAQUEL BARBOSA</v>
          </cell>
        </row>
        <row r="1798">
          <cell r="B1798">
            <v>5146429</v>
          </cell>
          <cell r="C1798" t="str">
            <v>PANDURATA ALIMENTOS LTDA</v>
          </cell>
          <cell r="D1798">
            <v>3001</v>
          </cell>
          <cell r="E1798" t="str">
            <v>0028</v>
          </cell>
          <cell r="F1798" t="str">
            <v>C1</v>
          </cell>
          <cell r="G1798" t="str">
            <v>MG</v>
          </cell>
          <cell r="H1798" t="str">
            <v>INGREDIENTS</v>
          </cell>
          <cell r="I1798" t="str">
            <v>INGREDIENTS</v>
          </cell>
          <cell r="J1798" t="str">
            <v>HENRIQUE FERREIRA</v>
          </cell>
          <cell r="K1798" t="str">
            <v>ITAMBÉ</v>
          </cell>
          <cell r="L1798" t="str">
            <v>MAURICIO</v>
          </cell>
          <cell r="M1798" t="str">
            <v>JOEL</v>
          </cell>
        </row>
        <row r="1799">
          <cell r="B1799">
            <v>5194510</v>
          </cell>
          <cell r="C1799" t="str">
            <v>ALEGRO ALIMENTOS LTDA</v>
          </cell>
          <cell r="D1799">
            <v>6001</v>
          </cell>
          <cell r="E1799" t="str">
            <v>6127</v>
          </cell>
          <cell r="F1799" t="str">
            <v>C1</v>
          </cell>
          <cell r="G1799" t="str">
            <v>BA</v>
          </cell>
          <cell r="H1799" t="str">
            <v>DISTRIBUIÇÃO</v>
          </cell>
          <cell r="I1799" t="str">
            <v>FOOD SERVICE</v>
          </cell>
          <cell r="J1799" t="str">
            <v>CLAUDIO JORGE/LUIZ</v>
          </cell>
          <cell r="K1799" t="str">
            <v>ITAMBÉ</v>
          </cell>
          <cell r="L1799" t="str">
            <v>RODRIGO</v>
          </cell>
          <cell r="M1799" t="str">
            <v>MARIA LOURDES</v>
          </cell>
        </row>
        <row r="1800">
          <cell r="B1800">
            <v>5228728</v>
          </cell>
          <cell r="C1800" t="str">
            <v>C F ESTRELA PRODUTOS ALIMENT LT</v>
          </cell>
          <cell r="D1800">
            <v>7001</v>
          </cell>
          <cell r="E1800" t="str">
            <v>0722</v>
          </cell>
          <cell r="F1800" t="str">
            <v>C1</v>
          </cell>
          <cell r="G1800" t="str">
            <v>SP</v>
          </cell>
          <cell r="H1800" t="str">
            <v>DISTRIBUIÇÃO</v>
          </cell>
          <cell r="I1800" t="str">
            <v>FOOD SERVICE</v>
          </cell>
          <cell r="J1800" t="str">
            <v>VAGO SP</v>
          </cell>
          <cell r="K1800" t="str">
            <v>LACTALIS</v>
          </cell>
          <cell r="L1800" t="str">
            <v>RODRIGO</v>
          </cell>
          <cell r="M1800" t="str">
            <v>RAQUEL BARBOSA</v>
          </cell>
        </row>
        <row r="1801">
          <cell r="B1801">
            <v>5068734</v>
          </cell>
          <cell r="C1801" t="str">
            <v>COMERCIO DE GEN ALIMENT MATHESCH LT</v>
          </cell>
          <cell r="D1801">
            <v>3001</v>
          </cell>
          <cell r="E1801" t="str">
            <v>0028</v>
          </cell>
          <cell r="F1801" t="str">
            <v>C1</v>
          </cell>
          <cell r="G1801" t="str">
            <v>SC</v>
          </cell>
          <cell r="H1801" t="str">
            <v>INGREDIENTS</v>
          </cell>
          <cell r="I1801" t="str">
            <v>INGREDIENTS</v>
          </cell>
          <cell r="J1801" t="str">
            <v>DUAS RODAS</v>
          </cell>
          <cell r="K1801" t="str">
            <v>ITAMBÉ</v>
          </cell>
          <cell r="L1801" t="str">
            <v>MAURICIO</v>
          </cell>
          <cell r="M1801" t="str">
            <v>MARCELO</v>
          </cell>
        </row>
        <row r="1802">
          <cell r="B1802">
            <v>5110910</v>
          </cell>
          <cell r="C1802" t="str">
            <v>SORVETERIA RIBEIRA LTDA</v>
          </cell>
          <cell r="D1802">
            <v>6001</v>
          </cell>
          <cell r="E1802" t="str">
            <v>6127</v>
          </cell>
          <cell r="F1802" t="str">
            <v>C1</v>
          </cell>
          <cell r="G1802" t="str">
            <v>BA</v>
          </cell>
          <cell r="H1802" t="str">
            <v>DISTRIBUIÇÃO</v>
          </cell>
          <cell r="I1802" t="str">
            <v>FOOD SERVICE</v>
          </cell>
          <cell r="J1802" t="str">
            <v>CLAUDIO JORGE/LUIZ</v>
          </cell>
          <cell r="K1802" t="str">
            <v>ITAMBÉ</v>
          </cell>
          <cell r="L1802" t="str">
            <v>RODRIGO</v>
          </cell>
          <cell r="M1802" t="str">
            <v>MARIA LOURDES</v>
          </cell>
        </row>
        <row r="1803">
          <cell r="B1803">
            <v>5320045</v>
          </cell>
          <cell r="C1803" t="str">
            <v>A F MURER  MEL CACAU CHOCOLATES</v>
          </cell>
          <cell r="D1803">
            <v>3001</v>
          </cell>
          <cell r="E1803" t="str">
            <v>0126</v>
          </cell>
          <cell r="F1803" t="str">
            <v>C1</v>
          </cell>
          <cell r="G1803" t="str">
            <v>PR</v>
          </cell>
          <cell r="H1803" t="str">
            <v>DISTRIBUIÇÃO</v>
          </cell>
          <cell r="I1803" t="str">
            <v>FOOD SERVICE</v>
          </cell>
          <cell r="J1803" t="str">
            <v>ANGELICA BATISTELA</v>
          </cell>
          <cell r="K1803" t="str">
            <v>ITAMBÉ</v>
          </cell>
          <cell r="L1803" t="str">
            <v>RODRIGO</v>
          </cell>
          <cell r="M1803" t="str">
            <v>ANGELICA BATISTELA</v>
          </cell>
        </row>
        <row r="1804">
          <cell r="B1804">
            <v>5145758</v>
          </cell>
          <cell r="C1804" t="str">
            <v>R E M COM DE PROD ALIM E ART PA</v>
          </cell>
          <cell r="D1804">
            <v>6001</v>
          </cell>
          <cell r="E1804" t="str">
            <v>6028</v>
          </cell>
          <cell r="F1804" t="str">
            <v>C1</v>
          </cell>
          <cell r="G1804" t="str">
            <v>SP</v>
          </cell>
          <cell r="H1804" t="str">
            <v>INGREDIENTS</v>
          </cell>
          <cell r="I1804" t="str">
            <v>INGREDIENTS</v>
          </cell>
          <cell r="J1804" t="str">
            <v>DUAS RODAS</v>
          </cell>
          <cell r="K1804" t="str">
            <v>ITAMBÉ</v>
          </cell>
          <cell r="L1804" t="str">
            <v>MAURICIO</v>
          </cell>
          <cell r="M1804" t="str">
            <v>TATIANA NITTA</v>
          </cell>
        </row>
        <row r="1805">
          <cell r="B1805">
            <v>5146430</v>
          </cell>
          <cell r="C1805" t="str">
            <v>USINA DE LATICINIOS JUSSARA SA</v>
          </cell>
          <cell r="D1805">
            <v>3001</v>
          </cell>
          <cell r="E1805" t="str">
            <v>0028</v>
          </cell>
          <cell r="F1805" t="str">
            <v>C1</v>
          </cell>
          <cell r="G1805" t="str">
            <v>MG</v>
          </cell>
          <cell r="H1805" t="str">
            <v>INGREDIENTS</v>
          </cell>
          <cell r="I1805" t="str">
            <v>INGREDIENTS</v>
          </cell>
          <cell r="J1805" t="str">
            <v>TATIANA NITTA</v>
          </cell>
          <cell r="K1805" t="str">
            <v>ITAMBÉ</v>
          </cell>
          <cell r="L1805" t="str">
            <v>MAURICIO</v>
          </cell>
          <cell r="M1805" t="str">
            <v>TATIANA NITTA</v>
          </cell>
        </row>
        <row r="1806">
          <cell r="B1806">
            <v>5068894</v>
          </cell>
          <cell r="C1806" t="str">
            <v>ESDEL COM PRODUTOS ALIMENTARES</v>
          </cell>
          <cell r="D1806">
            <v>3001</v>
          </cell>
          <cell r="E1806" t="str">
            <v>0028</v>
          </cell>
          <cell r="F1806" t="str">
            <v>C1</v>
          </cell>
          <cell r="G1806" t="str">
            <v>PR</v>
          </cell>
          <cell r="H1806" t="str">
            <v>INGREDIENTS</v>
          </cell>
          <cell r="I1806" t="str">
            <v>INGREDIENTS</v>
          </cell>
          <cell r="J1806" t="str">
            <v>MARCELO RODRIGUES</v>
          </cell>
          <cell r="K1806" t="str">
            <v>ITAMBÉ</v>
          </cell>
          <cell r="L1806" t="str">
            <v>MAURICIO</v>
          </cell>
          <cell r="M1806" t="str">
            <v>MARCELO</v>
          </cell>
        </row>
        <row r="1807">
          <cell r="B1807">
            <v>5219888</v>
          </cell>
          <cell r="C1807" t="str">
            <v>DUTRA SORVETES E PICOLES LTDA</v>
          </cell>
          <cell r="D1807">
            <v>3001</v>
          </cell>
          <cell r="E1807" t="str">
            <v>0028</v>
          </cell>
          <cell r="F1807" t="str">
            <v>C1</v>
          </cell>
          <cell r="G1807" t="str">
            <v>MG</v>
          </cell>
          <cell r="H1807" t="str">
            <v>DISTRIBUIÇÃO</v>
          </cell>
          <cell r="I1807" t="str">
            <v>FOOD SERVICE</v>
          </cell>
          <cell r="J1807" t="str">
            <v>MARCELO SILVA</v>
          </cell>
          <cell r="K1807" t="str">
            <v>ITAMBÉ</v>
          </cell>
          <cell r="L1807" t="str">
            <v>RODRIGO</v>
          </cell>
          <cell r="M1807" t="str">
            <v>CELIO MARTINS</v>
          </cell>
        </row>
        <row r="1808">
          <cell r="B1808">
            <v>5227935</v>
          </cell>
          <cell r="C1808" t="str">
            <v>DNFA COMERCIO LTDA</v>
          </cell>
          <cell r="D1808">
            <v>3001</v>
          </cell>
          <cell r="E1808" t="str">
            <v>0028</v>
          </cell>
          <cell r="F1808" t="str">
            <v>C1</v>
          </cell>
          <cell r="G1808" t="str">
            <v>PR</v>
          </cell>
          <cell r="H1808" t="str">
            <v>INGREDIENTS</v>
          </cell>
          <cell r="I1808" t="str">
            <v>INGREDIENTS</v>
          </cell>
          <cell r="J1808" t="str">
            <v>MARCELO RODRIGUES</v>
          </cell>
          <cell r="K1808" t="str">
            <v>ITAMBÉ</v>
          </cell>
          <cell r="L1808" t="str">
            <v>MAURICIO</v>
          </cell>
          <cell r="M1808" t="str">
            <v>MARCELO</v>
          </cell>
        </row>
        <row r="1809">
          <cell r="B1809">
            <v>5166159</v>
          </cell>
          <cell r="C1809" t="str">
            <v>JME RAUTA COM DIST LTDA</v>
          </cell>
          <cell r="D1809">
            <v>6001</v>
          </cell>
          <cell r="E1809" t="str">
            <v>6028</v>
          </cell>
          <cell r="F1809" t="str">
            <v>C1</v>
          </cell>
          <cell r="G1809" t="str">
            <v>RJ</v>
          </cell>
          <cell r="H1809" t="str">
            <v>DISTRIBUIÇÃO</v>
          </cell>
          <cell r="I1809" t="str">
            <v>FOOD SERVICE</v>
          </cell>
          <cell r="J1809" t="str">
            <v>LUCIANA MARTINS</v>
          </cell>
          <cell r="K1809" t="str">
            <v>ITAMBÉ</v>
          </cell>
          <cell r="L1809" t="str">
            <v>RODRIGO</v>
          </cell>
          <cell r="M1809" t="str">
            <v>JESSICA</v>
          </cell>
        </row>
        <row r="1810">
          <cell r="B1810">
            <v>5219478</v>
          </cell>
          <cell r="C1810" t="str">
            <v>YAKULT SA INDUSTRIA E COMERCIO</v>
          </cell>
          <cell r="D1810">
            <v>4001</v>
          </cell>
          <cell r="E1810" t="str">
            <v>0437</v>
          </cell>
          <cell r="F1810" t="str">
            <v>C1</v>
          </cell>
          <cell r="G1810" t="str">
            <v>SP</v>
          </cell>
          <cell r="H1810" t="str">
            <v>INGREDIENTS</v>
          </cell>
          <cell r="I1810" t="str">
            <v>INGREDIENTS</v>
          </cell>
          <cell r="J1810" t="str">
            <v>FERREIRA MELO</v>
          </cell>
          <cell r="K1810" t="str">
            <v>LACTALIS</v>
          </cell>
          <cell r="L1810" t="str">
            <v>MAURICIO</v>
          </cell>
          <cell r="M1810" t="str">
            <v>JOEL</v>
          </cell>
        </row>
        <row r="1811">
          <cell r="B1811">
            <v>5027769</v>
          </cell>
          <cell r="C1811" t="str">
            <v>TAPIOCARIA DE ITAPUA LTDA ME</v>
          </cell>
          <cell r="D1811">
            <v>6001</v>
          </cell>
          <cell r="E1811" t="str">
            <v>6127</v>
          </cell>
          <cell r="F1811" t="str">
            <v>C1</v>
          </cell>
          <cell r="G1811" t="str">
            <v>BA</v>
          </cell>
          <cell r="H1811" t="str">
            <v>DISTRIBUIÇÃO</v>
          </cell>
          <cell r="I1811" t="str">
            <v>FOOD SERVICE</v>
          </cell>
          <cell r="J1811" t="str">
            <v>CLAUDIO JORGE/LUIZ</v>
          </cell>
          <cell r="K1811" t="str">
            <v>ITAMBÉ</v>
          </cell>
          <cell r="L1811" t="str">
            <v>RODRIGO</v>
          </cell>
          <cell r="M1811" t="str">
            <v>MARIA LOURDES</v>
          </cell>
        </row>
        <row r="1812">
          <cell r="B1812">
            <v>5168473</v>
          </cell>
          <cell r="C1812" t="str">
            <v>L F S COMERCIO E IMPORTACAO ALI</v>
          </cell>
          <cell r="D1812">
            <v>6001</v>
          </cell>
          <cell r="E1812" t="str">
            <v>6075</v>
          </cell>
          <cell r="F1812" t="str">
            <v>C1</v>
          </cell>
          <cell r="G1812" t="str">
            <v>CE</v>
          </cell>
          <cell r="H1812" t="str">
            <v>DISTRIBUIÇÃO</v>
          </cell>
          <cell r="I1812" t="str">
            <v>FOOD SERVICE</v>
          </cell>
          <cell r="J1812" t="str">
            <v>WH FOOD SERVICE CE</v>
          </cell>
          <cell r="K1812" t="str">
            <v>ITAMBÉ</v>
          </cell>
          <cell r="L1812" t="str">
            <v>RODRIGO</v>
          </cell>
          <cell r="M1812" t="str">
            <v>MARIA LOURDES</v>
          </cell>
        </row>
        <row r="1813">
          <cell r="B1813">
            <v>5220998</v>
          </cell>
          <cell r="C1813" t="str">
            <v>GELADOM SORVETES LTDA</v>
          </cell>
          <cell r="D1813">
            <v>6001</v>
          </cell>
          <cell r="E1813" t="str">
            <v>6127</v>
          </cell>
          <cell r="F1813" t="str">
            <v>C1</v>
          </cell>
          <cell r="G1813" t="str">
            <v>BA</v>
          </cell>
          <cell r="H1813" t="str">
            <v>DISTRIBUIÇÃO</v>
          </cell>
          <cell r="I1813" t="str">
            <v>FOOD SERVICE</v>
          </cell>
          <cell r="J1813" t="str">
            <v>CLAUDIO JORGE/LUIZ</v>
          </cell>
          <cell r="K1813" t="str">
            <v>ITAMBÉ</v>
          </cell>
          <cell r="L1813" t="str">
            <v>RODRIGO</v>
          </cell>
          <cell r="M1813" t="str">
            <v>MARIA LOURDES</v>
          </cell>
        </row>
        <row r="1814">
          <cell r="B1814">
            <v>5281259</v>
          </cell>
          <cell r="C1814" t="str">
            <v>BOM LEITE INDUSTRIAL LTDA</v>
          </cell>
          <cell r="D1814">
            <v>3001</v>
          </cell>
          <cell r="E1814" t="str">
            <v>0127</v>
          </cell>
          <cell r="F1814" t="str">
            <v>C1</v>
          </cell>
          <cell r="G1814" t="str">
            <v>PE</v>
          </cell>
          <cell r="H1814" t="str">
            <v>DISTRIBUIÇÃO</v>
          </cell>
          <cell r="I1814" t="str">
            <v>FOOD SERVICE</v>
          </cell>
          <cell r="J1814" t="str">
            <v>CLAUDIO JORGE</v>
          </cell>
          <cell r="K1814" t="str">
            <v>ITAMBÉ</v>
          </cell>
          <cell r="L1814" t="str">
            <v>RODRIGO</v>
          </cell>
          <cell r="M1814" t="str">
            <v>MARIA LOURDES</v>
          </cell>
        </row>
        <row r="1815">
          <cell r="B1815">
            <v>5019031</v>
          </cell>
          <cell r="C1815" t="str">
            <v>EMBALEME COM EMB DESCARTAVEIS LTDA</v>
          </cell>
          <cell r="D1815">
            <v>3001</v>
          </cell>
          <cell r="E1815" t="str">
            <v>0125</v>
          </cell>
          <cell r="F1815" t="str">
            <v>C1</v>
          </cell>
          <cell r="G1815" t="str">
            <v>SP</v>
          </cell>
          <cell r="H1815" t="str">
            <v>DISTRIBUIÇÃO</v>
          </cell>
          <cell r="I1815" t="str">
            <v>FOOD SERVICE</v>
          </cell>
          <cell r="J1815" t="str">
            <v>SP ITB FS FLAC REP.E COMERCIO</v>
          </cell>
          <cell r="K1815" t="str">
            <v>ITAMBÉ</v>
          </cell>
          <cell r="L1815" t="str">
            <v>RODRIGO</v>
          </cell>
          <cell r="M1815" t="str">
            <v>RAQUEL BARBOSA</v>
          </cell>
        </row>
        <row r="1816">
          <cell r="B1816">
            <v>5069172</v>
          </cell>
          <cell r="C1816" t="str">
            <v>SANNA COMERCIO DE ALIMENTOS LTDA</v>
          </cell>
          <cell r="D1816">
            <v>7001</v>
          </cell>
          <cell r="E1816" t="str">
            <v>0722</v>
          </cell>
          <cell r="F1816" t="str">
            <v>C1</v>
          </cell>
          <cell r="G1816" t="str">
            <v>SP</v>
          </cell>
          <cell r="H1816" t="str">
            <v>DISTRIBUIÇÃO</v>
          </cell>
          <cell r="I1816" t="str">
            <v>FOOD SERVICE</v>
          </cell>
          <cell r="J1816" t="str">
            <v>ALEXANDRE BONANI</v>
          </cell>
          <cell r="K1816" t="str">
            <v>LACTALIS</v>
          </cell>
          <cell r="L1816" t="str">
            <v>RODRIGO</v>
          </cell>
          <cell r="M1816" t="str">
            <v>ALEXANDRE BONANI</v>
          </cell>
        </row>
        <row r="1817">
          <cell r="B1817">
            <v>5099095</v>
          </cell>
          <cell r="C1817" t="str">
            <v>COCARI COOPERATIVA AGROPECUARIA</v>
          </cell>
          <cell r="D1817">
            <v>4001</v>
          </cell>
          <cell r="E1817" t="str">
            <v>0455</v>
          </cell>
          <cell r="F1817" t="str">
            <v>C1</v>
          </cell>
          <cell r="G1817" t="str">
            <v>PR</v>
          </cell>
          <cell r="H1817" t="str">
            <v>INGREDIENTS</v>
          </cell>
          <cell r="I1817" t="str">
            <v>INGREDIENTS</v>
          </cell>
          <cell r="J1817" t="str">
            <v>MARCELO RODRIGUES</v>
          </cell>
          <cell r="K1817" t="str">
            <v>LACTALIS</v>
          </cell>
          <cell r="L1817" t="str">
            <v>MAURICIO</v>
          </cell>
          <cell r="M1817" t="str">
            <v>MARCELO</v>
          </cell>
        </row>
        <row r="1818">
          <cell r="B1818">
            <v>5105940</v>
          </cell>
          <cell r="C1818" t="str">
            <v>MERCANTIL PRIMAR LTDA</v>
          </cell>
          <cell r="D1818">
            <v>3001</v>
          </cell>
          <cell r="E1818" t="str">
            <v>0125</v>
          </cell>
          <cell r="F1818" t="str">
            <v>C1</v>
          </cell>
          <cell r="G1818" t="str">
            <v>SP</v>
          </cell>
          <cell r="H1818" t="str">
            <v>DISTRIBUIÇÃO</v>
          </cell>
          <cell r="I1818" t="str">
            <v>FOOD SERVICE</v>
          </cell>
          <cell r="J1818" t="str">
            <v>VAGO SP</v>
          </cell>
          <cell r="K1818" t="str">
            <v>ITAMBÉ</v>
          </cell>
          <cell r="L1818" t="str">
            <v>RODRIGO</v>
          </cell>
          <cell r="M1818" t="str">
            <v>RAQUEL BARBOSA</v>
          </cell>
        </row>
        <row r="1819">
          <cell r="B1819">
            <v>5129364</v>
          </cell>
          <cell r="C1819" t="str">
            <v>VEP FROZEN FOODS IMPORT E EXPORT LT</v>
          </cell>
          <cell r="D1819">
            <v>3001</v>
          </cell>
          <cell r="E1819" t="str">
            <v>0125</v>
          </cell>
          <cell r="F1819" t="str">
            <v>C1</v>
          </cell>
          <cell r="G1819" t="str">
            <v>SP</v>
          </cell>
          <cell r="H1819" t="str">
            <v>INGREDIENTS</v>
          </cell>
          <cell r="I1819" t="str">
            <v>INGREDIENTS</v>
          </cell>
          <cell r="J1819" t="str">
            <v>TATIANA NITTA</v>
          </cell>
          <cell r="K1819" t="str">
            <v>ITAMBÉ</v>
          </cell>
          <cell r="L1819" t="str">
            <v>MAURICIO</v>
          </cell>
          <cell r="M1819" t="str">
            <v>TATIANA NITTA</v>
          </cell>
        </row>
        <row r="1820">
          <cell r="B1820">
            <v>5130343</v>
          </cell>
          <cell r="C1820" t="str">
            <v>CDI BARRA PROD IMP E EXPORTACAO LTD</v>
          </cell>
          <cell r="D1820">
            <v>3001</v>
          </cell>
          <cell r="E1820" t="str">
            <v>0125</v>
          </cell>
          <cell r="F1820" t="str">
            <v>C1</v>
          </cell>
          <cell r="G1820" t="str">
            <v>SP</v>
          </cell>
          <cell r="H1820" t="str">
            <v>DISTRIBUIÇÃO</v>
          </cell>
          <cell r="I1820" t="str">
            <v>FOOD SERVICE</v>
          </cell>
          <cell r="J1820" t="str">
            <v>SP ITB FS FLAC REP.E COMERCIO</v>
          </cell>
          <cell r="K1820" t="str">
            <v>ITAMBÉ</v>
          </cell>
          <cell r="L1820" t="str">
            <v>RODRIGO</v>
          </cell>
          <cell r="M1820" t="str">
            <v>RAQUEL BARBOSA</v>
          </cell>
        </row>
        <row r="1821">
          <cell r="B1821">
            <v>5135612</v>
          </cell>
          <cell r="C1821" t="str">
            <v>GR SERVICOS E ALIMENTACAO LTDA</v>
          </cell>
          <cell r="D1821">
            <v>6001</v>
          </cell>
          <cell r="E1821" t="str">
            <v>6028</v>
          </cell>
          <cell r="F1821" t="str">
            <v>C1</v>
          </cell>
          <cell r="G1821" t="str">
            <v>DF</v>
          </cell>
          <cell r="H1821" t="str">
            <v>QSR</v>
          </cell>
          <cell r="I1821" t="str">
            <v>FOOD SERVICE</v>
          </cell>
          <cell r="J1821" t="str">
            <v>NUTRI</v>
          </cell>
          <cell r="K1821" t="str">
            <v>ITAMBÉ</v>
          </cell>
          <cell r="L1821" t="str">
            <v>PEDRO</v>
          </cell>
          <cell r="M1821" t="str">
            <v>VAGO QSR</v>
          </cell>
        </row>
        <row r="1822">
          <cell r="B1822">
            <v>5137371</v>
          </cell>
          <cell r="C1822" t="str">
            <v>G ACTION IND E COM DE SUP ALIM LTDA</v>
          </cell>
          <cell r="D1822">
            <v>3001</v>
          </cell>
          <cell r="E1822" t="str">
            <v>0028</v>
          </cell>
          <cell r="F1822" t="str">
            <v>C1</v>
          </cell>
          <cell r="G1822" t="str">
            <v>PR</v>
          </cell>
          <cell r="H1822" t="str">
            <v>INGREDIENTS</v>
          </cell>
          <cell r="I1822" t="str">
            <v>INGREDIENTS</v>
          </cell>
          <cell r="J1822" t="str">
            <v>MARCELO RODRIGUES</v>
          </cell>
          <cell r="K1822" t="str">
            <v>ITAMBÉ</v>
          </cell>
          <cell r="L1822" t="str">
            <v>MAURICIO</v>
          </cell>
          <cell r="M1822" t="str">
            <v>MARCELO</v>
          </cell>
        </row>
        <row r="1823">
          <cell r="B1823">
            <v>5145674</v>
          </cell>
          <cell r="C1823" t="str">
            <v>DOCE VERAO LTDA</v>
          </cell>
          <cell r="D1823">
            <v>6001</v>
          </cell>
          <cell r="E1823" t="str">
            <v>6127</v>
          </cell>
          <cell r="F1823" t="str">
            <v>C1</v>
          </cell>
          <cell r="G1823" t="str">
            <v>BA</v>
          </cell>
          <cell r="H1823" t="str">
            <v>DISTRIBUIÇÃO</v>
          </cell>
          <cell r="I1823" t="str">
            <v>FOOD SERVICE</v>
          </cell>
          <cell r="J1823" t="str">
            <v>CLAUDIO JORGE/LUIZ</v>
          </cell>
          <cell r="K1823" t="str">
            <v>ITAMBÉ</v>
          </cell>
          <cell r="L1823" t="str">
            <v>RODRIGO</v>
          </cell>
          <cell r="M1823" t="str">
            <v>MARIA LOURDES</v>
          </cell>
        </row>
        <row r="1824">
          <cell r="B1824">
            <v>5149044</v>
          </cell>
          <cell r="C1824" t="str">
            <v>SORVEMIX COMERCIO DE ALIMENTOS LTDA</v>
          </cell>
          <cell r="D1824">
            <v>3001</v>
          </cell>
          <cell r="E1824" t="str">
            <v>0028</v>
          </cell>
          <cell r="F1824" t="str">
            <v>C1</v>
          </cell>
          <cell r="G1824" t="str">
            <v>SP</v>
          </cell>
          <cell r="H1824" t="str">
            <v>INGREDIENTS</v>
          </cell>
          <cell r="I1824" t="str">
            <v>INGREDIENTS</v>
          </cell>
          <cell r="J1824" t="str">
            <v>DUAS RODAS</v>
          </cell>
          <cell r="K1824" t="str">
            <v>ITAMBÉ</v>
          </cell>
          <cell r="L1824" t="str">
            <v>MAURICIO</v>
          </cell>
          <cell r="M1824" t="str">
            <v>MARCELO</v>
          </cell>
        </row>
        <row r="1825">
          <cell r="B1825">
            <v>5163884</v>
          </cell>
          <cell r="C1825" t="str">
            <v>SORVEMIX COMERCIO DE ALIM LTDA</v>
          </cell>
          <cell r="D1825">
            <v>3001</v>
          </cell>
          <cell r="E1825" t="str">
            <v>0126</v>
          </cell>
          <cell r="F1825" t="str">
            <v>C1</v>
          </cell>
          <cell r="G1825" t="str">
            <v>SP</v>
          </cell>
          <cell r="H1825" t="str">
            <v>INGREDIENTS</v>
          </cell>
          <cell r="I1825" t="str">
            <v>INGREDIENTS</v>
          </cell>
          <cell r="J1825" t="str">
            <v>MARCELO RODRIGUES</v>
          </cell>
          <cell r="K1825" t="str">
            <v>ITAMBÉ</v>
          </cell>
          <cell r="L1825" t="str">
            <v>MAURICIO</v>
          </cell>
          <cell r="M1825" t="str">
            <v>MARCELO</v>
          </cell>
        </row>
        <row r="1826">
          <cell r="B1826">
            <v>5169592</v>
          </cell>
          <cell r="C1826" t="str">
            <v>ESQUILOS ACAI LTDA ME</v>
          </cell>
          <cell r="D1826">
            <v>3001</v>
          </cell>
          <cell r="E1826" t="str">
            <v>0028</v>
          </cell>
          <cell r="F1826" t="str">
            <v>C1</v>
          </cell>
          <cell r="G1826" t="str">
            <v>SP</v>
          </cell>
          <cell r="H1826" t="str">
            <v>INGREDIENTS</v>
          </cell>
          <cell r="I1826" t="str">
            <v>INGREDIENTS</v>
          </cell>
          <cell r="J1826" t="str">
            <v>SP ITB FS LUIZ PEREIRA</v>
          </cell>
          <cell r="K1826" t="str">
            <v>ITAMBÉ</v>
          </cell>
          <cell r="L1826" t="str">
            <v>MAURICIO</v>
          </cell>
          <cell r="M1826" t="str">
            <v>TATIANA NITTA</v>
          </cell>
        </row>
        <row r="1827">
          <cell r="B1827">
            <v>5169592</v>
          </cell>
          <cell r="C1827" t="str">
            <v>ESQUILOS ACAI LTDA ME</v>
          </cell>
          <cell r="D1827">
            <v>6001</v>
          </cell>
          <cell r="E1827" t="str">
            <v>6028</v>
          </cell>
          <cell r="F1827" t="str">
            <v>C1</v>
          </cell>
          <cell r="G1827" t="str">
            <v>SP</v>
          </cell>
          <cell r="H1827" t="str">
            <v>INGREDIENTS</v>
          </cell>
          <cell r="I1827" t="str">
            <v>INGREDIENTS</v>
          </cell>
          <cell r="J1827" t="str">
            <v>SP ITB FS LUIZ PEREIRA</v>
          </cell>
          <cell r="K1827" t="str">
            <v>ITAMBÉ</v>
          </cell>
          <cell r="L1827" t="str">
            <v>MAURICIO</v>
          </cell>
          <cell r="M1827" t="str">
            <v>TATIANA NITTA</v>
          </cell>
        </row>
        <row r="1828">
          <cell r="B1828">
            <v>5180088</v>
          </cell>
          <cell r="C1828" t="str">
            <v>CARMEL IND E COM DE SOBREMESAS LTDA</v>
          </cell>
          <cell r="D1828">
            <v>3001</v>
          </cell>
          <cell r="E1828" t="str">
            <v>0028</v>
          </cell>
          <cell r="F1828" t="str">
            <v>C1</v>
          </cell>
          <cell r="G1828" t="str">
            <v>PR</v>
          </cell>
          <cell r="H1828" t="str">
            <v>INGREDIENTS</v>
          </cell>
          <cell r="I1828" t="str">
            <v>INGREDIENTS</v>
          </cell>
          <cell r="J1828" t="str">
            <v>MARCELO RODRIGUES</v>
          </cell>
          <cell r="K1828" t="str">
            <v>ITAMBÉ</v>
          </cell>
          <cell r="L1828" t="str">
            <v>MAURICIO</v>
          </cell>
          <cell r="M1828" t="str">
            <v>MARCELO</v>
          </cell>
        </row>
        <row r="1829">
          <cell r="B1829">
            <v>5187116</v>
          </cell>
          <cell r="C1829" t="str">
            <v>M R G MATANO SORVETERIA ME</v>
          </cell>
          <cell r="D1829">
            <v>3001</v>
          </cell>
          <cell r="E1829" t="str">
            <v>0028</v>
          </cell>
          <cell r="F1829" t="str">
            <v>C1</v>
          </cell>
          <cell r="G1829" t="str">
            <v>PR</v>
          </cell>
          <cell r="H1829" t="str">
            <v>INGREDIENTS</v>
          </cell>
          <cell r="I1829" t="str">
            <v>INGREDIENTS</v>
          </cell>
          <cell r="J1829" t="str">
            <v>DUAS RODAS</v>
          </cell>
          <cell r="K1829" t="str">
            <v>ITAMBÉ</v>
          </cell>
          <cell r="L1829" t="str">
            <v>MAURICIO</v>
          </cell>
          <cell r="M1829" t="str">
            <v>MARCELO</v>
          </cell>
        </row>
        <row r="1830">
          <cell r="B1830">
            <v>5192822</v>
          </cell>
          <cell r="C1830" t="str">
            <v>T T F ALIMENTOS SOROCABA LTDA</v>
          </cell>
          <cell r="D1830">
            <v>3001</v>
          </cell>
          <cell r="E1830" t="str">
            <v>0125</v>
          </cell>
          <cell r="F1830" t="str">
            <v>C1</v>
          </cell>
          <cell r="G1830" t="str">
            <v>SP</v>
          </cell>
          <cell r="H1830" t="str">
            <v>DISTRIBUIÇÃO</v>
          </cell>
          <cell r="I1830" t="str">
            <v>FOOD SERVICE</v>
          </cell>
          <cell r="J1830" t="str">
            <v>VAGO SP</v>
          </cell>
          <cell r="K1830" t="str">
            <v>ITAMBÉ</v>
          </cell>
          <cell r="L1830" t="str">
            <v>RODRIGO</v>
          </cell>
          <cell r="M1830" t="str">
            <v>RAQUEL BARBOSA</v>
          </cell>
        </row>
        <row r="1831">
          <cell r="B1831">
            <v>5206232</v>
          </cell>
          <cell r="C1831" t="str">
            <v>CWB BRANDS COMERCIO</v>
          </cell>
          <cell r="D1831">
            <v>3001</v>
          </cell>
          <cell r="E1831" t="str">
            <v>0028</v>
          </cell>
          <cell r="F1831" t="str">
            <v>C1</v>
          </cell>
          <cell r="G1831" t="str">
            <v>PR</v>
          </cell>
          <cell r="H1831" t="str">
            <v>INGREDIENTS</v>
          </cell>
          <cell r="I1831" t="str">
            <v>INGREDIENTS</v>
          </cell>
          <cell r="J1831" t="str">
            <v>MARCELO RODRIGUES</v>
          </cell>
          <cell r="K1831" t="str">
            <v>ITAMBÉ</v>
          </cell>
          <cell r="L1831" t="str">
            <v>MAURICIO</v>
          </cell>
          <cell r="M1831" t="str">
            <v>MARCELO</v>
          </cell>
        </row>
        <row r="1832">
          <cell r="B1832">
            <v>5211888</v>
          </cell>
          <cell r="C1832" t="str">
            <v>HAPPY FROST COMERCIO DE PRODUTOS LT</v>
          </cell>
          <cell r="D1832">
            <v>3001</v>
          </cell>
          <cell r="E1832" t="str">
            <v>0028</v>
          </cell>
          <cell r="F1832" t="str">
            <v>C1</v>
          </cell>
          <cell r="G1832" t="str">
            <v>PR</v>
          </cell>
          <cell r="H1832" t="str">
            <v>INGREDIENTS</v>
          </cell>
          <cell r="I1832" t="str">
            <v>INGREDIENTS</v>
          </cell>
          <cell r="J1832" t="str">
            <v>MARCELO RODRIGUES</v>
          </cell>
          <cell r="K1832" t="str">
            <v>ITAMBÉ</v>
          </cell>
          <cell r="L1832" t="str">
            <v>MAURICIO</v>
          </cell>
          <cell r="M1832" t="str">
            <v>MARCELO</v>
          </cell>
        </row>
        <row r="1833">
          <cell r="B1833">
            <v>5213440</v>
          </cell>
          <cell r="C1833" t="str">
            <v>DOCE INDUSTRIA DE BISCOITOS LTD</v>
          </cell>
          <cell r="D1833">
            <v>6001</v>
          </cell>
          <cell r="E1833" t="str">
            <v>6123</v>
          </cell>
          <cell r="F1833" t="str">
            <v>C1</v>
          </cell>
          <cell r="G1833" t="str">
            <v>DF</v>
          </cell>
          <cell r="H1833" t="str">
            <v>DISTRIBUIÇÃO</v>
          </cell>
          <cell r="I1833" t="str">
            <v>FOOD SERVICE</v>
          </cell>
          <cell r="J1833" t="str">
            <v>CLAUDIO JORGE</v>
          </cell>
          <cell r="K1833" t="str">
            <v>ITAMBÉ</v>
          </cell>
          <cell r="L1833" t="str">
            <v>RODRIGO</v>
          </cell>
          <cell r="M1833" t="str">
            <v>MARCO AURELIO</v>
          </cell>
        </row>
        <row r="1834">
          <cell r="B1834">
            <v>5213747</v>
          </cell>
          <cell r="C1834" t="str">
            <v>MEGGA MANIA SORVETES</v>
          </cell>
          <cell r="D1834">
            <v>3001</v>
          </cell>
          <cell r="E1834" t="str">
            <v>0028</v>
          </cell>
          <cell r="F1834" t="str">
            <v>C1</v>
          </cell>
          <cell r="G1834" t="str">
            <v>SP</v>
          </cell>
          <cell r="H1834" t="str">
            <v>INGREDIENTS</v>
          </cell>
          <cell r="I1834" t="str">
            <v>INGREDIENTS</v>
          </cell>
          <cell r="J1834" t="str">
            <v>SP ITB FS IKM REPRESENTACOES</v>
          </cell>
          <cell r="K1834" t="str">
            <v>ITAMBÉ</v>
          </cell>
          <cell r="L1834" t="str">
            <v>MAURICIO</v>
          </cell>
          <cell r="M1834" t="str">
            <v>TATIANA NITTA</v>
          </cell>
        </row>
        <row r="1835">
          <cell r="B1835">
            <v>5221074</v>
          </cell>
          <cell r="C1835" t="str">
            <v>ITATI INDUSTRIA DE ALIM E CHOC</v>
          </cell>
          <cell r="D1835">
            <v>3001</v>
          </cell>
          <cell r="E1835" t="str">
            <v>0125</v>
          </cell>
          <cell r="F1835" t="str">
            <v>C1</v>
          </cell>
          <cell r="G1835" t="str">
            <v>SP</v>
          </cell>
          <cell r="H1835" t="str">
            <v>INGREDIENTS</v>
          </cell>
          <cell r="I1835" t="str">
            <v>INGREDIENTS</v>
          </cell>
          <cell r="J1835" t="str">
            <v>HENRIQUE FERREIRA</v>
          </cell>
          <cell r="K1835" t="str">
            <v>ITAMBÉ</v>
          </cell>
          <cell r="L1835" t="str">
            <v>MAURICIO</v>
          </cell>
          <cell r="M1835" t="str">
            <v>JOEL</v>
          </cell>
        </row>
        <row r="1836">
          <cell r="B1836">
            <v>5221163</v>
          </cell>
          <cell r="C1836" t="str">
            <v>MARCOS ANTONIO FURLANETTO</v>
          </cell>
          <cell r="D1836">
            <v>3001</v>
          </cell>
          <cell r="E1836" t="str">
            <v>0028</v>
          </cell>
          <cell r="F1836" t="str">
            <v>C1</v>
          </cell>
          <cell r="G1836" t="str">
            <v>SC</v>
          </cell>
          <cell r="H1836" t="str">
            <v>INGREDIENTS</v>
          </cell>
          <cell r="I1836" t="str">
            <v>INGREDIENTS</v>
          </cell>
          <cell r="J1836" t="str">
            <v>DUAS RODAS</v>
          </cell>
          <cell r="K1836" t="str">
            <v>ITAMBÉ</v>
          </cell>
          <cell r="L1836" t="str">
            <v>MAURICIO</v>
          </cell>
          <cell r="M1836" t="str">
            <v>MARCELO</v>
          </cell>
        </row>
        <row r="1837">
          <cell r="B1837">
            <v>5223419</v>
          </cell>
          <cell r="C1837" t="str">
            <v>OESA COMERCIO E REPRESENTACOES</v>
          </cell>
          <cell r="D1837">
            <v>6001</v>
          </cell>
          <cell r="E1837" t="str">
            <v>6123</v>
          </cell>
          <cell r="F1837" t="str">
            <v>C1</v>
          </cell>
          <cell r="G1837" t="str">
            <v>DF</v>
          </cell>
          <cell r="H1837" t="str">
            <v>DISTRIBUIÇÃO</v>
          </cell>
          <cell r="I1837" t="str">
            <v>FOOD SERVICE</v>
          </cell>
          <cell r="J1837" t="str">
            <v>CLAUDIO JORGE</v>
          </cell>
          <cell r="K1837" t="str">
            <v>ITAMBÉ</v>
          </cell>
          <cell r="L1837" t="str">
            <v>RODRIGO</v>
          </cell>
          <cell r="M1837" t="str">
            <v>MARCO AURELIO</v>
          </cell>
        </row>
        <row r="1838">
          <cell r="B1838">
            <v>5226125</v>
          </cell>
          <cell r="C1838" t="str">
            <v>MARILAN ALIMENTOS SA</v>
          </cell>
          <cell r="D1838">
            <v>3001</v>
          </cell>
          <cell r="E1838" t="str">
            <v>0125</v>
          </cell>
          <cell r="F1838" t="str">
            <v>C1</v>
          </cell>
          <cell r="G1838" t="str">
            <v>SP</v>
          </cell>
          <cell r="H1838" t="str">
            <v>DISTRIBUIÇÃO</v>
          </cell>
          <cell r="I1838" t="str">
            <v>FOOD SERVICE</v>
          </cell>
          <cell r="J1838" t="str">
            <v>ALEXANDRO RODRIGUES</v>
          </cell>
          <cell r="K1838" t="str">
            <v>ITAMBÉ</v>
          </cell>
          <cell r="L1838" t="str">
            <v>RODRIGO</v>
          </cell>
          <cell r="M1838" t="str">
            <v>ALEXANDRO</v>
          </cell>
        </row>
        <row r="1839">
          <cell r="B1839">
            <v>5229717</v>
          </cell>
          <cell r="C1839" t="str">
            <v>MULTIPEL EMBALAGENS UMUARAMA LTDA</v>
          </cell>
          <cell r="D1839">
            <v>3001</v>
          </cell>
          <cell r="E1839" t="str">
            <v>0028</v>
          </cell>
          <cell r="F1839" t="str">
            <v>C1</v>
          </cell>
          <cell r="G1839" t="str">
            <v>PR</v>
          </cell>
          <cell r="H1839" t="str">
            <v>INGREDIENTS</v>
          </cell>
          <cell r="I1839" t="str">
            <v>INGREDIENTS</v>
          </cell>
          <cell r="J1839" t="str">
            <v>DUAS RODAS</v>
          </cell>
          <cell r="K1839" t="str">
            <v>ITAMBÉ</v>
          </cell>
          <cell r="L1839" t="str">
            <v>MAURICIO</v>
          </cell>
          <cell r="M1839" t="str">
            <v>MARCELO</v>
          </cell>
        </row>
        <row r="1840">
          <cell r="B1840">
            <v>5259915</v>
          </cell>
          <cell r="C1840" t="str">
            <v>PAMA COM DE GENEROS ALIMENTICIOS LT</v>
          </cell>
          <cell r="D1840">
            <v>3001</v>
          </cell>
          <cell r="E1840" t="str">
            <v>0125</v>
          </cell>
          <cell r="F1840" t="str">
            <v>C1</v>
          </cell>
          <cell r="G1840" t="str">
            <v>SP</v>
          </cell>
          <cell r="H1840" t="str">
            <v>DISTRIBUIÇÃO</v>
          </cell>
          <cell r="I1840" t="str">
            <v>FOOD SERVICE</v>
          </cell>
          <cell r="J1840" t="str">
            <v>GUILHERME NASCIMENTO</v>
          </cell>
          <cell r="K1840" t="str">
            <v>ITAMBÉ</v>
          </cell>
          <cell r="L1840" t="str">
            <v>RODRIGO</v>
          </cell>
          <cell r="M1840" t="str">
            <v>ALEXANDRO</v>
          </cell>
        </row>
        <row r="1841">
          <cell r="B1841">
            <v>5274930</v>
          </cell>
          <cell r="C1841" t="str">
            <v>CAFETERIA QUIOSQUE GODIVA</v>
          </cell>
          <cell r="D1841">
            <v>7001</v>
          </cell>
          <cell r="E1841" t="str">
            <v>0749</v>
          </cell>
          <cell r="F1841" t="str">
            <v>C5</v>
          </cell>
          <cell r="G1841" t="str">
            <v>SP</v>
          </cell>
          <cell r="H1841" t="str">
            <v>DISTRIBUIÇÃO</v>
          </cell>
          <cell r="I1841" t="str">
            <v>FOOD SERVICE</v>
          </cell>
          <cell r="J1841" t="str">
            <v>FLAC 7</v>
          </cell>
          <cell r="K1841" t="str">
            <v>LACTALIS</v>
          </cell>
          <cell r="L1841" t="str">
            <v>RODRIGO</v>
          </cell>
          <cell r="M1841" t="str">
            <v>RAQUEL BARBOSA</v>
          </cell>
        </row>
        <row r="1842">
          <cell r="B1842">
            <v>5294986</v>
          </cell>
          <cell r="C1842" t="str">
            <v>NR FOODS INDUSTRIA E COMERCIO L</v>
          </cell>
          <cell r="D1842">
            <v>4001</v>
          </cell>
          <cell r="E1842" t="str">
            <v>0423</v>
          </cell>
          <cell r="F1842" t="str">
            <v>C5</v>
          </cell>
          <cell r="G1842" t="str">
            <v>RS</v>
          </cell>
          <cell r="H1842" t="str">
            <v>INGREDIENTS</v>
          </cell>
          <cell r="I1842" t="str">
            <v>INGREDIENTS</v>
          </cell>
          <cell r="J1842" t="str">
            <v>JOEL ELEOTÉRIO</v>
          </cell>
          <cell r="K1842" t="str">
            <v>LACTALIS</v>
          </cell>
          <cell r="L1842" t="str">
            <v>MAURICIO</v>
          </cell>
          <cell r="M1842" t="str">
            <v>JOEL</v>
          </cell>
        </row>
        <row r="1843">
          <cell r="B1843">
            <v>5297860</v>
          </cell>
          <cell r="C1843" t="str">
            <v>GRAN SAPORE BR BRASIL S A</v>
          </cell>
          <cell r="D1843">
            <v>6001</v>
          </cell>
          <cell r="E1843" t="str">
            <v>6028</v>
          </cell>
          <cell r="F1843" t="str">
            <v>C1</v>
          </cell>
          <cell r="G1843" t="str">
            <v>DF</v>
          </cell>
          <cell r="H1843" t="str">
            <v>QSR</v>
          </cell>
          <cell r="I1843" t="str">
            <v>FOOD SERVICE</v>
          </cell>
          <cell r="J1843" t="str">
            <v>NUTRI</v>
          </cell>
          <cell r="K1843" t="str">
            <v>ITAMBÉ</v>
          </cell>
          <cell r="L1843" t="str">
            <v>PEDRO</v>
          </cell>
          <cell r="M1843" t="str">
            <v>VAGO QSR</v>
          </cell>
        </row>
        <row r="1844">
          <cell r="B1844">
            <v>5336006</v>
          </cell>
          <cell r="C1844" t="str">
            <v>LACTICINIOS TIROL LTDA</v>
          </cell>
          <cell r="D1844">
            <v>4001</v>
          </cell>
          <cell r="E1844" t="str">
            <v>0455</v>
          </cell>
          <cell r="F1844" t="str">
            <v>C1</v>
          </cell>
          <cell r="G1844" t="str">
            <v>PR</v>
          </cell>
          <cell r="H1844" t="str">
            <v>OUTROS</v>
          </cell>
          <cell r="I1844" t="str">
            <v>OUTROS</v>
          </cell>
          <cell r="J1844" t="str">
            <v>SERVIÇO TIROL</v>
          </cell>
          <cell r="K1844" t="str">
            <v>OUTROS</v>
          </cell>
          <cell r="L1844" t="str">
            <v>OUTROS</v>
          </cell>
          <cell r="M1844" t="str">
            <v>SERVIÇO TIROL</v>
          </cell>
        </row>
        <row r="1845">
          <cell r="B1845">
            <v>5336236</v>
          </cell>
          <cell r="C1845" t="str">
            <v>CARELLI GROUP LTDA</v>
          </cell>
          <cell r="D1845">
            <v>7001</v>
          </cell>
          <cell r="E1845" t="str">
            <v>0722</v>
          </cell>
          <cell r="F1845" t="str">
            <v>C1</v>
          </cell>
          <cell r="G1845" t="str">
            <v>SP</v>
          </cell>
          <cell r="H1845" t="str">
            <v>DISTRIBUIÇÃO</v>
          </cell>
          <cell r="I1845" t="str">
            <v>FOOD SERVICE</v>
          </cell>
          <cell r="J1845" t="str">
            <v>GUILHERME NASCIMENTO</v>
          </cell>
          <cell r="K1845" t="str">
            <v>LACTALIS</v>
          </cell>
          <cell r="L1845" t="str">
            <v>RODRIGO</v>
          </cell>
          <cell r="M1845" t="str">
            <v>ALEXANDRO</v>
          </cell>
        </row>
        <row r="1846">
          <cell r="B1846">
            <v>5337255</v>
          </cell>
          <cell r="C1846" t="str">
            <v>LC ADMINISTRACAO DE REST LTDA</v>
          </cell>
          <cell r="D1846">
            <v>3001</v>
          </cell>
          <cell r="E1846" t="str">
            <v>0122</v>
          </cell>
          <cell r="F1846" t="str">
            <v>C1</v>
          </cell>
          <cell r="G1846" t="str">
            <v>MG</v>
          </cell>
          <cell r="H1846" t="str">
            <v>QSR</v>
          </cell>
          <cell r="I1846" t="str">
            <v>FOOD SERVICE</v>
          </cell>
          <cell r="J1846" t="str">
            <v>NUTRI</v>
          </cell>
          <cell r="K1846" t="str">
            <v>ITAMBÉ</v>
          </cell>
          <cell r="L1846" t="str">
            <v>PEDRO</v>
          </cell>
          <cell r="M1846" t="str">
            <v>VAGO QSR</v>
          </cell>
        </row>
        <row r="1847">
          <cell r="B1847">
            <v>5337640</v>
          </cell>
          <cell r="C1847" t="str">
            <v>KIMM SORVETES E ACAI LTDA</v>
          </cell>
          <cell r="D1847">
            <v>6001</v>
          </cell>
          <cell r="E1847" t="str">
            <v>6028</v>
          </cell>
          <cell r="F1847" t="str">
            <v>C1</v>
          </cell>
          <cell r="G1847" t="str">
            <v>SP</v>
          </cell>
          <cell r="H1847" t="str">
            <v>INGREDIENTS</v>
          </cell>
          <cell r="I1847" t="str">
            <v>INGREDIENTS</v>
          </cell>
          <cell r="J1847" t="str">
            <v>SP ITB FS LUIZ PEREIRA</v>
          </cell>
          <cell r="K1847" t="str">
            <v>ITAMBÉ</v>
          </cell>
          <cell r="L1847" t="str">
            <v>MAURICIO</v>
          </cell>
          <cell r="M1847" t="str">
            <v>TATIANA NITTA</v>
          </cell>
        </row>
        <row r="1848">
          <cell r="B1848">
            <v>5344075</v>
          </cell>
          <cell r="C1848" t="str">
            <v>KOMAH DELIVERY E SERV DE ALIM L</v>
          </cell>
          <cell r="D1848">
            <v>7001</v>
          </cell>
          <cell r="E1848" t="str">
            <v>0749</v>
          </cell>
          <cell r="F1848" t="str">
            <v>C5</v>
          </cell>
          <cell r="G1848" t="str">
            <v>SP</v>
          </cell>
          <cell r="H1848" t="str">
            <v>DISTRIBUIÇÃO</v>
          </cell>
          <cell r="I1848" t="str">
            <v>FOOD SERVICE</v>
          </cell>
          <cell r="J1848" t="str">
            <v>FLAC 6</v>
          </cell>
          <cell r="K1848" t="str">
            <v>LACTALIS</v>
          </cell>
          <cell r="L1848" t="str">
            <v>RODRIGO</v>
          </cell>
          <cell r="M1848" t="str">
            <v>RAQUEL BARBOSA</v>
          </cell>
        </row>
        <row r="1849">
          <cell r="B1849">
            <v>5344622</v>
          </cell>
          <cell r="C1849" t="str">
            <v>SPORT CLUB CORINTHIANS PAULISTA</v>
          </cell>
          <cell r="D1849">
            <v>7001</v>
          </cell>
          <cell r="E1849" t="str">
            <v>0749</v>
          </cell>
          <cell r="F1849" t="str">
            <v>C5</v>
          </cell>
          <cell r="G1849" t="str">
            <v>SP</v>
          </cell>
          <cell r="H1849" t="str">
            <v>DISTRIBUIÇÃO</v>
          </cell>
          <cell r="I1849" t="str">
            <v>FOOD SERVICE</v>
          </cell>
          <cell r="J1849" t="str">
            <v>FLAC 6</v>
          </cell>
          <cell r="K1849" t="str">
            <v>LACTALIS</v>
          </cell>
          <cell r="L1849" t="str">
            <v>RODRIGO</v>
          </cell>
          <cell r="M1849" t="str">
            <v>RAQUEL BARBOSA</v>
          </cell>
        </row>
        <row r="1850">
          <cell r="B1850">
            <v>5345908</v>
          </cell>
          <cell r="C1850" t="str">
            <v>JJGB SOBREMESAS LTDA</v>
          </cell>
          <cell r="D1850">
            <v>7001</v>
          </cell>
          <cell r="E1850" t="str">
            <v>0749</v>
          </cell>
          <cell r="F1850" t="str">
            <v>C5</v>
          </cell>
          <cell r="G1850" t="str">
            <v>SP</v>
          </cell>
          <cell r="H1850" t="str">
            <v>DISTRIBUIÇÃO</v>
          </cell>
          <cell r="I1850" t="str">
            <v>FOOD SERVICE</v>
          </cell>
          <cell r="J1850" t="str">
            <v>FLAC 3</v>
          </cell>
          <cell r="K1850" t="str">
            <v>LACTALIS</v>
          </cell>
          <cell r="L1850" t="str">
            <v>RODRIGO</v>
          </cell>
          <cell r="M1850" t="str">
            <v>RAQUEL BARBOSA</v>
          </cell>
        </row>
        <row r="1851">
          <cell r="B1851">
            <v>5346184</v>
          </cell>
          <cell r="C1851" t="str">
            <v>LC ADMINISTRACAO DE REST LTDA</v>
          </cell>
          <cell r="D1851">
            <v>7001</v>
          </cell>
          <cell r="E1851" t="str">
            <v>0739</v>
          </cell>
          <cell r="F1851" t="str">
            <v>C1</v>
          </cell>
          <cell r="G1851" t="str">
            <v>RJ</v>
          </cell>
          <cell r="H1851" t="str">
            <v>INGREDIENTS</v>
          </cell>
          <cell r="I1851" t="str">
            <v>INGREDIENTS</v>
          </cell>
          <cell r="J1851" t="str">
            <v>DUAS RODAS</v>
          </cell>
          <cell r="K1851" t="str">
            <v>LACTALIS</v>
          </cell>
          <cell r="L1851" t="str">
            <v>MAURICIO</v>
          </cell>
          <cell r="M1851" t="str">
            <v>TATIANA NITTA</v>
          </cell>
        </row>
        <row r="1852">
          <cell r="B1852">
            <v>5026855</v>
          </cell>
          <cell r="C1852" t="str">
            <v>SIBELE ALIMENTOS LTDA</v>
          </cell>
          <cell r="D1852">
            <v>3001</v>
          </cell>
          <cell r="E1852" t="str">
            <v>0122</v>
          </cell>
          <cell r="F1852" t="str">
            <v>C1</v>
          </cell>
          <cell r="G1852" t="str">
            <v>MG</v>
          </cell>
          <cell r="H1852" t="str">
            <v>INGREDIENTS</v>
          </cell>
          <cell r="I1852" t="str">
            <v>INGREDIENTS</v>
          </cell>
          <cell r="J1852" t="str">
            <v>HENRIQUE FERREIRA</v>
          </cell>
          <cell r="K1852" t="str">
            <v>ITAMBÉ</v>
          </cell>
          <cell r="L1852" t="str">
            <v>MAURICIO</v>
          </cell>
          <cell r="M1852" t="str">
            <v>JOEL</v>
          </cell>
        </row>
        <row r="1853">
          <cell r="B1853">
            <v>5218012</v>
          </cell>
          <cell r="C1853" t="str">
            <v>ACAI LITORAL NORTE INDUSTRIA E</v>
          </cell>
          <cell r="D1853">
            <v>6001</v>
          </cell>
          <cell r="E1853" t="str">
            <v>6009</v>
          </cell>
          <cell r="F1853" t="str">
            <v>C1</v>
          </cell>
          <cell r="G1853" t="str">
            <v>BA</v>
          </cell>
          <cell r="H1853" t="str">
            <v>DISTRIBUIÇÃO</v>
          </cell>
          <cell r="I1853" t="str">
            <v>FOOD SERVICE</v>
          </cell>
          <cell r="J1853" t="str">
            <v>CLAUDIO JORGE/LUIZ</v>
          </cell>
          <cell r="K1853" t="str">
            <v>ITAMBÉ</v>
          </cell>
          <cell r="L1853" t="str">
            <v>RODRIGO</v>
          </cell>
          <cell r="M1853" t="str">
            <v>MARIA LOURDES</v>
          </cell>
        </row>
        <row r="1854">
          <cell r="B1854">
            <v>5343039</v>
          </cell>
          <cell r="C1854" t="str">
            <v>57988235 JULIO CESAR QUEIROZ</v>
          </cell>
          <cell r="D1854">
            <v>3001</v>
          </cell>
          <cell r="E1854" t="str">
            <v>0122</v>
          </cell>
          <cell r="F1854" t="str">
            <v>C1</v>
          </cell>
          <cell r="G1854" t="str">
            <v>MG</v>
          </cell>
          <cell r="H1854" t="str">
            <v>INGREDIENTS</v>
          </cell>
          <cell r="I1854" t="str">
            <v>INGREDIENTS</v>
          </cell>
          <cell r="J1854" t="str">
            <v>HENRIQUE FERREIRA</v>
          </cell>
          <cell r="K1854" t="str">
            <v>ITAMBÉ</v>
          </cell>
          <cell r="L1854" t="str">
            <v>MAURICIO</v>
          </cell>
          <cell r="M1854" t="str">
            <v>JOEL</v>
          </cell>
        </row>
        <row r="1855">
          <cell r="B1855">
            <v>5345457</v>
          </cell>
          <cell r="C1855" t="str">
            <v>E V COMERCIO DE ALIMENTOS LTDA</v>
          </cell>
          <cell r="D1855">
            <v>6001</v>
          </cell>
          <cell r="E1855" t="str">
            <v>6123</v>
          </cell>
          <cell r="F1855" t="str">
            <v>C1</v>
          </cell>
          <cell r="G1855" t="str">
            <v>MS</v>
          </cell>
          <cell r="H1855" t="str">
            <v>DISTRIBUIÇÃO</v>
          </cell>
          <cell r="I1855" t="str">
            <v>FOOD SERVICE</v>
          </cell>
          <cell r="J1855" t="str">
            <v>CLAUDIO JORGE</v>
          </cell>
          <cell r="K1855" t="str">
            <v>ITAMBÉ</v>
          </cell>
          <cell r="L1855" t="str">
            <v>RODRIGO</v>
          </cell>
          <cell r="M1855" t="str">
            <v>MARCO AURELIO</v>
          </cell>
        </row>
        <row r="1856">
          <cell r="B1856">
            <v>5114516</v>
          </cell>
          <cell r="C1856" t="str">
            <v>ATELIER DOS SABORES IND DE ALIM</v>
          </cell>
          <cell r="D1856">
            <v>6001</v>
          </cell>
          <cell r="E1856" t="str">
            <v>6169</v>
          </cell>
          <cell r="F1856" t="str">
            <v>C1</v>
          </cell>
          <cell r="G1856" t="str">
            <v>RJ</v>
          </cell>
          <cell r="H1856" t="str">
            <v>INGREDIENTS</v>
          </cell>
          <cell r="I1856" t="str">
            <v>INGREDIENTS</v>
          </cell>
          <cell r="J1856" t="str">
            <v>TATIANA NITTA</v>
          </cell>
          <cell r="K1856" t="str">
            <v>ITAMBÉ</v>
          </cell>
          <cell r="L1856" t="str">
            <v>MAURICIO</v>
          </cell>
          <cell r="M1856" t="str">
            <v>TATIANA NITTA</v>
          </cell>
        </row>
        <row r="1857">
          <cell r="B1857">
            <v>5192017</v>
          </cell>
          <cell r="C1857" t="str">
            <v>SORVESAN IND E COM DE SORV LTDA</v>
          </cell>
          <cell r="D1857">
            <v>4001</v>
          </cell>
          <cell r="E1857" t="str">
            <v>0455</v>
          </cell>
          <cell r="F1857" t="str">
            <v>C1</v>
          </cell>
          <cell r="G1857" t="str">
            <v>SP</v>
          </cell>
          <cell r="H1857" t="str">
            <v>INGREDIENTS</v>
          </cell>
          <cell r="I1857" t="str">
            <v>INGREDIENTS</v>
          </cell>
          <cell r="J1857" t="str">
            <v>MARCELO RODRIGUES</v>
          </cell>
          <cell r="K1857" t="str">
            <v>LACTALIS</v>
          </cell>
          <cell r="L1857" t="str">
            <v>MAURICIO</v>
          </cell>
          <cell r="M1857" t="str">
            <v>MARCELO</v>
          </cell>
        </row>
        <row r="1858">
          <cell r="B1858">
            <v>5196998</v>
          </cell>
          <cell r="C1858" t="str">
            <v>CROISSANT IND E COM DE SALGADOS LTDA</v>
          </cell>
          <cell r="D1858">
            <v>6001</v>
          </cell>
          <cell r="E1858" t="str">
            <v>6028</v>
          </cell>
          <cell r="F1858" t="str">
            <v>C1</v>
          </cell>
          <cell r="G1858" t="str">
            <v>SP</v>
          </cell>
          <cell r="H1858" t="str">
            <v>INGREDIENTS</v>
          </cell>
          <cell r="I1858" t="str">
            <v>INGREDIENTS</v>
          </cell>
          <cell r="J1858" t="str">
            <v>HENRIQUE FERREIRA</v>
          </cell>
          <cell r="K1858" t="str">
            <v>ITAMBÉ</v>
          </cell>
          <cell r="L1858" t="str">
            <v>MAURICIO</v>
          </cell>
          <cell r="M1858" t="str">
            <v>JOEL</v>
          </cell>
        </row>
        <row r="1859">
          <cell r="B1859">
            <v>5346074</v>
          </cell>
          <cell r="C1859" t="str">
            <v>ALTO ALEGRE COMERCIAL LTDA</v>
          </cell>
          <cell r="D1859">
            <v>3001</v>
          </cell>
          <cell r="E1859" t="str">
            <v>0028</v>
          </cell>
          <cell r="F1859" t="str">
            <v>C1</v>
          </cell>
          <cell r="G1859" t="str">
            <v>MA</v>
          </cell>
          <cell r="H1859" t="str">
            <v>INGREDIENTS</v>
          </cell>
          <cell r="I1859" t="str">
            <v>INGREDIENTS</v>
          </cell>
          <cell r="J1859" t="str">
            <v>JOEL ELEOTÉRIO</v>
          </cell>
          <cell r="K1859" t="str">
            <v>ITAMBÉ</v>
          </cell>
          <cell r="L1859" t="str">
            <v>MAURICIO</v>
          </cell>
          <cell r="M1859" t="str">
            <v>JOEL</v>
          </cell>
        </row>
        <row r="1860">
          <cell r="B1860">
            <v>5128991</v>
          </cell>
          <cell r="C1860" t="str">
            <v>FORPAN FORTALEZA PAO LTDA</v>
          </cell>
          <cell r="D1860">
            <v>6001</v>
          </cell>
          <cell r="E1860" t="str">
            <v>6075</v>
          </cell>
          <cell r="F1860" t="str">
            <v>C1</v>
          </cell>
          <cell r="G1860" t="str">
            <v>CE</v>
          </cell>
          <cell r="H1860" t="str">
            <v>DISTRIBUIÇÃO</v>
          </cell>
          <cell r="I1860" t="str">
            <v>FOOD SERVICE</v>
          </cell>
          <cell r="J1860" t="str">
            <v>WH FOOD SERVICE CE</v>
          </cell>
          <cell r="K1860" t="str">
            <v>ITAMBÉ</v>
          </cell>
          <cell r="L1860" t="str">
            <v>RODRIGO</v>
          </cell>
          <cell r="M1860" t="str">
            <v>MARIA LOURDES</v>
          </cell>
        </row>
        <row r="1861">
          <cell r="B1861">
            <v>5159289</v>
          </cell>
          <cell r="C1861" t="str">
            <v>FUNCHAL IND COM DE PAPEIS LTDA</v>
          </cell>
          <cell r="D1861">
            <v>7001</v>
          </cell>
          <cell r="E1861" t="str">
            <v>0722</v>
          </cell>
          <cell r="F1861" t="str">
            <v>C1</v>
          </cell>
          <cell r="G1861" t="str">
            <v>SP</v>
          </cell>
          <cell r="H1861" t="str">
            <v>DISTRIBUIÇÃO</v>
          </cell>
          <cell r="I1861" t="str">
            <v>FOOD SERVICE</v>
          </cell>
          <cell r="J1861" t="str">
            <v>VAGO SP</v>
          </cell>
          <cell r="K1861" t="str">
            <v>LACTALIS</v>
          </cell>
          <cell r="L1861" t="str">
            <v>RODRIGO</v>
          </cell>
          <cell r="M1861" t="str">
            <v>RAQUEL BARBOSA</v>
          </cell>
        </row>
        <row r="1862">
          <cell r="B1862">
            <v>5278529</v>
          </cell>
          <cell r="C1862" t="str">
            <v>COML IMP LAT NAPOLITANO DO ABC</v>
          </cell>
          <cell r="D1862">
            <v>7001</v>
          </cell>
          <cell r="E1862" t="str">
            <v>0722</v>
          </cell>
          <cell r="F1862" t="str">
            <v>C1</v>
          </cell>
          <cell r="G1862" t="str">
            <v>SP</v>
          </cell>
          <cell r="H1862" t="str">
            <v>DISTRIBUIÇÃO</v>
          </cell>
          <cell r="I1862" t="str">
            <v>FOOD SERVICE</v>
          </cell>
          <cell r="J1862" t="str">
            <v>GUILHERME NASCIMENTO</v>
          </cell>
          <cell r="K1862" t="str">
            <v>LACTALIS</v>
          </cell>
          <cell r="L1862" t="str">
            <v>RODRIGO</v>
          </cell>
          <cell r="M1862" t="str">
            <v>ALEXANDRO</v>
          </cell>
        </row>
        <row r="1863">
          <cell r="B1863">
            <v>5323277</v>
          </cell>
          <cell r="C1863" t="str">
            <v>CARDOSO COM VAREJISTA DE BOLOS</v>
          </cell>
          <cell r="D1863">
            <v>3001</v>
          </cell>
          <cell r="E1863" t="str">
            <v>0126</v>
          </cell>
          <cell r="F1863" t="str">
            <v>C1</v>
          </cell>
          <cell r="G1863" t="str">
            <v>PR</v>
          </cell>
          <cell r="H1863" t="str">
            <v>DISTRIBUIÇÃO</v>
          </cell>
          <cell r="I1863" t="str">
            <v>FOOD SERVICE</v>
          </cell>
          <cell r="J1863" t="str">
            <v>ANGELICA BATISTELA</v>
          </cell>
          <cell r="K1863" t="str">
            <v>ITAMBÉ</v>
          </cell>
          <cell r="L1863" t="str">
            <v>RODRIGO</v>
          </cell>
          <cell r="M1863" t="str">
            <v>ANGELICA BATISTELA</v>
          </cell>
        </row>
        <row r="1864">
          <cell r="B1864">
            <v>5329519</v>
          </cell>
          <cell r="C1864" t="str">
            <v>KIT DA COMUNIDADE LTDA</v>
          </cell>
          <cell r="D1864">
            <v>6001</v>
          </cell>
          <cell r="E1864" t="str">
            <v>6125</v>
          </cell>
          <cell r="F1864" t="str">
            <v>C1</v>
          </cell>
          <cell r="G1864" t="str">
            <v>SP</v>
          </cell>
          <cell r="H1864" t="str">
            <v>DISTRIBUIÇÃO</v>
          </cell>
          <cell r="I1864" t="str">
            <v>FOOD SERVICE</v>
          </cell>
          <cell r="J1864" t="str">
            <v>ALEXANDRO RODRIGUES</v>
          </cell>
          <cell r="K1864" t="str">
            <v>ITAMBÉ</v>
          </cell>
          <cell r="L1864" t="str">
            <v>RODRIGO</v>
          </cell>
          <cell r="M1864" t="str">
            <v>ALEXANDRO</v>
          </cell>
        </row>
        <row r="1865">
          <cell r="B1865">
            <v>5099074</v>
          </cell>
          <cell r="C1865" t="str">
            <v>ALIBEY INDUSTRIA COM ALIMENTOS</v>
          </cell>
          <cell r="D1865">
            <v>4001</v>
          </cell>
          <cell r="E1865" t="str">
            <v>0437</v>
          </cell>
          <cell r="F1865" t="str">
            <v>C1</v>
          </cell>
          <cell r="G1865" t="str">
            <v>SP</v>
          </cell>
          <cell r="H1865" t="str">
            <v>INGREDIENTS</v>
          </cell>
          <cell r="I1865" t="str">
            <v>INGREDIENTS</v>
          </cell>
          <cell r="J1865" t="str">
            <v>TATIANA NITTA</v>
          </cell>
          <cell r="K1865" t="str">
            <v>LACTALIS</v>
          </cell>
          <cell r="L1865" t="str">
            <v>MAURICIO</v>
          </cell>
          <cell r="M1865" t="str">
            <v>TATIANA NITTA</v>
          </cell>
        </row>
        <row r="1866">
          <cell r="B1866">
            <v>5150155</v>
          </cell>
          <cell r="C1866" t="str">
            <v>GRANDFOOD INDUSTRIA E COMERCIO</v>
          </cell>
          <cell r="D1866">
            <v>4001</v>
          </cell>
          <cell r="E1866" t="str">
            <v>0437</v>
          </cell>
          <cell r="F1866" t="str">
            <v>C1</v>
          </cell>
          <cell r="G1866" t="str">
            <v>SP</v>
          </cell>
          <cell r="H1866" t="str">
            <v>INGREDIENTS</v>
          </cell>
          <cell r="I1866" t="str">
            <v>INGREDIENTS</v>
          </cell>
          <cell r="J1866" t="str">
            <v>TATIANA NITTA</v>
          </cell>
          <cell r="K1866" t="str">
            <v>LACTALIS</v>
          </cell>
          <cell r="L1866" t="str">
            <v>MAURICIO</v>
          </cell>
          <cell r="M1866" t="str">
            <v>TATIANA NITTA</v>
          </cell>
        </row>
        <row r="1867">
          <cell r="B1867">
            <v>5176053</v>
          </cell>
          <cell r="C1867" t="str">
            <v>BAKELS BRASIL INGRED PARA PANIF</v>
          </cell>
          <cell r="D1867">
            <v>6001</v>
          </cell>
          <cell r="E1867" t="str">
            <v>6028</v>
          </cell>
          <cell r="F1867" t="str">
            <v>C1</v>
          </cell>
          <cell r="G1867" t="str">
            <v>SP</v>
          </cell>
          <cell r="H1867" t="str">
            <v>INGREDIENTS</v>
          </cell>
          <cell r="I1867" t="str">
            <v>INGREDIENTS</v>
          </cell>
          <cell r="J1867" t="str">
            <v>TATIANA NITTA</v>
          </cell>
          <cell r="K1867" t="str">
            <v>ITAMBÉ</v>
          </cell>
          <cell r="L1867" t="str">
            <v>MAURICIO</v>
          </cell>
          <cell r="M1867" t="str">
            <v>TATIANA NITTA</v>
          </cell>
        </row>
        <row r="1868">
          <cell r="B1868">
            <v>5337138</v>
          </cell>
          <cell r="C1868" t="str">
            <v>VSG DISTRIBUIDORA LTDA</v>
          </cell>
          <cell r="D1868">
            <v>3001</v>
          </cell>
          <cell r="E1868" t="str">
            <v>0126</v>
          </cell>
          <cell r="F1868" t="str">
            <v>C1</v>
          </cell>
          <cell r="G1868" t="str">
            <v>PR</v>
          </cell>
          <cell r="H1868" t="str">
            <v>INGREDIENTS</v>
          </cell>
          <cell r="I1868" t="str">
            <v>INGREDIENTS</v>
          </cell>
          <cell r="J1868" t="str">
            <v>MARCELO RODRIGUES</v>
          </cell>
          <cell r="K1868" t="str">
            <v>ITAMBÉ</v>
          </cell>
          <cell r="L1868" t="str">
            <v>MAURICIO</v>
          </cell>
          <cell r="M1868" t="str">
            <v>MARCELO</v>
          </cell>
        </row>
        <row r="1869">
          <cell r="B1869">
            <v>5346301</v>
          </cell>
          <cell r="C1869" t="str">
            <v>GODOY PROD E DIST DE SORVETES L</v>
          </cell>
          <cell r="D1869">
            <v>7001</v>
          </cell>
          <cell r="E1869" t="str">
            <v>0749</v>
          </cell>
          <cell r="F1869" t="str">
            <v>C5</v>
          </cell>
          <cell r="G1869" t="str">
            <v>SP</v>
          </cell>
          <cell r="H1869" t="str">
            <v>DISTRIBUIÇÃO</v>
          </cell>
          <cell r="I1869" t="str">
            <v>FOOD SERVICE</v>
          </cell>
          <cell r="J1869" t="str">
            <v>FLAC 3</v>
          </cell>
          <cell r="K1869" t="str">
            <v>LACTALIS</v>
          </cell>
          <cell r="L1869" t="str">
            <v>RODRIGO</v>
          </cell>
          <cell r="M1869" t="str">
            <v>RAQUEL BARBOSA</v>
          </cell>
        </row>
        <row r="1870">
          <cell r="B1870">
            <v>5038157</v>
          </cell>
          <cell r="C1870" t="str">
            <v>MERCADINHO LESSA LTDA</v>
          </cell>
          <cell r="D1870">
            <v>6001</v>
          </cell>
          <cell r="E1870" t="str">
            <v>6125</v>
          </cell>
          <cell r="F1870" t="str">
            <v>C1</v>
          </cell>
          <cell r="G1870" t="str">
            <v>SP</v>
          </cell>
          <cell r="H1870" t="str">
            <v>DISTRIBUIÇÃO</v>
          </cell>
          <cell r="I1870" t="str">
            <v>FOOD SERVICE</v>
          </cell>
          <cell r="J1870" t="str">
            <v>GUILHERME NASCIMENTO</v>
          </cell>
          <cell r="K1870" t="str">
            <v>ITAMBÉ</v>
          </cell>
          <cell r="L1870" t="str">
            <v>RODRIGO</v>
          </cell>
          <cell r="M1870" t="str">
            <v>ALEXANDRO</v>
          </cell>
        </row>
        <row r="1871">
          <cell r="B1871">
            <v>5204235</v>
          </cell>
          <cell r="C1871" t="str">
            <v>NUTRIALIMENTAR INDUSTRIA LTDA</v>
          </cell>
          <cell r="D1871">
            <v>3001</v>
          </cell>
          <cell r="E1871" t="str">
            <v>0028</v>
          </cell>
          <cell r="F1871" t="str">
            <v>C1</v>
          </cell>
          <cell r="G1871" t="str">
            <v>SP</v>
          </cell>
          <cell r="H1871" t="str">
            <v>INGREDIENTS</v>
          </cell>
          <cell r="I1871" t="str">
            <v>INGREDIENTS</v>
          </cell>
          <cell r="J1871" t="str">
            <v>TATIANA NITTA</v>
          </cell>
          <cell r="K1871" t="str">
            <v>ITAMBÉ</v>
          </cell>
          <cell r="L1871" t="str">
            <v>MAURICIO</v>
          </cell>
          <cell r="M1871" t="str">
            <v>TATIANA NITTA</v>
          </cell>
        </row>
        <row r="1872">
          <cell r="B1872">
            <v>5019640</v>
          </cell>
          <cell r="C1872" t="str">
            <v>BIG CHURROS DE PIRACICABA LTDA</v>
          </cell>
          <cell r="D1872">
            <v>6001</v>
          </cell>
          <cell r="E1872" t="str">
            <v>6028</v>
          </cell>
          <cell r="F1872" t="str">
            <v>C1</v>
          </cell>
          <cell r="G1872" t="str">
            <v>SP</v>
          </cell>
          <cell r="H1872" t="str">
            <v>INGREDIENTS</v>
          </cell>
          <cell r="I1872" t="str">
            <v>INGREDIENTS</v>
          </cell>
          <cell r="J1872" t="str">
            <v>HENRIQUE FERREIRA</v>
          </cell>
          <cell r="K1872" t="str">
            <v>ITAMBÉ</v>
          </cell>
          <cell r="L1872" t="str">
            <v>MAURICIO</v>
          </cell>
          <cell r="M1872" t="str">
            <v>JOEL</v>
          </cell>
        </row>
        <row r="1873">
          <cell r="B1873">
            <v>5175227</v>
          </cell>
          <cell r="C1873" t="str">
            <v>MASSIMA SOLUCOES EM ALIMENTACAO</v>
          </cell>
          <cell r="D1873">
            <v>6001</v>
          </cell>
          <cell r="E1873" t="str">
            <v>6028</v>
          </cell>
          <cell r="F1873" t="str">
            <v>C1</v>
          </cell>
          <cell r="G1873" t="str">
            <v>SP</v>
          </cell>
          <cell r="H1873" t="str">
            <v>QSR</v>
          </cell>
          <cell r="I1873" t="str">
            <v>FOOD SERVICE</v>
          </cell>
          <cell r="J1873" t="str">
            <v>NUTRI</v>
          </cell>
          <cell r="K1873" t="str">
            <v>ITAMBÉ</v>
          </cell>
          <cell r="L1873" t="str">
            <v>PEDRO</v>
          </cell>
          <cell r="M1873" t="str">
            <v>VAGO QSR</v>
          </cell>
        </row>
        <row r="1874">
          <cell r="B1874">
            <v>5345932</v>
          </cell>
          <cell r="C1874" t="str">
            <v>BLUE BAKERY LTDA</v>
          </cell>
          <cell r="D1874">
            <v>7001</v>
          </cell>
          <cell r="E1874" t="str">
            <v>0749</v>
          </cell>
          <cell r="F1874" t="str">
            <v>C5</v>
          </cell>
          <cell r="G1874" t="str">
            <v>SP</v>
          </cell>
          <cell r="H1874" t="str">
            <v>DISTRIBUIÇÃO</v>
          </cell>
          <cell r="I1874" t="str">
            <v>FOOD SERVICE</v>
          </cell>
          <cell r="J1874" t="str">
            <v>FLAC 2</v>
          </cell>
          <cell r="K1874" t="str">
            <v>LACTALIS</v>
          </cell>
          <cell r="L1874" t="str">
            <v>RODRIGO</v>
          </cell>
          <cell r="M1874" t="str">
            <v>RAQUEL BARBOSA</v>
          </cell>
        </row>
        <row r="1875">
          <cell r="B1875">
            <v>5346421</v>
          </cell>
          <cell r="C1875" t="str">
            <v>RLC RESTAURANTE LTDA</v>
          </cell>
          <cell r="D1875">
            <v>7001</v>
          </cell>
          <cell r="E1875" t="str">
            <v>0749</v>
          </cell>
          <cell r="F1875" t="str">
            <v>C5</v>
          </cell>
          <cell r="G1875" t="str">
            <v>SP</v>
          </cell>
          <cell r="H1875" t="str">
            <v>DISTRIBUIÇÃO</v>
          </cell>
          <cell r="I1875" t="str">
            <v>FOOD SERVICE</v>
          </cell>
          <cell r="J1875" t="str">
            <v>FLAC 2</v>
          </cell>
          <cell r="K1875" t="str">
            <v>LACTALIS</v>
          </cell>
          <cell r="L1875" t="str">
            <v>RODRIGO</v>
          </cell>
          <cell r="M1875" t="str">
            <v>RAQUEL BARBOSA</v>
          </cell>
        </row>
        <row r="1876">
          <cell r="B1876">
            <v>5158121</v>
          </cell>
          <cell r="C1876" t="str">
            <v>DIHELO ALIMENTOS LTDA</v>
          </cell>
          <cell r="D1876">
            <v>4001</v>
          </cell>
          <cell r="E1876" t="str">
            <v>0423</v>
          </cell>
          <cell r="F1876" t="str">
            <v>C5</v>
          </cell>
          <cell r="G1876" t="str">
            <v>SC</v>
          </cell>
          <cell r="H1876" t="str">
            <v>INGREDIENTS</v>
          </cell>
          <cell r="I1876" t="str">
            <v>INGREDIENTS</v>
          </cell>
          <cell r="J1876" t="str">
            <v>DLUM</v>
          </cell>
          <cell r="K1876" t="str">
            <v>LACTALIS</v>
          </cell>
          <cell r="L1876" t="str">
            <v>MAURICIO</v>
          </cell>
          <cell r="M1876" t="str">
            <v>JOEL</v>
          </cell>
        </row>
        <row r="1877">
          <cell r="B1877">
            <v>5208028</v>
          </cell>
          <cell r="C1877" t="str">
            <v>MISTUREX COMERCIO ATACA DE ALIMENT</v>
          </cell>
          <cell r="D1877">
            <v>6001</v>
          </cell>
          <cell r="E1877" t="str">
            <v>6028</v>
          </cell>
          <cell r="F1877" t="str">
            <v>C1</v>
          </cell>
          <cell r="G1877" t="str">
            <v>ES</v>
          </cell>
          <cell r="H1877" t="str">
            <v>INGREDIENTS</v>
          </cell>
          <cell r="I1877" t="str">
            <v>INGREDIENTS</v>
          </cell>
          <cell r="J1877" t="str">
            <v>TATIANA NITTA</v>
          </cell>
          <cell r="K1877" t="str">
            <v>ITAMBÉ</v>
          </cell>
          <cell r="L1877" t="str">
            <v>MAURICIO</v>
          </cell>
          <cell r="M1877" t="str">
            <v>TATIANA NITTA</v>
          </cell>
        </row>
        <row r="1878">
          <cell r="B1878">
            <v>5341876</v>
          </cell>
          <cell r="C1878" t="str">
            <v>TDC COMERCIO DE ALIMENTOS LTDA</v>
          </cell>
          <cell r="D1878">
            <v>7001</v>
          </cell>
          <cell r="E1878" t="str">
            <v>0749</v>
          </cell>
          <cell r="F1878" t="str">
            <v>C5</v>
          </cell>
          <cell r="G1878" t="str">
            <v>SP</v>
          </cell>
          <cell r="H1878" t="str">
            <v>DISTRIBUIÇÃO</v>
          </cell>
          <cell r="I1878" t="str">
            <v>FOOD SERVICE</v>
          </cell>
          <cell r="J1878" t="str">
            <v>FLAC 4</v>
          </cell>
          <cell r="K1878" t="str">
            <v>LACTALIS</v>
          </cell>
          <cell r="L1878" t="str">
            <v>RODRIGO</v>
          </cell>
          <cell r="M1878" t="str">
            <v>RAQUEL BARBOSA</v>
          </cell>
        </row>
        <row r="1879">
          <cell r="B1879">
            <v>5346486</v>
          </cell>
          <cell r="C1879" t="str">
            <v>DE ASIATICO RESTAURANTE LTDA</v>
          </cell>
          <cell r="D1879">
            <v>7001</v>
          </cell>
          <cell r="E1879" t="str">
            <v>0749</v>
          </cell>
          <cell r="F1879" t="str">
            <v>C5</v>
          </cell>
          <cell r="G1879" t="str">
            <v>SP</v>
          </cell>
          <cell r="H1879" t="str">
            <v>DISTRIBUIÇÃO</v>
          </cell>
          <cell r="I1879" t="str">
            <v>FOOD SERVICE</v>
          </cell>
          <cell r="J1879" t="str">
            <v>FLAC 6</v>
          </cell>
          <cell r="K1879" t="str">
            <v>LACTALIS</v>
          </cell>
          <cell r="L1879" t="str">
            <v>RODRIGO</v>
          </cell>
          <cell r="M1879" t="str">
            <v>RAQUEL BARBOSA</v>
          </cell>
        </row>
        <row r="1880">
          <cell r="B1880">
            <v>5098929</v>
          </cell>
          <cell r="C1880" t="str">
            <v>MEDICINAL FARMACIA E MANIPULACAO LTDA</v>
          </cell>
          <cell r="D1880">
            <v>4001</v>
          </cell>
          <cell r="E1880" t="str">
            <v>0455</v>
          </cell>
          <cell r="F1880" t="str">
            <v>C1</v>
          </cell>
          <cell r="G1880" t="str">
            <v>PR</v>
          </cell>
          <cell r="H1880" t="str">
            <v>INGREDIENTS</v>
          </cell>
          <cell r="I1880" t="str">
            <v>INGREDIENTS</v>
          </cell>
          <cell r="J1880" t="str">
            <v>MARCELO RODRIGUES</v>
          </cell>
          <cell r="K1880" t="str">
            <v>LACTALIS</v>
          </cell>
          <cell r="L1880" t="str">
            <v>MAURICIO</v>
          </cell>
          <cell r="M1880" t="str">
            <v>MARCELO</v>
          </cell>
        </row>
        <row r="1881">
          <cell r="B1881">
            <v>5115191</v>
          </cell>
          <cell r="C1881" t="str">
            <v>J C CASAROTTO MORO E CIA LTDA</v>
          </cell>
          <cell r="D1881">
            <v>3001</v>
          </cell>
          <cell r="E1881" t="str">
            <v>0126</v>
          </cell>
          <cell r="F1881" t="str">
            <v>C1</v>
          </cell>
          <cell r="G1881" t="str">
            <v>PR</v>
          </cell>
          <cell r="H1881" t="str">
            <v>DISTRIBUIÇÃO</v>
          </cell>
          <cell r="I1881" t="str">
            <v>FOOD SERVICE</v>
          </cell>
          <cell r="J1881" t="str">
            <v>ANGELICA BATISTELA</v>
          </cell>
          <cell r="K1881" t="str">
            <v>ITAMBÉ</v>
          </cell>
          <cell r="L1881" t="str">
            <v>RODRIGO</v>
          </cell>
          <cell r="M1881" t="str">
            <v>ANGELICA BATISTELA</v>
          </cell>
        </row>
        <row r="1882">
          <cell r="B1882">
            <v>5121735</v>
          </cell>
          <cell r="C1882" t="str">
            <v>HERSHEY DO BRASIL LTDA</v>
          </cell>
          <cell r="D1882">
            <v>3001</v>
          </cell>
          <cell r="E1882" t="str">
            <v>0028</v>
          </cell>
          <cell r="F1882" t="str">
            <v>C1</v>
          </cell>
          <cell r="G1882" t="str">
            <v>SP</v>
          </cell>
          <cell r="H1882" t="str">
            <v>INGREDIENTS</v>
          </cell>
          <cell r="I1882" t="str">
            <v>INGREDIENTS</v>
          </cell>
          <cell r="J1882" t="str">
            <v>TATIANA NITTA</v>
          </cell>
          <cell r="K1882" t="str">
            <v>ITAMBÉ</v>
          </cell>
          <cell r="L1882" t="str">
            <v>MAURICIO</v>
          </cell>
          <cell r="M1882" t="str">
            <v>TATIANA NITTA</v>
          </cell>
        </row>
        <row r="1883">
          <cell r="B1883">
            <v>5194255</v>
          </cell>
          <cell r="C1883" t="str">
            <v>BRUNO ITALO PORTELA ALBUQUERQUE</v>
          </cell>
          <cell r="D1883">
            <v>6001</v>
          </cell>
          <cell r="E1883" t="str">
            <v>6127</v>
          </cell>
          <cell r="F1883" t="str">
            <v>C1</v>
          </cell>
          <cell r="G1883" t="str">
            <v>CE</v>
          </cell>
          <cell r="H1883" t="str">
            <v>DISTRIBUIÇÃO</v>
          </cell>
          <cell r="I1883" t="str">
            <v>FOOD SERVICE</v>
          </cell>
          <cell r="J1883" t="str">
            <v>WH FOOD SERVICE CE</v>
          </cell>
          <cell r="K1883" t="str">
            <v>ITAMBÉ</v>
          </cell>
          <cell r="L1883" t="str">
            <v>RODRIGO</v>
          </cell>
          <cell r="M1883" t="str">
            <v>MARIA LOURDES</v>
          </cell>
        </row>
        <row r="1884">
          <cell r="B1884">
            <v>5346087</v>
          </cell>
          <cell r="C1884" t="str">
            <v>DISTRAL DISTRIB DE ALIM SLU LTD</v>
          </cell>
          <cell r="D1884">
            <v>3001</v>
          </cell>
          <cell r="E1884" t="str">
            <v>0028</v>
          </cell>
          <cell r="F1884" t="str">
            <v>C1</v>
          </cell>
          <cell r="G1884" t="str">
            <v>AL</v>
          </cell>
          <cell r="H1884" t="str">
            <v>INGREDIENTS</v>
          </cell>
          <cell r="I1884" t="str">
            <v>INGREDIENTS</v>
          </cell>
          <cell r="J1884" t="str">
            <v>JOEL ELEOTÉRIO</v>
          </cell>
          <cell r="K1884" t="str">
            <v>ITAMBÉ</v>
          </cell>
          <cell r="L1884" t="str">
            <v>MAURICIO</v>
          </cell>
          <cell r="M1884" t="str">
            <v>JOEL</v>
          </cell>
        </row>
        <row r="1885">
          <cell r="B1885">
            <v>5346649</v>
          </cell>
          <cell r="C1885" t="str">
            <v>52983134 REMITON COELHO VIEIRA</v>
          </cell>
          <cell r="D1885">
            <v>7001</v>
          </cell>
          <cell r="E1885" t="str">
            <v>0749</v>
          </cell>
          <cell r="F1885" t="str">
            <v>C5</v>
          </cell>
          <cell r="G1885" t="str">
            <v>SP</v>
          </cell>
          <cell r="H1885" t="str">
            <v>DISTRIBUIÇÃO</v>
          </cell>
          <cell r="I1885" t="str">
            <v>FOOD SERVICE</v>
          </cell>
          <cell r="J1885" t="str">
            <v>FLAC 2</v>
          </cell>
          <cell r="K1885" t="str">
            <v>LACTALIS</v>
          </cell>
          <cell r="L1885" t="str">
            <v>RODRIGO</v>
          </cell>
          <cell r="M1885" t="str">
            <v>RAQUEL BARBOSA</v>
          </cell>
        </row>
        <row r="1886">
          <cell r="B1886">
            <v>5043271</v>
          </cell>
          <cell r="C1886" t="str">
            <v>DOCES RICCO LTDA</v>
          </cell>
          <cell r="D1886">
            <v>3001</v>
          </cell>
          <cell r="E1886" t="str">
            <v>0028</v>
          </cell>
          <cell r="F1886" t="str">
            <v>C1</v>
          </cell>
          <cell r="G1886" t="str">
            <v>MG</v>
          </cell>
          <cell r="H1886" t="str">
            <v>INGREDIENTS</v>
          </cell>
          <cell r="I1886" t="str">
            <v>INGREDIENTS</v>
          </cell>
          <cell r="J1886" t="str">
            <v>JOEL ELEOTÉRIO</v>
          </cell>
          <cell r="K1886" t="str">
            <v>ITAMBÉ</v>
          </cell>
          <cell r="L1886" t="str">
            <v>MAURICIO</v>
          </cell>
          <cell r="M1886" t="str">
            <v>JOEL</v>
          </cell>
        </row>
        <row r="1887">
          <cell r="B1887">
            <v>5044784</v>
          </cell>
          <cell r="C1887" t="str">
            <v>BOZZETTI COMERCIO DE DOCES LTDA</v>
          </cell>
          <cell r="D1887">
            <v>6001</v>
          </cell>
          <cell r="E1887" t="str">
            <v>6169</v>
          </cell>
          <cell r="F1887" t="str">
            <v>C1</v>
          </cell>
          <cell r="G1887" t="str">
            <v>ES</v>
          </cell>
          <cell r="H1887" t="str">
            <v>DISTRIBUIÇÃO</v>
          </cell>
          <cell r="I1887" t="str">
            <v>FOOD SERVICE</v>
          </cell>
          <cell r="J1887" t="str">
            <v>MARCELO DUARTE</v>
          </cell>
          <cell r="K1887" t="str">
            <v>ITAMBÉ</v>
          </cell>
          <cell r="L1887" t="str">
            <v>RODRIGO</v>
          </cell>
          <cell r="M1887" t="str">
            <v>JESSICA</v>
          </cell>
        </row>
        <row r="1888">
          <cell r="B1888">
            <v>5230155</v>
          </cell>
          <cell r="C1888" t="str">
            <v>MR ALIMENTOS SAUDAVEIS LTDA</v>
          </cell>
          <cell r="D1888">
            <v>3001</v>
          </cell>
          <cell r="E1888" t="str">
            <v>0126</v>
          </cell>
          <cell r="F1888" t="str">
            <v>C1</v>
          </cell>
          <cell r="G1888" t="str">
            <v>PR</v>
          </cell>
          <cell r="H1888" t="str">
            <v>DISTRIBUIÇÃO</v>
          </cell>
          <cell r="I1888" t="str">
            <v>FOOD SERVICE</v>
          </cell>
          <cell r="J1888" t="str">
            <v>ANGELICA BATISTELA</v>
          </cell>
          <cell r="K1888" t="str">
            <v>ITAMBÉ</v>
          </cell>
          <cell r="L1888" t="str">
            <v>RODRIGO</v>
          </cell>
          <cell r="M1888" t="str">
            <v>ANGELICA BATISTELA</v>
          </cell>
        </row>
        <row r="1889">
          <cell r="B1889">
            <v>5115690</v>
          </cell>
          <cell r="C1889" t="str">
            <v>ORGANIZACAO BARAT E BALTAZAR LTDA</v>
          </cell>
          <cell r="D1889">
            <v>3001</v>
          </cell>
          <cell r="E1889" t="str">
            <v>0122</v>
          </cell>
          <cell r="F1889" t="str">
            <v>C1</v>
          </cell>
          <cell r="G1889" t="str">
            <v>MG</v>
          </cell>
          <cell r="H1889" t="str">
            <v>DISTRIBUIÇÃO</v>
          </cell>
          <cell r="I1889" t="str">
            <v>FOOD SERVICE</v>
          </cell>
          <cell r="J1889" t="str">
            <v>MARCELO SILVA</v>
          </cell>
          <cell r="K1889" t="str">
            <v>ITAMBÉ</v>
          </cell>
          <cell r="L1889" t="str">
            <v>RODRIGO</v>
          </cell>
          <cell r="M1889" t="str">
            <v>CELIO MARTINS</v>
          </cell>
        </row>
        <row r="1890">
          <cell r="B1890">
            <v>5010967</v>
          </cell>
          <cell r="C1890" t="str">
            <v>MARIA L. SOUZA FREIRE E CIA LTDA</v>
          </cell>
          <cell r="D1890">
            <v>4001</v>
          </cell>
          <cell r="E1890" t="str">
            <v>0455</v>
          </cell>
          <cell r="F1890" t="str">
            <v>C1</v>
          </cell>
          <cell r="G1890" t="str">
            <v>PR</v>
          </cell>
          <cell r="H1890" t="str">
            <v>INGREDIENTS</v>
          </cell>
          <cell r="I1890" t="str">
            <v>INGREDIENTS</v>
          </cell>
          <cell r="J1890" t="str">
            <v>MARCELO RODRIGUES</v>
          </cell>
          <cell r="K1890" t="str">
            <v>LACTALIS</v>
          </cell>
          <cell r="L1890" t="str">
            <v>MAURICIO</v>
          </cell>
          <cell r="M1890" t="str">
            <v>MARCELO</v>
          </cell>
        </row>
        <row r="1891">
          <cell r="B1891">
            <v>5005055</v>
          </cell>
          <cell r="C1891" t="str">
            <v>GIRASSOL DOCES LTDA</v>
          </cell>
          <cell r="D1891">
            <v>3001</v>
          </cell>
          <cell r="E1891" t="str">
            <v>0122</v>
          </cell>
          <cell r="F1891" t="str">
            <v>C1</v>
          </cell>
          <cell r="G1891" t="str">
            <v>MG</v>
          </cell>
          <cell r="H1891" t="str">
            <v>DISTRIBUIÇÃO</v>
          </cell>
          <cell r="I1891" t="str">
            <v>FOOD SERVICE</v>
          </cell>
          <cell r="J1891" t="str">
            <v>MARCELO SILVA</v>
          </cell>
          <cell r="K1891" t="str">
            <v>ITAMBÉ</v>
          </cell>
          <cell r="L1891" t="str">
            <v>RODRIGO</v>
          </cell>
          <cell r="M1891" t="str">
            <v>CELIO MARTINS</v>
          </cell>
        </row>
        <row r="1892">
          <cell r="B1892">
            <v>5149588</v>
          </cell>
          <cell r="C1892" t="str">
            <v>LUA NOVA IND E COM PROD ALIM LT</v>
          </cell>
          <cell r="D1892">
            <v>4001</v>
          </cell>
          <cell r="E1892" t="str">
            <v>0437</v>
          </cell>
          <cell r="F1892" t="str">
            <v>C1</v>
          </cell>
          <cell r="G1892" t="str">
            <v>PR</v>
          </cell>
          <cell r="H1892" t="str">
            <v>INGREDIENTS</v>
          </cell>
          <cell r="I1892" t="str">
            <v>INGREDIENTS</v>
          </cell>
          <cell r="J1892" t="str">
            <v>TATIANA NITTA</v>
          </cell>
          <cell r="K1892" t="str">
            <v>LACTALIS</v>
          </cell>
          <cell r="L1892" t="str">
            <v>MAURICIO</v>
          </cell>
          <cell r="M1892" t="str">
            <v>TATIANA NITTA</v>
          </cell>
        </row>
        <row r="1893">
          <cell r="B1893">
            <v>5166328</v>
          </cell>
          <cell r="C1893" t="str">
            <v>OFICINA DO SORVETE LTDA</v>
          </cell>
          <cell r="D1893">
            <v>3001</v>
          </cell>
          <cell r="E1893" t="str">
            <v>0126</v>
          </cell>
          <cell r="F1893" t="str">
            <v>C1</v>
          </cell>
          <cell r="G1893" t="str">
            <v>PR</v>
          </cell>
          <cell r="H1893" t="str">
            <v>DISTRIBUIÇÃO</v>
          </cell>
          <cell r="I1893" t="str">
            <v>FOOD SERVICE</v>
          </cell>
          <cell r="J1893" t="str">
            <v>ANGELICA BATISTELA</v>
          </cell>
          <cell r="K1893" t="str">
            <v>ITAMBÉ</v>
          </cell>
          <cell r="L1893" t="str">
            <v>RODRIGO</v>
          </cell>
          <cell r="M1893" t="str">
            <v>ANGELICA BATISTELA</v>
          </cell>
        </row>
        <row r="1894">
          <cell r="B1894">
            <v>5185042</v>
          </cell>
          <cell r="C1894" t="str">
            <v>GA INDUSTRIA E COMERCIO DE ALIM</v>
          </cell>
          <cell r="D1894">
            <v>6001</v>
          </cell>
          <cell r="E1894" t="str">
            <v>6127</v>
          </cell>
          <cell r="F1894" t="str">
            <v>C1</v>
          </cell>
          <cell r="G1894" t="str">
            <v>BA</v>
          </cell>
          <cell r="H1894" t="str">
            <v>DISTRIBUIÇÃO</v>
          </cell>
          <cell r="I1894" t="str">
            <v>FOOD SERVICE</v>
          </cell>
          <cell r="J1894" t="str">
            <v>CLAUDIO JORGE/LUIZ</v>
          </cell>
          <cell r="K1894" t="str">
            <v>ITAMBÉ</v>
          </cell>
          <cell r="L1894" t="str">
            <v>RODRIGO</v>
          </cell>
          <cell r="M1894" t="str">
            <v>MARIA LOURDES</v>
          </cell>
        </row>
        <row r="1895">
          <cell r="B1895">
            <v>5342732</v>
          </cell>
          <cell r="C1895" t="str">
            <v>CHIENI COMERCIO DE ALIMENTOS LT</v>
          </cell>
          <cell r="D1895">
            <v>7001</v>
          </cell>
          <cell r="E1895" t="str">
            <v>0749</v>
          </cell>
          <cell r="F1895" t="str">
            <v>C5</v>
          </cell>
          <cell r="G1895" t="str">
            <v>SP</v>
          </cell>
          <cell r="H1895" t="str">
            <v>DISTRIBUIÇÃO</v>
          </cell>
          <cell r="I1895" t="str">
            <v>FOOD SERVICE</v>
          </cell>
          <cell r="J1895" t="str">
            <v>FLAC 2</v>
          </cell>
          <cell r="K1895" t="str">
            <v>LACTALIS</v>
          </cell>
          <cell r="L1895" t="str">
            <v>RODRIGO</v>
          </cell>
          <cell r="M1895" t="str">
            <v>RAQUEL BARBOSA</v>
          </cell>
        </row>
        <row r="1896">
          <cell r="B1896">
            <v>5346518</v>
          </cell>
          <cell r="C1896" t="str">
            <v>LAGO DOS SONHOS POUS E REST LTD</v>
          </cell>
          <cell r="D1896">
            <v>7001</v>
          </cell>
          <cell r="E1896" t="str">
            <v>0749</v>
          </cell>
          <cell r="F1896" t="str">
            <v>C5</v>
          </cell>
          <cell r="G1896" t="str">
            <v>SP</v>
          </cell>
          <cell r="H1896" t="str">
            <v>DISTRIBUIÇÃO</v>
          </cell>
          <cell r="I1896" t="str">
            <v>FOOD SERVICE</v>
          </cell>
          <cell r="J1896" t="str">
            <v>FLAC 3</v>
          </cell>
          <cell r="K1896" t="str">
            <v>LACTALIS</v>
          </cell>
          <cell r="L1896" t="str">
            <v>RODRIGO</v>
          </cell>
          <cell r="M1896" t="str">
            <v>RAQUEL BARBOSA</v>
          </cell>
        </row>
        <row r="1897">
          <cell r="B1897">
            <v>5115814</v>
          </cell>
          <cell r="C1897" t="str">
            <v>HAND BAKER DIST DE PROD P PANIF EIR</v>
          </cell>
          <cell r="D1897">
            <v>6001</v>
          </cell>
          <cell r="E1897" t="str">
            <v>6169</v>
          </cell>
          <cell r="F1897" t="str">
            <v>C1</v>
          </cell>
          <cell r="G1897" t="str">
            <v>RJ</v>
          </cell>
          <cell r="H1897" t="str">
            <v>DISTRIBUIÇÃO</v>
          </cell>
          <cell r="I1897" t="str">
            <v>FOOD SERVICE</v>
          </cell>
          <cell r="J1897" t="str">
            <v>JULIANA CORDEIRO</v>
          </cell>
          <cell r="K1897" t="str">
            <v>ITAMBÉ</v>
          </cell>
          <cell r="L1897" t="str">
            <v>RODRIGO</v>
          </cell>
          <cell r="M1897" t="str">
            <v>JESSICA</v>
          </cell>
        </row>
        <row r="1898">
          <cell r="B1898">
            <v>5019245</v>
          </cell>
          <cell r="C1898" t="str">
            <v>FRUTT CENTER DIST P FRUTAS FRIOS EI</v>
          </cell>
          <cell r="D1898">
            <v>6001</v>
          </cell>
          <cell r="E1898" t="str">
            <v>6123</v>
          </cell>
          <cell r="F1898" t="str">
            <v>C1</v>
          </cell>
          <cell r="G1898" t="str">
            <v>GO</v>
          </cell>
          <cell r="H1898" t="str">
            <v>DISTRIBUIÇÃO</v>
          </cell>
          <cell r="I1898" t="str">
            <v>FOOD SERVICE</v>
          </cell>
          <cell r="J1898" t="str">
            <v>CLAUDIO JORGE</v>
          </cell>
          <cell r="K1898" t="str">
            <v>ITAMBÉ</v>
          </cell>
          <cell r="L1898" t="str">
            <v>RODRIGO</v>
          </cell>
          <cell r="M1898" t="str">
            <v>MARCO AURELIO</v>
          </cell>
        </row>
        <row r="1899">
          <cell r="B1899">
            <v>5025237</v>
          </cell>
          <cell r="C1899" t="str">
            <v>LIOTECNICA TECNOLOGIA</v>
          </cell>
          <cell r="D1899">
            <v>4001</v>
          </cell>
          <cell r="E1899" t="str">
            <v>0455</v>
          </cell>
          <cell r="F1899" t="str">
            <v>C1</v>
          </cell>
          <cell r="G1899" t="str">
            <v>SP</v>
          </cell>
          <cell r="H1899" t="str">
            <v>INGREDIENTS</v>
          </cell>
          <cell r="I1899" t="str">
            <v>INGREDIENTS</v>
          </cell>
          <cell r="J1899" t="str">
            <v>MARCELO RODRIGUES</v>
          </cell>
          <cell r="K1899" t="str">
            <v>LACTALIS</v>
          </cell>
          <cell r="L1899" t="str">
            <v>MAURICIO</v>
          </cell>
          <cell r="M1899" t="str">
            <v>MARCELO</v>
          </cell>
        </row>
        <row r="1900">
          <cell r="B1900">
            <v>5138292</v>
          </cell>
          <cell r="C1900" t="str">
            <v>AROMITALIA DO BRASIL LTDA</v>
          </cell>
          <cell r="D1900">
            <v>4001</v>
          </cell>
          <cell r="E1900" t="str">
            <v>0456</v>
          </cell>
          <cell r="F1900" t="str">
            <v>C1</v>
          </cell>
          <cell r="G1900" t="str">
            <v>SC</v>
          </cell>
          <cell r="H1900" t="str">
            <v>INGREDIENTS</v>
          </cell>
          <cell r="I1900" t="str">
            <v>INGREDIENTS</v>
          </cell>
          <cell r="J1900" t="str">
            <v>MARCELO RODRIGUES</v>
          </cell>
          <cell r="K1900" t="str">
            <v>LACTALIS</v>
          </cell>
          <cell r="L1900" t="str">
            <v>MAURICIO</v>
          </cell>
          <cell r="M1900" t="str">
            <v>MARCELO</v>
          </cell>
        </row>
        <row r="1901">
          <cell r="B1901">
            <v>5194928</v>
          </cell>
          <cell r="C1901" t="str">
            <v>LUCIANA APARECIDA CORREA TOLEDO</v>
          </cell>
          <cell r="D1901">
            <v>3001</v>
          </cell>
          <cell r="E1901" t="str">
            <v>0028</v>
          </cell>
          <cell r="F1901" t="str">
            <v>C1</v>
          </cell>
          <cell r="G1901" t="str">
            <v>MG</v>
          </cell>
          <cell r="H1901" t="str">
            <v>DISTRIBUIÇÃO</v>
          </cell>
          <cell r="I1901" t="str">
            <v>FOOD SERVICE</v>
          </cell>
          <cell r="J1901" t="str">
            <v>MARCELO SILVA</v>
          </cell>
          <cell r="K1901" t="str">
            <v>ITAMBÉ</v>
          </cell>
          <cell r="L1901" t="str">
            <v>RODRIGO</v>
          </cell>
          <cell r="M1901" t="str">
            <v>CELIO MARTINS</v>
          </cell>
        </row>
        <row r="1902">
          <cell r="B1902">
            <v>5339186</v>
          </cell>
          <cell r="C1902" t="str">
            <v>ISRAEL YAMANISHI DOS REIS</v>
          </cell>
          <cell r="D1902">
            <v>6001</v>
          </cell>
          <cell r="E1902" t="str">
            <v>6028</v>
          </cell>
          <cell r="F1902" t="str">
            <v>C1</v>
          </cell>
          <cell r="G1902" t="str">
            <v>SP</v>
          </cell>
          <cell r="H1902" t="str">
            <v>INGREDIENTS</v>
          </cell>
          <cell r="I1902" t="str">
            <v>INGREDIENTS</v>
          </cell>
          <cell r="J1902" t="str">
            <v>ITB FS SPLENDI REPRESENTAÇÕES</v>
          </cell>
          <cell r="K1902" t="str">
            <v>ITAMBÉ</v>
          </cell>
          <cell r="L1902" t="str">
            <v>MAURICIO</v>
          </cell>
          <cell r="M1902" t="str">
            <v>TATIANA NITTA</v>
          </cell>
        </row>
        <row r="1903">
          <cell r="B1903">
            <v>5346856</v>
          </cell>
          <cell r="C1903" t="str">
            <v>CANTTY GELLY DOIS LTDA</v>
          </cell>
          <cell r="D1903">
            <v>6001</v>
          </cell>
          <cell r="E1903" t="str">
            <v>6028</v>
          </cell>
          <cell r="F1903" t="str">
            <v>C1</v>
          </cell>
          <cell r="G1903" t="str">
            <v>SP</v>
          </cell>
          <cell r="H1903" t="str">
            <v>INGREDIENTS</v>
          </cell>
          <cell r="I1903" t="str">
            <v>INGREDIENTS</v>
          </cell>
          <cell r="J1903" t="str">
            <v>SP ITB FS LUIZ PEREIRA</v>
          </cell>
          <cell r="K1903" t="str">
            <v>ITAMBÉ</v>
          </cell>
          <cell r="L1903" t="str">
            <v>MAURICIO</v>
          </cell>
          <cell r="M1903" t="str">
            <v>TATIANA NITTA</v>
          </cell>
        </row>
        <row r="1904">
          <cell r="B1904">
            <v>5346909</v>
          </cell>
          <cell r="C1904" t="str">
            <v>LIOTECNICA TECNOLOGIA</v>
          </cell>
          <cell r="D1904">
            <v>4001</v>
          </cell>
          <cell r="E1904" t="str">
            <v>0455</v>
          </cell>
          <cell r="F1904" t="str">
            <v>C1</v>
          </cell>
          <cell r="G1904" t="str">
            <v>SP</v>
          </cell>
          <cell r="H1904" t="str">
            <v>INGREDIENTS</v>
          </cell>
          <cell r="I1904" t="str">
            <v>INGREDIENTS</v>
          </cell>
          <cell r="J1904" t="str">
            <v>MARCELO RODRIGUES</v>
          </cell>
          <cell r="K1904" t="str">
            <v>LACTALIS</v>
          </cell>
          <cell r="L1904" t="str">
            <v>MAURICIO</v>
          </cell>
          <cell r="M1904" t="str">
            <v>MARCELO</v>
          </cell>
        </row>
        <row r="1905">
          <cell r="B1905">
            <v>5346650</v>
          </cell>
          <cell r="C1905" t="str">
            <v>R&amp;R COMERCIO DE CHOCOLATES LTDA</v>
          </cell>
          <cell r="D1905">
            <v>7001</v>
          </cell>
          <cell r="E1905" t="str">
            <v>0749</v>
          </cell>
          <cell r="F1905" t="str">
            <v>C5</v>
          </cell>
          <cell r="G1905" t="str">
            <v>SP</v>
          </cell>
          <cell r="H1905" t="str">
            <v>DISTRIBUIÇÃO</v>
          </cell>
          <cell r="I1905" t="str">
            <v>FOOD SERVICE</v>
          </cell>
          <cell r="J1905" t="str">
            <v>FLAC 6</v>
          </cell>
          <cell r="K1905" t="str">
            <v>LACTALIS</v>
          </cell>
          <cell r="L1905" t="str">
            <v>RODRIGO</v>
          </cell>
          <cell r="M1905" t="str">
            <v>RAQUEL BARBOSA</v>
          </cell>
        </row>
        <row r="1906">
          <cell r="B1906">
            <v>5346866</v>
          </cell>
          <cell r="C1906" t="str">
            <v>APISNUTRI PRODUTOS ALIMENTICIOS</v>
          </cell>
          <cell r="D1906">
            <v>4001</v>
          </cell>
          <cell r="E1906" t="str">
            <v>0455</v>
          </cell>
          <cell r="F1906" t="str">
            <v>C1</v>
          </cell>
          <cell r="G1906" t="str">
            <v>PR</v>
          </cell>
          <cell r="H1906" t="str">
            <v>INGREDIENTS</v>
          </cell>
          <cell r="I1906" t="str">
            <v>INGREDIENTS</v>
          </cell>
          <cell r="J1906" t="str">
            <v>MARCELO RODRIGUES</v>
          </cell>
          <cell r="K1906" t="str">
            <v>LACTALIS</v>
          </cell>
          <cell r="L1906" t="str">
            <v>MAURICIO</v>
          </cell>
          <cell r="M1906" t="str">
            <v>MARCELO</v>
          </cell>
        </row>
        <row r="1907">
          <cell r="B1907">
            <v>5115189</v>
          </cell>
          <cell r="C1907" t="str">
            <v>STA DISTRIBUIDORA DE ALIMENTOS LTDA</v>
          </cell>
          <cell r="D1907">
            <v>6001</v>
          </cell>
          <cell r="E1907" t="str">
            <v>6123</v>
          </cell>
          <cell r="F1907" t="str">
            <v>C1</v>
          </cell>
          <cell r="G1907" t="str">
            <v>GO</v>
          </cell>
          <cell r="H1907" t="str">
            <v>DISTRIBUIÇÃO</v>
          </cell>
          <cell r="I1907" t="str">
            <v>FOOD SERVICE</v>
          </cell>
          <cell r="J1907" t="str">
            <v>CLAUDIO JORGE/MARIA LAURA</v>
          </cell>
          <cell r="K1907" t="str">
            <v>ITAMBÉ</v>
          </cell>
          <cell r="L1907" t="str">
            <v>RODRIGO</v>
          </cell>
          <cell r="M1907" t="str">
            <v>MARCO AURELIO</v>
          </cell>
        </row>
        <row r="1908">
          <cell r="B1908">
            <v>5182828</v>
          </cell>
          <cell r="C1908" t="str">
            <v>AMORIX ALIMENTOS LTDA</v>
          </cell>
          <cell r="D1908">
            <v>6001</v>
          </cell>
          <cell r="E1908" t="str">
            <v>6123</v>
          </cell>
          <cell r="F1908" t="str">
            <v>C1</v>
          </cell>
          <cell r="G1908" t="str">
            <v>GO</v>
          </cell>
          <cell r="H1908" t="str">
            <v>DISTRIBUIÇÃO</v>
          </cell>
          <cell r="I1908" t="str">
            <v>FOOD SERVICE</v>
          </cell>
          <cell r="J1908" t="str">
            <v>CLAUDIO JORGE</v>
          </cell>
          <cell r="K1908" t="str">
            <v>ITAMBÉ</v>
          </cell>
          <cell r="L1908" t="str">
            <v>RODRIGO</v>
          </cell>
          <cell r="M1908" t="str">
            <v>MARCO AURELIO</v>
          </cell>
        </row>
        <row r="1909">
          <cell r="B1909">
            <v>5232803</v>
          </cell>
          <cell r="C1909" t="str">
            <v>L GONZAGA MIX AMBIENTAL</v>
          </cell>
          <cell r="D1909">
            <v>3001</v>
          </cell>
          <cell r="E1909" t="str">
            <v>0125</v>
          </cell>
          <cell r="F1909" t="str">
            <v>C1</v>
          </cell>
          <cell r="G1909" t="str">
            <v>SP</v>
          </cell>
          <cell r="H1909" t="str">
            <v>INGREDIENTS</v>
          </cell>
          <cell r="I1909" t="str">
            <v>INGREDIENTS</v>
          </cell>
          <cell r="J1909" t="str">
            <v>HENRIQUE FERREIRA</v>
          </cell>
          <cell r="K1909" t="str">
            <v>ITAMBÉ</v>
          </cell>
          <cell r="L1909" t="str">
            <v>MAURICIO</v>
          </cell>
          <cell r="M1909" t="str">
            <v>JOEL</v>
          </cell>
        </row>
        <row r="1910">
          <cell r="B1910">
            <v>5004685</v>
          </cell>
          <cell r="C1910" t="str">
            <v>DINIZ COM ATAC DE PROD ALIM LTDA</v>
          </cell>
          <cell r="D1910" t="str">
            <v>7001</v>
          </cell>
          <cell r="E1910" t="str">
            <v>0722</v>
          </cell>
          <cell r="F1910" t="str">
            <v>C1</v>
          </cell>
          <cell r="G1910" t="str">
            <v>SP</v>
          </cell>
          <cell r="H1910" t="str">
            <v>DISTRIBUIÇÃO</v>
          </cell>
          <cell r="I1910" t="str">
            <v>FOOD SERVICE</v>
          </cell>
          <cell r="J1910" t="str">
            <v>ALEXANDRO RODRIGUES</v>
          </cell>
          <cell r="K1910" t="str">
            <v>LACTALIS</v>
          </cell>
          <cell r="L1910" t="str">
            <v>RODRIGO</v>
          </cell>
          <cell r="M1910" t="str">
            <v>ALEXANDRO</v>
          </cell>
        </row>
        <row r="1911">
          <cell r="B1911">
            <v>5165963</v>
          </cell>
          <cell r="C1911" t="str">
            <v>SORVEMIX COMERCIO DE ALIM LTDA</v>
          </cell>
          <cell r="D1911" t="str">
            <v>6001</v>
          </cell>
          <cell r="E1911" t="str">
            <v>6028</v>
          </cell>
          <cell r="F1911" t="str">
            <v>C1</v>
          </cell>
          <cell r="G1911" t="str">
            <v>SP</v>
          </cell>
          <cell r="H1911" t="str">
            <v>INGREDIENTS</v>
          </cell>
          <cell r="I1911" t="str">
            <v>INGREDIENTS</v>
          </cell>
          <cell r="J1911" t="str">
            <v>DUAS RODAS</v>
          </cell>
          <cell r="K1911" t="str">
            <v>ITAMBÉ</v>
          </cell>
          <cell r="L1911" t="str">
            <v>MAURICIO</v>
          </cell>
          <cell r="M1911" t="str">
            <v>MARCELO</v>
          </cell>
        </row>
        <row r="1912">
          <cell r="B1912">
            <v>5346855</v>
          </cell>
          <cell r="C1912" t="str">
            <v>IND E COMERCIO DE SORVETES NEVA</v>
          </cell>
          <cell r="D1912" t="str">
            <v>6001</v>
          </cell>
          <cell r="E1912" t="str">
            <v>6028</v>
          </cell>
          <cell r="F1912" t="str">
            <v>C1</v>
          </cell>
          <cell r="G1912" t="str">
            <v>SP</v>
          </cell>
          <cell r="H1912" t="str">
            <v>INGREDIENTS</v>
          </cell>
          <cell r="I1912" t="str">
            <v>INGREDIENTS</v>
          </cell>
          <cell r="J1912" t="str">
            <v>DUAS RODAS</v>
          </cell>
          <cell r="K1912" t="str">
            <v>ITAMBÉ</v>
          </cell>
          <cell r="L1912" t="str">
            <v>MAURICIO</v>
          </cell>
          <cell r="M1912" t="str">
            <v>MARCELO</v>
          </cell>
        </row>
        <row r="1913">
          <cell r="B1913">
            <v>5346868</v>
          </cell>
          <cell r="C1913" t="str">
            <v>AMADELLI ALIMENTOS LTDA</v>
          </cell>
          <cell r="D1913" t="str">
            <v>4001</v>
          </cell>
          <cell r="E1913" t="str">
            <v>0455</v>
          </cell>
          <cell r="F1913" t="str">
            <v>C1</v>
          </cell>
          <cell r="G1913" t="str">
            <v>PR</v>
          </cell>
          <cell r="H1913" t="str">
            <v>INGREDIENTS</v>
          </cell>
          <cell r="I1913" t="str">
            <v>INGREDIENTS</v>
          </cell>
          <cell r="J1913" t="str">
            <v>MARCELO RODRIGUES</v>
          </cell>
          <cell r="K1913" t="str">
            <v>LACTALIS</v>
          </cell>
          <cell r="L1913" t="str">
            <v>MAURICIO</v>
          </cell>
          <cell r="M1913" t="str">
            <v>MARCELO</v>
          </cell>
        </row>
        <row r="1914">
          <cell r="B1914">
            <v>5323305</v>
          </cell>
          <cell r="C1914" t="str">
            <v>SUNBAEE RESTAURANTE EVENTOS TRE</v>
          </cell>
          <cell r="D1914" t="str">
            <v>7001</v>
          </cell>
          <cell r="E1914" t="str">
            <v>0749</v>
          </cell>
          <cell r="F1914" t="str">
            <v>C5</v>
          </cell>
          <cell r="G1914" t="str">
            <v>SP</v>
          </cell>
          <cell r="H1914" t="str">
            <v>DISTRIBUIÇÃO</v>
          </cell>
          <cell r="I1914" t="str">
            <v>FOOD SERVICE</v>
          </cell>
          <cell r="J1914" t="str">
            <v>FLAC 6</v>
          </cell>
          <cell r="K1914" t="str">
            <v>LACTALIS</v>
          </cell>
          <cell r="L1914" t="str">
            <v>RODRIGO</v>
          </cell>
          <cell r="M1914" t="str">
            <v>RAQUEL BARBOSA</v>
          </cell>
        </row>
        <row r="1915">
          <cell r="B1915">
            <v>5346682</v>
          </cell>
          <cell r="C1915" t="str">
            <v>CENTER NORTE HOTELARIA SA</v>
          </cell>
          <cell r="D1915" t="str">
            <v>7001</v>
          </cell>
          <cell r="E1915" t="str">
            <v>0749</v>
          </cell>
          <cell r="F1915" t="str">
            <v>C5</v>
          </cell>
          <cell r="G1915" t="str">
            <v>SP</v>
          </cell>
          <cell r="H1915" t="str">
            <v>DISTRIBUIÇÃO</v>
          </cell>
          <cell r="I1915" t="str">
            <v>FOOD SERVICE</v>
          </cell>
          <cell r="J1915" t="str">
            <v>FLAC 6</v>
          </cell>
          <cell r="K1915" t="str">
            <v>LACTALIS</v>
          </cell>
          <cell r="L1915" t="str">
            <v>RODRIGO</v>
          </cell>
          <cell r="M1915" t="str">
            <v>RAQUEL BARBOSA</v>
          </cell>
        </row>
        <row r="1916">
          <cell r="B1916">
            <v>5019245</v>
          </cell>
          <cell r="C1916" t="str">
            <v>FRUTT CENTER DIST P FRUTAS FRIOS EI</v>
          </cell>
          <cell r="D1916" t="str">
            <v>6001</v>
          </cell>
          <cell r="E1916" t="str">
            <v>0123</v>
          </cell>
          <cell r="F1916" t="str">
            <v>C1</v>
          </cell>
          <cell r="G1916" t="str">
            <v>GO</v>
          </cell>
          <cell r="H1916" t="str">
            <v>DISTRIBUIÇÃO</v>
          </cell>
          <cell r="I1916" t="str">
            <v>FOOD SERVICE</v>
          </cell>
          <cell r="J1916" t="str">
            <v>CLAUDIO JORGE</v>
          </cell>
          <cell r="K1916" t="str">
            <v>ITAMBÉ</v>
          </cell>
          <cell r="L1916" t="str">
            <v>RODRIGO</v>
          </cell>
          <cell r="M1916" t="str">
            <v>MARCO AURELIO</v>
          </cell>
        </row>
        <row r="1917">
          <cell r="B1917">
            <v>5114516</v>
          </cell>
          <cell r="C1917" t="str">
            <v>ATELIER DOS SABORES IND DE ALIM</v>
          </cell>
          <cell r="D1917" t="str">
            <v>6001</v>
          </cell>
          <cell r="E1917" t="str">
            <v>6028</v>
          </cell>
          <cell r="F1917" t="str">
            <v>C1</v>
          </cell>
          <cell r="G1917" t="str">
            <v>RJ</v>
          </cell>
          <cell r="H1917" t="str">
            <v>INGREDIENTS</v>
          </cell>
          <cell r="I1917" t="str">
            <v>INGREDIENTS</v>
          </cell>
          <cell r="J1917" t="str">
            <v>TATIANA NITTA</v>
          </cell>
          <cell r="K1917" t="str">
            <v>ITAMBÉ</v>
          </cell>
          <cell r="L1917" t="str">
            <v>MAURICIO</v>
          </cell>
          <cell r="M1917" t="str">
            <v>TATIANA NITTA</v>
          </cell>
        </row>
        <row r="1918">
          <cell r="B1918">
            <v>5115189</v>
          </cell>
          <cell r="C1918" t="str">
            <v>STA DISTRIBUIDORA DE ALIMENTOS LTDA</v>
          </cell>
          <cell r="D1918" t="str">
            <v>6001</v>
          </cell>
          <cell r="E1918" t="str">
            <v>0123</v>
          </cell>
          <cell r="F1918" t="str">
            <v>C1</v>
          </cell>
          <cell r="G1918" t="str">
            <v>GO</v>
          </cell>
          <cell r="H1918" t="str">
            <v>DISTRIBUIÇÃO</v>
          </cell>
          <cell r="I1918" t="str">
            <v>FOOD SERVICE</v>
          </cell>
          <cell r="J1918" t="str">
            <v>CLAUDIO JORGE/MARIA LAURA</v>
          </cell>
          <cell r="K1918" t="str">
            <v>ITAMBÉ</v>
          </cell>
          <cell r="L1918" t="str">
            <v>RODRIGO</v>
          </cell>
          <cell r="M1918" t="str">
            <v>MARCO AURELIO</v>
          </cell>
        </row>
        <row r="1919">
          <cell r="B1919">
            <v>5149588</v>
          </cell>
          <cell r="C1919" t="str">
            <v>LUA NOVA IND E COM PROD ALIM LT</v>
          </cell>
          <cell r="D1919" t="str">
            <v>3001</v>
          </cell>
          <cell r="E1919" t="str">
            <v>0028</v>
          </cell>
          <cell r="F1919" t="str">
            <v>C1</v>
          </cell>
          <cell r="G1919" t="str">
            <v>PR</v>
          </cell>
          <cell r="H1919" t="str">
            <v>INGREDIENTS</v>
          </cell>
          <cell r="I1919" t="str">
            <v>INGREDIENTS</v>
          </cell>
          <cell r="J1919" t="str">
            <v>TATIANA NITTA</v>
          </cell>
          <cell r="K1919" t="str">
            <v>ITAMBÉ</v>
          </cell>
          <cell r="L1919" t="str">
            <v>MAURICIO</v>
          </cell>
          <cell r="M1919" t="str">
            <v>TATIANA NITTA</v>
          </cell>
        </row>
        <row r="1920">
          <cell r="B1920">
            <v>5167579</v>
          </cell>
          <cell r="C1920" t="str">
            <v>SR PAO PANIFICACAO ALIM CONGELADOS</v>
          </cell>
          <cell r="D1920" t="str">
            <v>3001</v>
          </cell>
          <cell r="E1920" t="str">
            <v>0028</v>
          </cell>
          <cell r="F1920" t="str">
            <v>C1</v>
          </cell>
          <cell r="G1920" t="str">
            <v>SC</v>
          </cell>
          <cell r="H1920" t="str">
            <v>INGREDIENTS</v>
          </cell>
          <cell r="I1920" t="str">
            <v>INGREDIENTS</v>
          </cell>
          <cell r="J1920" t="str">
            <v>MARCELO RODRIGUES</v>
          </cell>
          <cell r="K1920" t="str">
            <v>ITAMBÉ</v>
          </cell>
          <cell r="L1920" t="str">
            <v>MAURICIO</v>
          </cell>
          <cell r="M1920" t="str">
            <v>MARCELO</v>
          </cell>
        </row>
        <row r="1921">
          <cell r="B1921">
            <v>5171400</v>
          </cell>
          <cell r="C1921" t="str">
            <v>PANIBRASIL MASSAS CONGELADAS LT</v>
          </cell>
          <cell r="D1921" t="str">
            <v>6001</v>
          </cell>
          <cell r="E1921" t="str">
            <v>6028</v>
          </cell>
          <cell r="F1921" t="str">
            <v>C1</v>
          </cell>
          <cell r="G1921" t="str">
            <v>SP</v>
          </cell>
          <cell r="H1921" t="str">
            <v>INGREDIENTS</v>
          </cell>
          <cell r="I1921" t="str">
            <v>INGREDIENTS</v>
          </cell>
          <cell r="J1921" t="str">
            <v>HENRIQUE FERREIRA</v>
          </cell>
          <cell r="K1921" t="str">
            <v>ITAMBÉ</v>
          </cell>
          <cell r="L1921" t="str">
            <v>MAURICIO</v>
          </cell>
          <cell r="M1921" t="str">
            <v>JOEL</v>
          </cell>
        </row>
        <row r="1922">
          <cell r="B1922">
            <v>5181144</v>
          </cell>
          <cell r="C1922" t="str">
            <v>INDUSTRIA DE SORVETES CAMAGIVA LTDA</v>
          </cell>
          <cell r="D1922" t="str">
            <v>6001</v>
          </cell>
          <cell r="E1922" t="str">
            <v>6028</v>
          </cell>
          <cell r="F1922" t="str">
            <v>C1</v>
          </cell>
          <cell r="G1922" t="str">
            <v>SP</v>
          </cell>
          <cell r="H1922" t="str">
            <v>QSR</v>
          </cell>
          <cell r="I1922" t="str">
            <v>FOOD SERVICE</v>
          </cell>
          <cell r="J1922" t="str">
            <v>ANA MENIQUETE</v>
          </cell>
          <cell r="K1922" t="str">
            <v>ITAMBÉ</v>
          </cell>
          <cell r="L1922" t="str">
            <v>PEDRO</v>
          </cell>
          <cell r="M1922" t="str">
            <v>ANA MENIQUETE</v>
          </cell>
        </row>
        <row r="1923">
          <cell r="B1923">
            <v>5182828</v>
          </cell>
          <cell r="C1923" t="str">
            <v>AMORIX ALIMENTOS LTDA</v>
          </cell>
          <cell r="D1923" t="str">
            <v>6001</v>
          </cell>
          <cell r="E1923" t="str">
            <v>0123</v>
          </cell>
          <cell r="F1923" t="str">
            <v>C1</v>
          </cell>
          <cell r="G1923" t="str">
            <v>GO</v>
          </cell>
          <cell r="H1923" t="str">
            <v>DISTRIBUIÇÃO</v>
          </cell>
          <cell r="I1923" t="str">
            <v>FOOD SERVICE</v>
          </cell>
          <cell r="J1923" t="str">
            <v>CLAUDIO JORGE</v>
          </cell>
          <cell r="K1923" t="str">
            <v>ITAMBÉ</v>
          </cell>
          <cell r="L1923" t="str">
            <v>RODRIGO</v>
          </cell>
          <cell r="M1923" t="str">
            <v>MARCO AURELIO</v>
          </cell>
        </row>
        <row r="1924">
          <cell r="B1924">
            <v>5218012</v>
          </cell>
          <cell r="C1924" t="str">
            <v>ACAI LITORAL NORTE INDUSTRIA E</v>
          </cell>
          <cell r="D1924" t="str">
            <v>6001</v>
          </cell>
          <cell r="E1924" t="str">
            <v>6127</v>
          </cell>
          <cell r="F1924" t="str">
            <v>C1</v>
          </cell>
          <cell r="G1924" t="str">
            <v>BA</v>
          </cell>
          <cell r="H1924" t="str">
            <v>DISTRIBUIÇÃO</v>
          </cell>
          <cell r="I1924" t="str">
            <v>FOOD SERVICE</v>
          </cell>
          <cell r="J1924" t="str">
            <v>CLAUDIO JORGE/LUIZ</v>
          </cell>
          <cell r="K1924" t="str">
            <v>ITAMBÉ</v>
          </cell>
          <cell r="L1924" t="str">
            <v>RODRIGO</v>
          </cell>
          <cell r="M1924" t="str">
            <v>MARIA LOURDES</v>
          </cell>
        </row>
        <row r="1925">
          <cell r="B1925">
            <v>5229467</v>
          </cell>
          <cell r="C1925" t="str">
            <v>GEBON SORVETES LTDA</v>
          </cell>
          <cell r="D1925" t="str">
            <v>3001</v>
          </cell>
          <cell r="E1925" t="str">
            <v>0028</v>
          </cell>
          <cell r="F1925" t="str">
            <v>C1</v>
          </cell>
          <cell r="G1925" t="str">
            <v>PR</v>
          </cell>
          <cell r="H1925" t="str">
            <v>INGREDIENTS</v>
          </cell>
          <cell r="I1925" t="str">
            <v>INGREDIENTS</v>
          </cell>
          <cell r="J1925" t="str">
            <v>MARCELO RODRIGUES</v>
          </cell>
          <cell r="K1925" t="str">
            <v>ITAMBÉ</v>
          </cell>
          <cell r="L1925" t="str">
            <v>MAURICIO</v>
          </cell>
          <cell r="M1925" t="str">
            <v>MARCELO</v>
          </cell>
        </row>
        <row r="1926">
          <cell r="B1926">
            <v>5339799</v>
          </cell>
          <cell r="C1926" t="str">
            <v>MENDES ARMAZEM E HORTIFRUTI LTD</v>
          </cell>
          <cell r="D1926" t="str">
            <v>7001</v>
          </cell>
          <cell r="E1926" t="str">
            <v>0749</v>
          </cell>
          <cell r="F1926" t="str">
            <v>C5</v>
          </cell>
          <cell r="G1926" t="str">
            <v>SP</v>
          </cell>
          <cell r="H1926" t="str">
            <v>DISTRIBUIÇÃO</v>
          </cell>
          <cell r="I1926" t="str">
            <v>FOOD SERVICE</v>
          </cell>
          <cell r="J1926" t="str">
            <v>FLAC 7</v>
          </cell>
          <cell r="K1926" t="str">
            <v>LACTALIS</v>
          </cell>
          <cell r="L1926" t="str">
            <v>RODRIGO</v>
          </cell>
          <cell r="M1926" t="str">
            <v>RAQUEL BARBOSA</v>
          </cell>
        </row>
        <row r="1927">
          <cell r="B1927">
            <v>5344035</v>
          </cell>
          <cell r="C1927" t="str">
            <v>MINI MERCADO INAJAR LTDA</v>
          </cell>
          <cell r="D1927" t="str">
            <v>7001</v>
          </cell>
          <cell r="E1927" t="str">
            <v>0749</v>
          </cell>
          <cell r="F1927" t="str">
            <v>C5</v>
          </cell>
          <cell r="G1927" t="str">
            <v>SP</v>
          </cell>
          <cell r="H1927" t="str">
            <v>DISTRIBUIÇÃO</v>
          </cell>
          <cell r="I1927" t="str">
            <v>FOOD SERVICE</v>
          </cell>
          <cell r="J1927" t="str">
            <v>FLAC 4</v>
          </cell>
          <cell r="K1927" t="str">
            <v>LACTALIS</v>
          </cell>
          <cell r="L1927" t="str">
            <v>RODRIGO</v>
          </cell>
          <cell r="M1927" t="str">
            <v>RAQUEL BARBOSA</v>
          </cell>
        </row>
        <row r="1928">
          <cell r="B1928">
            <v>5346989</v>
          </cell>
          <cell r="C1928" t="str">
            <v>LEONI ALIMENTOS LTDA</v>
          </cell>
          <cell r="D1928" t="str">
            <v>7001</v>
          </cell>
          <cell r="E1928" t="str">
            <v>0749</v>
          </cell>
          <cell r="F1928" t="str">
            <v>C5</v>
          </cell>
          <cell r="G1928" t="str">
            <v>SP</v>
          </cell>
          <cell r="H1928" t="str">
            <v>DISTRIBUIÇÃO</v>
          </cell>
          <cell r="I1928" t="str">
            <v>FOOD SERVICE</v>
          </cell>
          <cell r="J1928" t="str">
            <v>FLAC 7</v>
          </cell>
          <cell r="K1928" t="str">
            <v>LACTALIS</v>
          </cell>
          <cell r="L1928" t="str">
            <v>RODRIGO</v>
          </cell>
          <cell r="M1928" t="str">
            <v>RAQUEL BARBOSA</v>
          </cell>
        </row>
        <row r="1929">
          <cell r="B1929">
            <v>5347237</v>
          </cell>
          <cell r="C1929" t="str">
            <v>MEXICALETTA SORVETES LTDA</v>
          </cell>
          <cell r="D1929" t="str">
            <v>6001</v>
          </cell>
          <cell r="E1929" t="str">
            <v>6028</v>
          </cell>
          <cell r="F1929" t="str">
            <v>C1</v>
          </cell>
          <cell r="G1929" t="str">
            <v>SP</v>
          </cell>
          <cell r="H1929" t="str">
            <v>INGREDIENTS</v>
          </cell>
          <cell r="I1929" t="str">
            <v>INGREDIENTS</v>
          </cell>
          <cell r="J1929" t="str">
            <v>SP ITB FS LUIZ PEREIRA</v>
          </cell>
          <cell r="K1929" t="str">
            <v>ITAMBÉ</v>
          </cell>
          <cell r="L1929" t="str">
            <v>MAURICIO</v>
          </cell>
          <cell r="M1929" t="str">
            <v>TATIANA NITTA</v>
          </cell>
        </row>
        <row r="1930">
          <cell r="B1930">
            <v>5130738</v>
          </cell>
          <cell r="C1930" t="str">
            <v>ODAIR JOSE DA SILVA COUTO 88212</v>
          </cell>
          <cell r="D1930" t="str">
            <v>6001</v>
          </cell>
          <cell r="E1930" t="str">
            <v>6127</v>
          </cell>
          <cell r="F1930" t="str">
            <v>C1</v>
          </cell>
          <cell r="G1930" t="str">
            <v>BA</v>
          </cell>
          <cell r="H1930" t="str">
            <v>DISTRIBUIÇÃO</v>
          </cell>
          <cell r="I1930" t="str">
            <v>FOOD SERVICE</v>
          </cell>
          <cell r="J1930" t="str">
            <v>CLAUDIO JORGE/LUIZ</v>
          </cell>
          <cell r="K1930" t="str">
            <v>ITAMBÉ</v>
          </cell>
          <cell r="L1930" t="str">
            <v>RODRIGO</v>
          </cell>
          <cell r="M1930" t="str">
            <v>MARIA LOURDES</v>
          </cell>
        </row>
        <row r="1931">
          <cell r="B1931">
            <v>5182903</v>
          </cell>
          <cell r="C1931" t="str">
            <v>CERVINO E MARTINEZ LTDA</v>
          </cell>
          <cell r="D1931" t="str">
            <v>6001</v>
          </cell>
          <cell r="E1931" t="str">
            <v>6127</v>
          </cell>
          <cell r="F1931" t="str">
            <v>C1</v>
          </cell>
          <cell r="G1931" t="str">
            <v>BA</v>
          </cell>
          <cell r="H1931" t="str">
            <v>DISTRIBUIÇÃO</v>
          </cell>
          <cell r="I1931" t="str">
            <v>FOOD SERVICE</v>
          </cell>
          <cell r="J1931" t="str">
            <v>CLAUDIO JORGE/LUIZ</v>
          </cell>
          <cell r="K1931" t="str">
            <v>ITAMBÉ</v>
          </cell>
          <cell r="L1931" t="str">
            <v>RODRIGO</v>
          </cell>
          <cell r="M1931" t="str">
            <v>MARIA LOURDES</v>
          </cell>
        </row>
        <row r="1932">
          <cell r="B1932">
            <v>5346654</v>
          </cell>
          <cell r="C1932" t="str">
            <v>PIRAPORA COMERCIO DE CHOCOLATES</v>
          </cell>
          <cell r="D1932" t="str">
            <v>7001</v>
          </cell>
          <cell r="E1932" t="str">
            <v>0749</v>
          </cell>
          <cell r="F1932" t="str">
            <v>C5</v>
          </cell>
          <cell r="G1932" t="str">
            <v>SP</v>
          </cell>
          <cell r="H1932" t="str">
            <v>DISTRIBUIÇÃO</v>
          </cell>
          <cell r="I1932" t="str">
            <v>FOOD SERVICE</v>
          </cell>
          <cell r="J1932" t="str">
            <v>FLAC 6</v>
          </cell>
          <cell r="K1932" t="str">
            <v>LACTALIS</v>
          </cell>
          <cell r="L1932" t="str">
            <v>RODRIGO</v>
          </cell>
          <cell r="M1932" t="str">
            <v>RAQUEL BARBOSA</v>
          </cell>
        </row>
        <row r="1933">
          <cell r="B1933">
            <v>5346808</v>
          </cell>
          <cell r="C1933" t="str">
            <v>AZ ALIMENTOS SAUDAVEIS LTDA</v>
          </cell>
          <cell r="D1933" t="str">
            <v>3001</v>
          </cell>
          <cell r="E1933" t="str">
            <v>0126</v>
          </cell>
          <cell r="F1933" t="str">
            <v>C1</v>
          </cell>
          <cell r="G1933" t="str">
            <v>PR</v>
          </cell>
          <cell r="H1933" t="str">
            <v>DISTRIBUIÇÃO</v>
          </cell>
          <cell r="I1933" t="str">
            <v>FOOD SERVICE</v>
          </cell>
          <cell r="J1933" t="str">
            <v>ANGELICA BATISTELA</v>
          </cell>
          <cell r="K1933" t="str">
            <v>ITAMBÉ</v>
          </cell>
          <cell r="L1933" t="str">
            <v>RODRIGO</v>
          </cell>
          <cell r="M1933" t="str">
            <v>ANGELICA BATISTELA</v>
          </cell>
        </row>
        <row r="1934">
          <cell r="B1934">
            <v>5347317</v>
          </cell>
          <cell r="C1934" t="str">
            <v>TXC CAFE LTDA</v>
          </cell>
          <cell r="D1934" t="str">
            <v>7001</v>
          </cell>
          <cell r="E1934" t="str">
            <v>0749</v>
          </cell>
          <cell r="F1934" t="str">
            <v>C5</v>
          </cell>
          <cell r="G1934" t="str">
            <v>SP</v>
          </cell>
          <cell r="H1934" t="str">
            <v>DISTRIBUIÇÃO</v>
          </cell>
          <cell r="I1934" t="str">
            <v>FOOD SERVICE</v>
          </cell>
          <cell r="J1934" t="str">
            <v>FLAC 3</v>
          </cell>
          <cell r="K1934" t="str">
            <v>LACTALIS</v>
          </cell>
          <cell r="L1934" t="str">
            <v>RODRIGO</v>
          </cell>
          <cell r="M1934" t="str">
            <v>RAQUEL BARBOSA</v>
          </cell>
        </row>
        <row r="1935">
          <cell r="B1935">
            <v>5332489</v>
          </cell>
          <cell r="C1935" t="str">
            <v>DSA COMERCIAL DE ALIMENTOS LTDA</v>
          </cell>
          <cell r="D1935" t="str">
            <v>6001</v>
          </cell>
          <cell r="E1935" t="str">
            <v>6127</v>
          </cell>
          <cell r="F1935" t="str">
            <v>C1</v>
          </cell>
          <cell r="G1935" t="str">
            <v>BA</v>
          </cell>
          <cell r="H1935" t="str">
            <v>DISTRIBUIÇÃO</v>
          </cell>
          <cell r="I1935" t="str">
            <v>FOOD SERVICE</v>
          </cell>
          <cell r="J1935" t="str">
            <v>CLAUDIO JORGE/LUIZ</v>
          </cell>
          <cell r="K1935" t="str">
            <v>ITAMBÉ</v>
          </cell>
          <cell r="L1935" t="str">
            <v>RODRIGO</v>
          </cell>
          <cell r="M1935" t="str">
            <v>MARIA LOURDES</v>
          </cell>
        </row>
        <row r="1936">
          <cell r="B1936">
            <v>5346113</v>
          </cell>
          <cell r="C1936" t="str">
            <v>ARILU DISTRIBUIDORA SA</v>
          </cell>
          <cell r="D1936" t="str">
            <v>3001</v>
          </cell>
          <cell r="E1936" t="str">
            <v>0126</v>
          </cell>
          <cell r="F1936" t="str">
            <v>C1</v>
          </cell>
          <cell r="G1936" t="str">
            <v>PR</v>
          </cell>
          <cell r="H1936" t="str">
            <v>DISTRIBUIÇÃO</v>
          </cell>
          <cell r="I1936" t="str">
            <v>FOOD SERVICE</v>
          </cell>
          <cell r="J1936" t="str">
            <v>ANGELICA BATISTELA</v>
          </cell>
          <cell r="K1936" t="str">
            <v>ITAMBÉ</v>
          </cell>
          <cell r="L1936" t="str">
            <v>RODRIGO</v>
          </cell>
          <cell r="M1936" t="str">
            <v>ANGELICA BATISTELA</v>
          </cell>
        </row>
        <row r="1937">
          <cell r="B1937">
            <v>5346113</v>
          </cell>
          <cell r="C1937" t="str">
            <v>ARILU DISTRIBUIDORA SA</v>
          </cell>
          <cell r="D1937" t="str">
            <v>4001</v>
          </cell>
          <cell r="E1937" t="str">
            <v>0455</v>
          </cell>
          <cell r="F1937" t="str">
            <v>C1</v>
          </cell>
          <cell r="G1937" t="str">
            <v>PR</v>
          </cell>
          <cell r="H1937" t="str">
            <v>DISTRIBUIÇÃO</v>
          </cell>
          <cell r="I1937" t="str">
            <v>FOOD SERVICE</v>
          </cell>
          <cell r="J1937" t="str">
            <v>ANGELICA BATISTELA</v>
          </cell>
          <cell r="K1937" t="str">
            <v>LACTALIS</v>
          </cell>
          <cell r="L1937" t="str">
            <v>RODRIGO</v>
          </cell>
          <cell r="M1937" t="str">
            <v>ANGELICA BATISTELA</v>
          </cell>
        </row>
        <row r="1938">
          <cell r="B1938">
            <v>5023770</v>
          </cell>
          <cell r="C1938" t="str">
            <v>SOLMAR DIST DE ALIMENTOS LTDA</v>
          </cell>
          <cell r="D1938" t="str">
            <v>6001</v>
          </cell>
          <cell r="E1938" t="str">
            <v>6075</v>
          </cell>
          <cell r="F1938" t="str">
            <v>C1</v>
          </cell>
          <cell r="G1938" t="str">
            <v>CE</v>
          </cell>
          <cell r="H1938" t="str">
            <v>DISTRIBUIÇÃO</v>
          </cell>
          <cell r="I1938" t="str">
            <v>FOOD SERVICE</v>
          </cell>
          <cell r="J1938" t="str">
            <v>WH FOOD SERVICE CE</v>
          </cell>
          <cell r="K1938" t="str">
            <v>ITAMBÉ</v>
          </cell>
          <cell r="L1938" t="str">
            <v>RODRIGO</v>
          </cell>
          <cell r="M1938" t="str">
            <v>MARIA LOURDES</v>
          </cell>
        </row>
        <row r="1939">
          <cell r="B1939">
            <v>5200105</v>
          </cell>
          <cell r="C1939" t="str">
            <v>NPEREIRA IMPORTACAO E COMERCIO</v>
          </cell>
          <cell r="D1939" t="str">
            <v>6001</v>
          </cell>
          <cell r="E1939" t="str">
            <v>6125</v>
          </cell>
          <cell r="F1939" t="str">
            <v>C1</v>
          </cell>
          <cell r="G1939" t="str">
            <v>SP</v>
          </cell>
          <cell r="H1939" t="str">
            <v>DISTRIBUIÇÃO</v>
          </cell>
          <cell r="I1939" t="str">
            <v>FOOD SERVICE</v>
          </cell>
          <cell r="J1939" t="str">
            <v>SP ITB FS FLAC REP.E COMERCIO</v>
          </cell>
          <cell r="K1939" t="str">
            <v>ITAMBÉ</v>
          </cell>
          <cell r="L1939" t="str">
            <v>RODRIGO</v>
          </cell>
          <cell r="M1939" t="str">
            <v>RAQUEL BARBOSA</v>
          </cell>
        </row>
        <row r="1940">
          <cell r="B1940">
            <v>5218945</v>
          </cell>
          <cell r="C1940" t="str">
            <v>MAIS LEVE C DE ALIMENTOS SAUDAV</v>
          </cell>
          <cell r="D1940" t="str">
            <v>6001</v>
          </cell>
          <cell r="E1940" t="str">
            <v>6127</v>
          </cell>
          <cell r="F1940" t="str">
            <v>C1</v>
          </cell>
          <cell r="G1940" t="str">
            <v>BA</v>
          </cell>
          <cell r="H1940" t="str">
            <v>DISTRIBUIÇÃO</v>
          </cell>
          <cell r="I1940" t="str">
            <v>FOOD SERVICE</v>
          </cell>
          <cell r="J1940" t="str">
            <v>CLAUDIO JORGE/LUIZ</v>
          </cell>
          <cell r="K1940" t="str">
            <v>ITAMBÉ</v>
          </cell>
          <cell r="L1940" t="str">
            <v>RODRIGO</v>
          </cell>
          <cell r="M1940" t="str">
            <v>MARIA LOURDES</v>
          </cell>
        </row>
        <row r="1941">
          <cell r="B1941">
            <v>5220189</v>
          </cell>
          <cell r="C1941" t="str">
            <v>SORVETES CORONADO LTDA</v>
          </cell>
          <cell r="D1941" t="str">
            <v>6001</v>
          </cell>
          <cell r="E1941" t="str">
            <v>6127</v>
          </cell>
          <cell r="F1941" t="str">
            <v>C1</v>
          </cell>
          <cell r="G1941" t="str">
            <v>BA</v>
          </cell>
          <cell r="H1941" t="str">
            <v>DISTRIBUIÇÃO</v>
          </cell>
          <cell r="I1941" t="str">
            <v>FOOD SERVICE</v>
          </cell>
          <cell r="J1941" t="str">
            <v>CLAUDIO JORGE/LUIZ</v>
          </cell>
          <cell r="K1941" t="str">
            <v>ITAMBÉ</v>
          </cell>
          <cell r="L1941" t="str">
            <v>RODRIGO</v>
          </cell>
          <cell r="M1941" t="str">
            <v>MARIA LOURDES</v>
          </cell>
        </row>
        <row r="1942">
          <cell r="B1942">
            <v>5200068</v>
          </cell>
          <cell r="C1942" t="str">
            <v>GULA COM DE REF E BEB LTDA</v>
          </cell>
          <cell r="D1942" t="str">
            <v>6001</v>
          </cell>
          <cell r="E1942" t="str">
            <v>6127</v>
          </cell>
          <cell r="F1942" t="str">
            <v>C1</v>
          </cell>
          <cell r="G1942" t="str">
            <v>CE</v>
          </cell>
          <cell r="H1942" t="str">
            <v>DISTRIBUIÇÃO</v>
          </cell>
          <cell r="I1942" t="str">
            <v>FOOD SERVICE</v>
          </cell>
          <cell r="J1942" t="str">
            <v>WH FOOD SERVICE CE</v>
          </cell>
          <cell r="K1942" t="str">
            <v>ITAMBÉ</v>
          </cell>
          <cell r="L1942" t="str">
            <v>RODRIGO</v>
          </cell>
          <cell r="M1942" t="str">
            <v>MARIA LOURDES</v>
          </cell>
        </row>
        <row r="1943">
          <cell r="B1943">
            <v>5230045</v>
          </cell>
          <cell r="C1943" t="str">
            <v>DN SHAKES COMERCIO DE ALIM LTDA</v>
          </cell>
          <cell r="D1943" t="str">
            <v>3001</v>
          </cell>
          <cell r="E1943" t="str">
            <v>0028</v>
          </cell>
          <cell r="F1943" t="str">
            <v>C1</v>
          </cell>
          <cell r="G1943" t="str">
            <v>RS</v>
          </cell>
          <cell r="H1943" t="str">
            <v>INGREDIENTS</v>
          </cell>
          <cell r="I1943" t="str">
            <v>INGREDIENTS</v>
          </cell>
          <cell r="J1943" t="str">
            <v>DUAS RODAS</v>
          </cell>
          <cell r="K1943" t="str">
            <v>ITAMBÉ</v>
          </cell>
          <cell r="L1943" t="str">
            <v>MAURICIO</v>
          </cell>
          <cell r="M1943" t="str">
            <v>MARCELO</v>
          </cell>
        </row>
        <row r="1944">
          <cell r="B1944">
            <v>5230104</v>
          </cell>
          <cell r="C1944" t="str">
            <v>FC DISTRIBUIDORA DE CHOCOLATES</v>
          </cell>
          <cell r="D1944" t="str">
            <v>4001</v>
          </cell>
          <cell r="E1944" t="str">
            <v>0455</v>
          </cell>
          <cell r="F1944" t="str">
            <v>C1</v>
          </cell>
          <cell r="G1944" t="str">
            <v>PR</v>
          </cell>
          <cell r="H1944" t="str">
            <v>DISTRIBUIÇÃO</v>
          </cell>
          <cell r="I1944" t="str">
            <v>FOOD SERVICE</v>
          </cell>
          <cell r="J1944" t="str">
            <v>ANGELICA BATISTELA</v>
          </cell>
          <cell r="K1944" t="str">
            <v>LACTALIS</v>
          </cell>
          <cell r="L1944" t="str">
            <v>RODRIGO</v>
          </cell>
          <cell r="M1944" t="str">
            <v>ANGELICA BATISTELA</v>
          </cell>
        </row>
        <row r="1945">
          <cell r="B1945">
            <v>5309624</v>
          </cell>
          <cell r="C1945" t="str">
            <v>TATIANE RABELO CAMPELO</v>
          </cell>
          <cell r="D1945" t="str">
            <v>6001</v>
          </cell>
          <cell r="E1945" t="str">
            <v>6127</v>
          </cell>
          <cell r="F1945" t="str">
            <v>C1</v>
          </cell>
          <cell r="G1945" t="str">
            <v>CE</v>
          </cell>
          <cell r="H1945" t="str">
            <v>DISTRIBUIÇÃO</v>
          </cell>
          <cell r="I1945" t="str">
            <v>FOOD SERVICE</v>
          </cell>
          <cell r="J1945" t="str">
            <v>WH FOOD SERVICE CE</v>
          </cell>
          <cell r="K1945" t="str">
            <v>ITAMBÉ</v>
          </cell>
          <cell r="L1945" t="str">
            <v>RODRIGO</v>
          </cell>
          <cell r="M1945" t="str">
            <v>MARIA LOURDES</v>
          </cell>
        </row>
        <row r="1946">
          <cell r="B1946">
            <v>5346672</v>
          </cell>
          <cell r="C1946" t="str">
            <v>V. ANDRADE DA SILVA PROMO DE VE</v>
          </cell>
          <cell r="D1946" t="str">
            <v>7001</v>
          </cell>
          <cell r="E1946" t="str">
            <v>0722</v>
          </cell>
          <cell r="F1946" t="str">
            <v>C1</v>
          </cell>
          <cell r="G1946" t="str">
            <v>SP</v>
          </cell>
          <cell r="H1946" t="str">
            <v>DISTRIBUIÇÃO</v>
          </cell>
          <cell r="I1946" t="str">
            <v>FOOD SERVICE</v>
          </cell>
          <cell r="J1946" t="str">
            <v>GUILHERME NASCIMENTO</v>
          </cell>
          <cell r="K1946" t="str">
            <v>LACTALIS</v>
          </cell>
          <cell r="L1946" t="str">
            <v>RODRIGO</v>
          </cell>
          <cell r="M1946" t="str">
            <v>ALEXANDRO</v>
          </cell>
        </row>
        <row r="1947">
          <cell r="B1947">
            <v>5346823</v>
          </cell>
          <cell r="C1947" t="str">
            <v>FOOD SOCIETY HG VOLANO LTDA</v>
          </cell>
          <cell r="D1947" t="str">
            <v>7001</v>
          </cell>
          <cell r="E1947" t="str">
            <v>0749</v>
          </cell>
          <cell r="F1947" t="str">
            <v>C5</v>
          </cell>
          <cell r="G1947" t="str">
            <v>SP</v>
          </cell>
          <cell r="H1947" t="str">
            <v>DISTRIBUIÇÃO</v>
          </cell>
          <cell r="I1947" t="str">
            <v>FOOD SERVICE</v>
          </cell>
          <cell r="J1947" t="str">
            <v>FLAC 6</v>
          </cell>
          <cell r="K1947" t="str">
            <v>LACTALIS</v>
          </cell>
          <cell r="L1947" t="str">
            <v>RODRIGO</v>
          </cell>
          <cell r="M1947" t="str">
            <v>RAQUEL BARBOSA</v>
          </cell>
        </row>
        <row r="1948">
          <cell r="B1948">
            <v>5346844</v>
          </cell>
          <cell r="C1948" t="str">
            <v>ALLAMANDA 223 PAES E DOCES ARTE</v>
          </cell>
          <cell r="D1948" t="str">
            <v>7001</v>
          </cell>
          <cell r="E1948" t="str">
            <v>0749</v>
          </cell>
          <cell r="F1948" t="str">
            <v>C5</v>
          </cell>
          <cell r="G1948" t="str">
            <v>SP</v>
          </cell>
          <cell r="H1948" t="str">
            <v>DISTRIBUIÇÃO</v>
          </cell>
          <cell r="I1948" t="str">
            <v>FOOD SERVICE</v>
          </cell>
          <cell r="J1948" t="str">
            <v>FLAC 2</v>
          </cell>
          <cell r="K1948" t="str">
            <v>LACTALIS</v>
          </cell>
          <cell r="L1948" t="str">
            <v>RODRIGO</v>
          </cell>
          <cell r="M1948" t="str">
            <v>RAQUEL BARBOSA</v>
          </cell>
        </row>
        <row r="1949">
          <cell r="B1949">
            <v>5182672</v>
          </cell>
          <cell r="C1949" t="str">
            <v>INDUSTRIA DE SORVETES GELUY LTD</v>
          </cell>
          <cell r="D1949" t="str">
            <v>3001</v>
          </cell>
          <cell r="E1949" t="str">
            <v>0028</v>
          </cell>
          <cell r="F1949" t="str">
            <v>C1</v>
          </cell>
          <cell r="G1949" t="str">
            <v>SC</v>
          </cell>
          <cell r="H1949" t="str">
            <v>INGREDIENTS</v>
          </cell>
          <cell r="I1949" t="str">
            <v>INGREDIENTS</v>
          </cell>
          <cell r="J1949" t="str">
            <v>DUAS RODAS</v>
          </cell>
          <cell r="K1949" t="str">
            <v>ITAMBÉ</v>
          </cell>
          <cell r="L1949" t="str">
            <v>MAURICIO</v>
          </cell>
          <cell r="M1949" t="str">
            <v>MARCELO</v>
          </cell>
        </row>
        <row r="1950">
          <cell r="B1950">
            <v>5206064</v>
          </cell>
          <cell r="C1950" t="str">
            <v>JCA ALIMENTOS CONGELADOS LTDA</v>
          </cell>
          <cell r="D1950" t="str">
            <v>7001</v>
          </cell>
          <cell r="E1950" t="str">
            <v>0722</v>
          </cell>
          <cell r="F1950" t="str">
            <v>C1</v>
          </cell>
          <cell r="G1950" t="str">
            <v>SP</v>
          </cell>
          <cell r="H1950" t="str">
            <v>DISTRIBUIÇÃO</v>
          </cell>
          <cell r="I1950" t="str">
            <v>FOOD SERVICE</v>
          </cell>
          <cell r="J1950" t="str">
            <v>VAGO SP</v>
          </cell>
          <cell r="K1950" t="str">
            <v>LACTALIS</v>
          </cell>
          <cell r="L1950" t="str">
            <v>RODRIGO</v>
          </cell>
          <cell r="M1950" t="str">
            <v>RAQUEL BARBOSA</v>
          </cell>
        </row>
        <row r="1951">
          <cell r="B1951">
            <v>5248149</v>
          </cell>
          <cell r="C1951" t="str">
            <v>BATEL GRILL FRANGO CARNES MASSA</v>
          </cell>
          <cell r="D1951" t="str">
            <v>4001</v>
          </cell>
          <cell r="E1951" t="str">
            <v>0455</v>
          </cell>
          <cell r="F1951" t="str">
            <v>C1</v>
          </cell>
          <cell r="G1951" t="str">
            <v>PR</v>
          </cell>
          <cell r="H1951" t="str">
            <v>DISTRIBUIÇÃO</v>
          </cell>
          <cell r="I1951" t="str">
            <v>FOOD SERVICE</v>
          </cell>
          <cell r="J1951" t="str">
            <v>ANGELICA BATISTELA</v>
          </cell>
          <cell r="K1951" t="str">
            <v>LACTALIS</v>
          </cell>
          <cell r="L1951" t="str">
            <v>RODRIGO</v>
          </cell>
          <cell r="M1951" t="str">
            <v>ANGELICA BATISTELA</v>
          </cell>
        </row>
        <row r="1952">
          <cell r="B1952">
            <v>5273497</v>
          </cell>
          <cell r="C1952" t="str">
            <v>GRIFFOOD BRASIL ALIMENTOS SA</v>
          </cell>
          <cell r="D1952" t="str">
            <v>4001</v>
          </cell>
          <cell r="E1952" t="str">
            <v>0437</v>
          </cell>
          <cell r="F1952" t="str">
            <v>C1</v>
          </cell>
          <cell r="G1952" t="str">
            <v>SP</v>
          </cell>
          <cell r="H1952" t="str">
            <v>INGREDIENTS</v>
          </cell>
          <cell r="I1952" t="str">
            <v>INGREDIENTS</v>
          </cell>
          <cell r="J1952" t="str">
            <v>JOEL ELEOTÉRIO</v>
          </cell>
          <cell r="K1952" t="str">
            <v>LACTALIS</v>
          </cell>
          <cell r="L1952" t="str">
            <v>MAURICIO</v>
          </cell>
          <cell r="M1952" t="str">
            <v>JOEL</v>
          </cell>
        </row>
        <row r="1953">
          <cell r="B1953">
            <v>5347517</v>
          </cell>
          <cell r="C1953" t="str">
            <v>JJ MARKET LTDA</v>
          </cell>
          <cell r="D1953" t="str">
            <v>7001</v>
          </cell>
          <cell r="E1953" t="str">
            <v>0749</v>
          </cell>
          <cell r="F1953" t="str">
            <v>C5</v>
          </cell>
          <cell r="G1953" t="str">
            <v>SP</v>
          </cell>
          <cell r="H1953" t="str">
            <v>DISTRIBUIÇÃO</v>
          </cell>
          <cell r="I1953" t="str">
            <v>FOOD SERVICE</v>
          </cell>
          <cell r="J1953" t="str">
            <v>FLAC 3</v>
          </cell>
          <cell r="K1953" t="str">
            <v>LACTALIS</v>
          </cell>
          <cell r="L1953" t="str">
            <v>RODRIGO</v>
          </cell>
          <cell r="M1953" t="str">
            <v>RAQUEL BARBOSA</v>
          </cell>
        </row>
        <row r="1954">
          <cell r="B1954">
            <v>5164138</v>
          </cell>
          <cell r="C1954" t="str">
            <v>MILFRIOS DISTR DE PROD ALIM LTDA</v>
          </cell>
          <cell r="D1954" t="str">
            <v>6001</v>
          </cell>
          <cell r="E1954" t="str">
            <v>6127</v>
          </cell>
          <cell r="F1954" t="str">
            <v>C1</v>
          </cell>
          <cell r="G1954" t="str">
            <v>CE</v>
          </cell>
          <cell r="H1954" t="str">
            <v>DISTRIBUIÇÃO</v>
          </cell>
          <cell r="I1954" t="str">
            <v>FOOD SERVICE</v>
          </cell>
          <cell r="J1954" t="str">
            <v>WH FOOD SERVICE CE</v>
          </cell>
          <cell r="K1954" t="str">
            <v>ITAMBÉ</v>
          </cell>
          <cell r="L1954" t="str">
            <v>RODRIGO</v>
          </cell>
          <cell r="M1954" t="str">
            <v>MARIA LOURDES</v>
          </cell>
        </row>
        <row r="1955">
          <cell r="B1955">
            <v>5347143</v>
          </cell>
          <cell r="C1955" t="str">
            <v>STERCI E STERCI RESTAURANTE LTD</v>
          </cell>
          <cell r="D1955" t="str">
            <v>7001</v>
          </cell>
          <cell r="E1955" t="str">
            <v>0749</v>
          </cell>
          <cell r="F1955" t="str">
            <v>C5</v>
          </cell>
          <cell r="G1955" t="str">
            <v>SP</v>
          </cell>
          <cell r="H1955" t="str">
            <v>DISTRIBUIÇÃO</v>
          </cell>
          <cell r="I1955" t="str">
            <v>FOOD SERVICE</v>
          </cell>
          <cell r="J1955" t="str">
            <v>FLAC 2</v>
          </cell>
          <cell r="K1955" t="str">
            <v>LACTALIS</v>
          </cell>
          <cell r="L1955" t="str">
            <v>RODRIGO</v>
          </cell>
          <cell r="M1955" t="str">
            <v>RAQUEL BARBOSA</v>
          </cell>
        </row>
        <row r="1956">
          <cell r="B1956">
            <v>5347675</v>
          </cell>
          <cell r="C1956" t="str">
            <v>SABOR IDEAL SERVICOS DE ALIMENT</v>
          </cell>
          <cell r="D1956" t="str">
            <v>7001</v>
          </cell>
          <cell r="E1956" t="str">
            <v>0749</v>
          </cell>
          <cell r="F1956" t="str">
            <v>C5</v>
          </cell>
          <cell r="G1956" t="str">
            <v>SP</v>
          </cell>
          <cell r="H1956" t="str">
            <v>DISTRIBUIÇÃO</v>
          </cell>
          <cell r="I1956" t="str">
            <v>FOOD SERVICE</v>
          </cell>
          <cell r="J1956" t="str">
            <v>FLAC 2</v>
          </cell>
          <cell r="K1956" t="str">
            <v>LACTALIS</v>
          </cell>
          <cell r="L1956" t="str">
            <v>RODRIGO</v>
          </cell>
          <cell r="M1956" t="str">
            <v>RAQUEL BARBOSA</v>
          </cell>
        </row>
        <row r="1957">
          <cell r="B1957">
            <v>5129364</v>
          </cell>
          <cell r="C1957" t="str">
            <v>VEP FROZEN FOODS IMPORT E EXPORT LT</v>
          </cell>
          <cell r="D1957" t="str">
            <v>6001</v>
          </cell>
          <cell r="E1957" t="str">
            <v>6028</v>
          </cell>
          <cell r="F1957" t="str">
            <v>C1</v>
          </cell>
          <cell r="G1957" t="str">
            <v>SP</v>
          </cell>
          <cell r="H1957" t="str">
            <v>INGREDIENTS</v>
          </cell>
          <cell r="I1957" t="str">
            <v>INGREDIENTS</v>
          </cell>
          <cell r="J1957" t="str">
            <v>TATIANA NITTA</v>
          </cell>
          <cell r="K1957" t="str">
            <v>ITAMBÉ</v>
          </cell>
          <cell r="L1957" t="str">
            <v>MAURICIO</v>
          </cell>
          <cell r="M1957" t="str">
            <v>TATIANA NITTA</v>
          </cell>
        </row>
        <row r="1958">
          <cell r="B1958">
            <v>5217383</v>
          </cell>
          <cell r="C1958" t="str">
            <v>FRUTAL INDUSTRIA E COMERCIO LTD</v>
          </cell>
          <cell r="D1958" t="str">
            <v>4001</v>
          </cell>
          <cell r="E1958" t="str">
            <v>0437</v>
          </cell>
          <cell r="F1958" t="str">
            <v>C1</v>
          </cell>
          <cell r="G1958" t="str">
            <v>AM</v>
          </cell>
          <cell r="H1958" t="str">
            <v>INGREDIENTS</v>
          </cell>
          <cell r="I1958" t="str">
            <v>INGREDIENTS</v>
          </cell>
          <cell r="J1958" t="str">
            <v>JOEL ELEOTÉRIO</v>
          </cell>
          <cell r="K1958" t="str">
            <v>LACTALIS</v>
          </cell>
          <cell r="L1958" t="str">
            <v>MAURICIO</v>
          </cell>
          <cell r="M1958" t="str">
            <v>JOEL</v>
          </cell>
        </row>
        <row r="1959">
          <cell r="B1959">
            <v>5027658</v>
          </cell>
          <cell r="C1959" t="str">
            <v>OESA COMERCIO E REPRESENTACOES</v>
          </cell>
          <cell r="D1959" t="str">
            <v>4001</v>
          </cell>
          <cell r="E1959" t="str">
            <v>0456</v>
          </cell>
          <cell r="F1959" t="str">
            <v>C1</v>
          </cell>
          <cell r="G1959" t="str">
            <v>SC</v>
          </cell>
          <cell r="H1959" t="str">
            <v>DISTRIBUIÇÃO</v>
          </cell>
          <cell r="I1959" t="str">
            <v>FOOD SERVICE</v>
          </cell>
          <cell r="J1959" t="str">
            <v>ANGELICA BATISTELA</v>
          </cell>
          <cell r="K1959" t="str">
            <v>LACTALIS</v>
          </cell>
          <cell r="L1959" t="str">
            <v>RODRIGO</v>
          </cell>
          <cell r="M1959" t="str">
            <v>ANGELICA BATISTELA</v>
          </cell>
        </row>
        <row r="1960">
          <cell r="B1960">
            <v>5229527</v>
          </cell>
          <cell r="C1960" t="str">
            <v>BJ COMERCIO E INDUSTRIA DE SORV</v>
          </cell>
          <cell r="D1960" t="str">
            <v>3001</v>
          </cell>
          <cell r="E1960" t="str">
            <v>0028</v>
          </cell>
          <cell r="F1960" t="str">
            <v>C1</v>
          </cell>
          <cell r="G1960" t="str">
            <v>AM</v>
          </cell>
          <cell r="H1960" t="str">
            <v>INGREDIENTS</v>
          </cell>
          <cell r="I1960" t="str">
            <v>INGREDIENTS</v>
          </cell>
          <cell r="J1960" t="str">
            <v>AM - DUAS RODAS</v>
          </cell>
          <cell r="K1960" t="str">
            <v>ITAMBÉ</v>
          </cell>
          <cell r="L1960" t="str">
            <v>MAURICIO</v>
          </cell>
          <cell r="M1960" t="str">
            <v>JOEL</v>
          </cell>
        </row>
        <row r="1961">
          <cell r="B1961">
            <v>5340656</v>
          </cell>
          <cell r="C1961" t="str">
            <v>ATRIA PRODUTOS ALIMENTICIOS LTD</v>
          </cell>
          <cell r="D1961" t="str">
            <v>7001</v>
          </cell>
          <cell r="E1961" t="str">
            <v>0722</v>
          </cell>
          <cell r="F1961" t="str">
            <v>C1</v>
          </cell>
          <cell r="G1961" t="str">
            <v>SP</v>
          </cell>
          <cell r="H1961" t="str">
            <v>DISTRIBUIÇÃO</v>
          </cell>
          <cell r="I1961" t="str">
            <v>FOOD SERVICE</v>
          </cell>
          <cell r="J1961" t="str">
            <v>GUILHERME NASCIMENTO</v>
          </cell>
          <cell r="K1961" t="str">
            <v>LACTALIS</v>
          </cell>
          <cell r="L1961" t="str">
            <v>RODRIGO</v>
          </cell>
          <cell r="M1961" t="str">
            <v>ALEXANDRO</v>
          </cell>
        </row>
        <row r="1962">
          <cell r="B1962">
            <v>5347472</v>
          </cell>
          <cell r="C1962" t="str">
            <v>ASSOCIACAO HOSPITALAR PLATINUM</v>
          </cell>
          <cell r="D1962" t="str">
            <v>7001</v>
          </cell>
          <cell r="E1962" t="str">
            <v>0749</v>
          </cell>
          <cell r="F1962" t="str">
            <v>C5</v>
          </cell>
          <cell r="G1962" t="str">
            <v>SP</v>
          </cell>
          <cell r="H1962" t="str">
            <v>DISTRIBUIÇÃO</v>
          </cell>
          <cell r="I1962" t="str">
            <v>FOOD SERVICE</v>
          </cell>
          <cell r="J1962" t="str">
            <v>FLAC 3</v>
          </cell>
          <cell r="K1962" t="str">
            <v>LACTALIS</v>
          </cell>
          <cell r="L1962" t="str">
            <v>RODRIGO</v>
          </cell>
          <cell r="M1962" t="str">
            <v>RAQUEL BARBOSA</v>
          </cell>
        </row>
        <row r="1963">
          <cell r="B1963">
            <v>5347523</v>
          </cell>
          <cell r="C1963" t="str">
            <v>ACZ CAFE EXPRESSO LTDA</v>
          </cell>
          <cell r="D1963" t="str">
            <v>7001</v>
          </cell>
          <cell r="E1963" t="str">
            <v>0749</v>
          </cell>
          <cell r="F1963" t="str">
            <v>C5</v>
          </cell>
          <cell r="G1963" t="str">
            <v>SP</v>
          </cell>
          <cell r="H1963" t="str">
            <v>DISTRIBUIÇÃO</v>
          </cell>
          <cell r="I1963" t="str">
            <v>FOOD SERVICE</v>
          </cell>
          <cell r="J1963" t="str">
            <v>FLAC 5</v>
          </cell>
          <cell r="K1963" t="str">
            <v>LACTALIS</v>
          </cell>
          <cell r="L1963" t="str">
            <v>RODRIGO</v>
          </cell>
          <cell r="M1963" t="str">
            <v>RAQUEL BARBOSA</v>
          </cell>
        </row>
        <row r="1964">
          <cell r="B1964">
            <v>5347794</v>
          </cell>
          <cell r="C1964" t="str">
            <v>MUNIR ABDALLA KASSEM</v>
          </cell>
          <cell r="D1964" t="str">
            <v>7001</v>
          </cell>
          <cell r="E1964" t="str">
            <v>0749</v>
          </cell>
          <cell r="F1964" t="str">
            <v>C5</v>
          </cell>
          <cell r="G1964" t="str">
            <v>SP</v>
          </cell>
          <cell r="H1964" t="str">
            <v>DISTRIBUIÇÃO</v>
          </cell>
          <cell r="I1964" t="str">
            <v>FOOD SERVICE</v>
          </cell>
          <cell r="J1964" t="str">
            <v>FLAC 6</v>
          </cell>
          <cell r="K1964" t="str">
            <v>LACTALIS</v>
          </cell>
          <cell r="L1964" t="str">
            <v>RODRIGO</v>
          </cell>
          <cell r="M1964" t="str">
            <v>RAQUEL BARBOSA</v>
          </cell>
        </row>
        <row r="1965">
          <cell r="B1965">
            <v>5114175</v>
          </cell>
          <cell r="C1965" t="str">
            <v>ANDRADE E FILGUEIRAS ROTISSERIE</v>
          </cell>
          <cell r="D1965" t="str">
            <v>6001</v>
          </cell>
          <cell r="E1965" t="str">
            <v>6028</v>
          </cell>
          <cell r="F1965" t="str">
            <v>C1</v>
          </cell>
          <cell r="G1965" t="str">
            <v>SP</v>
          </cell>
          <cell r="H1965" t="str">
            <v>INGREDIENTS</v>
          </cell>
          <cell r="I1965" t="str">
            <v>INGREDIENTS</v>
          </cell>
          <cell r="J1965" t="str">
            <v>TATIANA NITTA</v>
          </cell>
          <cell r="K1965" t="str">
            <v>ITAMBÉ</v>
          </cell>
          <cell r="L1965" t="str">
            <v>MAURICIO</v>
          </cell>
          <cell r="M1965" t="str">
            <v>TATIANA NITTA</v>
          </cell>
        </row>
        <row r="1966">
          <cell r="B1966">
            <v>5314201</v>
          </cell>
          <cell r="C1966" t="str">
            <v>ACAI MAIS INDUSTRIA E COMERCIO</v>
          </cell>
          <cell r="D1966" t="str">
            <v>6001</v>
          </cell>
          <cell r="E1966" t="str">
            <v>6009</v>
          </cell>
          <cell r="F1966" t="str">
            <v>C1</v>
          </cell>
          <cell r="G1966" t="str">
            <v>BA</v>
          </cell>
          <cell r="H1966" t="str">
            <v>DISTRIBUIÇÃO</v>
          </cell>
          <cell r="I1966" t="str">
            <v>FOOD SERVICE</v>
          </cell>
          <cell r="J1966" t="str">
            <v>CLAUDIO JORGE/LUIZ</v>
          </cell>
          <cell r="K1966" t="str">
            <v>ITAMBÉ</v>
          </cell>
          <cell r="L1966" t="str">
            <v>RODRIGO</v>
          </cell>
          <cell r="M1966" t="str">
            <v>MARIA LOURDES</v>
          </cell>
        </row>
        <row r="1967">
          <cell r="B1967">
            <v>5165046</v>
          </cell>
          <cell r="C1967" t="str">
            <v>SLOOP IND COM DE ALIM LTDA</v>
          </cell>
          <cell r="D1967" t="str">
            <v>6001</v>
          </cell>
          <cell r="E1967" t="str">
            <v>6028</v>
          </cell>
          <cell r="F1967" t="str">
            <v>C1</v>
          </cell>
          <cell r="G1967" t="str">
            <v>RJ</v>
          </cell>
          <cell r="H1967" t="str">
            <v>INGREDIENTS</v>
          </cell>
          <cell r="I1967" t="str">
            <v>INGREDIENTS</v>
          </cell>
          <cell r="J1967" t="str">
            <v>RJ ITB FS L T MARTINS</v>
          </cell>
          <cell r="K1967" t="str">
            <v>ITAMBÉ</v>
          </cell>
          <cell r="L1967" t="str">
            <v>MAURICIO</v>
          </cell>
          <cell r="M1967" t="str">
            <v>TATIANA NITTA</v>
          </cell>
        </row>
        <row r="1968">
          <cell r="B1968">
            <v>5318356</v>
          </cell>
          <cell r="C1968" t="str">
            <v>M DIAS BRANCO S A</v>
          </cell>
          <cell r="D1968" t="str">
            <v>4001</v>
          </cell>
          <cell r="E1968" t="str">
            <v>0437</v>
          </cell>
          <cell r="F1968" t="str">
            <v>C1</v>
          </cell>
          <cell r="G1968" t="str">
            <v>BA</v>
          </cell>
          <cell r="H1968" t="str">
            <v>INGREDIENTS</v>
          </cell>
          <cell r="I1968" t="str">
            <v>INGREDIENTS</v>
          </cell>
          <cell r="J1968" t="str">
            <v>JOEL ELEOTÉRIO</v>
          </cell>
          <cell r="K1968" t="str">
            <v>LACTALIS</v>
          </cell>
          <cell r="L1968" t="str">
            <v>MAURICIO</v>
          </cell>
          <cell r="M1968" t="str">
            <v>JOEL</v>
          </cell>
        </row>
        <row r="1969">
          <cell r="B1969">
            <v>5347458</v>
          </cell>
          <cell r="C1969" t="str">
            <v>LALLEMAND SOLUCOES BIOLOGICAS L</v>
          </cell>
          <cell r="D1969" t="str">
            <v>3001</v>
          </cell>
          <cell r="E1969" t="str">
            <v>0122</v>
          </cell>
          <cell r="F1969" t="str">
            <v>C1</v>
          </cell>
          <cell r="G1969" t="str">
            <v>MG</v>
          </cell>
          <cell r="H1969" t="str">
            <v>INGREDIENTS</v>
          </cell>
          <cell r="I1969" t="str">
            <v>INGREDIENTS</v>
          </cell>
          <cell r="J1969" t="str">
            <v>HENRIQUE FERREIRA</v>
          </cell>
          <cell r="K1969" t="str">
            <v>ITAMBÉ</v>
          </cell>
          <cell r="L1969" t="str">
            <v>MAURICIO</v>
          </cell>
          <cell r="M1969" t="str">
            <v>JOEL</v>
          </cell>
        </row>
        <row r="1970">
          <cell r="B1970">
            <v>5347543</v>
          </cell>
          <cell r="C1970" t="str">
            <v>BOTELHO E KRONEMBERG EVENTOS LT</v>
          </cell>
          <cell r="D1970" t="str">
            <v>7001</v>
          </cell>
          <cell r="E1970" t="str">
            <v>0749</v>
          </cell>
          <cell r="F1970" t="str">
            <v>C5</v>
          </cell>
          <cell r="G1970" t="str">
            <v>SP</v>
          </cell>
          <cell r="H1970" t="str">
            <v>DISTRIBUIÇÃO</v>
          </cell>
          <cell r="I1970" t="str">
            <v>FOOD SERVICE</v>
          </cell>
          <cell r="J1970" t="str">
            <v>FLAC 7</v>
          </cell>
          <cell r="K1970" t="str">
            <v>LACTALIS</v>
          </cell>
          <cell r="L1970" t="str">
            <v>RODRIGO</v>
          </cell>
          <cell r="M1970" t="str">
            <v>RAQUEL BARBOSA</v>
          </cell>
        </row>
        <row r="1971">
          <cell r="B1971">
            <v>5282566</v>
          </cell>
          <cell r="C1971" t="str">
            <v>ALMEIDA MERC COM DISTR E IMP LT</v>
          </cell>
          <cell r="D1971" t="str">
            <v>4001</v>
          </cell>
          <cell r="E1971" t="str">
            <v>0455</v>
          </cell>
          <cell r="F1971" t="str">
            <v>C1</v>
          </cell>
          <cell r="G1971" t="str">
            <v>PR</v>
          </cell>
          <cell r="H1971" t="str">
            <v>INGREDIENTS</v>
          </cell>
          <cell r="I1971" t="str">
            <v>INGREDIENTS</v>
          </cell>
          <cell r="J1971" t="str">
            <v>MARCELO RODRIGUES</v>
          </cell>
          <cell r="K1971" t="str">
            <v>LACTALIS</v>
          </cell>
          <cell r="L1971" t="str">
            <v>MAURICIO</v>
          </cell>
          <cell r="M1971" t="str">
            <v>MARCELO</v>
          </cell>
        </row>
        <row r="1972">
          <cell r="B1972">
            <v>5314201</v>
          </cell>
          <cell r="C1972" t="str">
            <v>ACAI MAIS INDUSTRIA E COMERCIO</v>
          </cell>
          <cell r="D1972" t="str">
            <v>6001</v>
          </cell>
          <cell r="E1972" t="str">
            <v>6127</v>
          </cell>
          <cell r="F1972" t="str">
            <v>C1</v>
          </cell>
          <cell r="G1972" t="str">
            <v>BA</v>
          </cell>
          <cell r="H1972" t="str">
            <v>DISTRIBUIÇÃO</v>
          </cell>
          <cell r="I1972" t="str">
            <v>FOOD SERVICE</v>
          </cell>
          <cell r="J1972" t="str">
            <v>CLAUDIO JORGE/LUIZ</v>
          </cell>
          <cell r="K1972" t="str">
            <v>ITAMBÉ</v>
          </cell>
          <cell r="L1972" t="str">
            <v>RODRIGO</v>
          </cell>
          <cell r="M1972" t="str">
            <v>MARIA LOURDES</v>
          </cell>
        </row>
        <row r="1973">
          <cell r="B1973">
            <v>5223459</v>
          </cell>
          <cell r="C1973" t="str">
            <v>POMPEIA SA INDUSTRIA E COMERCIO</v>
          </cell>
          <cell r="D1973" t="str">
            <v>4001</v>
          </cell>
          <cell r="E1973" t="str">
            <v>0455</v>
          </cell>
          <cell r="F1973" t="str">
            <v>C1</v>
          </cell>
          <cell r="G1973" t="str">
            <v>SP</v>
          </cell>
          <cell r="H1973" t="str">
            <v>INGREDIENTS</v>
          </cell>
          <cell r="I1973" t="str">
            <v>INGREDIENTS</v>
          </cell>
          <cell r="J1973" t="str">
            <v>MARCELO RODRIGUES</v>
          </cell>
          <cell r="K1973" t="str">
            <v>LACTALIS</v>
          </cell>
          <cell r="L1973" t="str">
            <v>MAURICIO</v>
          </cell>
          <cell r="M1973" t="str">
            <v>MARCELO</v>
          </cell>
        </row>
        <row r="1974">
          <cell r="B1974">
            <v>5229519</v>
          </cell>
          <cell r="C1974" t="str">
            <v>BONFIM E BUENO LTDA</v>
          </cell>
          <cell r="D1974" t="str">
            <v>3001</v>
          </cell>
          <cell r="E1974" t="str">
            <v>0126</v>
          </cell>
          <cell r="F1974" t="str">
            <v>C1</v>
          </cell>
          <cell r="G1974" t="str">
            <v>PR</v>
          </cell>
          <cell r="H1974" t="str">
            <v>DISTRIBUIÇÃO</v>
          </cell>
          <cell r="I1974" t="str">
            <v>FOOD SERVICE</v>
          </cell>
          <cell r="J1974" t="str">
            <v>ANGELICA BATISTELA</v>
          </cell>
          <cell r="K1974" t="str">
            <v>ITAMBÉ</v>
          </cell>
          <cell r="L1974" t="str">
            <v>RODRIGO</v>
          </cell>
          <cell r="M1974" t="str">
            <v>ANGELICA BATISTELA</v>
          </cell>
        </row>
        <row r="1975">
          <cell r="B1975">
            <v>5278498</v>
          </cell>
          <cell r="C1975" t="str">
            <v>REFRIO ARMAZENS GERAIS LTDA</v>
          </cell>
          <cell r="D1975" t="str">
            <v>7001</v>
          </cell>
          <cell r="E1975" t="str">
            <v>0749</v>
          </cell>
          <cell r="F1975" t="str">
            <v>C5</v>
          </cell>
          <cell r="G1975" t="str">
            <v>SP</v>
          </cell>
          <cell r="H1975" t="str">
            <v>DISTRIBUIÇÃO</v>
          </cell>
          <cell r="I1975" t="str">
            <v>FOOD SERVICE</v>
          </cell>
          <cell r="J1975" t="str">
            <v>FLAC 6</v>
          </cell>
          <cell r="K1975" t="str">
            <v>LACTALIS</v>
          </cell>
          <cell r="L1975" t="str">
            <v>RODRIGO</v>
          </cell>
          <cell r="M1975" t="str">
            <v>RAQUEL BARBOSA</v>
          </cell>
        </row>
        <row r="1976">
          <cell r="B1976">
            <v>5286089</v>
          </cell>
          <cell r="C1976" t="str">
            <v>REFRIO ARMAZENS GERAIS LTDA</v>
          </cell>
          <cell r="D1976" t="str">
            <v>7001</v>
          </cell>
          <cell r="E1976" t="str">
            <v>0749</v>
          </cell>
          <cell r="F1976" t="str">
            <v>C5</v>
          </cell>
          <cell r="G1976" t="str">
            <v>SP</v>
          </cell>
          <cell r="H1976" t="str">
            <v>DISTRIBUIÇÃO</v>
          </cell>
          <cell r="I1976" t="str">
            <v>FOOD SERVICE</v>
          </cell>
          <cell r="J1976" t="str">
            <v>FLAC 6</v>
          </cell>
          <cell r="K1976" t="str">
            <v>LACTALIS</v>
          </cell>
          <cell r="L1976" t="str">
            <v>RODRIGO</v>
          </cell>
          <cell r="M1976" t="str">
            <v>RAQUEL BARBOSA</v>
          </cell>
        </row>
        <row r="1977">
          <cell r="B1977">
            <v>5142262</v>
          </cell>
          <cell r="C1977" t="str">
            <v>BARRY CALLEBAUT BRASIL IND E CO</v>
          </cell>
          <cell r="D1977" t="str">
            <v>3001</v>
          </cell>
          <cell r="E1977" t="str">
            <v>0028</v>
          </cell>
          <cell r="F1977" t="str">
            <v>C1</v>
          </cell>
          <cell r="G1977" t="str">
            <v>MG</v>
          </cell>
          <cell r="H1977" t="str">
            <v>INGREDIENTS</v>
          </cell>
          <cell r="I1977" t="str">
            <v>INGREDIENTS</v>
          </cell>
          <cell r="J1977" t="str">
            <v>JOEL ELEOTÉRIO</v>
          </cell>
          <cell r="K1977" t="str">
            <v>ITAMBÉ</v>
          </cell>
          <cell r="L1977" t="str">
            <v>MAURICIO</v>
          </cell>
          <cell r="M1977" t="str">
            <v>JOEL</v>
          </cell>
        </row>
        <row r="1978">
          <cell r="B1978">
            <v>5285967</v>
          </cell>
          <cell r="C1978" t="str">
            <v>REFRICON MERCANTIL LTDA</v>
          </cell>
          <cell r="D1978" t="str">
            <v>7001</v>
          </cell>
          <cell r="E1978" t="str">
            <v>0749</v>
          </cell>
          <cell r="F1978" t="str">
            <v>C5</v>
          </cell>
          <cell r="G1978" t="str">
            <v>SP</v>
          </cell>
          <cell r="H1978" t="str">
            <v>DISTRIBUIÇÃO</v>
          </cell>
          <cell r="I1978" t="str">
            <v>FOOD SERVICE</v>
          </cell>
          <cell r="J1978" t="str">
            <v>FLAC 6</v>
          </cell>
          <cell r="K1978" t="str">
            <v>LACTALIS</v>
          </cell>
          <cell r="L1978" t="str">
            <v>RODRIGO</v>
          </cell>
          <cell r="M1978" t="str">
            <v>RAQUEL BARBOSA</v>
          </cell>
        </row>
        <row r="1979">
          <cell r="B1979">
            <v>5233735</v>
          </cell>
          <cell r="C1979" t="str">
            <v>IND MATSUBARA DE PROD ALIMENTICIOS</v>
          </cell>
          <cell r="D1979" t="str">
            <v>4001</v>
          </cell>
          <cell r="E1979" t="str">
            <v>0423</v>
          </cell>
          <cell r="F1979" t="str">
            <v>C5</v>
          </cell>
          <cell r="G1979" t="str">
            <v>AL</v>
          </cell>
          <cell r="H1979" t="str">
            <v>INGREDIENTS</v>
          </cell>
          <cell r="I1979" t="str">
            <v>INGREDIENTS</v>
          </cell>
          <cell r="J1979" t="str">
            <v>DLUM</v>
          </cell>
          <cell r="K1979" t="str">
            <v>LACTALIS</v>
          </cell>
          <cell r="L1979" t="str">
            <v>MAURICIO</v>
          </cell>
          <cell r="M1979" t="str">
            <v>JOEL</v>
          </cell>
        </row>
        <row r="1980">
          <cell r="B1980">
            <v>5347915</v>
          </cell>
          <cell r="C1980" t="str">
            <v>CAFETERIA BERRINI LTDA</v>
          </cell>
          <cell r="D1980" t="str">
            <v>7001</v>
          </cell>
          <cell r="E1980" t="str">
            <v>0749</v>
          </cell>
          <cell r="F1980" t="str">
            <v>C5</v>
          </cell>
          <cell r="G1980" t="str">
            <v>SP</v>
          </cell>
          <cell r="H1980" t="str">
            <v>DISTRIBUIÇÃO</v>
          </cell>
          <cell r="I1980" t="str">
            <v>FOOD SERVICE</v>
          </cell>
          <cell r="J1980" t="str">
            <v>FLAC 2</v>
          </cell>
          <cell r="K1980" t="str">
            <v>LACTALIS</v>
          </cell>
          <cell r="L1980" t="str">
            <v>RODRIGO</v>
          </cell>
          <cell r="M1980" t="str">
            <v>RAQUEL BARBOSA</v>
          </cell>
        </row>
        <row r="1981">
          <cell r="B1981">
            <v>5173983</v>
          </cell>
          <cell r="C1981" t="str">
            <v>SANTOS FESTAS E EMBALAGENS LTDA</v>
          </cell>
          <cell r="D1981" t="str">
            <v>6001</v>
          </cell>
          <cell r="E1981" t="str">
            <v>6169</v>
          </cell>
          <cell r="F1981" t="str">
            <v>C1</v>
          </cell>
          <cell r="G1981" t="str">
            <v>ES</v>
          </cell>
          <cell r="H1981" t="str">
            <v>DISTRIBUIÇÃO</v>
          </cell>
          <cell r="I1981" t="str">
            <v>FOOD SERVICE</v>
          </cell>
          <cell r="J1981" t="str">
            <v>MARCELO DUARTE</v>
          </cell>
          <cell r="K1981" t="str">
            <v>ITAMBÉ</v>
          </cell>
          <cell r="L1981" t="str">
            <v>RODRIGO</v>
          </cell>
          <cell r="M1981" t="str">
            <v>JESSICA</v>
          </cell>
        </row>
        <row r="1982">
          <cell r="B1982">
            <v>5191490</v>
          </cell>
          <cell r="C1982" t="str">
            <v>G S LIMA ALIMENTOS</v>
          </cell>
          <cell r="D1982">
            <v>6001</v>
          </cell>
          <cell r="E1982" t="str">
            <v>6075</v>
          </cell>
          <cell r="F1982" t="str">
            <v>C1</v>
          </cell>
          <cell r="G1982" t="str">
            <v>CE</v>
          </cell>
          <cell r="H1982" t="str">
            <v>DISTRIBUIÇÃO</v>
          </cell>
          <cell r="I1982" t="str">
            <v>FOOD SERVICE</v>
          </cell>
          <cell r="J1982" t="str">
            <v>WH FOOD SERVICE CE</v>
          </cell>
          <cell r="K1982" t="str">
            <v>ITAMBÉ</v>
          </cell>
          <cell r="L1982" t="str">
            <v>RODRIGO</v>
          </cell>
          <cell r="M1982" t="str">
            <v>MARIA LOURDES</v>
          </cell>
        </row>
        <row r="1983">
          <cell r="B1983">
            <v>5192385</v>
          </cell>
          <cell r="C1983" t="str">
            <v>MARIA LUIZA SLOMPO RIBEIRO</v>
          </cell>
          <cell r="D1983" t="str">
            <v>4001</v>
          </cell>
          <cell r="E1983" t="str">
            <v>0455</v>
          </cell>
          <cell r="F1983" t="str">
            <v>C1</v>
          </cell>
          <cell r="G1983" t="str">
            <v>RS</v>
          </cell>
          <cell r="H1983" t="str">
            <v>DISTRIBUIÇÃO</v>
          </cell>
          <cell r="I1983" t="str">
            <v>FOOD SERVICE</v>
          </cell>
          <cell r="J1983" t="str">
            <v>ANGELICA BATISTELA</v>
          </cell>
          <cell r="K1983" t="str">
            <v>LACTALIS</v>
          </cell>
          <cell r="L1983" t="str">
            <v>RODRIGO</v>
          </cell>
          <cell r="M1983" t="str">
            <v>ANGELICA BATISTELA</v>
          </cell>
        </row>
        <row r="1984">
          <cell r="B1984">
            <v>5330544</v>
          </cell>
          <cell r="C1984" t="str">
            <v>CHOKDOCE COM PROD ALIMENTICIOS</v>
          </cell>
          <cell r="D1984" t="str">
            <v>7001</v>
          </cell>
          <cell r="E1984" t="str">
            <v>0722</v>
          </cell>
          <cell r="F1984" t="str">
            <v>C1</v>
          </cell>
          <cell r="G1984" t="str">
            <v>SP</v>
          </cell>
          <cell r="H1984" t="str">
            <v>DISTRIBUIÇÃO</v>
          </cell>
          <cell r="I1984" t="str">
            <v>FOOD SERVICE</v>
          </cell>
          <cell r="J1984" t="str">
            <v>ALEXANDRE BONANI</v>
          </cell>
          <cell r="K1984" t="str">
            <v>LACTALIS</v>
          </cell>
          <cell r="L1984" t="str">
            <v>RODRIGO</v>
          </cell>
          <cell r="M1984" t="str">
            <v>ALEXANDRE BONANI</v>
          </cell>
        </row>
        <row r="1985">
          <cell r="B1985">
            <v>5316124</v>
          </cell>
          <cell r="C1985" t="str">
            <v>AFFARI ALIMENTACAO LTDA</v>
          </cell>
          <cell r="D1985" t="str">
            <v>7001</v>
          </cell>
          <cell r="E1985" t="str">
            <v>0749</v>
          </cell>
          <cell r="F1985" t="str">
            <v>C5</v>
          </cell>
          <cell r="G1985" t="str">
            <v>SP</v>
          </cell>
          <cell r="H1985" t="str">
            <v>DISTRIBUIÇÃO</v>
          </cell>
          <cell r="I1985" t="str">
            <v>FOOD SERVICE</v>
          </cell>
          <cell r="J1985" t="str">
            <v>FLAC 4</v>
          </cell>
          <cell r="K1985" t="str">
            <v>LACTALIS</v>
          </cell>
          <cell r="L1985" t="str">
            <v>RODRIGO</v>
          </cell>
          <cell r="M1985" t="str">
            <v>RAQUEL BARBOSA</v>
          </cell>
        </row>
        <row r="1986">
          <cell r="B1986">
            <v>5330279</v>
          </cell>
          <cell r="C1986" t="str">
            <v>AUREA INDUSTRIA E COMERCIO LTDA</v>
          </cell>
          <cell r="D1986" t="str">
            <v>4001</v>
          </cell>
          <cell r="E1986" t="str">
            <v>0455</v>
          </cell>
          <cell r="F1986" t="str">
            <v>C1</v>
          </cell>
          <cell r="G1986" t="str">
            <v>SC</v>
          </cell>
          <cell r="H1986" t="str">
            <v>INGREDIENTS</v>
          </cell>
          <cell r="I1986" t="str">
            <v>INGREDIENTS</v>
          </cell>
          <cell r="J1986" t="str">
            <v>MARCELO RODRIGUES</v>
          </cell>
          <cell r="K1986" t="str">
            <v>LACTALIS</v>
          </cell>
          <cell r="L1986" t="str">
            <v>MAURICIO</v>
          </cell>
          <cell r="M1986" t="str">
            <v>MARCELO</v>
          </cell>
        </row>
        <row r="1987">
          <cell r="B1987">
            <v>5099067</v>
          </cell>
          <cell r="C1987" t="str">
            <v>DR OETKER BRASIL LTDA</v>
          </cell>
          <cell r="D1987" t="str">
            <v>7001</v>
          </cell>
          <cell r="E1987" t="str">
            <v>0737</v>
          </cell>
          <cell r="F1987" t="str">
            <v>C1</v>
          </cell>
          <cell r="G1987" t="str">
            <v>SP</v>
          </cell>
          <cell r="H1987" t="str">
            <v>INGREDIENTS</v>
          </cell>
          <cell r="I1987" t="str">
            <v>INGREDIENTS</v>
          </cell>
          <cell r="J1987" t="str">
            <v>MARCELO RODRIGUES</v>
          </cell>
          <cell r="K1987" t="str">
            <v>LACTALIS</v>
          </cell>
          <cell r="L1987" t="str">
            <v>MAURICIO</v>
          </cell>
          <cell r="M1987" t="str">
            <v>MARCELO</v>
          </cell>
        </row>
        <row r="1988">
          <cell r="B1988">
            <v>5230053</v>
          </cell>
          <cell r="C1988" t="str">
            <v>COOP AGROP CENTRO SERRANA</v>
          </cell>
          <cell r="D1988" t="str">
            <v>7001</v>
          </cell>
          <cell r="E1988" t="str">
            <v>0737</v>
          </cell>
          <cell r="F1988" t="str">
            <v>C1</v>
          </cell>
          <cell r="G1988" t="str">
            <v>ES</v>
          </cell>
          <cell r="H1988" t="str">
            <v>INGREDIENTS</v>
          </cell>
          <cell r="I1988" t="str">
            <v>INGREDIENTS</v>
          </cell>
          <cell r="J1988" t="str">
            <v>JOEL ELEOTÉRIO</v>
          </cell>
          <cell r="K1988" t="str">
            <v>LACTALIS</v>
          </cell>
          <cell r="L1988" t="str">
            <v>MAURICIO</v>
          </cell>
          <cell r="M1988" t="str">
            <v>JOEL</v>
          </cell>
        </row>
        <row r="1989">
          <cell r="B1989">
            <v>5014910</v>
          </cell>
          <cell r="C1989" t="str">
            <v>ESTORIL SOL FESTAS E DOCES LTDA</v>
          </cell>
          <cell r="D1989" t="str">
            <v>6001</v>
          </cell>
          <cell r="E1989" t="str">
            <v>6125</v>
          </cell>
          <cell r="F1989" t="str">
            <v>C1</v>
          </cell>
          <cell r="G1989" t="str">
            <v>SP</v>
          </cell>
          <cell r="H1989" t="str">
            <v>DISTRIBUIÇÃO</v>
          </cell>
          <cell r="I1989" t="str">
            <v>FOOD SERVICE</v>
          </cell>
          <cell r="J1989" t="str">
            <v>SP ITB FS FLAC REP.E COMERCIO</v>
          </cell>
          <cell r="K1989" t="str">
            <v>ITAMBÉ</v>
          </cell>
          <cell r="L1989" t="str">
            <v>RODRIGO</v>
          </cell>
          <cell r="M1989" t="str">
            <v>RAQUEL BARBOSA</v>
          </cell>
        </row>
        <row r="1990">
          <cell r="B1990">
            <v>5334279</v>
          </cell>
          <cell r="C1990" t="str">
            <v>AFFARI ALIMENTACAO LTDA</v>
          </cell>
          <cell r="D1990" t="str">
            <v>7001</v>
          </cell>
          <cell r="E1990" t="str">
            <v>0749</v>
          </cell>
          <cell r="F1990" t="str">
            <v>C5</v>
          </cell>
          <cell r="G1990" t="str">
            <v>SP</v>
          </cell>
          <cell r="H1990" t="str">
            <v>DISTRIBUIÇÃO</v>
          </cell>
          <cell r="I1990" t="str">
            <v>FOOD SERVICE</v>
          </cell>
          <cell r="J1990" t="str">
            <v>FLAC 4</v>
          </cell>
          <cell r="K1990" t="str">
            <v>LACTALIS</v>
          </cell>
          <cell r="L1990" t="str">
            <v>RODRIGO</v>
          </cell>
          <cell r="M1990" t="str">
            <v>RAQUEL BARBOSA</v>
          </cell>
        </row>
        <row r="1991">
          <cell r="B1991">
            <v>5011061</v>
          </cell>
          <cell r="C1991" t="str">
            <v>COMERCIAL AGRICOLA ANHUMAI LTDA</v>
          </cell>
          <cell r="D1991" t="str">
            <v>4001</v>
          </cell>
          <cell r="E1991" t="str">
            <v>0455</v>
          </cell>
          <cell r="F1991" t="str">
            <v>C1</v>
          </cell>
          <cell r="G1991" t="str">
            <v>PR</v>
          </cell>
          <cell r="H1991" t="str">
            <v>INGREDIENTS</v>
          </cell>
          <cell r="I1991" t="str">
            <v>INGREDIENTS</v>
          </cell>
          <cell r="J1991" t="str">
            <v>MARCELO RODRIGUES</v>
          </cell>
          <cell r="K1991" t="str">
            <v>LACTALIS</v>
          </cell>
          <cell r="L1991" t="str">
            <v>MAURICIO</v>
          </cell>
          <cell r="M1991" t="str">
            <v>MARCELO</v>
          </cell>
        </row>
        <row r="1992">
          <cell r="B1992">
            <v>5026855</v>
          </cell>
          <cell r="C1992" t="str">
            <v>SIBELE ALIMENTOS LTDA</v>
          </cell>
          <cell r="D1992" t="str">
            <v>3001</v>
          </cell>
          <cell r="E1992" t="str">
            <v>0028</v>
          </cell>
          <cell r="F1992" t="str">
            <v>C1</v>
          </cell>
          <cell r="G1992" t="str">
            <v>MG</v>
          </cell>
          <cell r="H1992" t="str">
            <v>INGREDIENTS</v>
          </cell>
          <cell r="I1992" t="str">
            <v>INGREDIENTS</v>
          </cell>
          <cell r="J1992" t="str">
            <v>HENRIQUE FERREIRA</v>
          </cell>
          <cell r="K1992" t="str">
            <v>ITAMBÉ</v>
          </cell>
          <cell r="L1992" t="str">
            <v>MAURICIO</v>
          </cell>
          <cell r="M1992" t="str">
            <v>JOEL</v>
          </cell>
        </row>
        <row r="1993">
          <cell r="B1993">
            <v>5186259</v>
          </cell>
          <cell r="C1993" t="str">
            <v>CLUBE DOS SABORES IND E COM DE</v>
          </cell>
          <cell r="D1993" t="str">
            <v>6001</v>
          </cell>
          <cell r="E1993" t="str">
            <v>6169</v>
          </cell>
          <cell r="F1993" t="str">
            <v>C1</v>
          </cell>
          <cell r="G1993" t="str">
            <v>RJ</v>
          </cell>
          <cell r="H1993" t="str">
            <v>INGREDIENTS</v>
          </cell>
          <cell r="I1993" t="str">
            <v>INGREDIENTS</v>
          </cell>
          <cell r="J1993" t="str">
            <v>TATIANA NITTA</v>
          </cell>
          <cell r="K1993" t="str">
            <v>ITAMBÉ</v>
          </cell>
          <cell r="L1993" t="str">
            <v>MAURICIO</v>
          </cell>
          <cell r="M1993" t="str">
            <v>TATIANA NITTA</v>
          </cell>
        </row>
        <row r="1994">
          <cell r="B1994">
            <v>5009420</v>
          </cell>
          <cell r="C1994" t="str">
            <v>BASF SA</v>
          </cell>
          <cell r="D1994" t="str">
            <v>3001</v>
          </cell>
          <cell r="E1994" t="str">
            <v>0028</v>
          </cell>
          <cell r="F1994" t="str">
            <v>C1</v>
          </cell>
          <cell r="G1994" t="str">
            <v>SP</v>
          </cell>
          <cell r="H1994" t="str">
            <v>INGREDIENTS</v>
          </cell>
          <cell r="I1994" t="str">
            <v>INGREDIENTS</v>
          </cell>
          <cell r="J1994" t="str">
            <v>HENRIQUE FERREIRA</v>
          </cell>
          <cell r="K1994" t="str">
            <v>ITAMBÉ</v>
          </cell>
          <cell r="L1994" t="str">
            <v>MAURICIO</v>
          </cell>
          <cell r="M1994" t="str">
            <v>JOEL</v>
          </cell>
        </row>
        <row r="1995">
          <cell r="B1995">
            <v>5109334</v>
          </cell>
          <cell r="C1995" t="str">
            <v>CENTRAL OSASCO DIST ALIM E BEBI</v>
          </cell>
          <cell r="D1995" t="str">
            <v>3001</v>
          </cell>
          <cell r="E1995" t="str">
            <v>0125</v>
          </cell>
          <cell r="F1995" t="str">
            <v>C1</v>
          </cell>
          <cell r="G1995" t="str">
            <v>SP</v>
          </cell>
          <cell r="H1995" t="str">
            <v>DISTRIBUIÇÃO</v>
          </cell>
          <cell r="I1995" t="str">
            <v>FOOD SERVICE</v>
          </cell>
          <cell r="J1995" t="str">
            <v>SP ITB FS FLAC REP.E COMERCIO</v>
          </cell>
          <cell r="K1995" t="str">
            <v>ITAMBÉ</v>
          </cell>
          <cell r="L1995" t="str">
            <v>RODRIGO</v>
          </cell>
          <cell r="M1995" t="str">
            <v>RAQUEL BARBOSA</v>
          </cell>
        </row>
        <row r="1996">
          <cell r="B1996">
            <v>5145238</v>
          </cell>
          <cell r="C1996" t="str">
            <v>BIMBO DO BRASIL LTDA</v>
          </cell>
          <cell r="D1996" t="str">
            <v>3001</v>
          </cell>
          <cell r="E1996" t="str">
            <v>0125</v>
          </cell>
          <cell r="F1996" t="str">
            <v>C1</v>
          </cell>
          <cell r="G1996" t="str">
            <v>SP</v>
          </cell>
          <cell r="H1996" t="str">
            <v>INGREDIENTS</v>
          </cell>
          <cell r="I1996" t="str">
            <v>INGREDIENTS</v>
          </cell>
          <cell r="J1996" t="str">
            <v>TATIANA NITTA</v>
          </cell>
          <cell r="K1996" t="str">
            <v>ITAMBÉ</v>
          </cell>
          <cell r="L1996" t="str">
            <v>MAURICIO</v>
          </cell>
          <cell r="M1996" t="str">
            <v>TATIANA NITTA</v>
          </cell>
        </row>
        <row r="1997">
          <cell r="B1997">
            <v>5145758</v>
          </cell>
          <cell r="C1997" t="str">
            <v>R E M COM DE PROD ALIM E ART PA</v>
          </cell>
          <cell r="D1997" t="str">
            <v>3001</v>
          </cell>
          <cell r="E1997" t="str">
            <v>0028</v>
          </cell>
          <cell r="F1997" t="str">
            <v>C1</v>
          </cell>
          <cell r="G1997" t="str">
            <v>SP</v>
          </cell>
          <cell r="H1997" t="str">
            <v>INGREDIENTS</v>
          </cell>
          <cell r="I1997" t="str">
            <v>INGREDIENTS</v>
          </cell>
          <cell r="J1997" t="str">
            <v>DUAS RODAS</v>
          </cell>
          <cell r="K1997" t="str">
            <v>ITAMBÉ</v>
          </cell>
          <cell r="L1997" t="str">
            <v>MAURICIO</v>
          </cell>
          <cell r="M1997" t="str">
            <v>TATIANA NITTA</v>
          </cell>
        </row>
        <row r="1998">
          <cell r="B1998">
            <v>5161583</v>
          </cell>
          <cell r="C1998" t="str">
            <v>DOHLER AMERICA LATINA LTDA</v>
          </cell>
          <cell r="D1998" t="str">
            <v>3001</v>
          </cell>
          <cell r="E1998" t="str">
            <v>0125</v>
          </cell>
          <cell r="F1998" t="str">
            <v>C1</v>
          </cell>
          <cell r="G1998" t="str">
            <v>SP</v>
          </cell>
          <cell r="H1998" t="str">
            <v>INGREDIENTS</v>
          </cell>
          <cell r="I1998" t="str">
            <v>INGREDIENTS</v>
          </cell>
          <cell r="J1998" t="str">
            <v>HENRIQUE FERREIRA</v>
          </cell>
          <cell r="K1998" t="str">
            <v>ITAMBÉ</v>
          </cell>
          <cell r="L1998" t="str">
            <v>MAURICIO</v>
          </cell>
          <cell r="M1998" t="str">
            <v>JOEL</v>
          </cell>
        </row>
        <row r="1999">
          <cell r="B1999">
            <v>5163906</v>
          </cell>
          <cell r="C1999" t="str">
            <v>E N COM PROD FESTAS E SORVETES EIRE</v>
          </cell>
          <cell r="D1999" t="str">
            <v>3001</v>
          </cell>
          <cell r="E1999" t="str">
            <v>0125</v>
          </cell>
          <cell r="F1999" t="str">
            <v>C1</v>
          </cell>
          <cell r="G1999" t="str">
            <v>SP</v>
          </cell>
          <cell r="H1999" t="str">
            <v>INGREDIENTS</v>
          </cell>
          <cell r="I1999" t="str">
            <v>INGREDIENTS</v>
          </cell>
          <cell r="J1999" t="str">
            <v>DUAS RODAS</v>
          </cell>
          <cell r="K1999" t="str">
            <v>ITAMBÉ</v>
          </cell>
          <cell r="L1999" t="str">
            <v>MAURICIO</v>
          </cell>
          <cell r="M1999" t="str">
            <v>TATIANA NITTA</v>
          </cell>
        </row>
        <row r="2000">
          <cell r="B2000">
            <v>5165963</v>
          </cell>
          <cell r="C2000" t="str">
            <v>SORVEMIX COMERCIO DE ALIM LTDA</v>
          </cell>
          <cell r="D2000" t="str">
            <v>3001</v>
          </cell>
          <cell r="E2000" t="str">
            <v>0028</v>
          </cell>
          <cell r="F2000" t="str">
            <v>C1</v>
          </cell>
          <cell r="G2000" t="str">
            <v>SP</v>
          </cell>
          <cell r="H2000" t="str">
            <v>INGREDIENTS</v>
          </cell>
          <cell r="I2000" t="str">
            <v>INGREDIENTS</v>
          </cell>
          <cell r="J2000" t="str">
            <v>DUAS RODAS</v>
          </cell>
          <cell r="K2000" t="str">
            <v>ITAMBÉ</v>
          </cell>
          <cell r="L2000" t="str">
            <v>MAURICIO</v>
          </cell>
          <cell r="M2000" t="str">
            <v>MARCELO</v>
          </cell>
        </row>
        <row r="2001">
          <cell r="B2001">
            <v>5166159</v>
          </cell>
          <cell r="C2001" t="str">
            <v>JME RAUTA COM DIST LTDA</v>
          </cell>
          <cell r="D2001" t="str">
            <v>3001</v>
          </cell>
          <cell r="E2001" t="str">
            <v>0028</v>
          </cell>
          <cell r="F2001" t="str">
            <v>C1</v>
          </cell>
          <cell r="G2001" t="str">
            <v>RJ</v>
          </cell>
          <cell r="H2001" t="str">
            <v>DISTRIBUIÇÃO</v>
          </cell>
          <cell r="I2001" t="str">
            <v>FOOD SERVICE</v>
          </cell>
          <cell r="J2001" t="str">
            <v>LUCIANA MARTINS</v>
          </cell>
          <cell r="K2001" t="str">
            <v>ITAMBÉ</v>
          </cell>
          <cell r="L2001" t="str">
            <v>RODRIGO</v>
          </cell>
          <cell r="M2001" t="str">
            <v>JESSICA</v>
          </cell>
        </row>
        <row r="2002">
          <cell r="B2002">
            <v>5166253</v>
          </cell>
          <cell r="C2002" t="str">
            <v>AGRANA FRUIT BRASIL IND COM IMP</v>
          </cell>
          <cell r="D2002" t="str">
            <v>3001</v>
          </cell>
          <cell r="E2002" t="str">
            <v>0125</v>
          </cell>
          <cell r="F2002" t="str">
            <v>C1</v>
          </cell>
          <cell r="G2002" t="str">
            <v>SP</v>
          </cell>
          <cell r="H2002" t="str">
            <v>INGREDIENTS</v>
          </cell>
          <cell r="I2002" t="str">
            <v>INGREDIENTS</v>
          </cell>
          <cell r="J2002" t="str">
            <v>HENRIQUE FERREIRA</v>
          </cell>
          <cell r="K2002" t="str">
            <v>ITAMBÉ</v>
          </cell>
          <cell r="L2002" t="str">
            <v>MAURICIO</v>
          </cell>
          <cell r="M2002" t="str">
            <v>JOEL</v>
          </cell>
        </row>
        <row r="2003">
          <cell r="B2003">
            <v>5174274</v>
          </cell>
          <cell r="C2003" t="str">
            <v>PIMENTA VERDE ALIMENTOS LTDA</v>
          </cell>
          <cell r="D2003" t="str">
            <v>3001</v>
          </cell>
          <cell r="E2003" t="str">
            <v>0125</v>
          </cell>
          <cell r="F2003" t="str">
            <v>C1</v>
          </cell>
          <cell r="G2003" t="str">
            <v>SP</v>
          </cell>
          <cell r="H2003" t="str">
            <v>QSR</v>
          </cell>
          <cell r="I2003" t="str">
            <v>FOOD SERVICE</v>
          </cell>
          <cell r="J2003" t="str">
            <v>VAGO QSR</v>
          </cell>
          <cell r="K2003" t="str">
            <v>ITAMBÉ</v>
          </cell>
          <cell r="L2003" t="str">
            <v>PEDRO</v>
          </cell>
          <cell r="M2003" t="str">
            <v>VAGO QSR</v>
          </cell>
        </row>
        <row r="2004">
          <cell r="B2004">
            <v>5176053</v>
          </cell>
          <cell r="C2004" t="str">
            <v>BAKELS BRASIL INGREDIENT PARA P</v>
          </cell>
          <cell r="D2004" t="str">
            <v>3001</v>
          </cell>
          <cell r="E2004" t="str">
            <v>0125</v>
          </cell>
          <cell r="F2004" t="str">
            <v>C1</v>
          </cell>
          <cell r="G2004" t="str">
            <v>SP</v>
          </cell>
          <cell r="H2004" t="str">
            <v>INGREDIENTS</v>
          </cell>
          <cell r="I2004" t="str">
            <v>INGREDIENTS</v>
          </cell>
          <cell r="J2004" t="str">
            <v>TATIANA NITTA</v>
          </cell>
          <cell r="K2004" t="str">
            <v>ITAMBÉ</v>
          </cell>
          <cell r="L2004" t="str">
            <v>MAURICIO</v>
          </cell>
          <cell r="M2004" t="str">
            <v>TATIANA NITTA</v>
          </cell>
        </row>
        <row r="2005">
          <cell r="B2005">
            <v>5204235</v>
          </cell>
          <cell r="C2005" t="str">
            <v>NUTRIALIMENTAR INDUSTRIA LTDA</v>
          </cell>
          <cell r="D2005" t="str">
            <v>6001</v>
          </cell>
          <cell r="E2005" t="str">
            <v>6125</v>
          </cell>
          <cell r="F2005" t="str">
            <v>C1</v>
          </cell>
          <cell r="G2005" t="str">
            <v>SP</v>
          </cell>
          <cell r="H2005" t="str">
            <v>INGREDIENTS</v>
          </cell>
          <cell r="I2005" t="str">
            <v>INGREDIENTS</v>
          </cell>
          <cell r="J2005" t="str">
            <v>TATIANA NITTA</v>
          </cell>
          <cell r="K2005" t="str">
            <v>ITAMBÉ</v>
          </cell>
          <cell r="L2005" t="str">
            <v>MAURICIO</v>
          </cell>
          <cell r="M2005" t="str">
            <v>TATIANA NITTA</v>
          </cell>
        </row>
        <row r="2006">
          <cell r="B2006">
            <v>5204488</v>
          </cell>
          <cell r="C2006" t="str">
            <v>JEFERSON AMARAL DA CUNHA</v>
          </cell>
          <cell r="D2006" t="str">
            <v>3001</v>
          </cell>
          <cell r="E2006" t="str">
            <v>0028</v>
          </cell>
          <cell r="F2006" t="str">
            <v>C1</v>
          </cell>
          <cell r="G2006" t="str">
            <v>PR</v>
          </cell>
          <cell r="H2006" t="str">
            <v>INGREDIENTS</v>
          </cell>
          <cell r="I2006" t="str">
            <v>INGREDIENTS</v>
          </cell>
          <cell r="J2006" t="str">
            <v>DUAS RODAS</v>
          </cell>
          <cell r="K2006" t="str">
            <v>ITAMBÉ</v>
          </cell>
          <cell r="L2006" t="str">
            <v>MAURICIO</v>
          </cell>
          <cell r="M2006" t="str">
            <v>MARCELO</v>
          </cell>
        </row>
        <row r="2007">
          <cell r="B2007">
            <v>5217383</v>
          </cell>
          <cell r="C2007" t="str">
            <v>FRUTAL INDUSTRIA E COMERCIO LTD</v>
          </cell>
          <cell r="D2007" t="str">
            <v>3001</v>
          </cell>
          <cell r="E2007" t="str">
            <v>0028</v>
          </cell>
          <cell r="F2007" t="str">
            <v>C1</v>
          </cell>
          <cell r="G2007" t="str">
            <v>AM</v>
          </cell>
          <cell r="H2007" t="str">
            <v>INGREDIENTS</v>
          </cell>
          <cell r="I2007" t="str">
            <v>INGREDIENTS</v>
          </cell>
          <cell r="J2007" t="str">
            <v>JOEL ELEOTÉRIO</v>
          </cell>
          <cell r="K2007" t="str">
            <v>ITAMBÉ</v>
          </cell>
          <cell r="L2007" t="str">
            <v>MAURICIO</v>
          </cell>
          <cell r="M2007" t="str">
            <v>JOEL</v>
          </cell>
        </row>
        <row r="2008">
          <cell r="B2008">
            <v>5221391</v>
          </cell>
          <cell r="C2008" t="str">
            <v>LEONARDO RODRIGO SILVA SANTOS M</v>
          </cell>
          <cell r="D2008" t="str">
            <v>3001</v>
          </cell>
          <cell r="E2008" t="str">
            <v>0169</v>
          </cell>
          <cell r="F2008" t="str">
            <v>C1</v>
          </cell>
          <cell r="G2008" t="str">
            <v>RJ</v>
          </cell>
          <cell r="H2008" t="str">
            <v>DISTRIBUIÇÃO</v>
          </cell>
          <cell r="I2008" t="str">
            <v>FOOD SERVICE</v>
          </cell>
          <cell r="J2008" t="str">
            <v>JULIANA CORDEIRO</v>
          </cell>
          <cell r="K2008" t="str">
            <v>ITAMBÉ</v>
          </cell>
          <cell r="L2008" t="str">
            <v>RODRIGO</v>
          </cell>
          <cell r="M2008" t="str">
            <v>JESSICA</v>
          </cell>
        </row>
        <row r="2009">
          <cell r="B2009">
            <v>5224055</v>
          </cell>
          <cell r="C2009" t="str">
            <v>BRUXELAS INDUSTRIA E COMERCIO</v>
          </cell>
          <cell r="D2009" t="str">
            <v>3001</v>
          </cell>
          <cell r="E2009" t="str">
            <v>0125</v>
          </cell>
          <cell r="F2009" t="str">
            <v>C1</v>
          </cell>
          <cell r="G2009" t="str">
            <v>SP</v>
          </cell>
          <cell r="H2009" t="str">
            <v>INGREDIENTS</v>
          </cell>
          <cell r="I2009" t="str">
            <v>INGREDIENTS</v>
          </cell>
          <cell r="J2009" t="str">
            <v>HENRIQUE FERREIRA</v>
          </cell>
          <cell r="K2009" t="str">
            <v>ITAMBÉ</v>
          </cell>
          <cell r="L2009" t="str">
            <v>MAURICIO</v>
          </cell>
          <cell r="M2009" t="str">
            <v>JOEL</v>
          </cell>
        </row>
        <row r="2010">
          <cell r="B2010">
            <v>5227253</v>
          </cell>
          <cell r="C2010" t="str">
            <v>PLATLOG IMPORTACAO LOG DIST LTDA</v>
          </cell>
          <cell r="D2010" t="str">
            <v>3001</v>
          </cell>
          <cell r="E2010" t="str">
            <v>0125</v>
          </cell>
          <cell r="F2010" t="str">
            <v>C1</v>
          </cell>
          <cell r="G2010" t="str">
            <v>SP</v>
          </cell>
          <cell r="H2010" t="str">
            <v>QSR</v>
          </cell>
          <cell r="I2010" t="str">
            <v>FOOD SERVICE</v>
          </cell>
          <cell r="J2010" t="str">
            <v>ANA MENIQUETE</v>
          </cell>
          <cell r="K2010" t="str">
            <v>ITAMBÉ</v>
          </cell>
          <cell r="L2010" t="str">
            <v>PEDRO</v>
          </cell>
          <cell r="M2010" t="str">
            <v>ANA MENIQUETE</v>
          </cell>
        </row>
        <row r="2011">
          <cell r="B2011">
            <v>5228371</v>
          </cell>
          <cell r="C2011" t="str">
            <v>PLUMA SORVETES LTDA</v>
          </cell>
          <cell r="D2011" t="str">
            <v>3001</v>
          </cell>
          <cell r="E2011" t="str">
            <v>0028</v>
          </cell>
          <cell r="F2011" t="str">
            <v>C1</v>
          </cell>
          <cell r="G2011" t="str">
            <v>MS</v>
          </cell>
          <cell r="H2011" t="str">
            <v>INGREDIENTS</v>
          </cell>
          <cell r="I2011" t="str">
            <v>INGREDIENTS</v>
          </cell>
          <cell r="J2011" t="str">
            <v>DUAS RODAS</v>
          </cell>
          <cell r="K2011" t="str">
            <v>ITAMBÉ</v>
          </cell>
          <cell r="L2011" t="str">
            <v>MAURICIO</v>
          </cell>
          <cell r="M2011" t="str">
            <v>MARCELO</v>
          </cell>
        </row>
        <row r="2012">
          <cell r="B2012">
            <v>5228827</v>
          </cell>
          <cell r="C2012" t="str">
            <v>FABRICA ACAI MAGNIFICO LTDA</v>
          </cell>
          <cell r="D2012" t="str">
            <v>3001</v>
          </cell>
          <cell r="E2012" t="str">
            <v>0125</v>
          </cell>
          <cell r="F2012" t="str">
            <v>C1</v>
          </cell>
          <cell r="G2012" t="str">
            <v>SP</v>
          </cell>
          <cell r="H2012" t="str">
            <v>INGREDIENTS</v>
          </cell>
          <cell r="I2012" t="str">
            <v>INGREDIENTS</v>
          </cell>
          <cell r="J2012" t="str">
            <v>HENRIQUE FERREIRA</v>
          </cell>
          <cell r="K2012" t="str">
            <v>ITAMBÉ</v>
          </cell>
          <cell r="L2012" t="str">
            <v>MAURICIO</v>
          </cell>
          <cell r="M2012" t="str">
            <v>JOEL</v>
          </cell>
        </row>
        <row r="2013">
          <cell r="B2013">
            <v>5229130</v>
          </cell>
          <cell r="C2013" t="str">
            <v>PLATLOG IMPORTACAO LOGISTICA E DIST</v>
          </cell>
          <cell r="D2013" t="str">
            <v>3001</v>
          </cell>
          <cell r="E2013" t="str">
            <v>0125</v>
          </cell>
          <cell r="F2013" t="str">
            <v>C1</v>
          </cell>
          <cell r="G2013" t="str">
            <v>SP</v>
          </cell>
          <cell r="H2013" t="str">
            <v>QSR</v>
          </cell>
          <cell r="I2013" t="str">
            <v>FOOD SERVICE</v>
          </cell>
          <cell r="J2013" t="str">
            <v>ANA MENIQUETE</v>
          </cell>
          <cell r="K2013" t="str">
            <v>ITAMBÉ</v>
          </cell>
          <cell r="L2013" t="str">
            <v>PEDRO</v>
          </cell>
          <cell r="M2013" t="str">
            <v>ANA MENIQUETE</v>
          </cell>
        </row>
        <row r="2014">
          <cell r="B2014">
            <v>5231123</v>
          </cell>
          <cell r="C2014" t="str">
            <v>CRAF BRASIL IND E COM ALIM LTDA</v>
          </cell>
          <cell r="D2014" t="str">
            <v>3001</v>
          </cell>
          <cell r="E2014" t="str">
            <v>0028</v>
          </cell>
          <cell r="F2014" t="str">
            <v>C1</v>
          </cell>
          <cell r="G2014" t="str">
            <v>ES</v>
          </cell>
          <cell r="H2014" t="str">
            <v>INGREDIENTS</v>
          </cell>
          <cell r="I2014" t="str">
            <v>INGREDIENTS</v>
          </cell>
          <cell r="J2014" t="str">
            <v>DUAS RODAS</v>
          </cell>
          <cell r="K2014" t="str">
            <v>ITAMBÉ</v>
          </cell>
          <cell r="L2014" t="str">
            <v>MAURICIO</v>
          </cell>
          <cell r="M2014" t="str">
            <v>JOEL</v>
          </cell>
        </row>
        <row r="2015">
          <cell r="B2015">
            <v>5260577</v>
          </cell>
          <cell r="C2015" t="str">
            <v>MAFRIOS DIST E IMPORTADORA LTDA</v>
          </cell>
          <cell r="D2015" t="str">
            <v>6001</v>
          </cell>
          <cell r="E2015" t="str">
            <v>6127</v>
          </cell>
          <cell r="F2015" t="str">
            <v>C1</v>
          </cell>
          <cell r="G2015" t="str">
            <v>SE</v>
          </cell>
          <cell r="H2015" t="str">
            <v>DISTRIBUIÇÃO</v>
          </cell>
          <cell r="I2015" t="str">
            <v>FOOD SERVICE</v>
          </cell>
          <cell r="J2015" t="str">
            <v>CLAUDIO JORGE</v>
          </cell>
          <cell r="K2015" t="str">
            <v>ITAMBÉ</v>
          </cell>
          <cell r="L2015" t="str">
            <v>RODRIGO</v>
          </cell>
          <cell r="M2015" t="str">
            <v>MARIA LOURDES</v>
          </cell>
        </row>
        <row r="2016">
          <cell r="B2016">
            <v>5314689</v>
          </cell>
          <cell r="C2016" t="str">
            <v>DUMIL PRODUTOS ALIMENTICIOS LTDA</v>
          </cell>
          <cell r="D2016" t="str">
            <v>3001</v>
          </cell>
          <cell r="E2016" t="str">
            <v>0125</v>
          </cell>
          <cell r="F2016" t="str">
            <v>C1</v>
          </cell>
          <cell r="G2016" t="str">
            <v>SP</v>
          </cell>
          <cell r="H2016" t="str">
            <v>DISTRIBUIÇÃO</v>
          </cell>
          <cell r="I2016" t="str">
            <v>FOOD SERVICE</v>
          </cell>
          <cell r="J2016" t="str">
            <v>GUILHERME NASCIMENTO</v>
          </cell>
          <cell r="K2016" t="str">
            <v>ITAMBÉ</v>
          </cell>
          <cell r="L2016" t="str">
            <v>RODRIGO</v>
          </cell>
          <cell r="M2016" t="str">
            <v>ALEXANDRO</v>
          </cell>
        </row>
        <row r="2017">
          <cell r="B2017">
            <v>5338003</v>
          </cell>
          <cell r="C2017" t="str">
            <v>WGS COMERCIO DE PROD ALIMENTICI</v>
          </cell>
          <cell r="D2017" t="str">
            <v>3001</v>
          </cell>
          <cell r="E2017" t="str">
            <v>0127</v>
          </cell>
          <cell r="F2017" t="str">
            <v>C1</v>
          </cell>
          <cell r="G2017" t="str">
            <v>BA</v>
          </cell>
          <cell r="H2017" t="str">
            <v>DISTRIBUIÇÃO</v>
          </cell>
          <cell r="I2017" t="str">
            <v>FOOD SERVICE</v>
          </cell>
          <cell r="J2017" t="str">
            <v>CLAUDIO JORGE/LUIZ</v>
          </cell>
          <cell r="K2017" t="str">
            <v>ITAMBÉ</v>
          </cell>
          <cell r="L2017" t="str">
            <v>RODRIGO</v>
          </cell>
          <cell r="M2017" t="str">
            <v>MARIA LOURDES</v>
          </cell>
        </row>
        <row r="2018">
          <cell r="B2018">
            <v>5339674</v>
          </cell>
          <cell r="C2018" t="str">
            <v>LANCH E REST BAMBARAS LTDA</v>
          </cell>
          <cell r="D2018" t="str">
            <v>7001</v>
          </cell>
          <cell r="E2018" t="str">
            <v>0722</v>
          </cell>
          <cell r="F2018" t="str">
            <v>C1</v>
          </cell>
          <cell r="G2018" t="str">
            <v>SP</v>
          </cell>
          <cell r="H2018" t="str">
            <v>DISTRIBUIÇÃO</v>
          </cell>
          <cell r="I2018" t="str">
            <v>FOOD SERVICE</v>
          </cell>
          <cell r="J2018" t="str">
            <v>VAGO SP</v>
          </cell>
          <cell r="K2018" t="str">
            <v>LACTALIS</v>
          </cell>
          <cell r="L2018" t="str">
            <v>RODRIGO</v>
          </cell>
          <cell r="M2018" t="str">
            <v>RAQUEL BARBOSA</v>
          </cell>
        </row>
        <row r="2019">
          <cell r="B2019">
            <v>5347083</v>
          </cell>
          <cell r="C2019" t="str">
            <v>MIMIC FORNECIMENTO DE ALIMENTOS</v>
          </cell>
          <cell r="D2019" t="str">
            <v>7001</v>
          </cell>
          <cell r="E2019" t="str">
            <v>0749</v>
          </cell>
          <cell r="F2019" t="str">
            <v>C5</v>
          </cell>
          <cell r="G2019" t="str">
            <v>SP</v>
          </cell>
          <cell r="H2019" t="str">
            <v>DISTRIBUIÇÃO</v>
          </cell>
          <cell r="I2019" t="str">
            <v>FOOD SERVICE</v>
          </cell>
          <cell r="J2019" t="str">
            <v>FLAC 3</v>
          </cell>
          <cell r="K2019" t="str">
            <v>LACTALIS</v>
          </cell>
          <cell r="L2019" t="str">
            <v>RODRIGO</v>
          </cell>
          <cell r="M2019" t="str">
            <v>RAQUEL BARBOSA</v>
          </cell>
        </row>
        <row r="2020">
          <cell r="B2020">
            <v>5193349</v>
          </cell>
          <cell r="C2020" t="str">
            <v>SYACABA NO SORVETE LTDA</v>
          </cell>
          <cell r="D2020" t="str">
            <v>3001</v>
          </cell>
          <cell r="E2020" t="str">
            <v>0028</v>
          </cell>
          <cell r="F2020" t="str">
            <v>C1</v>
          </cell>
          <cell r="G2020" t="str">
            <v>MG</v>
          </cell>
          <cell r="H2020" t="str">
            <v>INGREDIENTS</v>
          </cell>
          <cell r="I2020" t="str">
            <v>INGREDIENTS</v>
          </cell>
          <cell r="J2020" t="str">
            <v>HENRIQUE FERREIRA</v>
          </cell>
          <cell r="K2020" t="str">
            <v>ITAMBÉ</v>
          </cell>
          <cell r="L2020" t="str">
            <v>MAURICIO</v>
          </cell>
          <cell r="M2020" t="str">
            <v>JOEL</v>
          </cell>
        </row>
        <row r="2021">
          <cell r="B2021">
            <v>5234738</v>
          </cell>
          <cell r="C2021" t="str">
            <v>CATUABA INDUSTRIA DE BEBIDAS SA</v>
          </cell>
          <cell r="D2021" t="str">
            <v>6001</v>
          </cell>
          <cell r="E2021" t="str">
            <v>6028</v>
          </cell>
          <cell r="F2021" t="str">
            <v>C1</v>
          </cell>
          <cell r="G2021" t="str">
            <v>ES</v>
          </cell>
          <cell r="H2021" t="str">
            <v>INGREDIENTS</v>
          </cell>
          <cell r="I2021" t="str">
            <v>INGREDIENTS</v>
          </cell>
          <cell r="J2021" t="str">
            <v>HENRIQUE FERREIRA</v>
          </cell>
          <cell r="K2021" t="str">
            <v>ITAMBÉ</v>
          </cell>
          <cell r="L2021" t="str">
            <v>MAURICIO</v>
          </cell>
          <cell r="M2021" t="str">
            <v>JOEL</v>
          </cell>
        </row>
        <row r="2022">
          <cell r="B2022">
            <v>5127549</v>
          </cell>
          <cell r="C2022" t="str">
            <v>SECOMANDI IND E COM DE SORVETES LTD</v>
          </cell>
          <cell r="D2022" t="str">
            <v>6001</v>
          </cell>
          <cell r="E2022" t="str">
            <v>6028</v>
          </cell>
          <cell r="F2022" t="str">
            <v>C1</v>
          </cell>
          <cell r="G2022" t="str">
            <v>ES</v>
          </cell>
          <cell r="H2022" t="str">
            <v>INGREDIENTS</v>
          </cell>
          <cell r="I2022" t="str">
            <v>INGREDIENTS</v>
          </cell>
          <cell r="J2022" t="str">
            <v>HENRIQUE FERREIRA</v>
          </cell>
          <cell r="K2022" t="str">
            <v>ITAMBÉ</v>
          </cell>
          <cell r="L2022" t="str">
            <v>MAURICIO</v>
          </cell>
          <cell r="M2022" t="str">
            <v>JOEL</v>
          </cell>
        </row>
        <row r="2023">
          <cell r="B2023">
            <v>5200105</v>
          </cell>
          <cell r="C2023" t="str">
            <v>NPEREIRA IMPORTACAO E COMERCIO</v>
          </cell>
          <cell r="D2023" t="str">
            <v>7001</v>
          </cell>
          <cell r="E2023" t="str">
            <v>0722</v>
          </cell>
          <cell r="F2023" t="str">
            <v>C1</v>
          </cell>
          <cell r="G2023" t="str">
            <v>SP</v>
          </cell>
          <cell r="H2023" t="str">
            <v>DISTRIBUIÇÃO</v>
          </cell>
          <cell r="I2023" t="str">
            <v>FOOD SERVICE</v>
          </cell>
          <cell r="J2023" t="str">
            <v>FLAC 8</v>
          </cell>
          <cell r="K2023" t="str">
            <v>LACTALIS</v>
          </cell>
          <cell r="L2023" t="str">
            <v>RODRIGO</v>
          </cell>
          <cell r="M2023" t="str">
            <v>RAQUEL BARBOSA</v>
          </cell>
        </row>
        <row r="2024">
          <cell r="B2024">
            <v>5213748</v>
          </cell>
          <cell r="C2024" t="str">
            <v>OESA COMERCIO E REPRESENTACOES</v>
          </cell>
          <cell r="D2024" t="str">
            <v>6001</v>
          </cell>
          <cell r="E2024" t="str">
            <v>6125</v>
          </cell>
          <cell r="F2024" t="str">
            <v>C1</v>
          </cell>
          <cell r="G2024" t="str">
            <v>SP</v>
          </cell>
          <cell r="H2024" t="str">
            <v>DISTRIBUIÇÃO</v>
          </cell>
          <cell r="I2024" t="str">
            <v>FOOD SERVICE</v>
          </cell>
          <cell r="J2024" t="str">
            <v>VAGO SP</v>
          </cell>
          <cell r="K2024" t="str">
            <v>ITAMBÉ</v>
          </cell>
          <cell r="L2024" t="str">
            <v>RODRIGO</v>
          </cell>
          <cell r="M2024" t="str">
            <v>RAQUEL BARBOSA</v>
          </cell>
        </row>
        <row r="2025">
          <cell r="B2025">
            <v>5257568</v>
          </cell>
          <cell r="C2025" t="str">
            <v>LIFRAN CONFEITARIA LTDA ME</v>
          </cell>
          <cell r="D2025" t="str">
            <v>7001</v>
          </cell>
          <cell r="E2025" t="str">
            <v>0749</v>
          </cell>
          <cell r="F2025" t="str">
            <v>C5</v>
          </cell>
          <cell r="G2025" t="str">
            <v>SP</v>
          </cell>
          <cell r="H2025" t="str">
            <v>DISTRIBUIÇÃO</v>
          </cell>
          <cell r="I2025" t="str">
            <v>FOOD SERVICE</v>
          </cell>
          <cell r="J2025" t="str">
            <v>FLAC 2</v>
          </cell>
          <cell r="K2025" t="str">
            <v>LACTALIS</v>
          </cell>
          <cell r="L2025" t="str">
            <v>RODRIGO</v>
          </cell>
          <cell r="M2025" t="str">
            <v>RAQUEL BARBOSA</v>
          </cell>
        </row>
        <row r="2026">
          <cell r="B2026">
            <v>5333153</v>
          </cell>
          <cell r="C2026" t="str">
            <v>RAROS INDUSTRIA E COM DE MASSAS AL LTDA</v>
          </cell>
          <cell r="D2026" t="str">
            <v>3001</v>
          </cell>
          <cell r="E2026" t="str">
            <v>0028</v>
          </cell>
          <cell r="F2026" t="str">
            <v>C1</v>
          </cell>
          <cell r="G2026" t="str">
            <v>MG</v>
          </cell>
          <cell r="H2026" t="str">
            <v>INGREDIENTS</v>
          </cell>
          <cell r="I2026" t="str">
            <v>INGREDIENTS</v>
          </cell>
          <cell r="J2026" t="str">
            <v>HENRIQUE FERREIRA</v>
          </cell>
          <cell r="K2026" t="str">
            <v>ITAMBÉ</v>
          </cell>
          <cell r="L2026" t="str">
            <v>MAURICIO</v>
          </cell>
          <cell r="M2026" t="str">
            <v>JOEL</v>
          </cell>
        </row>
        <row r="2027">
          <cell r="B2027">
            <v>5333153</v>
          </cell>
          <cell r="C2027" t="str">
            <v>RAROS INDUSTRIA E COM DE MASSAS AL LTDA</v>
          </cell>
          <cell r="D2027" t="str">
            <v>4001</v>
          </cell>
          <cell r="E2027" t="str">
            <v>0458</v>
          </cell>
          <cell r="F2027" t="str">
            <v>C1</v>
          </cell>
          <cell r="G2027" t="str">
            <v>MG</v>
          </cell>
          <cell r="H2027" t="str">
            <v>INGREDIENTS</v>
          </cell>
          <cell r="I2027" t="str">
            <v>INGREDIENTS</v>
          </cell>
          <cell r="J2027" t="str">
            <v>HENRIQUE FERREIRA</v>
          </cell>
          <cell r="K2027" t="str">
            <v>LACTALIS</v>
          </cell>
          <cell r="L2027" t="str">
            <v>MAURICIO</v>
          </cell>
          <cell r="M2027" t="str">
            <v>JOEL</v>
          </cell>
        </row>
        <row r="2028">
          <cell r="B2028">
            <v>5001794</v>
          </cell>
          <cell r="C2028" t="str">
            <v>GATE GOURMET LTDA</v>
          </cell>
          <cell r="D2028" t="str">
            <v>7001</v>
          </cell>
          <cell r="E2028" t="str">
            <v>0722</v>
          </cell>
          <cell r="F2028" t="str">
            <v>C1</v>
          </cell>
          <cell r="G2028" t="str">
            <v>RJ</v>
          </cell>
          <cell r="H2028" t="str">
            <v>QSR</v>
          </cell>
          <cell r="I2028" t="str">
            <v>FOOD SERVICE</v>
          </cell>
          <cell r="J2028" t="str">
            <v>ANA MENIQUETE</v>
          </cell>
          <cell r="K2028" t="str">
            <v>LACTALIS</v>
          </cell>
          <cell r="L2028" t="str">
            <v>PEDRO</v>
          </cell>
          <cell r="M2028" t="str">
            <v>ANA MENIQUETE</v>
          </cell>
        </row>
        <row r="2029">
          <cell r="B2029">
            <v>5207394</v>
          </cell>
          <cell r="C2029" t="str">
            <v>NEWREST BRASIL S A AO T AEREO LTDA</v>
          </cell>
          <cell r="D2029" t="str">
            <v>7001</v>
          </cell>
          <cell r="E2029" t="str">
            <v>0722</v>
          </cell>
          <cell r="F2029" t="str">
            <v>C1</v>
          </cell>
          <cell r="G2029" t="str">
            <v>RJ</v>
          </cell>
          <cell r="H2029" t="str">
            <v>QSR</v>
          </cell>
          <cell r="I2029" t="str">
            <v>FOOD SERVICE</v>
          </cell>
          <cell r="J2029" t="str">
            <v>ANA MENIQUETE</v>
          </cell>
          <cell r="K2029" t="str">
            <v>LACTALIS</v>
          </cell>
          <cell r="L2029" t="str">
            <v>PEDRO</v>
          </cell>
          <cell r="M2029" t="str">
            <v>ANA MENIQUETE</v>
          </cell>
        </row>
        <row r="2030">
          <cell r="B2030">
            <v>5231882</v>
          </cell>
          <cell r="C2030" t="str">
            <v>MELHOR BOCADO ALIMENTOS LTDA</v>
          </cell>
          <cell r="D2030" t="str">
            <v>7001</v>
          </cell>
          <cell r="E2030" t="str">
            <v>0749</v>
          </cell>
          <cell r="F2030" t="str">
            <v>C5</v>
          </cell>
          <cell r="G2030" t="str">
            <v>SP</v>
          </cell>
          <cell r="H2030" t="str">
            <v>DISTRIBUIÇÃO</v>
          </cell>
          <cell r="I2030" t="str">
            <v>FOOD SERVICE</v>
          </cell>
          <cell r="J2030" t="str">
            <v>FLAC 2</v>
          </cell>
          <cell r="K2030" t="str">
            <v>LACTALIS</v>
          </cell>
          <cell r="L2030" t="str">
            <v>RODRIGO</v>
          </cell>
          <cell r="M2030" t="str">
            <v>RAQUEL BARBOSA</v>
          </cell>
        </row>
        <row r="2031">
          <cell r="B2031">
            <v>5255804</v>
          </cell>
          <cell r="C2031" t="str">
            <v>COMFRIO FOOD SERVICE LTDA</v>
          </cell>
          <cell r="D2031" t="str">
            <v>7001</v>
          </cell>
          <cell r="E2031" t="str">
            <v>0722</v>
          </cell>
          <cell r="F2031" t="str">
            <v>C1</v>
          </cell>
          <cell r="G2031" t="str">
            <v>SP</v>
          </cell>
          <cell r="H2031" t="str">
            <v>QSR</v>
          </cell>
          <cell r="I2031" t="str">
            <v>FOOD SERVICE</v>
          </cell>
          <cell r="J2031" t="str">
            <v>VAGO QSR</v>
          </cell>
          <cell r="K2031" t="str">
            <v>LACTALIS</v>
          </cell>
          <cell r="L2031" t="str">
            <v>PEDRO</v>
          </cell>
          <cell r="M2031" t="str">
            <v>VAGO QSR</v>
          </cell>
        </row>
        <row r="2032">
          <cell r="B2032">
            <v>5278429</v>
          </cell>
          <cell r="C2032" t="str">
            <v>FRUTO NOVO ALIMENTOS LT</v>
          </cell>
          <cell r="D2032" t="str">
            <v>7001</v>
          </cell>
          <cell r="E2032" t="str">
            <v>0749</v>
          </cell>
          <cell r="F2032" t="str">
            <v>C5</v>
          </cell>
          <cell r="G2032" t="str">
            <v>SP</v>
          </cell>
          <cell r="H2032" t="str">
            <v>DISTRIBUIÇÃO</v>
          </cell>
          <cell r="I2032" t="str">
            <v>FOOD SERVICE</v>
          </cell>
          <cell r="J2032" t="str">
            <v>FLAC 6</v>
          </cell>
          <cell r="K2032" t="str">
            <v>LACTALIS</v>
          </cell>
          <cell r="L2032" t="str">
            <v>RODRIGO</v>
          </cell>
          <cell r="M2032" t="str">
            <v>RAQUEL BARBOSA</v>
          </cell>
        </row>
        <row r="2033">
          <cell r="B2033">
            <v>5280081</v>
          </cell>
          <cell r="C2033" t="str">
            <v>BUNGE ALIMENTOS S A</v>
          </cell>
          <cell r="D2033" t="str">
            <v>4001</v>
          </cell>
          <cell r="E2033" t="str">
            <v>0437</v>
          </cell>
          <cell r="F2033" t="str">
            <v>C1</v>
          </cell>
          <cell r="G2033" t="str">
            <v>PR</v>
          </cell>
          <cell r="H2033" t="str">
            <v>INGREDIENTS</v>
          </cell>
          <cell r="I2033" t="str">
            <v>INGREDIENTS</v>
          </cell>
          <cell r="J2033" t="str">
            <v>JOEL ELEOTÉRIO</v>
          </cell>
          <cell r="K2033" t="str">
            <v>LACTALIS</v>
          </cell>
          <cell r="L2033" t="str">
            <v>MAURICIO</v>
          </cell>
          <cell r="M2033" t="str">
            <v>JOEL</v>
          </cell>
        </row>
        <row r="2034">
          <cell r="B2034">
            <v>5340606</v>
          </cell>
          <cell r="C2034" t="str">
            <v>49963972 GRAZIELLA BARBOSA ALVE</v>
          </cell>
          <cell r="D2034" t="str">
            <v>6001</v>
          </cell>
          <cell r="E2034" t="str">
            <v>6028</v>
          </cell>
          <cell r="F2034" t="str">
            <v>C1</v>
          </cell>
          <cell r="G2034" t="str">
            <v>SP</v>
          </cell>
          <cell r="H2034" t="str">
            <v>INGREDIENTS</v>
          </cell>
          <cell r="I2034" t="str">
            <v>INGREDIENTS</v>
          </cell>
          <cell r="J2034" t="str">
            <v>HENRIQUE FERREIRA</v>
          </cell>
          <cell r="K2034" t="str">
            <v>ITAMBÉ</v>
          </cell>
          <cell r="L2034" t="str">
            <v>MAURICIO</v>
          </cell>
          <cell r="M2034" t="str">
            <v>JOEL</v>
          </cell>
        </row>
        <row r="2035">
          <cell r="B2035">
            <v>5006512</v>
          </cell>
          <cell r="C2035" t="str">
            <v>MARIA ANTONIETA PAD E CONFEITAR</v>
          </cell>
          <cell r="D2035" t="str">
            <v>3001</v>
          </cell>
          <cell r="E2035" t="str">
            <v>0028</v>
          </cell>
          <cell r="F2035" t="str">
            <v>C1</v>
          </cell>
          <cell r="G2035" t="str">
            <v>MG</v>
          </cell>
          <cell r="H2035" t="str">
            <v>INGREDIENTS</v>
          </cell>
          <cell r="I2035" t="str">
            <v>INGREDIENTS</v>
          </cell>
          <cell r="J2035" t="str">
            <v>HENRIQUE FERREIRA</v>
          </cell>
          <cell r="K2035" t="str">
            <v>ITAMBÉ</v>
          </cell>
          <cell r="L2035" t="str">
            <v>MAURICIO</v>
          </cell>
          <cell r="M2035" t="str">
            <v>JOEL</v>
          </cell>
        </row>
        <row r="2036">
          <cell r="B2036">
            <v>5079293</v>
          </cell>
          <cell r="C2036" t="str">
            <v>COPROSUL COMERCIO IMPORT E EXPO</v>
          </cell>
          <cell r="D2036" t="str">
            <v>7001</v>
          </cell>
          <cell r="E2036" t="str">
            <v>0749</v>
          </cell>
          <cell r="F2036" t="str">
            <v>C5</v>
          </cell>
          <cell r="G2036" t="str">
            <v>SP</v>
          </cell>
          <cell r="H2036" t="str">
            <v>DISTRIBUIÇÃO</v>
          </cell>
          <cell r="I2036" t="str">
            <v>FOOD SERVICE</v>
          </cell>
          <cell r="J2036" t="str">
            <v>FLAC 1</v>
          </cell>
          <cell r="K2036" t="str">
            <v>LACTALIS</v>
          </cell>
          <cell r="L2036" t="str">
            <v>RODRIGO</v>
          </cell>
          <cell r="M2036" t="str">
            <v>RAQUEL BARBOSA</v>
          </cell>
        </row>
        <row r="2037">
          <cell r="B2037">
            <v>5114515</v>
          </cell>
          <cell r="C2037" t="str">
            <v>NOSSOS SABORES IND E COM DE ALIM EI</v>
          </cell>
          <cell r="D2037" t="str">
            <v>6001</v>
          </cell>
          <cell r="E2037" t="str">
            <v>6028</v>
          </cell>
          <cell r="F2037" t="str">
            <v>C1</v>
          </cell>
          <cell r="G2037" t="str">
            <v>RJ</v>
          </cell>
          <cell r="H2037" t="str">
            <v>INGREDIENTS</v>
          </cell>
          <cell r="I2037" t="str">
            <v>INGREDIENTS</v>
          </cell>
          <cell r="J2037" t="str">
            <v>TATIANA NITTA</v>
          </cell>
          <cell r="K2037" t="str">
            <v>ITAMBÉ</v>
          </cell>
          <cell r="L2037" t="str">
            <v>MAURICIO</v>
          </cell>
          <cell r="M2037" t="str">
            <v>TATIANA NITTA</v>
          </cell>
        </row>
        <row r="2038">
          <cell r="B2038">
            <v>5186259</v>
          </cell>
          <cell r="C2038" t="str">
            <v>CLUBE DOS SABORES IND E COM DE</v>
          </cell>
          <cell r="D2038" t="str">
            <v>6001</v>
          </cell>
          <cell r="E2038" t="str">
            <v>6028</v>
          </cell>
          <cell r="F2038" t="str">
            <v>C1</v>
          </cell>
          <cell r="G2038" t="str">
            <v>RJ</v>
          </cell>
          <cell r="H2038" t="str">
            <v>INGREDIENTS</v>
          </cell>
          <cell r="I2038" t="str">
            <v>INGREDIENTS</v>
          </cell>
          <cell r="J2038" t="str">
            <v>TATIANA NITTA</v>
          </cell>
          <cell r="K2038" t="str">
            <v>ITAMBÉ</v>
          </cell>
          <cell r="L2038" t="str">
            <v>MAURICIO</v>
          </cell>
          <cell r="M2038" t="str">
            <v>TATIANA NITTA</v>
          </cell>
        </row>
        <row r="2039">
          <cell r="B2039">
            <v>5318911</v>
          </cell>
          <cell r="C2039" t="str">
            <v>R C M COMERCIO DE BOLOS E DOCES</v>
          </cell>
          <cell r="D2039" t="str">
            <v>7001</v>
          </cell>
          <cell r="E2039" t="str">
            <v>0749</v>
          </cell>
          <cell r="F2039" t="str">
            <v>C5</v>
          </cell>
          <cell r="G2039" t="str">
            <v>SP</v>
          </cell>
          <cell r="H2039" t="str">
            <v>DISTRIBUIÇÃO</v>
          </cell>
          <cell r="I2039" t="str">
            <v>FOOD SERVICE</v>
          </cell>
          <cell r="J2039" t="str">
            <v>FLAC 6</v>
          </cell>
          <cell r="K2039" t="str">
            <v>LACTALIS</v>
          </cell>
          <cell r="L2039" t="str">
            <v>RODRIGO</v>
          </cell>
          <cell r="M2039" t="str">
            <v>RAQUEL BARBOSA</v>
          </cell>
        </row>
        <row r="2040">
          <cell r="B2040">
            <v>5330552</v>
          </cell>
          <cell r="C2040" t="str">
            <v>ML FLAVORS COMERCIO</v>
          </cell>
          <cell r="D2040" t="str">
            <v>6001</v>
          </cell>
          <cell r="E2040" t="str">
            <v>6028</v>
          </cell>
          <cell r="F2040" t="str">
            <v>C1</v>
          </cell>
          <cell r="G2040" t="str">
            <v>BA</v>
          </cell>
          <cell r="H2040" t="str">
            <v>INGREDIENTS</v>
          </cell>
          <cell r="I2040" t="str">
            <v>INGREDIENTS</v>
          </cell>
          <cell r="J2040" t="str">
            <v>BA ITB FS ML FLAVORS</v>
          </cell>
          <cell r="K2040" t="str">
            <v>ITAMBÉ</v>
          </cell>
          <cell r="L2040" t="str">
            <v>MAURICIO</v>
          </cell>
          <cell r="M2040" t="str">
            <v>JOEL</v>
          </cell>
        </row>
        <row r="2041">
          <cell r="B2041">
            <v>5347240</v>
          </cell>
          <cell r="C2041" t="str">
            <v>CHARLEROI COMERCIO DE DOCES LTD</v>
          </cell>
          <cell r="D2041" t="str">
            <v>6001</v>
          </cell>
          <cell r="E2041" t="str">
            <v>6028</v>
          </cell>
          <cell r="F2041" t="str">
            <v>C1</v>
          </cell>
          <cell r="G2041" t="str">
            <v>SP</v>
          </cell>
          <cell r="H2041" t="str">
            <v>INGREDIENTS</v>
          </cell>
          <cell r="I2041" t="str">
            <v>INGREDIENTS</v>
          </cell>
          <cell r="J2041" t="str">
            <v>HENRIQUE FERREIRA</v>
          </cell>
          <cell r="K2041" t="str">
            <v>ITAMBÉ</v>
          </cell>
          <cell r="L2041" t="str">
            <v>MAURICIO</v>
          </cell>
          <cell r="M2041" t="str">
            <v>JOEL</v>
          </cell>
        </row>
        <row r="2042">
          <cell r="B2042">
            <v>5145238</v>
          </cell>
          <cell r="C2042" t="str">
            <v>BIMBO DO BRASIL LTDA</v>
          </cell>
          <cell r="D2042" t="str">
            <v>6001</v>
          </cell>
          <cell r="E2042" t="str">
            <v>6028</v>
          </cell>
          <cell r="F2042" t="str">
            <v>C1</v>
          </cell>
          <cell r="G2042" t="str">
            <v>SP</v>
          </cell>
          <cell r="H2042" t="str">
            <v>INGREDIENTS</v>
          </cell>
          <cell r="I2042" t="str">
            <v>INGREDIENTS</v>
          </cell>
          <cell r="J2042" t="str">
            <v>TATIANA NITTA</v>
          </cell>
          <cell r="K2042" t="str">
            <v>ITAMBÉ</v>
          </cell>
          <cell r="L2042" t="str">
            <v>MAURICIO</v>
          </cell>
          <cell r="M2042" t="str">
            <v>TATIANA NITTA</v>
          </cell>
        </row>
        <row r="2043">
          <cell r="B2043">
            <v>5339543</v>
          </cell>
          <cell r="C2043" t="str">
            <v>COM DE PROD ALIM BELA PEDRA LTD</v>
          </cell>
          <cell r="D2043" t="str">
            <v>7001</v>
          </cell>
          <cell r="E2043" t="str">
            <v>0749</v>
          </cell>
          <cell r="F2043" t="str">
            <v>C5</v>
          </cell>
          <cell r="G2043" t="str">
            <v>SP</v>
          </cell>
          <cell r="H2043" t="str">
            <v>DISTRIBUIÇÃO</v>
          </cell>
          <cell r="I2043" t="str">
            <v>FOOD SERVICE</v>
          </cell>
          <cell r="J2043" t="str">
            <v>FLAC 2</v>
          </cell>
          <cell r="K2043" t="str">
            <v>LACTALIS</v>
          </cell>
          <cell r="L2043" t="str">
            <v>RODRIGO</v>
          </cell>
          <cell r="M2043" t="str">
            <v>RAQUEL BARBOSA</v>
          </cell>
        </row>
        <row r="2044">
          <cell r="B2044">
            <v>5348883</v>
          </cell>
          <cell r="C2044" t="str">
            <v>JUJUBA COMERCIO DE ALIMENTOS LT</v>
          </cell>
          <cell r="D2044" t="str">
            <v>7001</v>
          </cell>
          <cell r="E2044" t="str">
            <v>0749</v>
          </cell>
          <cell r="F2044" t="str">
            <v>C5</v>
          </cell>
          <cell r="G2044" t="str">
            <v>SP</v>
          </cell>
          <cell r="H2044" t="str">
            <v>DISTRIBUIÇÃO</v>
          </cell>
          <cell r="I2044" t="str">
            <v>FOOD SERVICE</v>
          </cell>
          <cell r="J2044" t="str">
            <v>FLAC 6</v>
          </cell>
          <cell r="K2044" t="str">
            <v>LACTALIS</v>
          </cell>
          <cell r="L2044" t="str">
            <v>RODRIGO</v>
          </cell>
          <cell r="M2044" t="str">
            <v>RAQUEL BARBOSA</v>
          </cell>
        </row>
        <row r="2045">
          <cell r="B2045">
            <v>5074107</v>
          </cell>
          <cell r="C2045" t="str">
            <v>FESTPAN ALIM IMP E EXPORT LTDA</v>
          </cell>
          <cell r="D2045" t="str">
            <v>7001</v>
          </cell>
          <cell r="E2045" t="str">
            <v>0722</v>
          </cell>
          <cell r="F2045" t="str">
            <v>C1</v>
          </cell>
          <cell r="G2045" t="str">
            <v>SP</v>
          </cell>
          <cell r="H2045" t="str">
            <v>DISTRIBUIÇÃO</v>
          </cell>
          <cell r="I2045" t="str">
            <v>FOOD SERVICE</v>
          </cell>
          <cell r="J2045" t="str">
            <v>VAGO SP</v>
          </cell>
          <cell r="K2045" t="str">
            <v>LACTALIS</v>
          </cell>
          <cell r="L2045" t="str">
            <v>RODRIGO</v>
          </cell>
          <cell r="M2045" t="str">
            <v>RAQUEL BARBOSA</v>
          </cell>
        </row>
        <row r="2046">
          <cell r="B2046">
            <v>5337773</v>
          </cell>
          <cell r="C2046" t="str">
            <v>CAFE PACIFICO LTDA</v>
          </cell>
          <cell r="D2046" t="str">
            <v>7001</v>
          </cell>
          <cell r="E2046" t="str">
            <v>0722</v>
          </cell>
          <cell r="F2046" t="str">
            <v>C1</v>
          </cell>
          <cell r="G2046" t="str">
            <v>SP</v>
          </cell>
          <cell r="H2046" t="str">
            <v>QSR</v>
          </cell>
          <cell r="I2046" t="str">
            <v>FOOD SERVICE</v>
          </cell>
          <cell r="J2046" t="str">
            <v>VAGO QSR</v>
          </cell>
          <cell r="K2046" t="str">
            <v>LACTALIS</v>
          </cell>
          <cell r="L2046" t="str">
            <v>PEDRO</v>
          </cell>
          <cell r="M2046" t="str">
            <v>VAGO QSR</v>
          </cell>
        </row>
        <row r="2047">
          <cell r="B2047">
            <v>5347470</v>
          </cell>
          <cell r="C2047" t="str">
            <v>RUBI RESTAURANTE E EVENTOS LTDA</v>
          </cell>
          <cell r="D2047" t="str">
            <v>7001</v>
          </cell>
          <cell r="E2047" t="str">
            <v>0749</v>
          </cell>
          <cell r="F2047" t="str">
            <v>C5</v>
          </cell>
          <cell r="G2047" t="str">
            <v>SP</v>
          </cell>
          <cell r="H2047" t="str">
            <v>DISTRIBUIÇÃO</v>
          </cell>
          <cell r="I2047" t="str">
            <v>FOOD SERVICE</v>
          </cell>
          <cell r="J2047" t="str">
            <v>FLAC 6</v>
          </cell>
          <cell r="K2047" t="str">
            <v>LACTALIS</v>
          </cell>
          <cell r="L2047" t="str">
            <v>RODRIGO</v>
          </cell>
          <cell r="M2047" t="str">
            <v>RAQUEL BARBOSA</v>
          </cell>
        </row>
        <row r="2048">
          <cell r="B2048">
            <v>5348715</v>
          </cell>
          <cell r="C2048" t="str">
            <v>GALERIA PAULISTA GRILL E LANCHE</v>
          </cell>
          <cell r="D2048" t="str">
            <v>7001</v>
          </cell>
          <cell r="E2048" t="str">
            <v>0749</v>
          </cell>
          <cell r="F2048" t="str">
            <v>C5</v>
          </cell>
          <cell r="G2048" t="str">
            <v>SP</v>
          </cell>
          <cell r="H2048" t="str">
            <v>DISTRIBUIÇÃO</v>
          </cell>
          <cell r="I2048" t="str">
            <v>FOOD SERVICE</v>
          </cell>
          <cell r="J2048" t="str">
            <v>FLAC 5</v>
          </cell>
          <cell r="K2048" t="str">
            <v>LACTALIS</v>
          </cell>
          <cell r="L2048" t="str">
            <v>RODRIGO</v>
          </cell>
          <cell r="M2048" t="str">
            <v>RAQUEL BARBOSA</v>
          </cell>
        </row>
        <row r="2049">
          <cell r="B2049">
            <v>5133455</v>
          </cell>
          <cell r="C2049" t="str">
            <v>OF COMERCIO DE PROD ALIMENTICIOS LT</v>
          </cell>
          <cell r="D2049" t="str">
            <v>3001</v>
          </cell>
          <cell r="E2049" t="str">
            <v>0028</v>
          </cell>
          <cell r="F2049" t="str">
            <v>C1</v>
          </cell>
          <cell r="G2049" t="str">
            <v>MG</v>
          </cell>
          <cell r="H2049" t="str">
            <v>INGREDIENTS</v>
          </cell>
          <cell r="I2049" t="str">
            <v>INGREDIENTS</v>
          </cell>
          <cell r="J2049" t="str">
            <v>HENRIQUE FERREIRA</v>
          </cell>
          <cell r="K2049" t="str">
            <v>ITAMBÉ</v>
          </cell>
          <cell r="L2049" t="str">
            <v>MAURICIO</v>
          </cell>
          <cell r="M2049" t="str">
            <v>JOEL</v>
          </cell>
        </row>
        <row r="2050">
          <cell r="B2050">
            <v>5024950</v>
          </cell>
          <cell r="C2050" t="str">
            <v>DUAS RODAS INDUSTRIAL LTDA</v>
          </cell>
          <cell r="D2050" t="str">
            <v>3001</v>
          </cell>
          <cell r="E2050" t="str">
            <v>0028</v>
          </cell>
          <cell r="F2050" t="str">
            <v>C1</v>
          </cell>
          <cell r="G2050" t="str">
            <v>SC</v>
          </cell>
          <cell r="H2050" t="str">
            <v>INGREDIENTS</v>
          </cell>
          <cell r="I2050" t="str">
            <v>INGREDIENTS</v>
          </cell>
          <cell r="J2050" t="str">
            <v>MARCELO RODRIGUES</v>
          </cell>
          <cell r="K2050" t="str">
            <v>ITAMBÉ</v>
          </cell>
          <cell r="L2050" t="str">
            <v>MAURICIO</v>
          </cell>
          <cell r="M2050" t="str">
            <v>MARCELO</v>
          </cell>
        </row>
        <row r="2051">
          <cell r="B2051">
            <v>5216580</v>
          </cell>
          <cell r="C2051" t="str">
            <v>M G RAMBO DE CARVALHO E CIA LTD</v>
          </cell>
          <cell r="D2051" t="str">
            <v>3001</v>
          </cell>
          <cell r="E2051" t="str">
            <v>0126</v>
          </cell>
          <cell r="F2051" t="str">
            <v>C1</v>
          </cell>
          <cell r="G2051" t="str">
            <v>PR</v>
          </cell>
          <cell r="H2051" t="str">
            <v>INGREDIENTS</v>
          </cell>
          <cell r="I2051" t="str">
            <v>INGREDIENTS</v>
          </cell>
          <cell r="J2051" t="str">
            <v>MARCELO RODRIGUES</v>
          </cell>
          <cell r="K2051" t="str">
            <v>ITAMBÉ</v>
          </cell>
          <cell r="L2051" t="str">
            <v>MAURICIO</v>
          </cell>
          <cell r="M2051" t="str">
            <v>MARCELO</v>
          </cell>
        </row>
        <row r="2052">
          <cell r="B2052">
            <v>5303293</v>
          </cell>
          <cell r="C2052" t="str">
            <v>LACTICINIOS TIROL LTDA</v>
          </cell>
          <cell r="D2052" t="str">
            <v>4001</v>
          </cell>
          <cell r="E2052" t="str">
            <v>0546</v>
          </cell>
          <cell r="F2052" t="str">
            <v>C1</v>
          </cell>
          <cell r="G2052" t="str">
            <v>RS</v>
          </cell>
          <cell r="H2052" t="str">
            <v>OUTROS</v>
          </cell>
          <cell r="I2052" t="str">
            <v>OUTROS</v>
          </cell>
          <cell r="J2052" t="str">
            <v>SERVIÇO TIROL</v>
          </cell>
          <cell r="K2052" t="str">
            <v>OUTROS</v>
          </cell>
          <cell r="L2052" t="str">
            <v>OUTROS</v>
          </cell>
          <cell r="M2052" t="str">
            <v>SERVIÇO TIROL</v>
          </cell>
        </row>
        <row r="2053">
          <cell r="B2053">
            <v>5349193</v>
          </cell>
          <cell r="C2053" t="str">
            <v>53678211 LETICIA CAMILO SEIFER</v>
          </cell>
          <cell r="D2053" t="str">
            <v>7001</v>
          </cell>
          <cell r="E2053" t="str">
            <v>0749</v>
          </cell>
          <cell r="F2053" t="str">
            <v>C5</v>
          </cell>
          <cell r="G2053" t="str">
            <v>SP</v>
          </cell>
          <cell r="H2053" t="str">
            <v>DISTRIBUIÇÃO</v>
          </cell>
          <cell r="I2053" t="str">
            <v>FOOD SERVICE</v>
          </cell>
          <cell r="J2053" t="str">
            <v>FLAC 2</v>
          </cell>
          <cell r="K2053" t="str">
            <v>LACTALIS</v>
          </cell>
          <cell r="L2053" t="str">
            <v>RODRIGO</v>
          </cell>
          <cell r="M2053" t="str">
            <v>RAQUEL BARBOSA</v>
          </cell>
        </row>
        <row r="2054">
          <cell r="B2054">
            <v>5184155</v>
          </cell>
          <cell r="C2054" t="str">
            <v>EJP COMERCIO DE ALIMENTOS LTDA</v>
          </cell>
          <cell r="D2054" t="str">
            <v>6001</v>
          </cell>
          <cell r="E2054" t="str">
            <v>6075</v>
          </cell>
          <cell r="F2054" t="str">
            <v>C1</v>
          </cell>
          <cell r="G2054" t="str">
            <v>CE</v>
          </cell>
          <cell r="H2054" t="str">
            <v>DISTRIBUIÇÃO</v>
          </cell>
          <cell r="I2054" t="str">
            <v>FOOD SERVICE</v>
          </cell>
          <cell r="J2054" t="str">
            <v>WH FOOD SERVICE CE</v>
          </cell>
          <cell r="K2054" t="str">
            <v>ITAMBÉ</v>
          </cell>
          <cell r="L2054" t="str">
            <v>RODRIGO</v>
          </cell>
          <cell r="M2054" t="str">
            <v>MARIA LOURDES</v>
          </cell>
        </row>
        <row r="2055">
          <cell r="B2055">
            <v>5214053</v>
          </cell>
          <cell r="C2055" t="str">
            <v>MP MARTINS ALIMENTOS LTDA</v>
          </cell>
          <cell r="D2055" t="str">
            <v>4001</v>
          </cell>
          <cell r="E2055" t="str">
            <v>0456</v>
          </cell>
          <cell r="F2055" t="str">
            <v>C1</v>
          </cell>
          <cell r="G2055" t="str">
            <v>SC</v>
          </cell>
          <cell r="H2055" t="str">
            <v>DISTRIBUIÇÃO</v>
          </cell>
          <cell r="I2055" t="str">
            <v>FOOD SERVICE</v>
          </cell>
          <cell r="J2055" t="str">
            <v>ANGELICA BATISTELA</v>
          </cell>
          <cell r="K2055" t="str">
            <v>LACTALIS</v>
          </cell>
          <cell r="L2055" t="str">
            <v>RODRIGO</v>
          </cell>
          <cell r="M2055" t="str">
            <v>ANGELICA BATISTELA</v>
          </cell>
        </row>
        <row r="2056">
          <cell r="B2056">
            <v>5228459</v>
          </cell>
          <cell r="C2056" t="str">
            <v>ATLANTICA HOTELS INTERNATIONAL</v>
          </cell>
          <cell r="D2056" t="str">
            <v>7001</v>
          </cell>
          <cell r="E2056" t="str">
            <v>0749</v>
          </cell>
          <cell r="F2056" t="str">
            <v>C5</v>
          </cell>
          <cell r="G2056" t="str">
            <v>SP</v>
          </cell>
          <cell r="H2056" t="str">
            <v>DISTRIBUIÇÃO</v>
          </cell>
          <cell r="I2056" t="str">
            <v>FOOD SERVICE</v>
          </cell>
          <cell r="J2056" t="str">
            <v>FLAC 2</v>
          </cell>
          <cell r="K2056" t="str">
            <v>LACTALIS</v>
          </cell>
          <cell r="L2056" t="str">
            <v>RODRIGO</v>
          </cell>
          <cell r="M2056" t="str">
            <v>RAQUEL BARBOSA</v>
          </cell>
        </row>
        <row r="2057">
          <cell r="B2057">
            <v>5111398</v>
          </cell>
          <cell r="C2057" t="str">
            <v>SCANIA LATIN AMERICA LTDA</v>
          </cell>
          <cell r="D2057" t="str">
            <v>6001</v>
          </cell>
          <cell r="E2057" t="str">
            <v>6028</v>
          </cell>
          <cell r="F2057" t="str">
            <v>C1</v>
          </cell>
          <cell r="G2057" t="str">
            <v>SP</v>
          </cell>
          <cell r="H2057" t="str">
            <v>QSR</v>
          </cell>
          <cell r="I2057" t="str">
            <v>FOOD SERVICE</v>
          </cell>
          <cell r="J2057" t="str">
            <v>VAGO QSR</v>
          </cell>
          <cell r="K2057" t="str">
            <v>ITAMBÉ</v>
          </cell>
          <cell r="L2057" t="str">
            <v>PEDRO</v>
          </cell>
          <cell r="M2057" t="str">
            <v>VAGO QSR</v>
          </cell>
        </row>
        <row r="2058">
          <cell r="B2058">
            <v>5161583</v>
          </cell>
          <cell r="C2058" t="str">
            <v>DOHLER AMERICA LATINA LTDA</v>
          </cell>
          <cell r="D2058" t="str">
            <v>6001</v>
          </cell>
          <cell r="E2058" t="str">
            <v>6028</v>
          </cell>
          <cell r="F2058" t="str">
            <v>C1</v>
          </cell>
          <cell r="G2058" t="str">
            <v>SP</v>
          </cell>
          <cell r="H2058" t="str">
            <v>INGREDIENTS</v>
          </cell>
          <cell r="I2058" t="str">
            <v>INGREDIENTS</v>
          </cell>
          <cell r="J2058" t="str">
            <v>HENRIQUE FERREIRA</v>
          </cell>
          <cell r="K2058" t="str">
            <v>ITAMBÉ</v>
          </cell>
          <cell r="L2058" t="str">
            <v>MAURICIO</v>
          </cell>
          <cell r="M2058" t="str">
            <v>JOEL</v>
          </cell>
        </row>
        <row r="2059">
          <cell r="B2059">
            <v>5191198</v>
          </cell>
          <cell r="C2059" t="str">
            <v>ACAI NO KILO INDUS E COME DE AL</v>
          </cell>
          <cell r="D2059" t="str">
            <v>6001</v>
          </cell>
          <cell r="E2059" t="str">
            <v>6127</v>
          </cell>
          <cell r="F2059" t="str">
            <v>C1</v>
          </cell>
          <cell r="G2059" t="str">
            <v>BA</v>
          </cell>
          <cell r="H2059" t="str">
            <v>DISTRIBUIÇÃO</v>
          </cell>
          <cell r="I2059" t="str">
            <v>FOOD SERVICE</v>
          </cell>
          <cell r="J2059" t="str">
            <v>CLAUDIO JORGE/LUIZ</v>
          </cell>
          <cell r="K2059" t="str">
            <v>ITAMBÉ</v>
          </cell>
          <cell r="L2059" t="str">
            <v>RODRIGO</v>
          </cell>
          <cell r="M2059" t="str">
            <v>MARIA LOURDES</v>
          </cell>
        </row>
        <row r="2060">
          <cell r="B2060">
            <v>5193771</v>
          </cell>
          <cell r="C2060" t="str">
            <v>EMPORIO MEGA 100 COMERCIO DE AL</v>
          </cell>
          <cell r="D2060" t="str">
            <v>7001</v>
          </cell>
          <cell r="E2060" t="str">
            <v>0749</v>
          </cell>
          <cell r="F2060" t="str">
            <v>C5</v>
          </cell>
          <cell r="G2060" t="str">
            <v>SP</v>
          </cell>
          <cell r="H2060" t="str">
            <v>DISTRIBUIÇÃO</v>
          </cell>
          <cell r="I2060" t="str">
            <v>FOOD SERVICE</v>
          </cell>
          <cell r="J2060" t="str">
            <v>FLAC 1</v>
          </cell>
          <cell r="K2060" t="str">
            <v>LACTALIS</v>
          </cell>
          <cell r="L2060" t="str">
            <v>RODRIGO</v>
          </cell>
          <cell r="M2060" t="str">
            <v>RAQUEL BARBOSA</v>
          </cell>
        </row>
        <row r="2061">
          <cell r="B2061">
            <v>5347568</v>
          </cell>
          <cell r="C2061" t="str">
            <v>VEP ALIMENTOS LTDA</v>
          </cell>
          <cell r="D2061" t="str">
            <v>6001</v>
          </cell>
          <cell r="E2061" t="str">
            <v>6028</v>
          </cell>
          <cell r="F2061" t="str">
            <v>C1</v>
          </cell>
          <cell r="G2061" t="str">
            <v>SP</v>
          </cell>
          <cell r="H2061" t="str">
            <v>INGREDIENTS</v>
          </cell>
          <cell r="I2061" t="str">
            <v>INGREDIENTS</v>
          </cell>
          <cell r="J2061" t="str">
            <v>TATIANA NITTA</v>
          </cell>
          <cell r="K2061" t="str">
            <v>ITAMBÉ</v>
          </cell>
          <cell r="L2061" t="str">
            <v>MAURICIO</v>
          </cell>
          <cell r="M2061" t="str">
            <v>TATIANA NITTA</v>
          </cell>
        </row>
        <row r="2062">
          <cell r="B2062">
            <v>5349275</v>
          </cell>
          <cell r="C2062" t="str">
            <v>LEVAIN DE CASA PANIFICADORA LTD</v>
          </cell>
          <cell r="D2062" t="str">
            <v>7001</v>
          </cell>
          <cell r="E2062" t="str">
            <v>0749</v>
          </cell>
          <cell r="F2062" t="str">
            <v>C5</v>
          </cell>
          <cell r="G2062" t="str">
            <v>SP</v>
          </cell>
          <cell r="H2062" t="str">
            <v>DISTRIBUIÇÃO</v>
          </cell>
          <cell r="I2062" t="str">
            <v>FOOD SERVICE</v>
          </cell>
          <cell r="J2062" t="str">
            <v>FLAC 7</v>
          </cell>
          <cell r="K2062" t="str">
            <v>LACTALIS</v>
          </cell>
          <cell r="L2062" t="str">
            <v>RODRIGO</v>
          </cell>
          <cell r="M2062" t="str">
            <v>RAQUEL BARBOSA</v>
          </cell>
        </row>
        <row r="2063">
          <cell r="B2063">
            <v>5104835</v>
          </cell>
          <cell r="C2063" t="str">
            <v>AGILIZA DISTRIBUIDORA LTDA</v>
          </cell>
          <cell r="D2063" t="str">
            <v>3001</v>
          </cell>
          <cell r="E2063" t="str">
            <v>0122</v>
          </cell>
          <cell r="F2063" t="str">
            <v>C1</v>
          </cell>
          <cell r="G2063" t="str">
            <v>MG</v>
          </cell>
          <cell r="H2063" t="str">
            <v>DISTRIBUIÇÃO</v>
          </cell>
          <cell r="I2063" t="str">
            <v>FOOD SERVICE</v>
          </cell>
          <cell r="J2063" t="str">
            <v>MARCELO SILVA</v>
          </cell>
          <cell r="K2063" t="str">
            <v>ITAMBÉ</v>
          </cell>
          <cell r="L2063" t="str">
            <v>RODRIGO</v>
          </cell>
          <cell r="M2063" t="str">
            <v>CELIO MARTINS</v>
          </cell>
        </row>
        <row r="2064">
          <cell r="B2064">
            <v>5216580</v>
          </cell>
          <cell r="C2064" t="str">
            <v>M G RAMBO DE CARVALHO E CIA LTD</v>
          </cell>
          <cell r="D2064" t="str">
            <v>3001</v>
          </cell>
          <cell r="E2064" t="str">
            <v>0028</v>
          </cell>
          <cell r="F2064" t="str">
            <v>C1</v>
          </cell>
          <cell r="G2064" t="str">
            <v>PR</v>
          </cell>
          <cell r="H2064" t="str">
            <v>INGREDIENTS</v>
          </cell>
          <cell r="I2064" t="str">
            <v>INGREDIENTS</v>
          </cell>
          <cell r="J2064" t="str">
            <v>MARCELO RODRIGUES</v>
          </cell>
          <cell r="K2064" t="str">
            <v>ITAMBÉ</v>
          </cell>
          <cell r="L2064" t="str">
            <v>MAURICIO</v>
          </cell>
          <cell r="M2064" t="str">
            <v>MARCELO</v>
          </cell>
        </row>
        <row r="2065">
          <cell r="B2065">
            <v>5219478</v>
          </cell>
          <cell r="C2065" t="str">
            <v>YAKULT SA INDUSTRIA E COMERCIO</v>
          </cell>
          <cell r="D2065" t="str">
            <v>4001</v>
          </cell>
          <cell r="E2065" t="str">
            <v>0423</v>
          </cell>
          <cell r="F2065" t="str">
            <v>C5</v>
          </cell>
          <cell r="G2065" t="str">
            <v>SP</v>
          </cell>
          <cell r="H2065" t="str">
            <v>INGREDIENTS</v>
          </cell>
          <cell r="I2065" t="str">
            <v>INGREDIENTS</v>
          </cell>
          <cell r="J2065" t="str">
            <v>FERREIRA MELO</v>
          </cell>
          <cell r="K2065" t="str">
            <v>LACTALIS</v>
          </cell>
          <cell r="L2065" t="str">
            <v>MAURICIO</v>
          </cell>
          <cell r="M2065" t="str">
            <v>JOEL</v>
          </cell>
        </row>
        <row r="2066">
          <cell r="B2066">
            <v>5260909</v>
          </cell>
          <cell r="C2066" t="str">
            <v>BASEL LACTEOS SA</v>
          </cell>
          <cell r="D2066" t="str">
            <v>3001</v>
          </cell>
          <cell r="E2066" t="str">
            <v>0028</v>
          </cell>
          <cell r="F2066" t="str">
            <v>C1</v>
          </cell>
          <cell r="G2066" t="str">
            <v>MG</v>
          </cell>
          <cell r="H2066" t="str">
            <v>INGREDIENTS</v>
          </cell>
          <cell r="I2066" t="str">
            <v>INGREDIENTS</v>
          </cell>
          <cell r="J2066" t="str">
            <v>HENRIQUE FERREIRA</v>
          </cell>
          <cell r="K2066" t="str">
            <v>ITAMBÉ</v>
          </cell>
          <cell r="L2066" t="str">
            <v>MAURICIO</v>
          </cell>
          <cell r="M2066" t="str">
            <v>JOEL</v>
          </cell>
        </row>
        <row r="2067">
          <cell r="B2067">
            <v>5292367</v>
          </cell>
          <cell r="C2067" t="str">
            <v>POINT DO FIFO MERCADO LTDA</v>
          </cell>
          <cell r="D2067" t="str">
            <v>3001</v>
          </cell>
          <cell r="E2067" t="str">
            <v>0126</v>
          </cell>
          <cell r="F2067" t="str">
            <v>C1</v>
          </cell>
          <cell r="G2067" t="str">
            <v>SC</v>
          </cell>
          <cell r="H2067" t="str">
            <v>DISTRIBUIÇÃO</v>
          </cell>
          <cell r="I2067" t="str">
            <v>FOOD SERVICE</v>
          </cell>
          <cell r="J2067" t="str">
            <v>ANGELICA BATISTELA</v>
          </cell>
          <cell r="K2067" t="str">
            <v>ITAMBÉ</v>
          </cell>
          <cell r="L2067" t="str">
            <v>RODRIGO</v>
          </cell>
          <cell r="M2067" t="str">
            <v>ANGELICA BATISTELA</v>
          </cell>
        </row>
        <row r="2068">
          <cell r="B2068">
            <v>5346964</v>
          </cell>
          <cell r="C2068" t="str">
            <v>MSLR COM ATACADISTA DE BEBIDAS</v>
          </cell>
          <cell r="D2068" t="str">
            <v>6001</v>
          </cell>
          <cell r="E2068" t="str">
            <v>6125</v>
          </cell>
          <cell r="F2068" t="str">
            <v>C1</v>
          </cell>
          <cell r="G2068" t="str">
            <v>SP</v>
          </cell>
          <cell r="H2068" t="str">
            <v>INGREDIENTS</v>
          </cell>
          <cell r="I2068" t="str">
            <v>INGREDIENTS</v>
          </cell>
          <cell r="J2068" t="str">
            <v>TATIANA NITTA</v>
          </cell>
          <cell r="K2068" t="str">
            <v>ITAMBÉ</v>
          </cell>
          <cell r="L2068" t="str">
            <v>MAURICIO</v>
          </cell>
          <cell r="M2068" t="str">
            <v>TATIANA NITTA</v>
          </cell>
        </row>
        <row r="2069">
          <cell r="B2069">
            <v>5349105</v>
          </cell>
          <cell r="C2069" t="str">
            <v>LIFTOM CAFES ESPECIAIS LTDA</v>
          </cell>
          <cell r="D2069" t="str">
            <v>7001</v>
          </cell>
          <cell r="E2069" t="str">
            <v>0749</v>
          </cell>
          <cell r="F2069" t="str">
            <v>C5</v>
          </cell>
          <cell r="G2069" t="str">
            <v>SP</v>
          </cell>
          <cell r="H2069" t="str">
            <v>DISTRIBUIÇÃO</v>
          </cell>
          <cell r="I2069" t="str">
            <v>FOOD SERVICE</v>
          </cell>
          <cell r="J2069" t="str">
            <v>FLAC 2</v>
          </cell>
          <cell r="K2069" t="str">
            <v>LACTALIS</v>
          </cell>
          <cell r="L2069" t="str">
            <v>RODRIGO</v>
          </cell>
          <cell r="M2069" t="str">
            <v>RAQUEL BARBOSA</v>
          </cell>
        </row>
        <row r="2070">
          <cell r="B2070">
            <v>5349287</v>
          </cell>
          <cell r="C2070" t="str">
            <v>IDEAL CESTAS DE ALIMENTOS LTDA</v>
          </cell>
          <cell r="D2070" t="str">
            <v>3001</v>
          </cell>
          <cell r="E2070" t="str">
            <v>0122</v>
          </cell>
          <cell r="F2070" t="str">
            <v>C1</v>
          </cell>
          <cell r="G2070" t="str">
            <v>MG</v>
          </cell>
          <cell r="H2070" t="str">
            <v>DISTRIBUIÇÃO</v>
          </cell>
          <cell r="I2070" t="str">
            <v>FOOD SERVICE</v>
          </cell>
          <cell r="J2070" t="str">
            <v>MARCELO SILVA</v>
          </cell>
          <cell r="K2070" t="str">
            <v>ITAMBÉ</v>
          </cell>
          <cell r="L2070" t="str">
            <v>RODRIGO</v>
          </cell>
          <cell r="M2070" t="str">
            <v>CELIO MARTINS</v>
          </cell>
        </row>
        <row r="2071">
          <cell r="B2071">
            <v>5349292</v>
          </cell>
          <cell r="C2071" t="str">
            <v>LA PERLE PATISSERIE LTDA</v>
          </cell>
          <cell r="D2071" t="str">
            <v>7001</v>
          </cell>
          <cell r="E2071" t="str">
            <v>0749</v>
          </cell>
          <cell r="F2071" t="str">
            <v>C5</v>
          </cell>
          <cell r="G2071" t="str">
            <v>SP</v>
          </cell>
          <cell r="H2071" t="str">
            <v>DISTRIBUIÇÃO</v>
          </cell>
          <cell r="I2071" t="str">
            <v>FOOD SERVICE</v>
          </cell>
          <cell r="J2071" t="str">
            <v>FLAC 6</v>
          </cell>
          <cell r="K2071" t="str">
            <v>LACTALIS</v>
          </cell>
          <cell r="L2071" t="str">
            <v>RODRIGO</v>
          </cell>
          <cell r="M2071" t="str">
            <v>RAQUEL BARBOSA</v>
          </cell>
        </row>
        <row r="2072">
          <cell r="B2072">
            <v>5011056</v>
          </cell>
          <cell r="C2072" t="str">
            <v>APARECIDO DONIZETE DOS SANTOS</v>
          </cell>
          <cell r="D2072" t="str">
            <v>4001</v>
          </cell>
          <cell r="E2072" t="str">
            <v>0455</v>
          </cell>
          <cell r="F2072" t="str">
            <v>C1</v>
          </cell>
          <cell r="G2072" t="str">
            <v>PR</v>
          </cell>
          <cell r="H2072" t="str">
            <v>INGREDIENTS</v>
          </cell>
          <cell r="I2072" t="str">
            <v>INGREDIENTS</v>
          </cell>
          <cell r="J2072" t="str">
            <v>MARCELO RODRIGUES</v>
          </cell>
          <cell r="K2072" t="str">
            <v>LACTALIS</v>
          </cell>
          <cell r="L2072" t="str">
            <v>MAURICIO</v>
          </cell>
          <cell r="M2072" t="str">
            <v>MARCELO</v>
          </cell>
        </row>
        <row r="2073">
          <cell r="B2073">
            <v>5349074</v>
          </cell>
          <cell r="C2073" t="str">
            <v>FUNCHAL IND E COM DE PAPEIS LTD</v>
          </cell>
          <cell r="D2073" t="str">
            <v>6001</v>
          </cell>
          <cell r="E2073" t="str">
            <v>6125</v>
          </cell>
          <cell r="F2073" t="str">
            <v>C1</v>
          </cell>
          <cell r="G2073" t="str">
            <v>SP</v>
          </cell>
          <cell r="H2073" t="str">
            <v>DISTRIBUIÇÃO</v>
          </cell>
          <cell r="I2073" t="str">
            <v>FOOD SERVICE</v>
          </cell>
          <cell r="J2073" t="str">
            <v>VAGO SP</v>
          </cell>
          <cell r="K2073" t="str">
            <v>ITAMBÉ</v>
          </cell>
          <cell r="L2073" t="str">
            <v>RODRIGO</v>
          </cell>
          <cell r="M2073" t="str">
            <v>RAQUEL BARBOSA</v>
          </cell>
        </row>
        <row r="2074">
          <cell r="B2074">
            <v>5349411</v>
          </cell>
          <cell r="C2074" t="str">
            <v>DBOA COMERCIO DE ALIMENTOS LTDA</v>
          </cell>
          <cell r="D2074" t="str">
            <v>7001</v>
          </cell>
          <cell r="E2074" t="str">
            <v>0749</v>
          </cell>
          <cell r="F2074" t="str">
            <v>C5</v>
          </cell>
          <cell r="G2074" t="str">
            <v>SP</v>
          </cell>
          <cell r="H2074" t="str">
            <v>DISTRIBUIÇÃO</v>
          </cell>
          <cell r="I2074" t="str">
            <v>FOOD SERVICE</v>
          </cell>
          <cell r="J2074" t="str">
            <v>FLAC 6</v>
          </cell>
          <cell r="K2074" t="str">
            <v>LACTALIS</v>
          </cell>
          <cell r="L2074" t="str">
            <v>RODRIGO</v>
          </cell>
          <cell r="M2074" t="str">
            <v>RAQUEL BARBOSA</v>
          </cell>
        </row>
        <row r="2075">
          <cell r="B2075">
            <v>5349473</v>
          </cell>
          <cell r="C2075" t="str">
            <v>CASA SALMAO LTDA</v>
          </cell>
          <cell r="D2075" t="str">
            <v>7001</v>
          </cell>
          <cell r="E2075" t="str">
            <v>0749</v>
          </cell>
          <cell r="F2075" t="str">
            <v>C5</v>
          </cell>
          <cell r="G2075" t="str">
            <v>SP</v>
          </cell>
          <cell r="H2075" t="str">
            <v>DISTRIBUIÇÃO</v>
          </cell>
          <cell r="I2075" t="str">
            <v>FOOD SERVICE</v>
          </cell>
          <cell r="J2075" t="str">
            <v>FLAC 6</v>
          </cell>
          <cell r="K2075" t="str">
            <v>LACTALIS</v>
          </cell>
          <cell r="L2075" t="str">
            <v>RODRIGO</v>
          </cell>
          <cell r="M2075" t="str">
            <v>RAQUEL BARBOSA</v>
          </cell>
        </row>
        <row r="2076">
          <cell r="B2076">
            <v>5226531</v>
          </cell>
          <cell r="C2076" t="str">
            <v>NOBREDO COMERCIO E LOGISTICA LTDA</v>
          </cell>
          <cell r="D2076" t="str">
            <v>7001</v>
          </cell>
          <cell r="E2076" t="str">
            <v>0739</v>
          </cell>
          <cell r="F2076" t="str">
            <v>C1</v>
          </cell>
          <cell r="G2076" t="str">
            <v>RJ</v>
          </cell>
          <cell r="H2076" t="str">
            <v>DISTRIBUIÇÃO</v>
          </cell>
          <cell r="I2076" t="str">
            <v>FOOD SERVICE</v>
          </cell>
          <cell r="J2076" t="str">
            <v>LUCIANA MARTINS</v>
          </cell>
          <cell r="K2076" t="str">
            <v>LACTALIS</v>
          </cell>
          <cell r="L2076" t="str">
            <v>RODRIGO</v>
          </cell>
          <cell r="M2076" t="str">
            <v>JESSICA</v>
          </cell>
        </row>
        <row r="2077">
          <cell r="B2077">
            <v>5335938</v>
          </cell>
          <cell r="C2077" t="str">
            <v>LACTICINIOS TIROL LTDA</v>
          </cell>
          <cell r="D2077" t="str">
            <v>4001</v>
          </cell>
          <cell r="E2077" t="str">
            <v>0437</v>
          </cell>
          <cell r="F2077" t="str">
            <v>C1</v>
          </cell>
          <cell r="G2077" t="str">
            <v>SP</v>
          </cell>
          <cell r="H2077" t="str">
            <v>OUTROS</v>
          </cell>
          <cell r="I2077" t="str">
            <v>OUTROS</v>
          </cell>
          <cell r="J2077" t="str">
            <v>SERVIÇO TIROL</v>
          </cell>
          <cell r="K2077" t="str">
            <v>OUTROS</v>
          </cell>
          <cell r="L2077" t="str">
            <v>OUTROS</v>
          </cell>
          <cell r="M2077" t="str">
            <v>SERVIÇO TIROL</v>
          </cell>
        </row>
        <row r="2078">
          <cell r="B2078">
            <v>5337751</v>
          </cell>
          <cell r="C2078" t="str">
            <v>LACTICINIOS TIROL LTDA</v>
          </cell>
          <cell r="D2078" t="str">
            <v>4001</v>
          </cell>
          <cell r="E2078" t="str">
            <v>0437</v>
          </cell>
          <cell r="F2078" t="str">
            <v>C1</v>
          </cell>
          <cell r="G2078" t="str">
            <v>SC</v>
          </cell>
          <cell r="H2078" t="str">
            <v>OUTROS</v>
          </cell>
          <cell r="I2078" t="str">
            <v>OUTROS</v>
          </cell>
          <cell r="J2078" t="str">
            <v>SERVIÇO TIROL</v>
          </cell>
          <cell r="K2078" t="str">
            <v>OUTROS</v>
          </cell>
          <cell r="L2078" t="str">
            <v>OUTROS</v>
          </cell>
          <cell r="M2078" t="str">
            <v>SERVIÇO TIROL</v>
          </cell>
        </row>
        <row r="2079">
          <cell r="B2079">
            <v>5338420</v>
          </cell>
          <cell r="C2079" t="str">
            <v>ERLAN SA EM RECUPERACAO JUDICIA</v>
          </cell>
          <cell r="D2079" t="str">
            <v>3001</v>
          </cell>
          <cell r="E2079" t="str">
            <v>0028</v>
          </cell>
          <cell r="F2079" t="str">
            <v>C1</v>
          </cell>
          <cell r="G2079" t="str">
            <v>MG</v>
          </cell>
          <cell r="H2079" t="str">
            <v>INGREDIENTS</v>
          </cell>
          <cell r="I2079" t="str">
            <v>INGREDIENTS</v>
          </cell>
          <cell r="J2079" t="str">
            <v>HENRIQUE FERREIRA</v>
          </cell>
          <cell r="K2079" t="str">
            <v>ITAMBÉ</v>
          </cell>
          <cell r="L2079" t="str">
            <v>MAURICIO</v>
          </cell>
          <cell r="M2079" t="str">
            <v>JOEL</v>
          </cell>
        </row>
        <row r="2080">
          <cell r="B2080">
            <v>5232460</v>
          </cell>
          <cell r="C2080" t="str">
            <v>GELATO LUCE COMERCIO LTDA</v>
          </cell>
          <cell r="D2080" t="str">
            <v>6001</v>
          </cell>
          <cell r="E2080" t="str">
            <v>6009</v>
          </cell>
          <cell r="F2080" t="str">
            <v>C1</v>
          </cell>
          <cell r="G2080" t="str">
            <v>BA</v>
          </cell>
          <cell r="H2080" t="str">
            <v>DISTRIBUIÇÃO</v>
          </cell>
          <cell r="I2080" t="str">
            <v>FOOD SERVICE</v>
          </cell>
          <cell r="J2080" t="str">
            <v>CLAUDIO JORGE/LUIZ</v>
          </cell>
          <cell r="K2080" t="str">
            <v>ITAMBÉ</v>
          </cell>
          <cell r="L2080" t="str">
            <v>RODRIGO</v>
          </cell>
          <cell r="M2080" t="str">
            <v>MARIA LOURDES</v>
          </cell>
        </row>
        <row r="2081">
          <cell r="B2081">
            <v>5334769</v>
          </cell>
          <cell r="C2081" t="str">
            <v>LAFEE DOCES E BOLOS LTDA</v>
          </cell>
          <cell r="D2081" t="str">
            <v>7001</v>
          </cell>
          <cell r="E2081" t="str">
            <v>0749</v>
          </cell>
          <cell r="F2081" t="str">
            <v>C5</v>
          </cell>
          <cell r="G2081" t="str">
            <v>SP</v>
          </cell>
          <cell r="H2081" t="str">
            <v>DISTRIBUIÇÃO</v>
          </cell>
          <cell r="I2081" t="str">
            <v>FOOD SERVICE</v>
          </cell>
          <cell r="J2081" t="str">
            <v>FLAC 5</v>
          </cell>
          <cell r="K2081" t="str">
            <v>LACTALIS</v>
          </cell>
          <cell r="L2081" t="str">
            <v>RODRIGO</v>
          </cell>
          <cell r="M2081" t="str">
            <v>RAQUEL BARBOSA</v>
          </cell>
        </row>
        <row r="2082">
          <cell r="B2082">
            <v>5135529</v>
          </cell>
          <cell r="C2082" t="str">
            <v>P 1 ADM EM COMPLEXOS IMOBILIARIOS L</v>
          </cell>
          <cell r="D2082" t="str">
            <v>7001</v>
          </cell>
          <cell r="E2082" t="str">
            <v>0749</v>
          </cell>
          <cell r="F2082" t="str">
            <v>C5</v>
          </cell>
          <cell r="G2082" t="str">
            <v>SP</v>
          </cell>
          <cell r="H2082" t="str">
            <v>DISTRIBUIÇÃO</v>
          </cell>
          <cell r="I2082" t="str">
            <v>FOOD SERVICE</v>
          </cell>
          <cell r="J2082" t="str">
            <v>FLAC 5</v>
          </cell>
          <cell r="K2082" t="str">
            <v>LACTALIS</v>
          </cell>
          <cell r="L2082" t="str">
            <v>RODRIGO</v>
          </cell>
          <cell r="M2082" t="str">
            <v>RAQUEL BARBOSA</v>
          </cell>
        </row>
        <row r="2083">
          <cell r="B2083">
            <v>5206830</v>
          </cell>
          <cell r="C2083" t="str">
            <v>IND E COM DE SORVETES FRUTAMIX LTDA</v>
          </cell>
          <cell r="D2083" t="str">
            <v>3001</v>
          </cell>
          <cell r="E2083" t="str">
            <v>0028</v>
          </cell>
          <cell r="F2083" t="str">
            <v>C1</v>
          </cell>
          <cell r="G2083" t="str">
            <v>MG</v>
          </cell>
          <cell r="H2083" t="str">
            <v>INGREDIENTS</v>
          </cell>
          <cell r="I2083" t="str">
            <v>INGREDIENTS</v>
          </cell>
          <cell r="J2083" t="str">
            <v>HENRIQUE FERREIRA</v>
          </cell>
          <cell r="K2083" t="str">
            <v>ITAMBÉ</v>
          </cell>
          <cell r="L2083" t="str">
            <v>MAURICIO</v>
          </cell>
          <cell r="M2083" t="str">
            <v>JOEL</v>
          </cell>
        </row>
        <row r="2084">
          <cell r="B2084">
            <v>5261316</v>
          </cell>
          <cell r="C2084" t="str">
            <v>MPY HOTELARIA LDTA</v>
          </cell>
          <cell r="D2084" t="str">
            <v>7001</v>
          </cell>
          <cell r="E2084" t="str">
            <v>0749</v>
          </cell>
          <cell r="F2084" t="str">
            <v>C5</v>
          </cell>
          <cell r="G2084" t="str">
            <v>SP</v>
          </cell>
          <cell r="H2084" t="str">
            <v>DISTRIBUIÇÃO</v>
          </cell>
          <cell r="I2084" t="str">
            <v>FOOD SERVICE</v>
          </cell>
          <cell r="J2084" t="str">
            <v>FLAC 3</v>
          </cell>
          <cell r="K2084" t="str">
            <v>LACTALIS</v>
          </cell>
          <cell r="L2084" t="str">
            <v>RODRIGO</v>
          </cell>
          <cell r="M2084" t="str">
            <v>RAQUEL BARBOSA</v>
          </cell>
        </row>
        <row r="2085">
          <cell r="B2085">
            <v>5349486</v>
          </cell>
          <cell r="C2085" t="str">
            <v>CAPITAL DAS CESTAS LTDA</v>
          </cell>
          <cell r="D2085" t="str">
            <v>3001</v>
          </cell>
          <cell r="E2085" t="str">
            <v>0122</v>
          </cell>
          <cell r="F2085" t="str">
            <v>C1</v>
          </cell>
          <cell r="G2085" t="str">
            <v>MG</v>
          </cell>
          <cell r="H2085" t="str">
            <v>DISTRIBUIÇÃO</v>
          </cell>
          <cell r="I2085" t="str">
            <v>FOOD SERVICE</v>
          </cell>
          <cell r="J2085" t="str">
            <v>MARCELO SILVA</v>
          </cell>
          <cell r="K2085" t="str">
            <v>ITAMBÉ</v>
          </cell>
          <cell r="L2085" t="str">
            <v>RODRIGO</v>
          </cell>
          <cell r="M2085" t="str">
            <v>CELIO MARTINS</v>
          </cell>
        </row>
        <row r="2086">
          <cell r="B2086">
            <v>5349526</v>
          </cell>
          <cell r="C2086" t="str">
            <v>INDUSTRIA DE ALIMENTOS TENERE L</v>
          </cell>
          <cell r="D2086" t="str">
            <v>3001</v>
          </cell>
          <cell r="E2086" t="str">
            <v>0028</v>
          </cell>
          <cell r="F2086" t="str">
            <v>C1</v>
          </cell>
          <cell r="G2086" t="str">
            <v>MG</v>
          </cell>
          <cell r="H2086" t="str">
            <v>INGREDIENTS</v>
          </cell>
          <cell r="I2086" t="str">
            <v>INGREDIENTS</v>
          </cell>
          <cell r="J2086" t="str">
            <v>HENRIQUE FERREIRA</v>
          </cell>
          <cell r="K2086" t="str">
            <v>ITAMBÉ</v>
          </cell>
          <cell r="L2086" t="str">
            <v>MAURICIO</v>
          </cell>
          <cell r="M2086" t="str">
            <v>JOEL</v>
          </cell>
        </row>
        <row r="2087">
          <cell r="B2087">
            <v>5349667</v>
          </cell>
          <cell r="C2087" t="str">
            <v>SUD RESTAURANTE E BAR LTDA</v>
          </cell>
          <cell r="D2087" t="str">
            <v>7001</v>
          </cell>
          <cell r="E2087" t="str">
            <v>0749</v>
          </cell>
          <cell r="F2087" t="str">
            <v>C5</v>
          </cell>
          <cell r="G2087" t="str">
            <v>SP</v>
          </cell>
          <cell r="H2087" t="str">
            <v>DISTRIBUIÇÃO</v>
          </cell>
          <cell r="I2087" t="str">
            <v>FOOD SERVICE</v>
          </cell>
          <cell r="J2087" t="str">
            <v>FLAC 5</v>
          </cell>
          <cell r="K2087" t="str">
            <v>LACTALIS</v>
          </cell>
          <cell r="L2087" t="str">
            <v>RODRIGO</v>
          </cell>
          <cell r="M2087" t="str">
            <v>RAQUEL BARBOSA</v>
          </cell>
        </row>
        <row r="2088">
          <cell r="B2088">
            <v>5029281</v>
          </cell>
          <cell r="C2088" t="str">
            <v>PASTIFICIO CARASI COMERCIO DE A</v>
          </cell>
          <cell r="D2088" t="str">
            <v>7001</v>
          </cell>
          <cell r="E2088" t="str">
            <v>0749</v>
          </cell>
          <cell r="F2088" t="str">
            <v>C5</v>
          </cell>
          <cell r="G2088" t="str">
            <v>SP</v>
          </cell>
          <cell r="H2088" t="str">
            <v>DISTRIBUIÇÃO</v>
          </cell>
          <cell r="I2088" t="str">
            <v>FOOD SERVICE</v>
          </cell>
          <cell r="J2088" t="str">
            <v>FLAC 5</v>
          </cell>
          <cell r="K2088" t="str">
            <v>LACTALIS</v>
          </cell>
          <cell r="L2088" t="str">
            <v>RODRIGO</v>
          </cell>
          <cell r="M2088" t="str">
            <v>RAQUEL BARBOSA</v>
          </cell>
        </row>
        <row r="2089">
          <cell r="B2089">
            <v>5227311</v>
          </cell>
          <cell r="C2089" t="str">
            <v>ALIMENTOS JANDAIA LTDA</v>
          </cell>
          <cell r="D2089" t="str">
            <v>3001</v>
          </cell>
          <cell r="E2089" t="str">
            <v>0126</v>
          </cell>
          <cell r="F2089" t="str">
            <v>C1</v>
          </cell>
          <cell r="G2089" t="str">
            <v>PR</v>
          </cell>
          <cell r="H2089" t="str">
            <v>INGREDIENTS</v>
          </cell>
          <cell r="I2089" t="str">
            <v>INGREDIENTS</v>
          </cell>
          <cell r="J2089" t="str">
            <v>MARCELO RODRIGUES</v>
          </cell>
          <cell r="K2089" t="str">
            <v>ITAMBÉ</v>
          </cell>
          <cell r="L2089" t="str">
            <v>MAURICIO</v>
          </cell>
          <cell r="M2089" t="str">
            <v>MARCELO</v>
          </cell>
        </row>
        <row r="2090">
          <cell r="B2090">
            <v>5279316</v>
          </cell>
          <cell r="C2090" t="str">
            <v>SOCIEDADE HARMONIA DE TENIS</v>
          </cell>
          <cell r="D2090" t="str">
            <v>7001</v>
          </cell>
          <cell r="E2090" t="str">
            <v>0749</v>
          </cell>
          <cell r="F2090" t="str">
            <v>C5</v>
          </cell>
          <cell r="G2090" t="str">
            <v>SP</v>
          </cell>
          <cell r="H2090" t="str">
            <v>DISTRIBUIÇÃO</v>
          </cell>
          <cell r="I2090" t="str">
            <v>FOOD SERVICE</v>
          </cell>
          <cell r="J2090" t="str">
            <v>FLAC 3</v>
          </cell>
          <cell r="K2090" t="str">
            <v>LACTALIS</v>
          </cell>
          <cell r="L2090" t="str">
            <v>RODRIGO</v>
          </cell>
          <cell r="M2090" t="str">
            <v>RAQUEL BARBOSA</v>
          </cell>
        </row>
        <row r="2091">
          <cell r="B2091">
            <v>5349816</v>
          </cell>
          <cell r="C2091" t="str">
            <v>PAN PADARIA ARTESANAL LTDA</v>
          </cell>
          <cell r="D2091" t="str">
            <v>7001</v>
          </cell>
          <cell r="E2091" t="str">
            <v>0749</v>
          </cell>
          <cell r="F2091" t="str">
            <v>C5</v>
          </cell>
          <cell r="G2091" t="str">
            <v>SP</v>
          </cell>
          <cell r="H2091" t="str">
            <v>DISTRIBUIÇÃO</v>
          </cell>
          <cell r="I2091" t="str">
            <v>FOOD SERVICE</v>
          </cell>
          <cell r="J2091" t="str">
            <v>FLAC 2</v>
          </cell>
          <cell r="K2091" t="str">
            <v>LACTALIS</v>
          </cell>
          <cell r="L2091" t="str">
            <v>RODRIGO</v>
          </cell>
          <cell r="M2091" t="str">
            <v>RAQUEL BARBOSA</v>
          </cell>
        </row>
        <row r="2092">
          <cell r="B2092">
            <v>5349834</v>
          </cell>
          <cell r="C2092" t="str">
            <v>FEITO A MAO ITAIM LTDA</v>
          </cell>
          <cell r="D2092" t="str">
            <v>7001</v>
          </cell>
          <cell r="E2092" t="str">
            <v>0749</v>
          </cell>
          <cell r="F2092" t="str">
            <v>C5</v>
          </cell>
          <cell r="G2092" t="str">
            <v>SP</v>
          </cell>
          <cell r="H2092" t="str">
            <v>DISTRIBUIÇÃO</v>
          </cell>
          <cell r="I2092" t="str">
            <v>FOOD SERVICE</v>
          </cell>
          <cell r="J2092" t="str">
            <v>FLAC 6</v>
          </cell>
          <cell r="K2092" t="str">
            <v>LACTALIS</v>
          </cell>
          <cell r="L2092" t="str">
            <v>RODRIGO</v>
          </cell>
          <cell r="M2092" t="str">
            <v>RAQUEL BARBOSA</v>
          </cell>
        </row>
        <row r="2093">
          <cell r="B2093">
            <v>5162170</v>
          </cell>
          <cell r="C2093" t="str">
            <v>DAN VIGOR IND E COM DE LATICINIOS L</v>
          </cell>
          <cell r="D2093" t="str">
            <v>4001</v>
          </cell>
          <cell r="E2093" t="str">
            <v>0423</v>
          </cell>
          <cell r="F2093" t="str">
            <v>C5</v>
          </cell>
          <cell r="G2093" t="str">
            <v>SP</v>
          </cell>
          <cell r="H2093" t="str">
            <v>INGREDIENTS</v>
          </cell>
          <cell r="I2093" t="str">
            <v>INGREDIENTS</v>
          </cell>
          <cell r="J2093" t="str">
            <v>JOEL ELEOTÉRIO</v>
          </cell>
          <cell r="K2093" t="str">
            <v>LACTALIS</v>
          </cell>
          <cell r="L2093" t="str">
            <v>MAURICIO</v>
          </cell>
          <cell r="M2093" t="str">
            <v>JOEL</v>
          </cell>
        </row>
        <row r="2094">
          <cell r="B2094">
            <v>5204301</v>
          </cell>
          <cell r="C2094" t="str">
            <v>LATICINIOS SANTA RITA LTDA</v>
          </cell>
          <cell r="D2094" t="str">
            <v>4001</v>
          </cell>
          <cell r="E2094" t="str">
            <v>0458</v>
          </cell>
          <cell r="F2094" t="str">
            <v>C1</v>
          </cell>
          <cell r="G2094" t="str">
            <v>MG</v>
          </cell>
          <cell r="H2094" t="str">
            <v>INGREDIENTS</v>
          </cell>
          <cell r="I2094" t="str">
            <v>INGREDIENTS</v>
          </cell>
          <cell r="J2094" t="str">
            <v>JOEL ELEOTÉRIO</v>
          </cell>
          <cell r="K2094" t="str">
            <v>LACTALIS</v>
          </cell>
          <cell r="L2094" t="str">
            <v>MAURICIO</v>
          </cell>
          <cell r="M2094" t="str">
            <v>JOEL</v>
          </cell>
        </row>
        <row r="2095">
          <cell r="B2095">
            <v>5325762</v>
          </cell>
          <cell r="C2095" t="str">
            <v>RESTAURANTE NONNA ROSA LTDA</v>
          </cell>
          <cell r="D2095" t="str">
            <v>7001</v>
          </cell>
          <cell r="E2095" t="str">
            <v>0749</v>
          </cell>
          <cell r="F2095" t="str">
            <v>C5</v>
          </cell>
          <cell r="G2095" t="str">
            <v>SP</v>
          </cell>
          <cell r="H2095" t="str">
            <v>DISTRIBUIÇÃO</v>
          </cell>
          <cell r="I2095" t="str">
            <v>FOOD SERVICE</v>
          </cell>
          <cell r="J2095" t="str">
            <v>FLAC 5</v>
          </cell>
          <cell r="K2095" t="str">
            <v>LACTALIS</v>
          </cell>
          <cell r="L2095" t="str">
            <v>RODRIGO</v>
          </cell>
          <cell r="M2095" t="str">
            <v>RAQUEL BARBOSA</v>
          </cell>
        </row>
        <row r="2096">
          <cell r="B2096">
            <v>5349588</v>
          </cell>
          <cell r="C2096" t="str">
            <v>AEROVIP CGH LTDA</v>
          </cell>
          <cell r="D2096" t="str">
            <v>7001</v>
          </cell>
          <cell r="E2096" t="str">
            <v>0749</v>
          </cell>
          <cell r="F2096" t="str">
            <v>C5</v>
          </cell>
          <cell r="G2096" t="str">
            <v>SP</v>
          </cell>
          <cell r="H2096" t="str">
            <v>DISTRIBUIÇÃO</v>
          </cell>
          <cell r="I2096" t="str">
            <v>FOOD SERVICE</v>
          </cell>
          <cell r="J2096" t="str">
            <v>FLAC 5</v>
          </cell>
          <cell r="K2096" t="str">
            <v>LACTALIS</v>
          </cell>
          <cell r="L2096" t="str">
            <v>RODRIGO</v>
          </cell>
          <cell r="M2096" t="str">
            <v>RAQUEL BARBOSA</v>
          </cell>
        </row>
        <row r="2097">
          <cell r="B2097">
            <v>5227605</v>
          </cell>
          <cell r="C2097" t="str">
            <v>FORTE DIST DE GENERO ALIM DES E LIM</v>
          </cell>
          <cell r="D2097" t="str">
            <v>6001</v>
          </cell>
          <cell r="E2097" t="str">
            <v>6009</v>
          </cell>
          <cell r="F2097" t="str">
            <v>C1</v>
          </cell>
          <cell r="G2097" t="str">
            <v>BA</v>
          </cell>
          <cell r="H2097" t="str">
            <v>DISTRIBUIÇÃO</v>
          </cell>
          <cell r="I2097" t="str">
            <v>FOOD SERVICE</v>
          </cell>
          <cell r="J2097" t="str">
            <v>CLAUDIO JORGE/LUIZ</v>
          </cell>
          <cell r="K2097" t="str">
            <v>ITAMBÉ</v>
          </cell>
          <cell r="L2097" t="str">
            <v>RODRIGO</v>
          </cell>
          <cell r="M2097" t="str">
            <v>MARIA LOURDES</v>
          </cell>
        </row>
        <row r="2098">
          <cell r="B2098">
            <v>5271447</v>
          </cell>
          <cell r="C2098" t="str">
            <v>NOBREDO COMERCIO E LOGISTICA LT</v>
          </cell>
          <cell r="D2098" t="str">
            <v>6001</v>
          </cell>
          <cell r="E2098" t="str">
            <v>6169</v>
          </cell>
          <cell r="F2098" t="str">
            <v>C1</v>
          </cell>
          <cell r="G2098" t="str">
            <v>ES</v>
          </cell>
          <cell r="H2098" t="str">
            <v>DISTRIBUIÇÃO</v>
          </cell>
          <cell r="I2098" t="str">
            <v>FOOD SERVICE</v>
          </cell>
          <cell r="J2098" t="str">
            <v>LUCIANA MARTINS</v>
          </cell>
          <cell r="K2098" t="str">
            <v>ITAMBÉ</v>
          </cell>
          <cell r="L2098" t="str">
            <v>RODRIGO</v>
          </cell>
          <cell r="M2098" t="str">
            <v>JESSICA</v>
          </cell>
        </row>
        <row r="2099">
          <cell r="B2099">
            <v>5338003</v>
          </cell>
          <cell r="C2099" t="str">
            <v>WGS COMERCIO DE PROD ALIMENTICI</v>
          </cell>
          <cell r="D2099" t="str">
            <v>6001</v>
          </cell>
          <cell r="E2099" t="str">
            <v>6009</v>
          </cell>
          <cell r="F2099" t="str">
            <v>C1</v>
          </cell>
          <cell r="G2099" t="str">
            <v>BA</v>
          </cell>
          <cell r="H2099" t="str">
            <v>DISTRIBUIÇÃO</v>
          </cell>
          <cell r="I2099" t="str">
            <v>FOOD SERVICE</v>
          </cell>
          <cell r="J2099" t="str">
            <v>CLAUDIO JORGE/LUIZ</v>
          </cell>
          <cell r="K2099" t="str">
            <v>ITAMBÉ</v>
          </cell>
          <cell r="L2099" t="str">
            <v>RODRIGO</v>
          </cell>
          <cell r="M2099" t="str">
            <v>MARIA LOURDES</v>
          </cell>
        </row>
        <row r="2100">
          <cell r="B2100">
            <v>5349410</v>
          </cell>
          <cell r="C2100" t="str">
            <v>CONFEITARIA MAUA LTDA</v>
          </cell>
          <cell r="D2100" t="str">
            <v>7001</v>
          </cell>
          <cell r="E2100" t="str">
            <v>0749</v>
          </cell>
          <cell r="F2100" t="str">
            <v>C5</v>
          </cell>
          <cell r="G2100" t="str">
            <v>SP</v>
          </cell>
          <cell r="H2100" t="str">
            <v>DISTRIBUIÇÃO</v>
          </cell>
          <cell r="I2100" t="str">
            <v>FOOD SERVICE</v>
          </cell>
          <cell r="J2100" t="str">
            <v>FLAC 6</v>
          </cell>
          <cell r="K2100" t="str">
            <v>LACTALIS</v>
          </cell>
          <cell r="L2100" t="str">
            <v>RODRIGO</v>
          </cell>
          <cell r="M2100" t="str">
            <v>RAQUEL BARBOSA</v>
          </cell>
        </row>
        <row r="2101">
          <cell r="B2101">
            <v>5349879</v>
          </cell>
          <cell r="C2101" t="str">
            <v>SAGRADO R DE ED PBSCJ P BR S C</v>
          </cell>
          <cell r="D2101" t="str">
            <v>7001</v>
          </cell>
          <cell r="E2101" t="str">
            <v>0749</v>
          </cell>
          <cell r="F2101" t="str">
            <v>C5</v>
          </cell>
          <cell r="G2101" t="str">
            <v>SP</v>
          </cell>
          <cell r="H2101" t="str">
            <v>DISTRIBUIÇÃO</v>
          </cell>
          <cell r="I2101" t="str">
            <v>FOOD SERVICE</v>
          </cell>
          <cell r="J2101" t="str">
            <v>FLAC 5</v>
          </cell>
          <cell r="K2101" t="str">
            <v>LACTALIS</v>
          </cell>
          <cell r="L2101" t="str">
            <v>RODRIGO</v>
          </cell>
          <cell r="M2101" t="str">
            <v>RAQUEL BARBOSA</v>
          </cell>
        </row>
        <row r="2102">
          <cell r="B2102">
            <v>5186012</v>
          </cell>
          <cell r="C2102" t="str">
            <v>PREMIUM BREAD INDUST DE PANIFICACAO</v>
          </cell>
          <cell r="D2102" t="str">
            <v>7001</v>
          </cell>
          <cell r="E2102" t="str">
            <v>0749</v>
          </cell>
          <cell r="F2102" t="str">
            <v>C5</v>
          </cell>
          <cell r="G2102" t="str">
            <v>SP</v>
          </cell>
          <cell r="H2102" t="str">
            <v>DISTRIBUIÇÃO</v>
          </cell>
          <cell r="I2102" t="str">
            <v>FOOD SERVICE</v>
          </cell>
          <cell r="J2102" t="str">
            <v>FLAC 6</v>
          </cell>
          <cell r="K2102" t="str">
            <v>LACTALIS</v>
          </cell>
          <cell r="L2102" t="str">
            <v>RODRIGO</v>
          </cell>
          <cell r="M2102" t="str">
            <v>RAQUEL BARBOSA</v>
          </cell>
        </row>
        <row r="2103">
          <cell r="B2103">
            <v>5235911</v>
          </cell>
          <cell r="C2103" t="str">
            <v>ORIGINAL DA BAHIA IND COM ALIM</v>
          </cell>
          <cell r="D2103" t="str">
            <v>6001</v>
          </cell>
          <cell r="E2103" t="str">
            <v>6127</v>
          </cell>
          <cell r="F2103" t="str">
            <v>C1</v>
          </cell>
          <cell r="G2103" t="str">
            <v>BA</v>
          </cell>
          <cell r="H2103" t="str">
            <v>DISTRIBUIÇÃO</v>
          </cell>
          <cell r="I2103" t="str">
            <v>FOOD SERVICE</v>
          </cell>
          <cell r="J2103" t="str">
            <v>CLAUDIO JORGE/LUIZ</v>
          </cell>
          <cell r="K2103" t="str">
            <v>ITAMBÉ</v>
          </cell>
          <cell r="L2103" t="str">
            <v>RODRIGO</v>
          </cell>
          <cell r="M2103" t="str">
            <v>MARIA LOURDES</v>
          </cell>
        </row>
        <row r="2104">
          <cell r="B2104">
            <v>5263417</v>
          </cell>
          <cell r="C2104" t="str">
            <v>BOLO A TOA LOJA DE BOLOS LTDA</v>
          </cell>
          <cell r="D2104" t="str">
            <v>7001</v>
          </cell>
          <cell r="E2104" t="str">
            <v>0749</v>
          </cell>
          <cell r="F2104" t="str">
            <v>C5</v>
          </cell>
          <cell r="G2104" t="str">
            <v>SP</v>
          </cell>
          <cell r="H2104" t="str">
            <v>DISTRIBUIÇÃO</v>
          </cell>
          <cell r="I2104" t="str">
            <v>FOOD SERVICE</v>
          </cell>
          <cell r="J2104" t="str">
            <v>FLAC 2</v>
          </cell>
          <cell r="K2104" t="str">
            <v>LACTALIS</v>
          </cell>
          <cell r="L2104" t="str">
            <v>RODRIGO</v>
          </cell>
          <cell r="M2104" t="str">
            <v>RAQUEL BARBOSA</v>
          </cell>
        </row>
        <row r="2105">
          <cell r="B2105">
            <v>5334862</v>
          </cell>
          <cell r="C2105" t="str">
            <v>PANIFICACAO E CONF SAO NICOLAU</v>
          </cell>
          <cell r="D2105" t="str">
            <v>7001</v>
          </cell>
          <cell r="E2105" t="str">
            <v>0749</v>
          </cell>
          <cell r="F2105" t="str">
            <v>C5</v>
          </cell>
          <cell r="G2105" t="str">
            <v>SP</v>
          </cell>
          <cell r="H2105" t="str">
            <v>DISTRIBUIÇÃO</v>
          </cell>
          <cell r="I2105" t="str">
            <v>FOOD SERVICE</v>
          </cell>
          <cell r="J2105" t="str">
            <v>FLAC 5</v>
          </cell>
          <cell r="K2105" t="str">
            <v>LACTALIS</v>
          </cell>
          <cell r="L2105" t="str">
            <v>RODRIGO</v>
          </cell>
          <cell r="M2105" t="str">
            <v>RAQUEL BARBOSA</v>
          </cell>
        </row>
        <row r="2106">
          <cell r="B2106">
            <v>5343948</v>
          </cell>
          <cell r="C2106" t="str">
            <v>ZAMPTEC SERVICOS LTDA</v>
          </cell>
          <cell r="D2106" t="str">
            <v>6001</v>
          </cell>
          <cell r="E2106" t="str">
            <v>6028</v>
          </cell>
          <cell r="F2106" t="str">
            <v>C1</v>
          </cell>
          <cell r="G2106" t="str">
            <v>SP</v>
          </cell>
          <cell r="H2106" t="str">
            <v>QSR</v>
          </cell>
          <cell r="I2106" t="str">
            <v>FOOD SERVICE</v>
          </cell>
          <cell r="J2106" t="str">
            <v>NUTRI</v>
          </cell>
          <cell r="K2106" t="str">
            <v>ITAMBÉ</v>
          </cell>
          <cell r="L2106" t="str">
            <v>PEDRO</v>
          </cell>
          <cell r="M2106" t="str">
            <v>VAGO QSR</v>
          </cell>
        </row>
        <row r="2107">
          <cell r="B2107">
            <v>5026399</v>
          </cell>
          <cell r="C2107" t="str">
            <v>RIO QUALITY COMERCIO DE ALIMENTOS</v>
          </cell>
          <cell r="D2107" t="str">
            <v>3001</v>
          </cell>
          <cell r="E2107" t="str">
            <v>6169</v>
          </cell>
          <cell r="F2107" t="str">
            <v>C1</v>
          </cell>
          <cell r="G2107" t="str">
            <v>RJ</v>
          </cell>
          <cell r="H2107" t="str">
            <v>DISTRIBUIÇÃO</v>
          </cell>
          <cell r="I2107" t="str">
            <v>FOOD SERVICE</v>
          </cell>
          <cell r="J2107" t="str">
            <v>JESSICA CARLA</v>
          </cell>
          <cell r="K2107" t="str">
            <v>ITAMBÉ</v>
          </cell>
          <cell r="L2107" t="str">
            <v>RODRIGO</v>
          </cell>
          <cell r="M2107" t="str">
            <v>JESSICA</v>
          </cell>
        </row>
        <row r="2108">
          <cell r="B2108">
            <v>5040108</v>
          </cell>
          <cell r="C2108" t="str">
            <v>CCN COMERCIO CENTRO NORTE ALIM LTDA</v>
          </cell>
          <cell r="D2108" t="str">
            <v>3001</v>
          </cell>
          <cell r="E2108" t="str">
            <v>6169</v>
          </cell>
          <cell r="F2108" t="str">
            <v>C1</v>
          </cell>
          <cell r="G2108" t="str">
            <v>RJ</v>
          </cell>
          <cell r="H2108" t="str">
            <v>DISTRIBUIÇÃO</v>
          </cell>
          <cell r="I2108" t="str">
            <v>FOOD SERVICE</v>
          </cell>
          <cell r="J2108" t="str">
            <v>CLAUDIO JORGE</v>
          </cell>
          <cell r="K2108" t="str">
            <v>ITAMBÉ</v>
          </cell>
          <cell r="L2108" t="str">
            <v>RODRIGO</v>
          </cell>
          <cell r="M2108" t="str">
            <v>JESSICA</v>
          </cell>
        </row>
        <row r="2109">
          <cell r="B2109">
            <v>5115019</v>
          </cell>
          <cell r="C2109" t="str">
            <v>J ARAUJO DISTRIBUIDORA IMP E EXP SA</v>
          </cell>
          <cell r="D2109" t="str">
            <v>3001</v>
          </cell>
          <cell r="E2109" t="str">
            <v>6169</v>
          </cell>
          <cell r="F2109" t="str">
            <v>C1</v>
          </cell>
          <cell r="G2109" t="str">
            <v>RJ</v>
          </cell>
          <cell r="H2109" t="str">
            <v>DISTRIBUIÇÃO</v>
          </cell>
          <cell r="I2109" t="str">
            <v>FOOD SERVICE</v>
          </cell>
          <cell r="J2109" t="str">
            <v>JESSICA CARLA</v>
          </cell>
          <cell r="K2109" t="str">
            <v>ITAMBÉ</v>
          </cell>
          <cell r="L2109" t="str">
            <v>RODRIGO</v>
          </cell>
          <cell r="M2109" t="str">
            <v>JESSICA</v>
          </cell>
        </row>
        <row r="2110">
          <cell r="B2110">
            <v>5115189</v>
          </cell>
          <cell r="C2110" t="str">
            <v>STA DISTRIBUIDORA DE ALIMENTOS LTDA</v>
          </cell>
          <cell r="D2110" t="str">
            <v>3001</v>
          </cell>
          <cell r="E2110" t="str">
            <v>6123</v>
          </cell>
          <cell r="F2110" t="str">
            <v>C1</v>
          </cell>
          <cell r="G2110" t="str">
            <v>GO</v>
          </cell>
          <cell r="H2110" t="str">
            <v>DISTRIBUIÇÃO</v>
          </cell>
          <cell r="I2110" t="str">
            <v>FOOD SERVICE</v>
          </cell>
          <cell r="J2110" t="str">
            <v>CLAUDIO JORGE/MARIA LAURA</v>
          </cell>
          <cell r="K2110" t="str">
            <v>ITAMBÉ</v>
          </cell>
          <cell r="L2110" t="str">
            <v>RODRIGO</v>
          </cell>
          <cell r="M2110" t="str">
            <v>MARCO AURELIO</v>
          </cell>
        </row>
        <row r="2111">
          <cell r="B2111">
            <v>5121735</v>
          </cell>
          <cell r="C2111" t="str">
            <v>HERSHEY DO BRASIL LTDA</v>
          </cell>
          <cell r="D2111" t="str">
            <v>3001</v>
          </cell>
          <cell r="E2111" t="str">
            <v>6028</v>
          </cell>
          <cell r="F2111" t="str">
            <v>C1</v>
          </cell>
          <cell r="G2111" t="str">
            <v>SP</v>
          </cell>
          <cell r="H2111" t="str">
            <v>INGREDIENTS</v>
          </cell>
          <cell r="I2111" t="str">
            <v>INGREDIENTS</v>
          </cell>
          <cell r="J2111" t="str">
            <v>TATIANA NITTA</v>
          </cell>
          <cell r="K2111" t="str">
            <v>ITAMBÉ</v>
          </cell>
          <cell r="L2111" t="str">
            <v>MAURICIO</v>
          </cell>
          <cell r="M2111" t="str">
            <v>TATIANA NITTA</v>
          </cell>
        </row>
        <row r="2112">
          <cell r="B2112">
            <v>5146491</v>
          </cell>
          <cell r="C2112" t="str">
            <v>UNILEVER BRASIL GELADOS LTDA</v>
          </cell>
          <cell r="D2112" t="str">
            <v>3001</v>
          </cell>
          <cell r="E2112" t="str">
            <v>6028</v>
          </cell>
          <cell r="F2112" t="str">
            <v>C1</v>
          </cell>
          <cell r="G2112" t="str">
            <v>SP</v>
          </cell>
          <cell r="H2112" t="str">
            <v>INGREDIENTS</v>
          </cell>
          <cell r="I2112" t="str">
            <v>INGREDIENTS</v>
          </cell>
          <cell r="J2112" t="str">
            <v>TATIANA NITTA</v>
          </cell>
          <cell r="K2112" t="str">
            <v>ITAMBÉ</v>
          </cell>
          <cell r="L2112" t="str">
            <v>MAURICIO</v>
          </cell>
          <cell r="M2112" t="str">
            <v>TATIANA NITTA</v>
          </cell>
        </row>
        <row r="2113">
          <cell r="B2113">
            <v>5157826</v>
          </cell>
          <cell r="C2113" t="str">
            <v>IBAC INDUSTRIA BRASILEIRA DE ALIM C</v>
          </cell>
          <cell r="D2113" t="str">
            <v>3001</v>
          </cell>
          <cell r="E2113" t="str">
            <v>6125</v>
          </cell>
          <cell r="F2113" t="str">
            <v>C1</v>
          </cell>
          <cell r="G2113" t="str">
            <v>SP</v>
          </cell>
          <cell r="H2113" t="str">
            <v>INGREDIENTS</v>
          </cell>
          <cell r="I2113" t="str">
            <v>INGREDIENTS</v>
          </cell>
          <cell r="J2113" t="str">
            <v>TATIANA NITTA</v>
          </cell>
          <cell r="K2113" t="str">
            <v>ITAMBÉ</v>
          </cell>
          <cell r="L2113" t="str">
            <v>MAURICIO</v>
          </cell>
          <cell r="M2113" t="str">
            <v>TATIANA NITTA</v>
          </cell>
        </row>
        <row r="2114">
          <cell r="B2114">
            <v>5161386</v>
          </cell>
          <cell r="C2114" t="str">
            <v>TOP ALTO PARTICIPACOES E COM LTDA</v>
          </cell>
          <cell r="D2114" t="str">
            <v>3001</v>
          </cell>
          <cell r="E2114" t="str">
            <v>6169</v>
          </cell>
          <cell r="F2114" t="str">
            <v>C1</v>
          </cell>
          <cell r="G2114" t="str">
            <v>RJ</v>
          </cell>
          <cell r="H2114" t="str">
            <v>DISTRIBUIÇÃO</v>
          </cell>
          <cell r="I2114" t="str">
            <v>FOOD SERVICE</v>
          </cell>
          <cell r="J2114" t="str">
            <v>JESSICA CARLA</v>
          </cell>
          <cell r="K2114" t="str">
            <v>ITAMBÉ</v>
          </cell>
          <cell r="L2114" t="str">
            <v>RODRIGO</v>
          </cell>
          <cell r="M2114" t="str">
            <v>JESSICA</v>
          </cell>
        </row>
        <row r="2115">
          <cell r="B2115">
            <v>5166253</v>
          </cell>
          <cell r="C2115" t="str">
            <v>AGRANA FRUIT BRASIL IND COM IMP</v>
          </cell>
          <cell r="D2115" t="str">
            <v>6001</v>
          </cell>
          <cell r="E2115" t="str">
            <v>6028</v>
          </cell>
          <cell r="F2115" t="str">
            <v>C1</v>
          </cell>
          <cell r="G2115" t="str">
            <v>SP</v>
          </cell>
          <cell r="H2115" t="str">
            <v>INGREDIENTS</v>
          </cell>
          <cell r="I2115" t="str">
            <v>INGREDIENTS</v>
          </cell>
          <cell r="J2115" t="str">
            <v>HENRIQUE FERREIRA</v>
          </cell>
          <cell r="K2115" t="str">
            <v>ITAMBÉ</v>
          </cell>
          <cell r="L2115" t="str">
            <v>MAURICIO</v>
          </cell>
          <cell r="M2115" t="str">
            <v>JOEL</v>
          </cell>
        </row>
        <row r="2116">
          <cell r="B2116">
            <v>5168473</v>
          </cell>
          <cell r="C2116" t="str">
            <v>L F S COMERCIO E IMPORTACAO ALI</v>
          </cell>
          <cell r="D2116" t="str">
            <v>6001</v>
          </cell>
          <cell r="E2116" t="str">
            <v>0127</v>
          </cell>
          <cell r="F2116" t="str">
            <v>C1</v>
          </cell>
          <cell r="G2116" t="str">
            <v>CE</v>
          </cell>
          <cell r="H2116" t="str">
            <v>DISTRIBUIÇÃO</v>
          </cell>
          <cell r="I2116" t="str">
            <v>FOOD SERVICE</v>
          </cell>
          <cell r="J2116" t="str">
            <v>WH FOOD SERVICE CE</v>
          </cell>
          <cell r="K2116" t="str">
            <v>ITAMBÉ</v>
          </cell>
          <cell r="L2116" t="str">
            <v>RODRIGO</v>
          </cell>
          <cell r="M2116" t="str">
            <v>MARIA LOURDES</v>
          </cell>
        </row>
        <row r="2117">
          <cell r="B2117">
            <v>5172313</v>
          </cell>
          <cell r="C2117" t="str">
            <v>FRONERI BRASIL DIST DE SORV E CONG</v>
          </cell>
          <cell r="D2117" t="str">
            <v>3001</v>
          </cell>
          <cell r="E2117" t="str">
            <v>6028</v>
          </cell>
          <cell r="F2117" t="str">
            <v>C1</v>
          </cell>
          <cell r="G2117" t="str">
            <v>RJ</v>
          </cell>
          <cell r="H2117" t="str">
            <v>INGREDIENTS</v>
          </cell>
          <cell r="I2117" t="str">
            <v>INGREDIENTS</v>
          </cell>
          <cell r="J2117" t="str">
            <v>JOEL ELEOTÉRIO</v>
          </cell>
          <cell r="K2117" t="str">
            <v>ITAMBÉ</v>
          </cell>
          <cell r="L2117" t="str">
            <v>MAURICIO</v>
          </cell>
          <cell r="M2117" t="str">
            <v>JOEL</v>
          </cell>
        </row>
        <row r="2118">
          <cell r="B2118">
            <v>5173305</v>
          </cell>
          <cell r="C2118" t="str">
            <v>ARCOR DO BRASIL LTDA</v>
          </cell>
          <cell r="D2118" t="str">
            <v>3001</v>
          </cell>
          <cell r="E2118" t="str">
            <v>6125</v>
          </cell>
          <cell r="F2118" t="str">
            <v>C1</v>
          </cell>
          <cell r="G2118" t="str">
            <v>SP</v>
          </cell>
          <cell r="H2118" t="str">
            <v>INGREDIENTS</v>
          </cell>
          <cell r="I2118" t="str">
            <v>INGREDIENTS</v>
          </cell>
          <cell r="J2118" t="str">
            <v>TATIANA NITTA</v>
          </cell>
          <cell r="K2118" t="str">
            <v>ITAMBÉ</v>
          </cell>
          <cell r="L2118" t="str">
            <v>MAURICIO</v>
          </cell>
          <cell r="M2118" t="str">
            <v>TATIANA NITTA</v>
          </cell>
        </row>
        <row r="2119">
          <cell r="B2119">
            <v>5182828</v>
          </cell>
          <cell r="C2119" t="str">
            <v>AMORIX ALIMENTOS LTDA</v>
          </cell>
          <cell r="D2119" t="str">
            <v>3001</v>
          </cell>
          <cell r="E2119" t="str">
            <v>6123</v>
          </cell>
          <cell r="F2119" t="str">
            <v>C1</v>
          </cell>
          <cell r="G2119" t="str">
            <v>GO</v>
          </cell>
          <cell r="H2119" t="str">
            <v>DISTRIBUIÇÃO</v>
          </cell>
          <cell r="I2119" t="str">
            <v>FOOD SERVICE</v>
          </cell>
          <cell r="J2119" t="str">
            <v>CLAUDIO JORGE</v>
          </cell>
          <cell r="K2119" t="str">
            <v>ITAMBÉ</v>
          </cell>
          <cell r="L2119" t="str">
            <v>RODRIGO</v>
          </cell>
          <cell r="M2119" t="str">
            <v>MARCO AURELIO</v>
          </cell>
        </row>
        <row r="2120">
          <cell r="B2120">
            <v>5204235</v>
          </cell>
          <cell r="C2120" t="str">
            <v>NUTRIALIMENTAR INDUSTRIA LTDA</v>
          </cell>
          <cell r="D2120" t="str">
            <v>3001</v>
          </cell>
          <cell r="E2120" t="str">
            <v>6125</v>
          </cell>
          <cell r="F2120" t="str">
            <v>C1</v>
          </cell>
          <cell r="G2120" t="str">
            <v>SP</v>
          </cell>
          <cell r="H2120" t="str">
            <v>INGREDIENTS</v>
          </cell>
          <cell r="I2120" t="str">
            <v>INGREDIENTS</v>
          </cell>
          <cell r="J2120" t="str">
            <v>TATIANA NITTA</v>
          </cell>
          <cell r="K2120" t="str">
            <v>ITAMBÉ</v>
          </cell>
          <cell r="L2120" t="str">
            <v>MAURICIO</v>
          </cell>
          <cell r="M2120" t="str">
            <v>TATIANA NITTA</v>
          </cell>
        </row>
        <row r="2121">
          <cell r="B2121">
            <v>5226531</v>
          </cell>
          <cell r="C2121" t="str">
            <v>NOBREDO COMERCIO E LOGISTICA LTDA</v>
          </cell>
          <cell r="D2121" t="str">
            <v>3001</v>
          </cell>
          <cell r="E2121" t="str">
            <v>6169</v>
          </cell>
          <cell r="F2121" t="str">
            <v>C1</v>
          </cell>
          <cell r="G2121" t="str">
            <v>RJ</v>
          </cell>
          <cell r="H2121" t="str">
            <v>DISTRIBUIÇÃO</v>
          </cell>
          <cell r="I2121" t="str">
            <v>FOOD SERVICE</v>
          </cell>
          <cell r="J2121" t="str">
            <v>LUCIANA MARTINS</v>
          </cell>
          <cell r="K2121" t="str">
            <v>ITAMBÉ</v>
          </cell>
          <cell r="L2121" t="str">
            <v>RODRIGO</v>
          </cell>
          <cell r="M2121" t="str">
            <v>JESSICA</v>
          </cell>
        </row>
        <row r="2122">
          <cell r="B2122">
            <v>5227311</v>
          </cell>
          <cell r="C2122" t="str">
            <v>ALIMENTOS JANDAIA LTDA</v>
          </cell>
          <cell r="D2122" t="str">
            <v>3001</v>
          </cell>
          <cell r="E2122" t="str">
            <v>0028</v>
          </cell>
          <cell r="F2122" t="str">
            <v>C1</v>
          </cell>
          <cell r="G2122" t="str">
            <v>PR</v>
          </cell>
          <cell r="H2122" t="str">
            <v>INGREDIENTS</v>
          </cell>
          <cell r="I2122" t="str">
            <v>INGREDIENTS</v>
          </cell>
          <cell r="J2122" t="str">
            <v>MARCELO RODRIGUES</v>
          </cell>
          <cell r="K2122" t="str">
            <v>ITAMBÉ</v>
          </cell>
          <cell r="L2122" t="str">
            <v>MAURICIO</v>
          </cell>
          <cell r="M2122" t="str">
            <v>MARCELO</v>
          </cell>
        </row>
        <row r="2123">
          <cell r="B2123">
            <v>5231303</v>
          </cell>
          <cell r="C2123" t="str">
            <v>SUPER VINHOS DISTRIBUIDORA S A</v>
          </cell>
          <cell r="D2123" t="str">
            <v>3001</v>
          </cell>
          <cell r="E2123" t="str">
            <v>6169</v>
          </cell>
          <cell r="F2123" t="str">
            <v>C1</v>
          </cell>
          <cell r="G2123" t="str">
            <v>RJ</v>
          </cell>
          <cell r="H2123" t="str">
            <v>DISTRIBUIÇÃO</v>
          </cell>
          <cell r="I2123" t="str">
            <v>FOOD SERVICE</v>
          </cell>
          <cell r="J2123" t="str">
            <v>LUCIANA MARTINS</v>
          </cell>
          <cell r="K2123" t="str">
            <v>ITAMBÉ</v>
          </cell>
          <cell r="L2123" t="str">
            <v>RODRIGO</v>
          </cell>
          <cell r="M2123" t="str">
            <v>JESSICA</v>
          </cell>
        </row>
        <row r="2124">
          <cell r="B2124">
            <v>5232803</v>
          </cell>
          <cell r="C2124" t="str">
            <v>L GONZAGA MIX AMBIENTAL</v>
          </cell>
          <cell r="D2124" t="str">
            <v>3001</v>
          </cell>
          <cell r="E2124" t="str">
            <v>6125</v>
          </cell>
          <cell r="F2124" t="str">
            <v>C1</v>
          </cell>
          <cell r="G2124" t="str">
            <v>SP</v>
          </cell>
          <cell r="H2124" t="str">
            <v>INGREDIENTS</v>
          </cell>
          <cell r="I2124" t="str">
            <v>INGREDIENTS</v>
          </cell>
          <cell r="J2124" t="str">
            <v>HENRIQUE FERREIRA</v>
          </cell>
          <cell r="K2124" t="str">
            <v>ITAMBÉ</v>
          </cell>
          <cell r="L2124" t="str">
            <v>MAURICIO</v>
          </cell>
          <cell r="M2124" t="str">
            <v>JOEL</v>
          </cell>
        </row>
        <row r="2125">
          <cell r="B2125">
            <v>5263338</v>
          </cell>
          <cell r="C2125" t="str">
            <v>BOLO A TOA LOJA DE BOLOS LTDA</v>
          </cell>
          <cell r="D2125" t="str">
            <v>7001</v>
          </cell>
          <cell r="E2125" t="str">
            <v>0749</v>
          </cell>
          <cell r="F2125" t="str">
            <v>C5</v>
          </cell>
          <cell r="G2125" t="str">
            <v>SP</v>
          </cell>
          <cell r="H2125" t="str">
            <v>DISTRIBUIÇÃO</v>
          </cell>
          <cell r="I2125" t="str">
            <v>FOOD SERVICE</v>
          </cell>
          <cell r="J2125" t="str">
            <v>FLAC 2</v>
          </cell>
          <cell r="K2125" t="str">
            <v>LACTALIS</v>
          </cell>
          <cell r="L2125" t="str">
            <v>RODRIGO</v>
          </cell>
          <cell r="M2125" t="str">
            <v>RAQUEL BARBOSA</v>
          </cell>
        </row>
        <row r="2126">
          <cell r="B2126">
            <v>5263418</v>
          </cell>
          <cell r="C2126" t="str">
            <v>BOLO A TOA LOJA DE BOLOS LTDA</v>
          </cell>
          <cell r="D2126" t="str">
            <v>7001</v>
          </cell>
          <cell r="E2126" t="str">
            <v>0749</v>
          </cell>
          <cell r="F2126" t="str">
            <v>C5</v>
          </cell>
          <cell r="G2126" t="str">
            <v>SP</v>
          </cell>
          <cell r="H2126" t="str">
            <v>DISTRIBUIÇÃO</v>
          </cell>
          <cell r="I2126" t="str">
            <v>FOOD SERVICE</v>
          </cell>
          <cell r="J2126" t="str">
            <v>FLAC 2</v>
          </cell>
          <cell r="K2126" t="str">
            <v>LACTALIS</v>
          </cell>
          <cell r="L2126" t="str">
            <v>RODRIGO</v>
          </cell>
          <cell r="M2126" t="str">
            <v>RAQUEL BARBOSA</v>
          </cell>
        </row>
        <row r="2127">
          <cell r="B2127">
            <v>5320317</v>
          </cell>
          <cell r="C2127" t="str">
            <v>L F S COM E IMPORTACAO DE ALIM</v>
          </cell>
          <cell r="D2127" t="str">
            <v>6001</v>
          </cell>
          <cell r="E2127" t="str">
            <v>0127</v>
          </cell>
          <cell r="F2127" t="str">
            <v>C1</v>
          </cell>
          <cell r="G2127" t="str">
            <v>CE</v>
          </cell>
          <cell r="H2127" t="str">
            <v>DISTRIBUIÇÃO</v>
          </cell>
          <cell r="I2127" t="str">
            <v>FOOD SERVICE</v>
          </cell>
          <cell r="J2127" t="str">
            <v>WH FOOD SERVICE CE</v>
          </cell>
          <cell r="K2127" t="str">
            <v>ITAMBÉ</v>
          </cell>
          <cell r="L2127" t="str">
            <v>RODRIGO</v>
          </cell>
          <cell r="M2127" t="str">
            <v>MARIA LOURDES</v>
          </cell>
        </row>
        <row r="2128">
          <cell r="B2128">
            <v>5138371</v>
          </cell>
          <cell r="C2128" t="str">
            <v>MADERO INDUSTRIA E COMERCIO SA</v>
          </cell>
          <cell r="D2128" t="str">
            <v>3001</v>
          </cell>
          <cell r="E2128" t="str">
            <v>0126</v>
          </cell>
          <cell r="F2128" t="str">
            <v>C1</v>
          </cell>
          <cell r="G2128" t="str">
            <v>PR</v>
          </cell>
          <cell r="H2128" t="str">
            <v>QSR</v>
          </cell>
          <cell r="I2128" t="str">
            <v>FOOD SERVICE</v>
          </cell>
          <cell r="J2128" t="str">
            <v>VAGO QSR</v>
          </cell>
          <cell r="K2128" t="str">
            <v>ITAMBÉ</v>
          </cell>
          <cell r="L2128" t="str">
            <v>PEDRO</v>
          </cell>
          <cell r="M2128" t="str">
            <v>VAGO QSR</v>
          </cell>
        </row>
        <row r="2129">
          <cell r="B2129">
            <v>5194641</v>
          </cell>
          <cell r="C2129" t="str">
            <v>BEVERAGER EQUIPAMENTOS E BEBIDA</v>
          </cell>
          <cell r="D2129" t="str">
            <v>3001</v>
          </cell>
          <cell r="E2129" t="str">
            <v>0028</v>
          </cell>
          <cell r="F2129" t="str">
            <v>C1</v>
          </cell>
          <cell r="G2129" t="str">
            <v>MG</v>
          </cell>
          <cell r="H2129" t="str">
            <v>INGREDIENTS</v>
          </cell>
          <cell r="I2129" t="str">
            <v>INGREDIENTS</v>
          </cell>
          <cell r="J2129" t="str">
            <v>HENRIQUE FERREIRA</v>
          </cell>
          <cell r="K2129" t="str">
            <v>ITAMBÉ</v>
          </cell>
          <cell r="L2129" t="str">
            <v>MAURICIO</v>
          </cell>
          <cell r="M2129" t="str">
            <v>JOEL</v>
          </cell>
        </row>
        <row r="2130">
          <cell r="B2130">
            <v>5293401</v>
          </cell>
          <cell r="C2130" t="str">
            <v>ALEXSANDRA PATRICIA FERREIRA 21</v>
          </cell>
          <cell r="D2130" t="str">
            <v>7001</v>
          </cell>
          <cell r="E2130" t="str">
            <v>0749</v>
          </cell>
          <cell r="F2130" t="str">
            <v>C5</v>
          </cell>
          <cell r="G2130" t="str">
            <v>SP</v>
          </cell>
          <cell r="H2130" t="str">
            <v>DISTRIBUIÇÃO</v>
          </cell>
          <cell r="I2130" t="str">
            <v>FOOD SERVICE</v>
          </cell>
          <cell r="J2130" t="str">
            <v>FLAC 7</v>
          </cell>
          <cell r="K2130" t="str">
            <v>LACTALIS</v>
          </cell>
          <cell r="L2130" t="str">
            <v>RODRIGO</v>
          </cell>
          <cell r="M2130" t="str">
            <v>RAQUEL BARBOSA</v>
          </cell>
        </row>
        <row r="2131">
          <cell r="B2131">
            <v>5335135</v>
          </cell>
          <cell r="C2131" t="str">
            <v>CAMARADA ADM DE RESTAURANTES</v>
          </cell>
          <cell r="D2131" t="str">
            <v>7001</v>
          </cell>
          <cell r="E2131" t="str">
            <v>0722</v>
          </cell>
          <cell r="F2131" t="str">
            <v>C1</v>
          </cell>
          <cell r="G2131" t="str">
            <v>SP</v>
          </cell>
          <cell r="H2131" t="str">
            <v>QSR</v>
          </cell>
          <cell r="I2131" t="str">
            <v>FOOD SERVICE</v>
          </cell>
          <cell r="J2131" t="str">
            <v>VAGO QSR</v>
          </cell>
          <cell r="K2131" t="str">
            <v>LACTALIS</v>
          </cell>
          <cell r="L2131" t="str">
            <v>PEDRO</v>
          </cell>
          <cell r="M2131" t="str">
            <v>VAGO QSR</v>
          </cell>
        </row>
        <row r="2132">
          <cell r="B2132">
            <v>5181639</v>
          </cell>
          <cell r="C2132" t="str">
            <v>SENHOR PUDIM SOBREMESAS LTDA</v>
          </cell>
          <cell r="D2132" t="str">
            <v>7001</v>
          </cell>
          <cell r="E2132" t="str">
            <v>0749</v>
          </cell>
          <cell r="F2132" t="str">
            <v>C5</v>
          </cell>
          <cell r="G2132" t="str">
            <v>SP</v>
          </cell>
          <cell r="H2132" t="str">
            <v>DISTRIBUIÇÃO</v>
          </cell>
          <cell r="I2132" t="str">
            <v>FOOD SERVICE</v>
          </cell>
          <cell r="J2132" t="str">
            <v>FLAC 6</v>
          </cell>
          <cell r="K2132" t="str">
            <v>LACTALIS</v>
          </cell>
          <cell r="L2132" t="str">
            <v>RODRIGO</v>
          </cell>
          <cell r="M2132" t="str">
            <v>RAQUEL BARBOSA</v>
          </cell>
        </row>
        <row r="2133">
          <cell r="B2133">
            <v>5349416</v>
          </cell>
          <cell r="C2133" t="str">
            <v>JJC CONFEITARIA LTDA</v>
          </cell>
          <cell r="D2133" t="str">
            <v>7001</v>
          </cell>
          <cell r="E2133" t="str">
            <v>0749</v>
          </cell>
          <cell r="F2133" t="str">
            <v>C5</v>
          </cell>
          <cell r="G2133" t="str">
            <v>SP</v>
          </cell>
          <cell r="H2133" t="str">
            <v>DISTRIBUIÇÃO</v>
          </cell>
          <cell r="I2133" t="str">
            <v>FOOD SERVICE</v>
          </cell>
          <cell r="J2133" t="str">
            <v>FLAC 6</v>
          </cell>
          <cell r="K2133" t="str">
            <v>LACTALIS</v>
          </cell>
          <cell r="L2133" t="str">
            <v>RODRIGO</v>
          </cell>
          <cell r="M2133" t="str">
            <v>RAQUEL BARBOSA</v>
          </cell>
        </row>
        <row r="2134">
          <cell r="B2134">
            <v>5053109</v>
          </cell>
          <cell r="C2134" t="str">
            <v>REAL FOOD ALIMENTACAO LTDA</v>
          </cell>
          <cell r="D2134" t="str">
            <v>7001</v>
          </cell>
          <cell r="E2134" t="str">
            <v>0749</v>
          </cell>
          <cell r="F2134" t="str">
            <v>C5</v>
          </cell>
          <cell r="G2134" t="str">
            <v>SP</v>
          </cell>
          <cell r="H2134" t="str">
            <v>DISTRIBUIÇÃO</v>
          </cell>
          <cell r="I2134" t="str">
            <v>FOOD SERVICE</v>
          </cell>
          <cell r="J2134" t="str">
            <v>FLAC 1</v>
          </cell>
          <cell r="K2134" t="str">
            <v>LACTALIS</v>
          </cell>
          <cell r="L2134" t="str">
            <v>RODRIGO</v>
          </cell>
          <cell r="M2134" t="str">
            <v>RAQUEL BARBOSA</v>
          </cell>
        </row>
        <row r="2135">
          <cell r="B2135">
            <v>5014500</v>
          </cell>
          <cell r="C2135" t="str">
            <v>DAVIPAN DIST GENEROS ALIM LTDA</v>
          </cell>
          <cell r="D2135" t="str">
            <v>3001</v>
          </cell>
          <cell r="E2135" t="str">
            <v>0126</v>
          </cell>
          <cell r="F2135" t="str">
            <v>C1</v>
          </cell>
          <cell r="G2135" t="str">
            <v>PR</v>
          </cell>
          <cell r="H2135" t="str">
            <v>DISTRIBUIÇÃO</v>
          </cell>
          <cell r="I2135" t="str">
            <v>FOOD SERVICE</v>
          </cell>
          <cell r="J2135" t="str">
            <v>ANGELICA BATISTELA</v>
          </cell>
          <cell r="K2135" t="str">
            <v>ITAMBÉ</v>
          </cell>
          <cell r="L2135" t="str">
            <v>RODRIGO</v>
          </cell>
          <cell r="M2135" t="str">
            <v>ANGELICA BATISTELA</v>
          </cell>
        </row>
        <row r="2136">
          <cell r="B2136">
            <v>5231638</v>
          </cell>
          <cell r="C2136" t="str">
            <v>SERGIO DO CARMO BRIONE</v>
          </cell>
          <cell r="D2136" t="str">
            <v>3001</v>
          </cell>
          <cell r="E2136" t="str">
            <v>0028</v>
          </cell>
          <cell r="F2136" t="str">
            <v>C1</v>
          </cell>
          <cell r="G2136" t="str">
            <v>PR</v>
          </cell>
          <cell r="H2136" t="str">
            <v>INGREDIENTS</v>
          </cell>
          <cell r="I2136" t="str">
            <v>INGREDIENTS</v>
          </cell>
          <cell r="J2136" t="str">
            <v>MARCELO RODRIGUES</v>
          </cell>
          <cell r="K2136" t="str">
            <v>ITAMBÉ</v>
          </cell>
          <cell r="L2136" t="str">
            <v>MAURICIO</v>
          </cell>
          <cell r="M2136" t="str">
            <v>MARCELO</v>
          </cell>
        </row>
        <row r="2137">
          <cell r="B2137">
            <v>5344366</v>
          </cell>
          <cell r="C2137" t="str">
            <v>AKS ALIMENTOS LTDA ME</v>
          </cell>
          <cell r="D2137" t="str">
            <v>4001</v>
          </cell>
          <cell r="E2137" t="str">
            <v>0455</v>
          </cell>
          <cell r="F2137" t="str">
            <v>C1</v>
          </cell>
          <cell r="G2137" t="str">
            <v>PR</v>
          </cell>
          <cell r="H2137" t="str">
            <v>DISTRIBUIÇÃO</v>
          </cell>
          <cell r="I2137" t="str">
            <v>FOOD SERVICE</v>
          </cell>
          <cell r="J2137" t="str">
            <v>ANGELICA BATISTELA</v>
          </cell>
          <cell r="K2137" t="str">
            <v>LACTALIS</v>
          </cell>
          <cell r="L2137" t="str">
            <v>RODRIGO</v>
          </cell>
          <cell r="M2137" t="str">
            <v>ANGELICA BATISTELA</v>
          </cell>
        </row>
        <row r="2138">
          <cell r="B2138">
            <v>5350395</v>
          </cell>
          <cell r="C2138" t="str">
            <v>KAROLINA KAESTNER WINTERINK SER</v>
          </cell>
          <cell r="D2138" t="str">
            <v>7001</v>
          </cell>
          <cell r="E2138" t="str">
            <v>0749</v>
          </cell>
          <cell r="F2138" t="str">
            <v>C5</v>
          </cell>
          <cell r="G2138" t="str">
            <v>SP</v>
          </cell>
          <cell r="H2138" t="str">
            <v>DISTRIBUIÇÃO</v>
          </cell>
          <cell r="I2138" t="str">
            <v>FOOD SERVICE</v>
          </cell>
          <cell r="J2138" t="str">
            <v>FLAC 5</v>
          </cell>
          <cell r="K2138" t="str">
            <v>LACTALIS</v>
          </cell>
          <cell r="L2138" t="str">
            <v>RODRIGO</v>
          </cell>
          <cell r="M2138" t="str">
            <v>RAQUEL BARBOSA</v>
          </cell>
        </row>
        <row r="2139">
          <cell r="B2139">
            <v>5350396</v>
          </cell>
          <cell r="C2139" t="str">
            <v>SKW SERVICOS DE BUFFET LTDA</v>
          </cell>
          <cell r="D2139" t="str">
            <v>7001</v>
          </cell>
          <cell r="E2139" t="str">
            <v>0749</v>
          </cell>
          <cell r="F2139" t="str">
            <v>C5</v>
          </cell>
          <cell r="G2139" t="str">
            <v>SP</v>
          </cell>
          <cell r="H2139" t="str">
            <v>DISTRIBUIÇÃO</v>
          </cell>
          <cell r="I2139" t="str">
            <v>FOOD SERVICE</v>
          </cell>
          <cell r="J2139" t="str">
            <v>FLAC 5</v>
          </cell>
          <cell r="K2139" t="str">
            <v>LACTALIS</v>
          </cell>
          <cell r="L2139" t="str">
            <v>RODRIGO</v>
          </cell>
          <cell r="M2139" t="str">
            <v>RAQUEL BARBOSA</v>
          </cell>
        </row>
        <row r="2140">
          <cell r="B2140">
            <v>5350398</v>
          </cell>
          <cell r="C2140" t="str">
            <v>KESS BUFFET LTDA</v>
          </cell>
          <cell r="D2140" t="str">
            <v>7001</v>
          </cell>
          <cell r="E2140" t="str">
            <v>0749</v>
          </cell>
          <cell r="F2140" t="str">
            <v>C5</v>
          </cell>
          <cell r="G2140" t="str">
            <v>SP</v>
          </cell>
          <cell r="H2140" t="str">
            <v>DISTRIBUIÇÃO</v>
          </cell>
          <cell r="I2140" t="str">
            <v>FOOD SERVICE</v>
          </cell>
          <cell r="J2140" t="str">
            <v>FLAC 5</v>
          </cell>
          <cell r="K2140" t="str">
            <v>LACTALIS</v>
          </cell>
          <cell r="L2140" t="str">
            <v>RODRIGO</v>
          </cell>
          <cell r="M2140" t="str">
            <v>RAQUEL BARBOSA</v>
          </cell>
        </row>
        <row r="2141">
          <cell r="B2141">
            <v>5151763</v>
          </cell>
          <cell r="C2141" t="str">
            <v>INTEGRA PRODUTOS PARA PANIF LTD</v>
          </cell>
          <cell r="D2141" t="str">
            <v>3001</v>
          </cell>
          <cell r="E2141" t="str">
            <v>0122</v>
          </cell>
          <cell r="F2141" t="str">
            <v>C1</v>
          </cell>
          <cell r="G2141" t="str">
            <v>MG</v>
          </cell>
          <cell r="H2141" t="str">
            <v>DISTRIBUIÇÃO</v>
          </cell>
          <cell r="I2141" t="str">
            <v>FOOD SERVICE</v>
          </cell>
          <cell r="J2141" t="str">
            <v>MARCELO SILVA</v>
          </cell>
          <cell r="K2141" t="str">
            <v>ITAMBÉ</v>
          </cell>
          <cell r="L2141" t="str">
            <v>RODRIGO</v>
          </cell>
          <cell r="M2141" t="str">
            <v>CELIO MARTINS</v>
          </cell>
        </row>
        <row r="2142">
          <cell r="B2142">
            <v>5219588</v>
          </cell>
          <cell r="C2142" t="str">
            <v>DOCE GELATO COM E DIST DE ALIM</v>
          </cell>
          <cell r="D2142" t="str">
            <v>6001</v>
          </cell>
          <cell r="E2142" t="str">
            <v>6127</v>
          </cell>
          <cell r="F2142" t="str">
            <v>C1</v>
          </cell>
          <cell r="G2142" t="str">
            <v>BA</v>
          </cell>
          <cell r="H2142" t="str">
            <v>DISTRIBUIÇÃO</v>
          </cell>
          <cell r="I2142" t="str">
            <v>FOOD SERVICE</v>
          </cell>
          <cell r="J2142" t="str">
            <v>CLAUDIO JORGE/LUIZ</v>
          </cell>
          <cell r="K2142" t="str">
            <v>ITAMBÉ</v>
          </cell>
          <cell r="L2142" t="str">
            <v>RODRIGO</v>
          </cell>
          <cell r="M2142" t="str">
            <v>MARIA LOURDES</v>
          </cell>
        </row>
        <row r="2143">
          <cell r="B2143">
            <v>5219589</v>
          </cell>
          <cell r="C2143" t="str">
            <v>ACAI PURE COM E DIST DE ALIM LTDA</v>
          </cell>
          <cell r="D2143" t="str">
            <v>6001</v>
          </cell>
          <cell r="E2143" t="str">
            <v>6127</v>
          </cell>
          <cell r="F2143" t="str">
            <v>C1</v>
          </cell>
          <cell r="G2143" t="str">
            <v>BA</v>
          </cell>
          <cell r="H2143" t="str">
            <v>DISTRIBUIÇÃO</v>
          </cell>
          <cell r="I2143" t="str">
            <v>FOOD SERVICE</v>
          </cell>
          <cell r="J2143" t="str">
            <v>CLAUDIO JORGE/LUIZ</v>
          </cell>
          <cell r="K2143" t="str">
            <v>ITAMBÉ</v>
          </cell>
          <cell r="L2143" t="str">
            <v>RODRIGO</v>
          </cell>
          <cell r="M2143" t="str">
            <v>MARIA LOURDES</v>
          </cell>
        </row>
        <row r="2144">
          <cell r="B2144">
            <v>5350364</v>
          </cell>
          <cell r="C2144" t="str">
            <v>CAFE FRATELLI FRANQUEADORA LTDA</v>
          </cell>
          <cell r="D2144" t="str">
            <v>7001</v>
          </cell>
          <cell r="E2144" t="str">
            <v>0749</v>
          </cell>
          <cell r="F2144" t="str">
            <v>C5</v>
          </cell>
          <cell r="G2144" t="str">
            <v>SP</v>
          </cell>
          <cell r="H2144" t="str">
            <v>DISTRIBUIÇÃO</v>
          </cell>
          <cell r="I2144" t="str">
            <v>FOOD SERVICE</v>
          </cell>
          <cell r="J2144" t="str">
            <v>FLAC 3</v>
          </cell>
          <cell r="K2144" t="str">
            <v>LACTALIS</v>
          </cell>
          <cell r="L2144" t="str">
            <v>RODRIGO</v>
          </cell>
          <cell r="M2144" t="str">
            <v>RAQUEL BARBOSA</v>
          </cell>
        </row>
        <row r="2145">
          <cell r="B2145">
            <v>5259132</v>
          </cell>
          <cell r="C2145" t="str">
            <v>LINKA BAR E RESTAURANTE LTDA ME</v>
          </cell>
          <cell r="D2145" t="str">
            <v>7001</v>
          </cell>
          <cell r="E2145" t="str">
            <v>0749</v>
          </cell>
          <cell r="F2145" t="str">
            <v>C5</v>
          </cell>
          <cell r="G2145" t="str">
            <v>SP</v>
          </cell>
          <cell r="H2145" t="str">
            <v>DISTRIBUIÇÃO</v>
          </cell>
          <cell r="I2145" t="str">
            <v>FOOD SERVICE</v>
          </cell>
          <cell r="J2145" t="str">
            <v>FLAC 6</v>
          </cell>
          <cell r="K2145" t="str">
            <v>LACTALIS</v>
          </cell>
          <cell r="L2145" t="str">
            <v>RODRIGO</v>
          </cell>
          <cell r="M2145" t="str">
            <v>RAQUEL BARBOSA</v>
          </cell>
        </row>
        <row r="2146">
          <cell r="B2146">
            <v>5013387</v>
          </cell>
          <cell r="C2146" t="str">
            <v>SORVEPAN COM E REP LTDA</v>
          </cell>
          <cell r="D2146" t="str">
            <v>6001</v>
          </cell>
          <cell r="E2146" t="str">
            <v>6127</v>
          </cell>
          <cell r="F2146" t="str">
            <v>C1</v>
          </cell>
          <cell r="G2146" t="str">
            <v>SE</v>
          </cell>
          <cell r="H2146" t="str">
            <v>DISTRIBUIÇÃO</v>
          </cell>
          <cell r="I2146" t="str">
            <v>FOOD SERVICE</v>
          </cell>
          <cell r="J2146" t="str">
            <v>CLAUDIO JORGE</v>
          </cell>
          <cell r="K2146" t="str">
            <v>ITAMBÉ</v>
          </cell>
          <cell r="L2146" t="str">
            <v>RODRIGO</v>
          </cell>
          <cell r="M2146" t="str">
            <v>MARIA LOURDES</v>
          </cell>
        </row>
        <row r="2147">
          <cell r="B2147">
            <v>5139714</v>
          </cell>
          <cell r="C2147" t="str">
            <v>COLORE INDUSTRIA E COMERCIO LTD</v>
          </cell>
          <cell r="D2147" t="str">
            <v>3001</v>
          </cell>
          <cell r="E2147" t="str">
            <v>0028</v>
          </cell>
          <cell r="F2147" t="str">
            <v>C1</v>
          </cell>
          <cell r="G2147" t="str">
            <v>MG</v>
          </cell>
          <cell r="H2147" t="str">
            <v>INGREDIENTS</v>
          </cell>
          <cell r="I2147" t="str">
            <v>INGREDIENTS</v>
          </cell>
          <cell r="J2147" t="str">
            <v>HENRIQUE FERREIRA</v>
          </cell>
          <cell r="K2147" t="str">
            <v>ITAMBÉ</v>
          </cell>
          <cell r="L2147" t="str">
            <v>MAURICIO</v>
          </cell>
          <cell r="M2147" t="str">
            <v>JOEL</v>
          </cell>
        </row>
        <row r="2148">
          <cell r="B2148">
            <v>5207341</v>
          </cell>
          <cell r="C2148" t="str">
            <v>ALIMENTOS PORTIOLI LTDA</v>
          </cell>
          <cell r="D2148" t="str">
            <v>7001</v>
          </cell>
          <cell r="E2148" t="str">
            <v>0722</v>
          </cell>
          <cell r="F2148" t="str">
            <v>C1</v>
          </cell>
          <cell r="G2148" t="str">
            <v>SP</v>
          </cell>
          <cell r="H2148" t="str">
            <v>DISTRIBUIÇÃO</v>
          </cell>
          <cell r="I2148" t="str">
            <v>FOOD SERVICE</v>
          </cell>
          <cell r="J2148" t="str">
            <v>FLAC 8</v>
          </cell>
          <cell r="K2148" t="str">
            <v>LACTALIS</v>
          </cell>
          <cell r="L2148" t="str">
            <v>RODRIGO</v>
          </cell>
          <cell r="M2148" t="str">
            <v>RAQUEL BARBOSA</v>
          </cell>
        </row>
        <row r="2149">
          <cell r="B2149">
            <v>5268479</v>
          </cell>
          <cell r="C2149" t="str">
            <v>LUISA MARIA OKRETIC GARBARINO</v>
          </cell>
          <cell r="D2149" t="str">
            <v>7001</v>
          </cell>
          <cell r="E2149" t="str">
            <v>0749</v>
          </cell>
          <cell r="F2149" t="str">
            <v>C5</v>
          </cell>
          <cell r="G2149" t="str">
            <v>SP</v>
          </cell>
          <cell r="H2149" t="str">
            <v>DISTRIBUIÇÃO</v>
          </cell>
          <cell r="I2149" t="str">
            <v>FOOD SERVICE</v>
          </cell>
          <cell r="J2149" t="str">
            <v>FLAC 2</v>
          </cell>
          <cell r="K2149" t="str">
            <v>LACTALIS</v>
          </cell>
          <cell r="L2149" t="str">
            <v>RODRIGO</v>
          </cell>
          <cell r="M2149" t="str">
            <v>RAQUEL BARBOSA</v>
          </cell>
        </row>
        <row r="2150">
          <cell r="B2150">
            <v>5147016</v>
          </cell>
          <cell r="C2150" t="str">
            <v>NATURA IND E COM DE ALIMENTOS L</v>
          </cell>
          <cell r="D2150" t="str">
            <v>3001</v>
          </cell>
          <cell r="E2150" t="str">
            <v>0126</v>
          </cell>
          <cell r="F2150" t="str">
            <v>C1</v>
          </cell>
          <cell r="G2150" t="str">
            <v>PR</v>
          </cell>
          <cell r="H2150" t="str">
            <v>DISTRIBUIÇÃO</v>
          </cell>
          <cell r="I2150" t="str">
            <v>FOOD SERVICE</v>
          </cell>
          <cell r="J2150" t="str">
            <v>ANGELICA BATISTELA</v>
          </cell>
          <cell r="K2150" t="str">
            <v>ITAMBÉ</v>
          </cell>
          <cell r="L2150" t="str">
            <v>RODRIGO</v>
          </cell>
          <cell r="M2150" t="str">
            <v>ANGELICA BATISTELA</v>
          </cell>
        </row>
        <row r="2151">
          <cell r="B2151">
            <v>5212469</v>
          </cell>
          <cell r="C2151" t="str">
            <v>R A B PEREIRA IND E COM DE P AL</v>
          </cell>
          <cell r="D2151" t="str">
            <v>6001</v>
          </cell>
          <cell r="E2151" t="str">
            <v>6028</v>
          </cell>
          <cell r="F2151" t="str">
            <v>C1</v>
          </cell>
          <cell r="G2151" t="str">
            <v>SP</v>
          </cell>
          <cell r="H2151" t="str">
            <v>INGREDIENTS</v>
          </cell>
          <cell r="I2151" t="str">
            <v>INGREDIENTS</v>
          </cell>
          <cell r="J2151" t="str">
            <v>DUAS RODAS</v>
          </cell>
          <cell r="K2151" t="str">
            <v>ITAMBÉ</v>
          </cell>
          <cell r="L2151" t="str">
            <v>MAURICIO</v>
          </cell>
          <cell r="M2151" t="str">
            <v>TATIANA NITTA</v>
          </cell>
        </row>
        <row r="2152">
          <cell r="B2152">
            <v>5350257</v>
          </cell>
          <cell r="C2152" t="str">
            <v>CAFE FRATELLI FRANQUEADORA LTDA</v>
          </cell>
          <cell r="D2152" t="str">
            <v>7001</v>
          </cell>
          <cell r="E2152" t="str">
            <v>0749</v>
          </cell>
          <cell r="F2152" t="str">
            <v>C5</v>
          </cell>
          <cell r="G2152" t="str">
            <v>SP</v>
          </cell>
          <cell r="H2152" t="str">
            <v>DISTRIBUIÇÃO</v>
          </cell>
          <cell r="I2152" t="str">
            <v>FOOD SERVICE</v>
          </cell>
          <cell r="J2152" t="str">
            <v>FLAC 3</v>
          </cell>
          <cell r="K2152" t="str">
            <v>LACTALIS</v>
          </cell>
          <cell r="L2152" t="str">
            <v>RODRIGO</v>
          </cell>
          <cell r="M2152" t="str">
            <v>RAQUEL BARBOSA</v>
          </cell>
        </row>
        <row r="2153">
          <cell r="B2153">
            <v>5180460</v>
          </cell>
          <cell r="C2153" t="str">
            <v>F DISTRIBUIDORA DE ALIMENTOS L</v>
          </cell>
          <cell r="D2153" t="str">
            <v>7001</v>
          </cell>
          <cell r="E2153" t="str">
            <v>0722</v>
          </cell>
          <cell r="F2153" t="str">
            <v>C1</v>
          </cell>
          <cell r="G2153" t="str">
            <v>SP</v>
          </cell>
          <cell r="H2153" t="str">
            <v>DISTRIBUIÇÃO</v>
          </cell>
          <cell r="I2153" t="str">
            <v>FOOD SERVICE</v>
          </cell>
          <cell r="J2153" t="str">
            <v>ALEXANDRE BONANI</v>
          </cell>
          <cell r="K2153" t="str">
            <v>LACTALIS</v>
          </cell>
          <cell r="L2153" t="str">
            <v>RODRIGO</v>
          </cell>
          <cell r="M2153" t="str">
            <v>ALEXANDRE BONANI</v>
          </cell>
        </row>
        <row r="2154">
          <cell r="B2154">
            <v>5231237</v>
          </cell>
          <cell r="C2154" t="str">
            <v>SEARA ALIMENTOS LTDA</v>
          </cell>
          <cell r="D2154" t="str">
            <v>4001</v>
          </cell>
          <cell r="E2154" t="str">
            <v>0437</v>
          </cell>
          <cell r="F2154" t="str">
            <v>C1</v>
          </cell>
          <cell r="G2154" t="str">
            <v>SP</v>
          </cell>
          <cell r="H2154" t="str">
            <v>INGREDIENTS</v>
          </cell>
          <cell r="I2154" t="str">
            <v>INGREDIENTS</v>
          </cell>
          <cell r="J2154" t="str">
            <v>JOEL ELEOTÉRIO</v>
          </cell>
          <cell r="K2154" t="str">
            <v>LACTALIS</v>
          </cell>
          <cell r="L2154" t="str">
            <v>MAURICIO</v>
          </cell>
          <cell r="M2154" t="str">
            <v>JOEL</v>
          </cell>
        </row>
        <row r="2155">
          <cell r="B2155">
            <v>5313544</v>
          </cell>
          <cell r="C2155" t="str">
            <v>CB PAULISTANO COMERCIO DE PRODU</v>
          </cell>
          <cell r="D2155" t="str">
            <v>7001</v>
          </cell>
          <cell r="E2155" t="str">
            <v>0749</v>
          </cell>
          <cell r="F2155" t="str">
            <v>C5</v>
          </cell>
          <cell r="G2155" t="str">
            <v>SP</v>
          </cell>
          <cell r="H2155" t="str">
            <v>DISTRIBUIÇÃO</v>
          </cell>
          <cell r="I2155" t="str">
            <v>FOOD SERVICE</v>
          </cell>
          <cell r="J2155" t="str">
            <v>FLAC 3</v>
          </cell>
          <cell r="K2155" t="str">
            <v>LACTALIS</v>
          </cell>
          <cell r="L2155" t="str">
            <v>RODRIGO</v>
          </cell>
          <cell r="M2155" t="str">
            <v>RAQUEL BARBOSA</v>
          </cell>
        </row>
        <row r="2156">
          <cell r="B2156">
            <v>5349623</v>
          </cell>
          <cell r="C2156" t="str">
            <v>NGA ALIMENTACAO E SERVICOS LTD</v>
          </cell>
          <cell r="D2156" t="str">
            <v>7001</v>
          </cell>
          <cell r="E2156" t="str">
            <v>0749</v>
          </cell>
          <cell r="F2156" t="str">
            <v>C5</v>
          </cell>
          <cell r="G2156" t="str">
            <v>SP</v>
          </cell>
          <cell r="H2156" t="str">
            <v>DISTRIBUIÇÃO</v>
          </cell>
          <cell r="I2156" t="str">
            <v>FOOD SERVICE</v>
          </cell>
          <cell r="J2156" t="str">
            <v>FLAC 1</v>
          </cell>
          <cell r="K2156" t="str">
            <v>LACTALIS</v>
          </cell>
          <cell r="L2156" t="str">
            <v>RODRIGO</v>
          </cell>
          <cell r="M2156" t="str">
            <v>RAQUEL BARBOSA</v>
          </cell>
        </row>
        <row r="2157">
          <cell r="B2157">
            <v>5350280</v>
          </cell>
          <cell r="C2157" t="str">
            <v>HOTELARIA BRASIL LTDA</v>
          </cell>
          <cell r="D2157" t="str">
            <v>7001</v>
          </cell>
          <cell r="E2157" t="str">
            <v>0749</v>
          </cell>
          <cell r="F2157" t="str">
            <v>C5</v>
          </cell>
          <cell r="G2157" t="str">
            <v>SP</v>
          </cell>
          <cell r="H2157" t="str">
            <v>DISTRIBUIÇÃO</v>
          </cell>
          <cell r="I2157" t="str">
            <v>FOOD SERVICE</v>
          </cell>
          <cell r="J2157" t="str">
            <v>FLAC 5</v>
          </cell>
          <cell r="K2157" t="str">
            <v>LACTALIS</v>
          </cell>
          <cell r="L2157" t="str">
            <v>RODRIGO</v>
          </cell>
          <cell r="M2157" t="str">
            <v>RAQUEL BARBOSA</v>
          </cell>
        </row>
        <row r="2158">
          <cell r="B2158">
            <v>5350603</v>
          </cell>
          <cell r="C2158" t="str">
            <v>LINAZA HALE DO BRASIL IND DE PR</v>
          </cell>
          <cell r="D2158" t="str">
            <v>6001</v>
          </cell>
          <cell r="E2158" t="str">
            <v>6127</v>
          </cell>
          <cell r="F2158" t="str">
            <v>C1</v>
          </cell>
          <cell r="G2158" t="str">
            <v>BA</v>
          </cell>
          <cell r="H2158" t="str">
            <v>DISTRIBUIÇÃO</v>
          </cell>
          <cell r="I2158" t="str">
            <v>FOOD SERVICE</v>
          </cell>
          <cell r="J2158" t="str">
            <v>CLAUDIO JORGE/LUIZ</v>
          </cell>
          <cell r="K2158" t="str">
            <v>ITAMBÉ</v>
          </cell>
          <cell r="L2158" t="str">
            <v>RODRIGO</v>
          </cell>
          <cell r="M2158" t="str">
            <v>MARIA LOURDES</v>
          </cell>
        </row>
        <row r="2159">
          <cell r="B2159">
            <v>5173434</v>
          </cell>
          <cell r="C2159" t="str">
            <v>ARACAGY SORVETES LTDA ME</v>
          </cell>
          <cell r="D2159" t="str">
            <v>3001</v>
          </cell>
          <cell r="E2159" t="str">
            <v>0028</v>
          </cell>
          <cell r="F2159" t="str">
            <v>C1</v>
          </cell>
          <cell r="G2159" t="str">
            <v>MG</v>
          </cell>
          <cell r="H2159" t="str">
            <v>INGREDIENTS</v>
          </cell>
          <cell r="I2159" t="str">
            <v>INGREDIENTS</v>
          </cell>
          <cell r="J2159" t="str">
            <v>HENRIQUE FERREIRA</v>
          </cell>
          <cell r="K2159" t="str">
            <v>ITAMBÉ</v>
          </cell>
          <cell r="L2159" t="str">
            <v>MAURICIO</v>
          </cell>
          <cell r="M2159" t="str">
            <v>JOEL</v>
          </cell>
        </row>
        <row r="2160">
          <cell r="B2160">
            <v>5348916</v>
          </cell>
          <cell r="C2160" t="str">
            <v>TOTAL CREAM</v>
          </cell>
          <cell r="D2160" t="str">
            <v>6001</v>
          </cell>
          <cell r="E2160" t="str">
            <v>6028</v>
          </cell>
          <cell r="F2160" t="str">
            <v>C1</v>
          </cell>
          <cell r="G2160" t="str">
            <v>SP</v>
          </cell>
          <cell r="H2160" t="str">
            <v>INGREDIENTS</v>
          </cell>
          <cell r="I2160" t="str">
            <v>INGREDIENTS</v>
          </cell>
          <cell r="J2160" t="str">
            <v>SP ITB FS LUIZ PEREIRA</v>
          </cell>
          <cell r="K2160" t="str">
            <v>ITAMBÉ</v>
          </cell>
          <cell r="L2160" t="str">
            <v>MAURICIO</v>
          </cell>
          <cell r="M2160" t="str">
            <v>TATIANA NITTA</v>
          </cell>
        </row>
        <row r="2161">
          <cell r="B2161">
            <v>5350820</v>
          </cell>
          <cell r="C2161" t="str">
            <v>PORTOROSE PIZZARIA E RESTAURANT</v>
          </cell>
          <cell r="D2161" t="str">
            <v>7001</v>
          </cell>
          <cell r="E2161" t="str">
            <v>0749</v>
          </cell>
          <cell r="F2161" t="str">
            <v>C5</v>
          </cell>
          <cell r="G2161" t="str">
            <v>SP</v>
          </cell>
          <cell r="H2161" t="str">
            <v>DISTRIBUIÇÃO</v>
          </cell>
          <cell r="I2161" t="str">
            <v>FOOD SERVICE</v>
          </cell>
          <cell r="J2161" t="str">
            <v>FLAC 2</v>
          </cell>
          <cell r="K2161" t="str">
            <v>LACTALIS</v>
          </cell>
          <cell r="L2161" t="str">
            <v>RODRIGO</v>
          </cell>
          <cell r="M2161" t="str">
            <v>RAQUEL BARBOSA</v>
          </cell>
        </row>
        <row r="2162">
          <cell r="B2162">
            <v>5350821</v>
          </cell>
          <cell r="C2162" t="str">
            <v>SOCRATES PIZZA BAR LTDA</v>
          </cell>
          <cell r="D2162" t="str">
            <v>7001</v>
          </cell>
          <cell r="E2162" t="str">
            <v>0749</v>
          </cell>
          <cell r="F2162" t="str">
            <v>C5</v>
          </cell>
          <cell r="G2162" t="str">
            <v>SP</v>
          </cell>
          <cell r="H2162" t="str">
            <v>DISTRIBUIÇÃO</v>
          </cell>
          <cell r="I2162" t="str">
            <v>FOOD SERVICE</v>
          </cell>
          <cell r="J2162" t="str">
            <v>FLAC 2</v>
          </cell>
          <cell r="K2162" t="str">
            <v>LACTALIS</v>
          </cell>
          <cell r="L2162" t="str">
            <v>RODRIGO</v>
          </cell>
          <cell r="M2162" t="str">
            <v>RAQUEL BARBOSA</v>
          </cell>
        </row>
        <row r="2163">
          <cell r="B2163">
            <v>5350822</v>
          </cell>
          <cell r="C2163" t="str">
            <v>COTOXO PIZZA BAR LTDA</v>
          </cell>
          <cell r="D2163" t="str">
            <v>7001</v>
          </cell>
          <cell r="E2163" t="str">
            <v>0749</v>
          </cell>
          <cell r="F2163" t="str">
            <v>C5</v>
          </cell>
          <cell r="G2163" t="str">
            <v>SP</v>
          </cell>
          <cell r="H2163" t="str">
            <v>DISTRIBUIÇÃO</v>
          </cell>
          <cell r="I2163" t="str">
            <v>FOOD SERVICE</v>
          </cell>
          <cell r="J2163" t="str">
            <v>FLAC 2</v>
          </cell>
          <cell r="K2163" t="str">
            <v>LACTALIS</v>
          </cell>
          <cell r="L2163" t="str">
            <v>RODRIGO</v>
          </cell>
          <cell r="M2163" t="str">
            <v>RAQUEL BARBOSA</v>
          </cell>
        </row>
        <row r="2164">
          <cell r="B2164">
            <v>5350831</v>
          </cell>
          <cell r="C2164" t="str">
            <v>M M COMERCIO DE ALIMENTOS LTDA</v>
          </cell>
          <cell r="D2164" t="str">
            <v>7001</v>
          </cell>
          <cell r="E2164" t="str">
            <v>0749</v>
          </cell>
          <cell r="F2164" t="str">
            <v>C5</v>
          </cell>
          <cell r="G2164" t="str">
            <v>SP</v>
          </cell>
          <cell r="H2164" t="str">
            <v>DISTRIBUIÇÃO</v>
          </cell>
          <cell r="I2164" t="str">
            <v>FOOD SERVICE</v>
          </cell>
          <cell r="J2164" t="str">
            <v>FLAC 2</v>
          </cell>
          <cell r="K2164" t="str">
            <v>LACTALIS</v>
          </cell>
          <cell r="L2164" t="str">
            <v>RODRIGO</v>
          </cell>
          <cell r="M2164" t="str">
            <v>RAQUEL BARBOSA</v>
          </cell>
        </row>
        <row r="2165">
          <cell r="B2165">
            <v>5350832</v>
          </cell>
          <cell r="C2165" t="str">
            <v>CASUALE ALIMENTOS LTDA</v>
          </cell>
          <cell r="D2165" t="str">
            <v>7001</v>
          </cell>
          <cell r="E2165" t="str">
            <v>0749</v>
          </cell>
          <cell r="F2165" t="str">
            <v>C5</v>
          </cell>
          <cell r="G2165" t="str">
            <v>SP</v>
          </cell>
          <cell r="H2165" t="str">
            <v>DISTRIBUIÇÃO</v>
          </cell>
          <cell r="I2165" t="str">
            <v>FOOD SERVICE</v>
          </cell>
          <cell r="J2165" t="str">
            <v>FLAC 2</v>
          </cell>
          <cell r="K2165" t="str">
            <v>LACTALIS</v>
          </cell>
          <cell r="L2165" t="str">
            <v>RODRIGO</v>
          </cell>
          <cell r="M2165" t="str">
            <v>RAQUEL BARBOSA</v>
          </cell>
        </row>
        <row r="2166">
          <cell r="B2166">
            <v>5350834</v>
          </cell>
          <cell r="C2166" t="str">
            <v>FL COMERCIO DE ALIMENTOS LTDA</v>
          </cell>
          <cell r="D2166" t="str">
            <v>7001</v>
          </cell>
          <cell r="E2166" t="str">
            <v>0749</v>
          </cell>
          <cell r="F2166" t="str">
            <v>C5</v>
          </cell>
          <cell r="G2166" t="str">
            <v>SP</v>
          </cell>
          <cell r="H2166" t="str">
            <v>DISTRIBUIÇÃO</v>
          </cell>
          <cell r="I2166" t="str">
            <v>FOOD SERVICE</v>
          </cell>
          <cell r="J2166" t="str">
            <v>FLAC 2</v>
          </cell>
          <cell r="K2166" t="str">
            <v>LACTALIS</v>
          </cell>
          <cell r="L2166" t="str">
            <v>RODRIGO</v>
          </cell>
          <cell r="M2166" t="str">
            <v>RAQUEL BARBOSA</v>
          </cell>
        </row>
        <row r="2167">
          <cell r="B2167">
            <v>5350835</v>
          </cell>
          <cell r="C2167" t="str">
            <v>CESAR MOMO COMERCIO DE ALIMENT</v>
          </cell>
          <cell r="D2167" t="str">
            <v>7001</v>
          </cell>
          <cell r="E2167" t="str">
            <v>0749</v>
          </cell>
          <cell r="F2167" t="str">
            <v>C5</v>
          </cell>
          <cell r="G2167" t="str">
            <v>SP</v>
          </cell>
          <cell r="H2167" t="str">
            <v>DISTRIBUIÇÃO</v>
          </cell>
          <cell r="I2167" t="str">
            <v>FOOD SERVICE</v>
          </cell>
          <cell r="J2167" t="str">
            <v>FLAC 2</v>
          </cell>
          <cell r="K2167" t="str">
            <v>LACTALIS</v>
          </cell>
          <cell r="L2167" t="str">
            <v>RODRIGO</v>
          </cell>
          <cell r="M2167" t="str">
            <v>RAQUEL BARBOSA</v>
          </cell>
        </row>
        <row r="2168">
          <cell r="B2168">
            <v>5014649</v>
          </cell>
          <cell r="C2168" t="str">
            <v>CONCORDE LOGISTICA E DISTRIBUICAO</v>
          </cell>
          <cell r="D2168" t="str">
            <v>3001</v>
          </cell>
          <cell r="E2168" t="str">
            <v>0126</v>
          </cell>
          <cell r="F2168" t="str">
            <v>C1</v>
          </cell>
          <cell r="G2168" t="str">
            <v>PR</v>
          </cell>
          <cell r="H2168" t="str">
            <v>DISTRIBUIÇÃO</v>
          </cell>
          <cell r="I2168" t="str">
            <v>FOOD SERVICE</v>
          </cell>
          <cell r="J2168" t="str">
            <v>ANGELICA BATISTELA</v>
          </cell>
          <cell r="K2168" t="str">
            <v>ITAMBÉ</v>
          </cell>
          <cell r="L2168" t="str">
            <v>RODRIGO</v>
          </cell>
          <cell r="M2168" t="str">
            <v>ANGELICA BATISTELA</v>
          </cell>
        </row>
        <row r="2169">
          <cell r="B2169">
            <v>5086953</v>
          </cell>
          <cell r="C2169" t="str">
            <v>MABE ALIMENTOS LTDA</v>
          </cell>
          <cell r="D2169" t="str">
            <v>6001</v>
          </cell>
          <cell r="E2169" t="str">
            <v>6028</v>
          </cell>
          <cell r="F2169" t="str">
            <v>C1</v>
          </cell>
          <cell r="G2169" t="str">
            <v>SP</v>
          </cell>
          <cell r="H2169" t="str">
            <v>INGREDIENTS</v>
          </cell>
          <cell r="I2169" t="str">
            <v>INGREDIENTS</v>
          </cell>
          <cell r="J2169" t="str">
            <v>JOEL ELEOTÉRIO</v>
          </cell>
          <cell r="K2169" t="str">
            <v>ITAMBÉ</v>
          </cell>
          <cell r="L2169" t="str">
            <v>MAURICIO</v>
          </cell>
          <cell r="M2169" t="str">
            <v>JOEL</v>
          </cell>
        </row>
        <row r="2170">
          <cell r="B2170">
            <v>5168151</v>
          </cell>
          <cell r="C2170" t="str">
            <v>I S M GOMES DE MATTOS LTDA</v>
          </cell>
          <cell r="D2170" t="str">
            <v>6001</v>
          </cell>
          <cell r="E2170" t="str">
            <v>6075</v>
          </cell>
          <cell r="F2170" t="str">
            <v>C1</v>
          </cell>
          <cell r="G2170" t="str">
            <v>CE</v>
          </cell>
          <cell r="H2170" t="str">
            <v>DISTRIBUIÇÃO</v>
          </cell>
          <cell r="I2170" t="str">
            <v>FOOD SERVICE</v>
          </cell>
          <cell r="J2170" t="str">
            <v>WH FOOD SERVICE CE</v>
          </cell>
          <cell r="K2170" t="str">
            <v>ITAMBÉ</v>
          </cell>
          <cell r="L2170" t="str">
            <v>RODRIGO</v>
          </cell>
          <cell r="M2170" t="str">
            <v>MARIA LOURDES</v>
          </cell>
        </row>
        <row r="2171">
          <cell r="B2171">
            <v>5351022</v>
          </cell>
          <cell r="C2171" t="str">
            <v>SANTU PANIFICACAO LTDA</v>
          </cell>
          <cell r="D2171" t="str">
            <v>7001</v>
          </cell>
          <cell r="E2171" t="str">
            <v>0749</v>
          </cell>
          <cell r="F2171" t="str">
            <v>C5</v>
          </cell>
          <cell r="G2171" t="str">
            <v>SP</v>
          </cell>
          <cell r="H2171" t="str">
            <v>DISTRIBUIÇÃO</v>
          </cell>
          <cell r="I2171" t="str">
            <v>FOOD SERVICE</v>
          </cell>
          <cell r="J2171" t="str">
            <v>FLAC 2</v>
          </cell>
          <cell r="K2171" t="str">
            <v>LACTALIS</v>
          </cell>
          <cell r="L2171" t="str">
            <v>RODRIGO</v>
          </cell>
          <cell r="M2171" t="str">
            <v>RAQUEL BARBOSA</v>
          </cell>
        </row>
        <row r="2172">
          <cell r="B2172">
            <v>5351024</v>
          </cell>
          <cell r="C2172" t="str">
            <v>TROPICAL SORVETES LTDA</v>
          </cell>
          <cell r="D2172" t="str">
            <v>7001</v>
          </cell>
          <cell r="E2172" t="str">
            <v>0749</v>
          </cell>
          <cell r="F2172" t="str">
            <v>C5</v>
          </cell>
          <cell r="G2172" t="str">
            <v>SP</v>
          </cell>
          <cell r="H2172" t="str">
            <v>DISTRIBUIÇÃO</v>
          </cell>
          <cell r="I2172" t="str">
            <v>FOOD SERVICE</v>
          </cell>
          <cell r="J2172" t="str">
            <v>FLAC 2</v>
          </cell>
          <cell r="K2172" t="str">
            <v>LACTALIS</v>
          </cell>
          <cell r="L2172" t="str">
            <v>RODRIGO</v>
          </cell>
          <cell r="M2172" t="str">
            <v>RAQUEL BARBOSA</v>
          </cell>
        </row>
        <row r="2173">
          <cell r="B2173">
            <v>5229467</v>
          </cell>
          <cell r="C2173" t="str">
            <v>GEBON SORVETES LTDA</v>
          </cell>
          <cell r="D2173" t="str">
            <v>4001</v>
          </cell>
          <cell r="E2173" t="str">
            <v>0455</v>
          </cell>
          <cell r="F2173" t="str">
            <v>C1</v>
          </cell>
          <cell r="G2173" t="str">
            <v>PR</v>
          </cell>
          <cell r="H2173" t="str">
            <v>INGREDIENTS</v>
          </cell>
          <cell r="I2173" t="str">
            <v>INGREDIENTS</v>
          </cell>
          <cell r="J2173" t="str">
            <v>MARCELO RODRIGUES</v>
          </cell>
          <cell r="K2173" t="str">
            <v>LACTALIS</v>
          </cell>
          <cell r="L2173" t="str">
            <v>MAURICIO</v>
          </cell>
          <cell r="M2173" t="str">
            <v>MARCELO</v>
          </cell>
        </row>
        <row r="2174">
          <cell r="B2174">
            <v>5313531</v>
          </cell>
          <cell r="C2174" t="str">
            <v>VIA LACTEA INDUSTRIA E COMERCIO</v>
          </cell>
          <cell r="D2174" t="str">
            <v>4001</v>
          </cell>
          <cell r="E2174" t="str">
            <v>0437</v>
          </cell>
          <cell r="F2174" t="str">
            <v>C1</v>
          </cell>
          <cell r="G2174" t="str">
            <v>SP</v>
          </cell>
          <cell r="H2174" t="str">
            <v>INGREDIENTS</v>
          </cell>
          <cell r="I2174" t="str">
            <v>INGREDIENTS</v>
          </cell>
          <cell r="J2174" t="str">
            <v>JOEL ELEOTÉRIO</v>
          </cell>
          <cell r="K2174" t="str">
            <v>LACTALIS</v>
          </cell>
          <cell r="L2174" t="str">
            <v>MAURICIO</v>
          </cell>
          <cell r="M2174" t="str">
            <v>JOEL</v>
          </cell>
        </row>
        <row r="2175">
          <cell r="B2175">
            <v>5350258</v>
          </cell>
          <cell r="C2175" t="str">
            <v>CAFE FRATELLI FRANQUEADORA LTDA</v>
          </cell>
          <cell r="D2175" t="str">
            <v>7001</v>
          </cell>
          <cell r="E2175" t="str">
            <v>0749</v>
          </cell>
          <cell r="F2175" t="str">
            <v>C5</v>
          </cell>
          <cell r="G2175" t="str">
            <v>SP</v>
          </cell>
          <cell r="H2175" t="str">
            <v>DISTRIBUIÇÃO</v>
          </cell>
          <cell r="I2175" t="str">
            <v>FOOD SERVICE</v>
          </cell>
          <cell r="J2175" t="str">
            <v>FLAC 3</v>
          </cell>
          <cell r="K2175" t="str">
            <v>LACTALIS</v>
          </cell>
          <cell r="L2175" t="str">
            <v>RODRIGO</v>
          </cell>
          <cell r="M2175" t="str">
            <v>RAQUEL BARBOSA</v>
          </cell>
        </row>
        <row r="2176">
          <cell r="B2176">
            <v>5350936</v>
          </cell>
          <cell r="C2176" t="str">
            <v>SEARA ALIMENTOS LTDA</v>
          </cell>
          <cell r="D2176" t="str">
            <v>3001</v>
          </cell>
          <cell r="E2176" t="str">
            <v>0028</v>
          </cell>
          <cell r="F2176" t="str">
            <v>C1</v>
          </cell>
          <cell r="G2176" t="str">
            <v>MG</v>
          </cell>
          <cell r="H2176" t="str">
            <v>INGREDIENTS</v>
          </cell>
          <cell r="I2176" t="str">
            <v>INGREDIENTS</v>
          </cell>
          <cell r="J2176" t="str">
            <v>JOEL ELEOTÉRIO</v>
          </cell>
          <cell r="K2176" t="str">
            <v>ITAMBÉ</v>
          </cell>
          <cell r="L2176" t="str">
            <v>MAURICIO</v>
          </cell>
          <cell r="M2176" t="str">
            <v>JOEL</v>
          </cell>
        </row>
        <row r="2177">
          <cell r="B2177">
            <v>5351023</v>
          </cell>
          <cell r="C2177" t="str">
            <v>50622939 WITALLO B P DE SOUSA D</v>
          </cell>
          <cell r="D2177" t="str">
            <v>7001</v>
          </cell>
          <cell r="E2177" t="str">
            <v>0749</v>
          </cell>
          <cell r="F2177" t="str">
            <v>C5</v>
          </cell>
          <cell r="G2177" t="str">
            <v>SP</v>
          </cell>
          <cell r="H2177" t="str">
            <v>DISTRIBUIÇÃO</v>
          </cell>
          <cell r="I2177" t="str">
            <v>FOOD SERVICE</v>
          </cell>
          <cell r="J2177" t="str">
            <v>FLAC 2</v>
          </cell>
          <cell r="K2177" t="str">
            <v>LACTALIS</v>
          </cell>
          <cell r="L2177" t="str">
            <v>RODRIGO</v>
          </cell>
          <cell r="M2177" t="str">
            <v>RAQUEL BARBOSA</v>
          </cell>
        </row>
        <row r="2178">
          <cell r="B2178">
            <v>5264820</v>
          </cell>
          <cell r="C2178" t="str">
            <v>ADRIANO L OLIVEIRA</v>
          </cell>
          <cell r="D2178" t="str">
            <v>7001</v>
          </cell>
          <cell r="E2178" t="str">
            <v>0749</v>
          </cell>
          <cell r="F2178" t="str">
            <v>C5</v>
          </cell>
          <cell r="G2178" t="str">
            <v>SP</v>
          </cell>
          <cell r="H2178" t="str">
            <v>DISTRIBUIÇÃO</v>
          </cell>
          <cell r="I2178" t="str">
            <v>FOOD SERVICE</v>
          </cell>
          <cell r="J2178" t="str">
            <v>FLAC 5</v>
          </cell>
          <cell r="K2178" t="str">
            <v>LACTALIS</v>
          </cell>
          <cell r="L2178" t="str">
            <v>RODRIGO</v>
          </cell>
          <cell r="M2178" t="str">
            <v>RAQUEL BARBOSA</v>
          </cell>
        </row>
        <row r="2179">
          <cell r="B2179">
            <v>5350667</v>
          </cell>
          <cell r="C2179" t="str">
            <v>WS COMERCIO E DISTRIBUIDORA DE</v>
          </cell>
          <cell r="D2179" t="str">
            <v>7001</v>
          </cell>
          <cell r="E2179" t="str">
            <v>0749</v>
          </cell>
          <cell r="F2179" t="str">
            <v>C5</v>
          </cell>
          <cell r="G2179" t="str">
            <v>SP</v>
          </cell>
          <cell r="H2179" t="str">
            <v>DISTRIBUIÇÃO</v>
          </cell>
          <cell r="I2179" t="str">
            <v>FOOD SERVICE</v>
          </cell>
          <cell r="J2179" t="str">
            <v>FLAC 2</v>
          </cell>
          <cell r="K2179" t="str">
            <v>LACTALIS</v>
          </cell>
          <cell r="L2179" t="str">
            <v>RODRIGO</v>
          </cell>
          <cell r="M2179" t="str">
            <v>RAQUEL BARBOSA</v>
          </cell>
        </row>
        <row r="2180">
          <cell r="B2180">
            <v>5115621</v>
          </cell>
          <cell r="C2180" t="str">
            <v>MARAJOARA INDUSTRIA DE LATICINI</v>
          </cell>
          <cell r="D2180" t="str">
            <v>4001</v>
          </cell>
          <cell r="E2180" t="str">
            <v>0423</v>
          </cell>
          <cell r="F2180" t="str">
            <v>C5</v>
          </cell>
          <cell r="G2180" t="str">
            <v>GO</v>
          </cell>
          <cell r="H2180" t="str">
            <v>INGREDIENTS</v>
          </cell>
          <cell r="I2180" t="str">
            <v>INGREDIENTS</v>
          </cell>
          <cell r="J2180" t="str">
            <v>DLUM</v>
          </cell>
          <cell r="K2180" t="str">
            <v>LACTALIS</v>
          </cell>
          <cell r="L2180" t="str">
            <v>MAURICIO</v>
          </cell>
          <cell r="M2180" t="str">
            <v>JOEL</v>
          </cell>
        </row>
        <row r="2181">
          <cell r="B2181">
            <v>5119520</v>
          </cell>
          <cell r="C2181" t="str">
            <v>CIA BEAL DE ALIMENTOS</v>
          </cell>
          <cell r="D2181" t="str">
            <v>3001</v>
          </cell>
          <cell r="E2181" t="str">
            <v>0126</v>
          </cell>
          <cell r="F2181" t="str">
            <v>C1</v>
          </cell>
          <cell r="G2181" t="str">
            <v>PR</v>
          </cell>
          <cell r="H2181" t="str">
            <v>QSR</v>
          </cell>
          <cell r="I2181" t="str">
            <v>FOOD SERVICE</v>
          </cell>
          <cell r="J2181" t="str">
            <v>VAGO QSR</v>
          </cell>
          <cell r="K2181" t="str">
            <v>ITAMBÉ</v>
          </cell>
          <cell r="L2181" t="str">
            <v>PEDRO</v>
          </cell>
          <cell r="M2181" t="str">
            <v>VAGO QSR</v>
          </cell>
        </row>
        <row r="2182">
          <cell r="B2182">
            <v>5190033</v>
          </cell>
          <cell r="C2182" t="str">
            <v>MISTER SHAKE COM DE SORVETES E</v>
          </cell>
          <cell r="D2182" t="str">
            <v>3001</v>
          </cell>
          <cell r="E2182" t="str">
            <v>0028</v>
          </cell>
          <cell r="F2182" t="str">
            <v>C1</v>
          </cell>
          <cell r="G2182" t="str">
            <v>MG</v>
          </cell>
          <cell r="H2182" t="str">
            <v>INGREDIENTS</v>
          </cell>
          <cell r="I2182" t="str">
            <v>INGREDIENTS</v>
          </cell>
          <cell r="J2182" t="str">
            <v>HENRIQUE FERREIRA</v>
          </cell>
          <cell r="K2182" t="str">
            <v>ITAMBÉ</v>
          </cell>
          <cell r="L2182" t="str">
            <v>MAURICIO</v>
          </cell>
          <cell r="M2182" t="str">
            <v>JOEL</v>
          </cell>
        </row>
        <row r="2183">
          <cell r="B2183">
            <v>5270564</v>
          </cell>
          <cell r="C2183" t="str">
            <v>TASTY AND FRESH PROD DE ALIM E</v>
          </cell>
          <cell r="D2183" t="str">
            <v>7001</v>
          </cell>
          <cell r="E2183" t="str">
            <v>0737</v>
          </cell>
          <cell r="F2183" t="str">
            <v>C1</v>
          </cell>
          <cell r="G2183" t="str">
            <v>SP</v>
          </cell>
          <cell r="H2183" t="str">
            <v>INGREDIENTS</v>
          </cell>
          <cell r="I2183" t="str">
            <v>INGREDIENTS</v>
          </cell>
          <cell r="J2183" t="str">
            <v>JOEL ELEOTÉRIO</v>
          </cell>
          <cell r="K2183" t="str">
            <v>LACTALIS</v>
          </cell>
          <cell r="L2183" t="str">
            <v>MAURICIO</v>
          </cell>
          <cell r="M2183" t="str">
            <v>JOEL</v>
          </cell>
        </row>
        <row r="2184">
          <cell r="B2184">
            <v>5279645</v>
          </cell>
          <cell r="C2184" t="str">
            <v>CESAR MOMO LANCHONETE LTDA</v>
          </cell>
          <cell r="D2184" t="str">
            <v>7001</v>
          </cell>
          <cell r="E2184" t="str">
            <v>0749</v>
          </cell>
          <cell r="F2184" t="str">
            <v>C5</v>
          </cell>
          <cell r="G2184" t="str">
            <v>SP</v>
          </cell>
          <cell r="H2184" t="str">
            <v>DISTRIBUIÇÃO</v>
          </cell>
          <cell r="I2184" t="str">
            <v>FOOD SERVICE</v>
          </cell>
          <cell r="J2184" t="str">
            <v>FLAC 2</v>
          </cell>
          <cell r="K2184" t="str">
            <v>LACTALIS</v>
          </cell>
          <cell r="L2184" t="str">
            <v>RODRIGO</v>
          </cell>
          <cell r="M2184" t="str">
            <v>RAQUEL BARBOSA</v>
          </cell>
        </row>
        <row r="2185">
          <cell r="B2185">
            <v>5350259</v>
          </cell>
          <cell r="C2185" t="str">
            <v>CAFE FRATELLI FRANQUEADORA LTDA</v>
          </cell>
          <cell r="D2185" t="str">
            <v>7001</v>
          </cell>
          <cell r="E2185" t="str">
            <v>0749</v>
          </cell>
          <cell r="F2185" t="str">
            <v>C5</v>
          </cell>
          <cell r="G2185" t="str">
            <v>SP</v>
          </cell>
          <cell r="H2185" t="str">
            <v>DISTRIBUIÇÃO</v>
          </cell>
          <cell r="I2185" t="str">
            <v>FOOD SERVICE</v>
          </cell>
          <cell r="J2185" t="str">
            <v>FLAC 3</v>
          </cell>
          <cell r="K2185" t="str">
            <v>LACTALIS</v>
          </cell>
          <cell r="L2185" t="str">
            <v>RODRIGO</v>
          </cell>
          <cell r="M2185" t="str">
            <v>RAQUEL BARBOSA</v>
          </cell>
        </row>
        <row r="2186">
          <cell r="B2186">
            <v>5350290</v>
          </cell>
          <cell r="C2186" t="str">
            <v>GRAN RIO HOTEL DAN INN LTDA</v>
          </cell>
          <cell r="D2186" t="str">
            <v>7001</v>
          </cell>
          <cell r="E2186" t="str">
            <v>0749</v>
          </cell>
          <cell r="F2186" t="str">
            <v>C5</v>
          </cell>
          <cell r="G2186" t="str">
            <v>SP</v>
          </cell>
          <cell r="H2186" t="str">
            <v>DISTRIBUIÇÃO</v>
          </cell>
          <cell r="I2186" t="str">
            <v>FOOD SERVICE</v>
          </cell>
          <cell r="J2186" t="str">
            <v>FLAC 5</v>
          </cell>
          <cell r="K2186" t="str">
            <v>LACTALIS</v>
          </cell>
          <cell r="L2186" t="str">
            <v>RODRIGO</v>
          </cell>
          <cell r="M2186" t="str">
            <v>RAQUEL BARBOSA</v>
          </cell>
        </row>
        <row r="2187">
          <cell r="B2187">
            <v>5011698</v>
          </cell>
          <cell r="C2187" t="str">
            <v>CASA DO SACHET LTDA</v>
          </cell>
          <cell r="D2187" t="str">
            <v>4001</v>
          </cell>
          <cell r="E2187" t="str">
            <v>0458</v>
          </cell>
          <cell r="F2187" t="str">
            <v>C1</v>
          </cell>
          <cell r="G2187" t="str">
            <v>MS</v>
          </cell>
          <cell r="H2187" t="str">
            <v>DISTRIBUIÇÃO</v>
          </cell>
          <cell r="I2187" t="str">
            <v>FOOD SERVICE</v>
          </cell>
          <cell r="J2187" t="str">
            <v>CLAUDIO JORGE</v>
          </cell>
          <cell r="K2187" t="str">
            <v>LACTALIS</v>
          </cell>
          <cell r="L2187" t="str">
            <v>RODRIGO</v>
          </cell>
          <cell r="M2187" t="str">
            <v>MARCO AURELIO</v>
          </cell>
        </row>
        <row r="2188">
          <cell r="B2188">
            <v>5316126</v>
          </cell>
          <cell r="C2188" t="str">
            <v>AFFARI ALIMENTACAO LTDA</v>
          </cell>
          <cell r="D2188" t="str">
            <v>7001</v>
          </cell>
          <cell r="E2188" t="str">
            <v>0749</v>
          </cell>
          <cell r="F2188" t="str">
            <v>C5</v>
          </cell>
          <cell r="G2188" t="str">
            <v>SP</v>
          </cell>
          <cell r="H2188" t="str">
            <v>DISTRIBUIÇÃO</v>
          </cell>
          <cell r="I2188" t="str">
            <v>FOOD SERVICE</v>
          </cell>
          <cell r="J2188" t="str">
            <v>FLAC 5</v>
          </cell>
          <cell r="K2188" t="str">
            <v>LACTALIS</v>
          </cell>
          <cell r="L2188" t="str">
            <v>RODRIGO</v>
          </cell>
          <cell r="M2188" t="str">
            <v>RAQUEL BARBOSA</v>
          </cell>
        </row>
        <row r="2189">
          <cell r="B2189">
            <v>5167210</v>
          </cell>
          <cell r="C2189" t="str">
            <v>CONFEITARIA LA BASSANI LTDA</v>
          </cell>
          <cell r="D2189" t="str">
            <v>7001</v>
          </cell>
          <cell r="E2189" t="str">
            <v>0749</v>
          </cell>
          <cell r="F2189" t="str">
            <v>C5</v>
          </cell>
          <cell r="G2189" t="str">
            <v>SP</v>
          </cell>
          <cell r="H2189" t="str">
            <v>DISTRIBUIÇÃO</v>
          </cell>
          <cell r="I2189" t="str">
            <v>FOOD SERVICE</v>
          </cell>
          <cell r="J2189" t="str">
            <v>FLAC 5</v>
          </cell>
          <cell r="K2189" t="str">
            <v>LACTALIS</v>
          </cell>
          <cell r="L2189" t="str">
            <v>RODRIGO</v>
          </cell>
          <cell r="M2189" t="str">
            <v>RAQUEL BARBOSA</v>
          </cell>
        </row>
        <row r="2190">
          <cell r="B2190">
            <v>5344781</v>
          </cell>
          <cell r="C2190" t="str">
            <v>SORVETES DO VALE LTDA</v>
          </cell>
          <cell r="D2190" t="str">
            <v>3001</v>
          </cell>
          <cell r="E2190" t="str">
            <v>0028</v>
          </cell>
          <cell r="F2190" t="str">
            <v>C1</v>
          </cell>
          <cell r="G2190" t="str">
            <v>MG</v>
          </cell>
          <cell r="H2190" t="str">
            <v>INGREDIENTS</v>
          </cell>
          <cell r="I2190" t="str">
            <v>INGREDIENTS</v>
          </cell>
          <cell r="J2190" t="str">
            <v>HENRIQUE FERREIRA</v>
          </cell>
          <cell r="K2190" t="str">
            <v>ITAMBÉ</v>
          </cell>
          <cell r="L2190" t="str">
            <v>MAURICIO</v>
          </cell>
          <cell r="M2190" t="str">
            <v>JOEL</v>
          </cell>
        </row>
        <row r="2191">
          <cell r="B2191">
            <v>5351048</v>
          </cell>
          <cell r="C2191" t="str">
            <v>LUA NOSSA DOCES LTD</v>
          </cell>
          <cell r="D2191" t="str">
            <v>7001</v>
          </cell>
          <cell r="E2191" t="str">
            <v>0749</v>
          </cell>
          <cell r="F2191" t="str">
            <v>C5</v>
          </cell>
          <cell r="G2191" t="str">
            <v>SP</v>
          </cell>
          <cell r="H2191" t="str">
            <v>DISTRIBUIÇÃO</v>
          </cell>
          <cell r="I2191" t="str">
            <v>FOOD SERVICE</v>
          </cell>
          <cell r="J2191" t="str">
            <v>FLAC 5</v>
          </cell>
          <cell r="K2191" t="str">
            <v>LACTALIS</v>
          </cell>
          <cell r="L2191" t="str">
            <v>RODRIGO</v>
          </cell>
          <cell r="M2191" t="str">
            <v>RAQUEL BARBOSA</v>
          </cell>
        </row>
        <row r="2192">
          <cell r="B2192">
            <v>5351081</v>
          </cell>
          <cell r="C2192" t="str">
            <v>SHALON DIST DE PROD ALI BEB E E</v>
          </cell>
          <cell r="D2192" t="str">
            <v>7001</v>
          </cell>
          <cell r="E2192" t="str">
            <v>0749</v>
          </cell>
          <cell r="F2192" t="str">
            <v>C5</v>
          </cell>
          <cell r="G2192" t="str">
            <v>SP</v>
          </cell>
          <cell r="H2192" t="str">
            <v>DISTRIBUIÇÃO</v>
          </cell>
          <cell r="I2192" t="str">
            <v>FOOD SERVICE</v>
          </cell>
          <cell r="J2192" t="str">
            <v>FLAC 1</v>
          </cell>
          <cell r="K2192" t="str">
            <v>LACTALIS</v>
          </cell>
          <cell r="L2192" t="str">
            <v>RODRIGO</v>
          </cell>
          <cell r="M2192" t="str">
            <v>RAQUEL BARBOSA</v>
          </cell>
        </row>
        <row r="2193">
          <cell r="B2193">
            <v>5351210</v>
          </cell>
          <cell r="C2193" t="str">
            <v>SAGRADO BOULANGERIE PERDIZES LT</v>
          </cell>
          <cell r="D2193" t="str">
            <v>7001</v>
          </cell>
          <cell r="E2193" t="str">
            <v>0749</v>
          </cell>
          <cell r="F2193" t="str">
            <v>C5</v>
          </cell>
          <cell r="G2193" t="str">
            <v>SP</v>
          </cell>
          <cell r="H2193" t="str">
            <v>DISTRIBUIÇÃO</v>
          </cell>
          <cell r="I2193" t="str">
            <v>FOOD SERVICE</v>
          </cell>
          <cell r="J2193" t="str">
            <v>FLAC 5</v>
          </cell>
          <cell r="K2193" t="str">
            <v>LACTALIS</v>
          </cell>
          <cell r="L2193" t="str">
            <v>RODRIGO</v>
          </cell>
          <cell r="M2193" t="str">
            <v>RAQUEL BARBOSA</v>
          </cell>
        </row>
        <row r="2194">
          <cell r="B2194">
            <v>5351264</v>
          </cell>
          <cell r="C2194" t="str">
            <v>18829901 VAILDO TEIXEIRA DE O</v>
          </cell>
          <cell r="D2194" t="str">
            <v>7001</v>
          </cell>
          <cell r="E2194" t="str">
            <v>0749</v>
          </cell>
          <cell r="F2194" t="str">
            <v>C5</v>
          </cell>
          <cell r="G2194" t="str">
            <v>SP</v>
          </cell>
          <cell r="H2194" t="str">
            <v>DISTRIBUIÇÃO</v>
          </cell>
          <cell r="I2194" t="str">
            <v>FOOD SERVICE</v>
          </cell>
          <cell r="J2194" t="str">
            <v>FLAC 4</v>
          </cell>
          <cell r="K2194" t="str">
            <v>LACTALIS</v>
          </cell>
          <cell r="L2194" t="str">
            <v>RODRIGO</v>
          </cell>
          <cell r="M2194" t="str">
            <v>RAQUEL BARBOSA</v>
          </cell>
        </row>
        <row r="2195">
          <cell r="B2195">
            <v>5019245</v>
          </cell>
          <cell r="C2195" t="str">
            <v>FRUTT CENTER DDE P DE FRUTAS E F LT</v>
          </cell>
          <cell r="D2195" t="str">
            <v>3001</v>
          </cell>
          <cell r="E2195" t="str">
            <v>6123</v>
          </cell>
          <cell r="F2195" t="str">
            <v>C1</v>
          </cell>
          <cell r="G2195" t="str">
            <v>GO</v>
          </cell>
          <cell r="H2195" t="str">
            <v>DISTRIBUIÇÃO</v>
          </cell>
          <cell r="I2195" t="str">
            <v>FOOD SERVICE</v>
          </cell>
          <cell r="J2195" t="str">
            <v>CLAUDIO JORGE</v>
          </cell>
          <cell r="K2195" t="str">
            <v>ITAMBÉ</v>
          </cell>
          <cell r="L2195" t="str">
            <v>RODRIGO</v>
          </cell>
          <cell r="M2195" t="str">
            <v>MARCO AURELIO</v>
          </cell>
        </row>
        <row r="2196">
          <cell r="B2196">
            <v>5186248</v>
          </cell>
          <cell r="C2196" t="str">
            <v>INDUSTRIA E COMERCIO VILLA CAFE</v>
          </cell>
          <cell r="D2196" t="str">
            <v>3001</v>
          </cell>
          <cell r="E2196" t="str">
            <v>0028</v>
          </cell>
          <cell r="F2196" t="str">
            <v>C1</v>
          </cell>
          <cell r="G2196" t="str">
            <v>MG</v>
          </cell>
          <cell r="H2196" t="str">
            <v>INGREDIENTS</v>
          </cell>
          <cell r="I2196" t="str">
            <v>INGREDIENTS</v>
          </cell>
          <cell r="J2196" t="str">
            <v>HENRIQUE FERREIRA</v>
          </cell>
          <cell r="K2196" t="str">
            <v>ITAMBÉ</v>
          </cell>
          <cell r="L2196" t="str">
            <v>MAURICIO</v>
          </cell>
          <cell r="M2196" t="str">
            <v>JOEL</v>
          </cell>
        </row>
        <row r="2197">
          <cell r="B2197">
            <v>5212486</v>
          </cell>
          <cell r="C2197" t="str">
            <v>FRUTAROM DO BRASIL IND E COM LT</v>
          </cell>
          <cell r="D2197" t="str">
            <v>3001</v>
          </cell>
          <cell r="E2197" t="str">
            <v>0028</v>
          </cell>
          <cell r="F2197" t="str">
            <v>C1</v>
          </cell>
          <cell r="G2197" t="str">
            <v>MG</v>
          </cell>
          <cell r="H2197" t="str">
            <v>INGREDIENTS</v>
          </cell>
          <cell r="I2197" t="str">
            <v>INGREDIENTS</v>
          </cell>
          <cell r="J2197" t="str">
            <v>HENRIQUE FERREIRA</v>
          </cell>
          <cell r="K2197" t="str">
            <v>ITAMBÉ</v>
          </cell>
          <cell r="L2197" t="str">
            <v>MAURICIO</v>
          </cell>
          <cell r="M2197" t="str">
            <v>JOEL</v>
          </cell>
        </row>
        <row r="2198">
          <cell r="B2198">
            <v>5333061</v>
          </cell>
          <cell r="C2198" t="str">
            <v>NUTRISANTOS ALIMENTACAO ANIMA</v>
          </cell>
          <cell r="D2198" t="str">
            <v>3001</v>
          </cell>
          <cell r="E2198" t="str">
            <v>0028</v>
          </cell>
          <cell r="F2198" t="str">
            <v>C1</v>
          </cell>
          <cell r="G2198" t="str">
            <v>MG</v>
          </cell>
          <cell r="H2198" t="str">
            <v>INGREDIENTS</v>
          </cell>
          <cell r="I2198" t="str">
            <v>INGREDIENTS</v>
          </cell>
          <cell r="J2198" t="str">
            <v>HENRIQUE FERREIRA</v>
          </cell>
          <cell r="K2198" t="str">
            <v>ITAMBÉ</v>
          </cell>
          <cell r="L2198" t="str">
            <v>MAURICIO</v>
          </cell>
          <cell r="M2198" t="str">
            <v>JOEL</v>
          </cell>
        </row>
        <row r="2199">
          <cell r="B2199">
            <v>5347458</v>
          </cell>
          <cell r="C2199" t="str">
            <v>LALLEMAND SOLUCOES BIOLOGICAS L</v>
          </cell>
          <cell r="D2199" t="str">
            <v>3001</v>
          </cell>
          <cell r="E2199" t="str">
            <v>0028</v>
          </cell>
          <cell r="F2199" t="str">
            <v>C1</v>
          </cell>
          <cell r="G2199" t="str">
            <v>MG</v>
          </cell>
          <cell r="H2199" t="str">
            <v>INGREDIENTS</v>
          </cell>
          <cell r="I2199" t="str">
            <v>INGREDIENTS</v>
          </cell>
          <cell r="J2199" t="str">
            <v>HENRIQUE FERREIRA</v>
          </cell>
          <cell r="K2199" t="str">
            <v>ITAMBÉ</v>
          </cell>
          <cell r="L2199" t="str">
            <v>MAURICIO</v>
          </cell>
          <cell r="M2199" t="str">
            <v>JOEL</v>
          </cell>
        </row>
        <row r="2200">
          <cell r="B2200">
            <v>5351307</v>
          </cell>
          <cell r="C2200" t="str">
            <v>TUAREG COMERCIO E RESTAURANTE L</v>
          </cell>
          <cell r="D2200" t="str">
            <v>7001</v>
          </cell>
          <cell r="E2200" t="str">
            <v>0749</v>
          </cell>
          <cell r="F2200" t="str">
            <v>C5</v>
          </cell>
          <cell r="G2200" t="str">
            <v>SP</v>
          </cell>
          <cell r="H2200" t="str">
            <v>DISTRIBUIÇÃO</v>
          </cell>
          <cell r="I2200" t="str">
            <v>FOOD SERVICE</v>
          </cell>
          <cell r="J2200" t="str">
            <v>FLAC 6</v>
          </cell>
          <cell r="K2200" t="str">
            <v>LACTALIS</v>
          </cell>
          <cell r="L2200" t="str">
            <v>RODRIGO</v>
          </cell>
          <cell r="M2200" t="str">
            <v>RAQUEL BARBOSA</v>
          </cell>
        </row>
        <row r="2201">
          <cell r="B2201">
            <v>5166366</v>
          </cell>
          <cell r="C2201" t="str">
            <v>A CONFITERIA IND E COM DE ALIM LTDA</v>
          </cell>
          <cell r="D2201" t="str">
            <v>6001</v>
          </cell>
          <cell r="E2201" t="str">
            <v>6028</v>
          </cell>
          <cell r="F2201" t="str">
            <v>C1</v>
          </cell>
          <cell r="G2201" t="str">
            <v>SP</v>
          </cell>
          <cell r="H2201" t="str">
            <v>DISTRIBUIÇÃO</v>
          </cell>
          <cell r="I2201" t="str">
            <v>FOOD SERVICE</v>
          </cell>
          <cell r="J2201" t="str">
            <v>FLAC 6</v>
          </cell>
          <cell r="K2201" t="str">
            <v>ITAMBÉ</v>
          </cell>
          <cell r="L2201" t="str">
            <v>RODRIGO</v>
          </cell>
          <cell r="M2201" t="str">
            <v>RAQUEL BARBOSA</v>
          </cell>
        </row>
        <row r="2202">
          <cell r="B2202">
            <v>5263748</v>
          </cell>
          <cell r="C2202" t="str">
            <v>PIZZARIA FRANCISCA JULIA LTDA</v>
          </cell>
          <cell r="D2202" t="str">
            <v>7001</v>
          </cell>
          <cell r="E2202" t="str">
            <v>0749</v>
          </cell>
          <cell r="F2202" t="str">
            <v>C5</v>
          </cell>
          <cell r="G2202" t="str">
            <v>SP</v>
          </cell>
          <cell r="H2202" t="str">
            <v>DISTRIBUIÇÃO</v>
          </cell>
          <cell r="I2202" t="str">
            <v>FOOD SERVICE</v>
          </cell>
          <cell r="J2202" t="str">
            <v>FLAC 6</v>
          </cell>
          <cell r="K2202" t="str">
            <v>LACTALIS</v>
          </cell>
          <cell r="L2202" t="str">
            <v>RODRIGO</v>
          </cell>
          <cell r="M2202" t="str">
            <v>RAQUEL BARBOSA</v>
          </cell>
        </row>
        <row r="2203">
          <cell r="B2203">
            <v>5140560</v>
          </cell>
          <cell r="C2203" t="str">
            <v>ALVOAR LACTEOS NORDESTE SA</v>
          </cell>
          <cell r="D2203" t="str">
            <v>4001</v>
          </cell>
          <cell r="E2203" t="str">
            <v>0437</v>
          </cell>
          <cell r="F2203" t="str">
            <v>C1</v>
          </cell>
          <cell r="G2203" t="str">
            <v>CE</v>
          </cell>
          <cell r="H2203" t="str">
            <v>INGREDIENTS</v>
          </cell>
          <cell r="I2203" t="str">
            <v>INGREDIENTS</v>
          </cell>
          <cell r="J2203" t="str">
            <v>JOEL ELEOTÉRIO</v>
          </cell>
          <cell r="K2203" t="str">
            <v>LACTALIS</v>
          </cell>
          <cell r="L2203" t="str">
            <v>MAURICIO</v>
          </cell>
          <cell r="M2203" t="str">
            <v>JOEL</v>
          </cell>
        </row>
        <row r="2204">
          <cell r="B2204">
            <v>5323712</v>
          </cell>
          <cell r="C2204" t="str">
            <v>LATICINIOS REZENDE LTDA</v>
          </cell>
          <cell r="D2204" t="str">
            <v>4001</v>
          </cell>
          <cell r="E2204" t="str">
            <v>0437</v>
          </cell>
          <cell r="F2204" t="str">
            <v>C1</v>
          </cell>
          <cell r="G2204" t="str">
            <v>SE</v>
          </cell>
          <cell r="H2204" t="str">
            <v>INGREDIENTS</v>
          </cell>
          <cell r="I2204" t="str">
            <v>INGREDIENTS</v>
          </cell>
          <cell r="J2204" t="str">
            <v>JOEL ELEOTÉRIO</v>
          </cell>
          <cell r="K2204" t="str">
            <v>LACTALIS</v>
          </cell>
          <cell r="L2204" t="str">
            <v>MAURICIO</v>
          </cell>
          <cell r="M2204" t="str">
            <v>JOEL</v>
          </cell>
        </row>
        <row r="2205">
          <cell r="B2205">
            <v>5350289</v>
          </cell>
          <cell r="C2205" t="str">
            <v>TRANSAMERICA COMERCIAL E SERV L</v>
          </cell>
          <cell r="D2205" t="str">
            <v>7001</v>
          </cell>
          <cell r="E2205" t="str">
            <v>0749</v>
          </cell>
          <cell r="F2205" t="str">
            <v>C5</v>
          </cell>
          <cell r="G2205" t="str">
            <v>SP</v>
          </cell>
          <cell r="H2205" t="str">
            <v>DISTRIBUIÇÃO</v>
          </cell>
          <cell r="I2205" t="str">
            <v>FOOD SERVICE</v>
          </cell>
          <cell r="J2205" t="str">
            <v>FLAC 5</v>
          </cell>
          <cell r="K2205" t="str">
            <v>LACTALIS</v>
          </cell>
          <cell r="L2205" t="str">
            <v>RODRIGO</v>
          </cell>
          <cell r="M2205" t="str">
            <v>RAQUEL BARBOSA</v>
          </cell>
        </row>
        <row r="2206">
          <cell r="B2206">
            <v>5278297</v>
          </cell>
          <cell r="C2206" t="str">
            <v>LANCH BAR FINESSE LTDA</v>
          </cell>
          <cell r="D2206" t="str">
            <v>7001</v>
          </cell>
          <cell r="E2206" t="str">
            <v>0749</v>
          </cell>
          <cell r="F2206" t="str">
            <v>C5</v>
          </cell>
          <cell r="G2206" t="str">
            <v>SP</v>
          </cell>
          <cell r="H2206" t="str">
            <v>DISTRIBUIÇÃO</v>
          </cell>
          <cell r="I2206" t="str">
            <v>FOOD SERVICE</v>
          </cell>
          <cell r="J2206" t="str">
            <v>FLAC 6</v>
          </cell>
          <cell r="K2206" t="str">
            <v>LACTALIS</v>
          </cell>
          <cell r="L2206" t="str">
            <v>RODRIGO</v>
          </cell>
          <cell r="M2206" t="str">
            <v>RAQUEL BARBOSA</v>
          </cell>
        </row>
        <row r="2207">
          <cell r="B2207">
            <v>5351160</v>
          </cell>
          <cell r="C2207" t="str">
            <v>EDUARDO DA COSTA M E CIA LTDA</v>
          </cell>
          <cell r="D2207" t="str">
            <v>6001</v>
          </cell>
          <cell r="E2207" t="str">
            <v>6028</v>
          </cell>
          <cell r="F2207" t="str">
            <v>C1</v>
          </cell>
          <cell r="G2207" t="str">
            <v>SP</v>
          </cell>
          <cell r="H2207" t="str">
            <v>INGREDIENTS</v>
          </cell>
          <cell r="I2207" t="str">
            <v>INGREDIENTS</v>
          </cell>
          <cell r="J2207" t="str">
            <v>DUAS RODAS</v>
          </cell>
          <cell r="K2207" t="str">
            <v>ITAMBÉ</v>
          </cell>
          <cell r="L2207" t="str">
            <v>MAURICIO</v>
          </cell>
          <cell r="M2207" t="str">
            <v>TATIANA NITTA</v>
          </cell>
        </row>
        <row r="2208">
          <cell r="B2208">
            <v>5166366</v>
          </cell>
          <cell r="C2208" t="str">
            <v>A CONFITERIA IND E COM DE ALIM LTDA</v>
          </cell>
          <cell r="D2208" t="str">
            <v>6001</v>
          </cell>
          <cell r="E2208" t="str">
            <v>6125</v>
          </cell>
          <cell r="F2208" t="str">
            <v>C1</v>
          </cell>
          <cell r="G2208" t="str">
            <v>SP</v>
          </cell>
          <cell r="H2208" t="str">
            <v>DISTRIBUIÇÃO</v>
          </cell>
          <cell r="I2208" t="str">
            <v>FOOD SERVICE</v>
          </cell>
          <cell r="J2208" t="str">
            <v>FLAC 6</v>
          </cell>
          <cell r="K2208" t="str">
            <v>ITAMBÉ</v>
          </cell>
          <cell r="L2208" t="str">
            <v>RODRIGO</v>
          </cell>
          <cell r="M2208" t="str">
            <v>RAQUEL BARBOSA</v>
          </cell>
        </row>
        <row r="2209">
          <cell r="B2209">
            <v>5260717</v>
          </cell>
          <cell r="C2209" t="str">
            <v>SANTO DEUS LANCHONETE LTDA ME</v>
          </cell>
          <cell r="D2209" t="str">
            <v>7001</v>
          </cell>
          <cell r="E2209" t="str">
            <v>0749</v>
          </cell>
          <cell r="F2209" t="str">
            <v>C5</v>
          </cell>
          <cell r="G2209" t="str">
            <v>SP</v>
          </cell>
          <cell r="H2209" t="str">
            <v>DISTRIBUIÇÃO</v>
          </cell>
          <cell r="I2209" t="str">
            <v>FOOD SERVICE</v>
          </cell>
          <cell r="J2209" t="str">
            <v>FLAC 6</v>
          </cell>
          <cell r="K2209" t="str">
            <v>LACTALIS</v>
          </cell>
          <cell r="L2209" t="str">
            <v>RODRIGO</v>
          </cell>
          <cell r="M2209" t="str">
            <v>RAQUEL BARBOSA</v>
          </cell>
        </row>
        <row r="2210">
          <cell r="B2210">
            <v>5351471</v>
          </cell>
          <cell r="C2210" t="str">
            <v>DOM MAITRE LTDA</v>
          </cell>
          <cell r="D2210" t="str">
            <v>7001</v>
          </cell>
          <cell r="E2210" t="str">
            <v>0749</v>
          </cell>
          <cell r="F2210" t="str">
            <v>C5</v>
          </cell>
          <cell r="G2210" t="str">
            <v>SP</v>
          </cell>
          <cell r="H2210" t="str">
            <v>DISTRIBUIÇÃO</v>
          </cell>
          <cell r="I2210" t="str">
            <v>FOOD SERVICE</v>
          </cell>
          <cell r="J2210" t="str">
            <v>FLAC 5</v>
          </cell>
          <cell r="K2210" t="str">
            <v>LACTALIS</v>
          </cell>
          <cell r="L2210" t="str">
            <v>RODRIGO</v>
          </cell>
          <cell r="M2210" t="str">
            <v>RAQUEL BARBOSA</v>
          </cell>
        </row>
        <row r="2211">
          <cell r="B2211">
            <v>5300135</v>
          </cell>
          <cell r="C2211" t="str">
            <v>SUPERMIX NUTRICAO ANIMAL LTDA</v>
          </cell>
          <cell r="D2211" t="str">
            <v>3001</v>
          </cell>
          <cell r="E2211" t="str">
            <v>0028</v>
          </cell>
          <cell r="F2211" t="str">
            <v>C1</v>
          </cell>
          <cell r="G2211" t="str">
            <v>MG</v>
          </cell>
          <cell r="H2211" t="str">
            <v>INGREDIENTS</v>
          </cell>
          <cell r="I2211" t="str">
            <v>INGREDIENTS</v>
          </cell>
          <cell r="J2211" t="str">
            <v>JOEL ELEOTÉRIO</v>
          </cell>
          <cell r="K2211" t="str">
            <v>ITAMBÉ</v>
          </cell>
          <cell r="L2211" t="str">
            <v>MAURICIO</v>
          </cell>
          <cell r="M2211" t="str">
            <v>JOEL</v>
          </cell>
        </row>
        <row r="2212">
          <cell r="B2212">
            <v>5351315</v>
          </cell>
          <cell r="C2212" t="str">
            <v>CASA MARICOTA RESTAURANTE E EVE</v>
          </cell>
          <cell r="D2212" t="str">
            <v>7001</v>
          </cell>
          <cell r="E2212" t="str">
            <v>0749</v>
          </cell>
          <cell r="F2212" t="str">
            <v>C5</v>
          </cell>
          <cell r="G2212" t="str">
            <v>SP</v>
          </cell>
          <cell r="H2212" t="str">
            <v>DISTRIBUIÇÃO</v>
          </cell>
          <cell r="I2212" t="str">
            <v>FOOD SERVICE</v>
          </cell>
          <cell r="J2212" t="str">
            <v>FLAC 5</v>
          </cell>
          <cell r="K2212" t="str">
            <v>LACTALIS</v>
          </cell>
          <cell r="L2212" t="str">
            <v>RODRIGO</v>
          </cell>
          <cell r="M2212" t="str">
            <v>RAQUEL BARBOSA</v>
          </cell>
        </row>
        <row r="2213">
          <cell r="B2213">
            <v>5347236</v>
          </cell>
          <cell r="C2213" t="str">
            <v>SIQUELLE S IND E COM DE SORVETE</v>
          </cell>
          <cell r="D2213" t="str">
            <v>6001</v>
          </cell>
          <cell r="E2213" t="str">
            <v>6028</v>
          </cell>
          <cell r="F2213" t="str">
            <v>C1</v>
          </cell>
          <cell r="G2213" t="str">
            <v>SP</v>
          </cell>
          <cell r="H2213" t="str">
            <v>INGREDIENTS</v>
          </cell>
          <cell r="I2213" t="str">
            <v>INGREDIENTS</v>
          </cell>
          <cell r="J2213" t="str">
            <v>SP ITB FS LUIZ PEREIRA</v>
          </cell>
          <cell r="K2213" t="str">
            <v>ITAMBÉ</v>
          </cell>
          <cell r="L2213" t="str">
            <v>MAURICIO</v>
          </cell>
          <cell r="M2213" t="str">
            <v>TATIANA NITTA</v>
          </cell>
        </row>
        <row r="2214">
          <cell r="B2214">
            <v>5350256</v>
          </cell>
          <cell r="C2214" t="str">
            <v>TRANSAMERICA COMERCIAL E SERV L</v>
          </cell>
          <cell r="D2214" t="str">
            <v>7001</v>
          </cell>
          <cell r="E2214" t="str">
            <v>0749</v>
          </cell>
          <cell r="F2214" t="str">
            <v>C5</v>
          </cell>
          <cell r="G2214" t="str">
            <v>SP</v>
          </cell>
          <cell r="H2214" t="str">
            <v>DISTRIBUIÇÃO</v>
          </cell>
          <cell r="I2214" t="str">
            <v>FOOD SERVICE</v>
          </cell>
          <cell r="J2214" t="str">
            <v>FLAC 3</v>
          </cell>
          <cell r="K2214" t="str">
            <v>LACTALIS</v>
          </cell>
          <cell r="L2214" t="str">
            <v>RODRIGO</v>
          </cell>
          <cell r="M2214" t="str">
            <v>RAQUEL BARBOSA</v>
          </cell>
        </row>
        <row r="2215">
          <cell r="B2215">
            <v>5351333</v>
          </cell>
          <cell r="C2215" t="str">
            <v>ANTUNES E ANTUNES COZI IND LTDA</v>
          </cell>
          <cell r="D2215" t="str">
            <v>6001</v>
          </cell>
          <cell r="E2215" t="str">
            <v>6028</v>
          </cell>
          <cell r="F2215" t="str">
            <v>C1</v>
          </cell>
          <cell r="G2215" t="str">
            <v>SP</v>
          </cell>
          <cell r="H2215" t="str">
            <v>QSR</v>
          </cell>
          <cell r="I2215" t="str">
            <v>FOOD SERVICE</v>
          </cell>
          <cell r="J2215" t="str">
            <v>NUTRI</v>
          </cell>
          <cell r="K2215" t="str">
            <v>ITAMBÉ</v>
          </cell>
          <cell r="L2215" t="str">
            <v>PEDRO</v>
          </cell>
          <cell r="M2215" t="str">
            <v>VAGO QSR</v>
          </cell>
        </row>
        <row r="2216">
          <cell r="B2216">
            <v>5188352</v>
          </cell>
          <cell r="C2216" t="str">
            <v>MDIAS BRANCO SA IND E COM DE ALIME</v>
          </cell>
          <cell r="D2216" t="str">
            <v>4001</v>
          </cell>
          <cell r="E2216" t="str">
            <v>0437</v>
          </cell>
          <cell r="F2216" t="str">
            <v>C1</v>
          </cell>
          <cell r="G2216" t="str">
            <v>CE</v>
          </cell>
          <cell r="H2216" t="str">
            <v>INGREDIENTS</v>
          </cell>
          <cell r="I2216" t="str">
            <v>INGREDIENTS</v>
          </cell>
          <cell r="J2216" t="str">
            <v>JOEL ELEOTÉRIO</v>
          </cell>
          <cell r="K2216" t="str">
            <v>LACTALIS</v>
          </cell>
          <cell r="L2216" t="str">
            <v>MAURICIO</v>
          </cell>
          <cell r="M2216" t="str">
            <v>JOEL</v>
          </cell>
        </row>
        <row r="2217">
          <cell r="B2217">
            <v>5197956</v>
          </cell>
          <cell r="C2217" t="str">
            <v>VITORIA HOTEIS LTDA</v>
          </cell>
          <cell r="D2217" t="str">
            <v>7001</v>
          </cell>
          <cell r="E2217" t="str">
            <v>0749</v>
          </cell>
          <cell r="F2217" t="str">
            <v>C5</v>
          </cell>
          <cell r="G2217" t="str">
            <v>SP</v>
          </cell>
          <cell r="H2217" t="str">
            <v>DISTRIBUIÇÃO</v>
          </cell>
          <cell r="I2217" t="str">
            <v>FOOD SERVICE</v>
          </cell>
          <cell r="J2217" t="str">
            <v>FLAC 3</v>
          </cell>
          <cell r="K2217" t="str">
            <v>LACTALIS</v>
          </cell>
          <cell r="L2217" t="str">
            <v>RODRIGO</v>
          </cell>
          <cell r="M2217" t="str">
            <v>RAQUEL BARBOSA</v>
          </cell>
        </row>
        <row r="2218">
          <cell r="B2218">
            <v>5351380</v>
          </cell>
          <cell r="C2218" t="str">
            <v>MARTINETTO COM DE ALIMENTOS LTD</v>
          </cell>
          <cell r="D2218" t="str">
            <v>7001</v>
          </cell>
          <cell r="E2218" t="str">
            <v>0749</v>
          </cell>
          <cell r="F2218" t="str">
            <v>C5</v>
          </cell>
          <cell r="G2218" t="str">
            <v>SP</v>
          </cell>
          <cell r="H2218" t="str">
            <v>DISTRIBUIÇÃO</v>
          </cell>
          <cell r="I2218" t="str">
            <v>FOOD SERVICE</v>
          </cell>
          <cell r="J2218" t="str">
            <v>FLAC 2</v>
          </cell>
          <cell r="K2218" t="str">
            <v>LACTALIS</v>
          </cell>
          <cell r="L2218" t="str">
            <v>RODRIGO</v>
          </cell>
          <cell r="M2218" t="str">
            <v>RAQUEL BARBOSA</v>
          </cell>
        </row>
        <row r="2219">
          <cell r="B2219">
            <v>5126977</v>
          </cell>
          <cell r="C2219" t="str">
            <v>COMERCIO DE ALIMENTOS NOVO MEXIC</v>
          </cell>
          <cell r="D2219" t="str">
            <v>6001</v>
          </cell>
          <cell r="E2219" t="str">
            <v>6169</v>
          </cell>
          <cell r="F2219" t="str">
            <v>C1</v>
          </cell>
          <cell r="G2219" t="str">
            <v>ES</v>
          </cell>
          <cell r="H2219" t="str">
            <v>DISTRIBUIÇÃO</v>
          </cell>
          <cell r="I2219" t="str">
            <v>FOOD SERVICE</v>
          </cell>
          <cell r="J2219" t="str">
            <v>MARCELO DUARTE</v>
          </cell>
          <cell r="K2219" t="str">
            <v>ITAMBÉ</v>
          </cell>
          <cell r="L2219" t="str">
            <v>RODRIGO</v>
          </cell>
          <cell r="M2219" t="str">
            <v>JESSICA</v>
          </cell>
        </row>
        <row r="2220">
          <cell r="B2220">
            <v>5313531</v>
          </cell>
          <cell r="C2220" t="str">
            <v>VIA LACTEA INDUSTRIA E COMERCIO</v>
          </cell>
          <cell r="D2220" t="str">
            <v>3001</v>
          </cell>
          <cell r="E2220" t="str">
            <v>0028</v>
          </cell>
          <cell r="F2220" t="str">
            <v>C1</v>
          </cell>
          <cell r="G2220" t="str">
            <v>CE</v>
          </cell>
          <cell r="H2220" t="str">
            <v>INGREDIENTS</v>
          </cell>
          <cell r="I2220" t="str">
            <v>INGREDIENTS</v>
          </cell>
          <cell r="J2220" t="str">
            <v>JOEL ELEOTÉRIO</v>
          </cell>
          <cell r="K2220" t="str">
            <v>ITAMBÉ</v>
          </cell>
          <cell r="L2220" t="str">
            <v>MAURICIO</v>
          </cell>
          <cell r="M2220" t="str">
            <v>JOEL</v>
          </cell>
        </row>
        <row r="2221">
          <cell r="B2221">
            <v>5328876</v>
          </cell>
          <cell r="C2221" t="str">
            <v>SAO LUIS 84 EVENTOS LTDA</v>
          </cell>
          <cell r="D2221" t="str">
            <v>7001</v>
          </cell>
          <cell r="E2221" t="str">
            <v>0749</v>
          </cell>
          <cell r="F2221" t="str">
            <v>C5</v>
          </cell>
          <cell r="G2221" t="str">
            <v>SP</v>
          </cell>
          <cell r="H2221" t="str">
            <v>DISTRIBUIÇÃO</v>
          </cell>
          <cell r="I2221" t="str">
            <v>FOOD SERVICE</v>
          </cell>
          <cell r="J2221" t="str">
            <v>FLAC 5</v>
          </cell>
          <cell r="K2221" t="str">
            <v>LACTALIS</v>
          </cell>
          <cell r="L2221" t="str">
            <v>RODRIGO</v>
          </cell>
          <cell r="M2221" t="str">
            <v>RAQUEL BARBOSA</v>
          </cell>
        </row>
        <row r="2222">
          <cell r="B2222">
            <v>5351261</v>
          </cell>
          <cell r="C2222" t="str">
            <v>NOVAMIX F SERVICE COM DE AL L</v>
          </cell>
          <cell r="D2222" t="str">
            <v>6001</v>
          </cell>
          <cell r="E2222" t="str">
            <v>6169</v>
          </cell>
          <cell r="F2222" t="str">
            <v>C1</v>
          </cell>
          <cell r="G2222" t="str">
            <v>RJ</v>
          </cell>
          <cell r="H2222" t="str">
            <v>DISTRIBUIÇÃO</v>
          </cell>
          <cell r="I2222" t="str">
            <v>FOOD SERVICE</v>
          </cell>
          <cell r="J2222" t="str">
            <v>JULIANA CORDEIRO</v>
          </cell>
          <cell r="K2222" t="str">
            <v>ITAMBÉ</v>
          </cell>
          <cell r="L2222" t="str">
            <v>RODRIGO</v>
          </cell>
          <cell r="M2222" t="str">
            <v>JESSICA</v>
          </cell>
        </row>
        <row r="2223">
          <cell r="B2223">
            <v>5337639</v>
          </cell>
          <cell r="C2223" t="str">
            <v>BARRIND INDUSTRIA E COMERCIO</v>
          </cell>
          <cell r="D2223" t="str">
            <v>3001</v>
          </cell>
          <cell r="E2223" t="str">
            <v>0028</v>
          </cell>
          <cell r="F2223" t="str">
            <v>C1</v>
          </cell>
          <cell r="G2223" t="str">
            <v>MG</v>
          </cell>
          <cell r="H2223" t="str">
            <v>INGREDIENTS</v>
          </cell>
          <cell r="I2223" t="str">
            <v>INGREDIENTS</v>
          </cell>
          <cell r="J2223" t="str">
            <v>HENRIQUE FERREIRA</v>
          </cell>
          <cell r="K2223" t="str">
            <v>ITAMBÉ</v>
          </cell>
          <cell r="L2223" t="str">
            <v>MAURICIO</v>
          </cell>
          <cell r="M2223" t="str">
            <v>JOEL</v>
          </cell>
        </row>
        <row r="2224">
          <cell r="B2224">
            <v>5351187</v>
          </cell>
          <cell r="C2224" t="str">
            <v>CAFE FRATELLI FRANQUEADORA LTDA</v>
          </cell>
          <cell r="D2224" t="str">
            <v>7001</v>
          </cell>
          <cell r="E2224" t="str">
            <v>0749</v>
          </cell>
          <cell r="F2224" t="str">
            <v>C5</v>
          </cell>
          <cell r="G2224" t="str">
            <v>SP</v>
          </cell>
          <cell r="H2224" t="str">
            <v>DISTRIBUIÇÃO</v>
          </cell>
          <cell r="I2224" t="str">
            <v>FOOD SERVICE</v>
          </cell>
          <cell r="J2224" t="str">
            <v>FLAC 7</v>
          </cell>
          <cell r="K2224" t="str">
            <v>LACTALIS</v>
          </cell>
          <cell r="L2224" t="str">
            <v>RODRIGO</v>
          </cell>
          <cell r="M2224" t="str">
            <v>RAQUEL BARBOSA</v>
          </cell>
        </row>
        <row r="2225">
          <cell r="B2225">
            <v>5263491</v>
          </cell>
          <cell r="C2225" t="str">
            <v>PRISCILA APARECIDA DA SILVA 2153572</v>
          </cell>
          <cell r="D2225" t="str">
            <v>7001</v>
          </cell>
          <cell r="E2225" t="str">
            <v>0749</v>
          </cell>
          <cell r="F2225" t="str">
            <v>C5</v>
          </cell>
          <cell r="G2225" t="str">
            <v>SP</v>
          </cell>
          <cell r="H2225" t="str">
            <v>DISTRIBUIÇÃO</v>
          </cell>
          <cell r="I2225" t="str">
            <v>FOOD SERVICE</v>
          </cell>
          <cell r="J2225" t="str">
            <v>FLAC 3</v>
          </cell>
          <cell r="K2225" t="str">
            <v>LACTALIS</v>
          </cell>
          <cell r="L2225" t="str">
            <v>RODRIGO</v>
          </cell>
          <cell r="M2225" t="str">
            <v>RAQUEL BARBOSA</v>
          </cell>
        </row>
        <row r="2226">
          <cell r="B2226">
            <v>5266491</v>
          </cell>
          <cell r="C2226" t="str">
            <v>CHEF MARCELO MARQUES PANIFICAC</v>
          </cell>
          <cell r="D2226" t="str">
            <v>7001</v>
          </cell>
          <cell r="E2226" t="str">
            <v>0749</v>
          </cell>
          <cell r="F2226" t="str">
            <v>C5</v>
          </cell>
          <cell r="G2226" t="str">
            <v>SP</v>
          </cell>
          <cell r="H2226" t="str">
            <v>DISTRIBUIÇÃO</v>
          </cell>
          <cell r="I2226" t="str">
            <v>FOOD SERVICE</v>
          </cell>
          <cell r="J2226" t="str">
            <v>FLAC 3</v>
          </cell>
          <cell r="K2226" t="str">
            <v>LACTALIS</v>
          </cell>
          <cell r="L2226" t="str">
            <v>RODRIGO</v>
          </cell>
          <cell r="M2226" t="str">
            <v>RAQUEL BARBOSA</v>
          </cell>
        </row>
        <row r="2227">
          <cell r="B2227">
            <v>5339972</v>
          </cell>
          <cell r="C2227" t="str">
            <v>STI IND E COM DE PROD ALIM LTD</v>
          </cell>
          <cell r="D2227" t="str">
            <v>7001</v>
          </cell>
          <cell r="E2227" t="str">
            <v>0749</v>
          </cell>
          <cell r="F2227" t="str">
            <v>C5</v>
          </cell>
          <cell r="G2227" t="str">
            <v>SP</v>
          </cell>
          <cell r="H2227" t="str">
            <v>DISTRIBUIÇÃO</v>
          </cell>
          <cell r="I2227" t="str">
            <v>FOOD SERVICE</v>
          </cell>
          <cell r="J2227" t="str">
            <v>FLAC 6</v>
          </cell>
          <cell r="K2227" t="str">
            <v>LACTALIS</v>
          </cell>
          <cell r="L2227" t="str">
            <v>RODRIGO</v>
          </cell>
          <cell r="M2227" t="str">
            <v>RAQUEL BARBOSA</v>
          </cell>
        </row>
        <row r="2228">
          <cell r="B2228">
            <v>5350369</v>
          </cell>
          <cell r="C2228" t="str">
            <v>PANIFICADORA ARTESANAL DE SERRA</v>
          </cell>
          <cell r="D2228" t="str">
            <v>7001</v>
          </cell>
          <cell r="E2228" t="str">
            <v>0749</v>
          </cell>
          <cell r="F2228" t="str">
            <v>C5</v>
          </cell>
          <cell r="G2228" t="str">
            <v>SP</v>
          </cell>
          <cell r="H2228" t="str">
            <v>DISTRIBUIÇÃO</v>
          </cell>
          <cell r="I2228" t="str">
            <v>FOOD SERVICE</v>
          </cell>
          <cell r="J2228" t="str">
            <v>FLAC 7</v>
          </cell>
          <cell r="K2228" t="str">
            <v>LACTALIS</v>
          </cell>
          <cell r="L2228" t="str">
            <v>RODRIGO</v>
          </cell>
          <cell r="M2228" t="str">
            <v>RAQUEL BARBOSA</v>
          </cell>
        </row>
        <row r="2229">
          <cell r="B2229">
            <v>5351400</v>
          </cell>
          <cell r="C2229" t="str">
            <v>HARALD IND E COM DE ALIMENTOS L</v>
          </cell>
          <cell r="D2229" t="str">
            <v>3001</v>
          </cell>
          <cell r="E2229" t="str">
            <v>0028</v>
          </cell>
          <cell r="F2229" t="str">
            <v>C1</v>
          </cell>
          <cell r="G2229" t="str">
            <v>SP</v>
          </cell>
          <cell r="H2229" t="str">
            <v>INGREDIENTS</v>
          </cell>
          <cell r="I2229" t="str">
            <v>INGREDIENTS</v>
          </cell>
          <cell r="J2229" t="str">
            <v>TATIANA NITTA</v>
          </cell>
          <cell r="K2229" t="str">
            <v>ITAMBÉ</v>
          </cell>
          <cell r="L2229" t="str">
            <v>MAURICIO</v>
          </cell>
          <cell r="M2229" t="str">
            <v>TATIANA NITTA</v>
          </cell>
        </row>
        <row r="2230">
          <cell r="B2230">
            <v>5351706</v>
          </cell>
          <cell r="C2230" t="str">
            <v>BPM IND E COM DE ALIMENTOS S A</v>
          </cell>
          <cell r="D2230" t="str">
            <v>6001</v>
          </cell>
          <cell r="E2230" t="str">
            <v>6125</v>
          </cell>
          <cell r="F2230" t="str">
            <v>C1</v>
          </cell>
          <cell r="G2230" t="str">
            <v>SP</v>
          </cell>
          <cell r="H2230" t="str">
            <v>INGREDIENTS</v>
          </cell>
          <cell r="I2230" t="str">
            <v>INGREDIENTS</v>
          </cell>
          <cell r="J2230" t="str">
            <v>MARCELO RODRIGUES</v>
          </cell>
          <cell r="K2230" t="str">
            <v>ITAMBÉ</v>
          </cell>
          <cell r="L2230" t="str">
            <v>MAURICIO</v>
          </cell>
          <cell r="M2230" t="str">
            <v>MARCELO</v>
          </cell>
        </row>
        <row r="2231">
          <cell r="B2231">
            <v>5040108</v>
          </cell>
          <cell r="C2231" t="str">
            <v>CCN COMERCIO CENTRO NORTE ALIM LT</v>
          </cell>
          <cell r="D2231" t="str">
            <v>7001</v>
          </cell>
          <cell r="E2231" t="str">
            <v>0750</v>
          </cell>
          <cell r="F2231" t="str">
            <v>C5</v>
          </cell>
          <cell r="G2231" t="str">
            <v>RJ</v>
          </cell>
          <cell r="H2231" t="str">
            <v>DISTRIBUIÇÃO</v>
          </cell>
          <cell r="I2231" t="str">
            <v>FOOD SERVICE</v>
          </cell>
          <cell r="J2231" t="str">
            <v>CLAUDIO JORGE</v>
          </cell>
          <cell r="K2231" t="str">
            <v>LACTALIS</v>
          </cell>
          <cell r="L2231" t="str">
            <v>RODRIGO</v>
          </cell>
          <cell r="M2231" t="str">
            <v>JESSICA</v>
          </cell>
        </row>
        <row r="2232">
          <cell r="B2232">
            <v>5234290</v>
          </cell>
          <cell r="C2232" t="str">
            <v>ZAQUI E ZAQUI IND E COM BEBIDAS</v>
          </cell>
          <cell r="D2232" t="str">
            <v>6001</v>
          </cell>
          <cell r="E2232" t="str">
            <v>6028</v>
          </cell>
          <cell r="F2232" t="str">
            <v>C1</v>
          </cell>
          <cell r="G2232" t="str">
            <v>SP</v>
          </cell>
          <cell r="H2232" t="str">
            <v>INGREDIENTS</v>
          </cell>
          <cell r="I2232" t="str">
            <v>INGREDIENTS</v>
          </cell>
          <cell r="J2232" t="str">
            <v>TATIANA NITTA</v>
          </cell>
          <cell r="K2232" t="str">
            <v>ITAMBÉ</v>
          </cell>
          <cell r="L2232" t="str">
            <v>MAURICIO</v>
          </cell>
          <cell r="M2232" t="str">
            <v>TATIANA NITTA</v>
          </cell>
        </row>
        <row r="2233">
          <cell r="B2233">
            <v>5338667</v>
          </cell>
          <cell r="C2233" t="str">
            <v>IBAE IND BRASILEIRA DE ALI ESP LTDA</v>
          </cell>
          <cell r="D2233" t="str">
            <v>3001</v>
          </cell>
          <cell r="E2233" t="str">
            <v>0028</v>
          </cell>
          <cell r="F2233" t="str">
            <v>C1</v>
          </cell>
          <cell r="G2233" t="str">
            <v>ES</v>
          </cell>
          <cell r="H2233" t="str">
            <v>INGREDIENTS</v>
          </cell>
          <cell r="I2233" t="str">
            <v>INGREDIENTS</v>
          </cell>
          <cell r="J2233" t="str">
            <v>TATIANA NITTA</v>
          </cell>
          <cell r="K2233" t="str">
            <v>ITAMBÉ</v>
          </cell>
          <cell r="L2233" t="str">
            <v>MAURICIO</v>
          </cell>
          <cell r="M2233" t="str">
            <v>TATIANA NITTA</v>
          </cell>
        </row>
        <row r="2234">
          <cell r="B2234">
            <v>5351379</v>
          </cell>
          <cell r="C2234" t="str">
            <v>CPQ PAULISTANO COM DE P A LTDA</v>
          </cell>
          <cell r="D2234" t="str">
            <v>7001</v>
          </cell>
          <cell r="E2234" t="str">
            <v>0749</v>
          </cell>
          <cell r="F2234" t="str">
            <v>C5</v>
          </cell>
          <cell r="G2234" t="str">
            <v>SP</v>
          </cell>
          <cell r="H2234" t="str">
            <v>DISTRIBUIÇÃO</v>
          </cell>
          <cell r="I2234" t="str">
            <v>FOOD SERVICE</v>
          </cell>
          <cell r="J2234" t="str">
            <v>FLAC 3</v>
          </cell>
          <cell r="K2234" t="str">
            <v>LACTALIS</v>
          </cell>
          <cell r="L2234" t="str">
            <v>RODRIGO</v>
          </cell>
          <cell r="M2234" t="str">
            <v>RAQUEL BARBOSA</v>
          </cell>
        </row>
        <row r="2235">
          <cell r="B2235">
            <v>5194510</v>
          </cell>
          <cell r="C2235" t="str">
            <v>ALEGRO ALIMENTOS LTDA</v>
          </cell>
          <cell r="D2235" t="str">
            <v>6001</v>
          </cell>
          <cell r="E2235" t="str">
            <v>6009</v>
          </cell>
          <cell r="F2235" t="str">
            <v>C1</v>
          </cell>
          <cell r="G2235" t="str">
            <v>BA</v>
          </cell>
          <cell r="H2235" t="str">
            <v>DISTRIBUIÇÃO</v>
          </cell>
          <cell r="I2235" t="str">
            <v>FOOD SERVICE</v>
          </cell>
          <cell r="J2235" t="str">
            <v>CLAUDIO JORGE/LUIZ</v>
          </cell>
          <cell r="K2235" t="str">
            <v>ITAMBÉ</v>
          </cell>
          <cell r="L2235" t="str">
            <v>RODRIGO</v>
          </cell>
          <cell r="M2235" t="str">
            <v>MARIA LOURDES</v>
          </cell>
        </row>
        <row r="2236">
          <cell r="B2236">
            <v>5220998</v>
          </cell>
          <cell r="C2236" t="str">
            <v>GELADOM SORVETES LTDA</v>
          </cell>
          <cell r="D2236" t="str">
            <v>6001</v>
          </cell>
          <cell r="E2236" t="str">
            <v>6009</v>
          </cell>
          <cell r="F2236" t="str">
            <v>C1</v>
          </cell>
          <cell r="G2236" t="str">
            <v>BA</v>
          </cell>
          <cell r="H2236" t="str">
            <v>DISTRIBUIÇÃO</v>
          </cell>
          <cell r="I2236" t="str">
            <v>FOOD SERVICE</v>
          </cell>
          <cell r="J2236" t="str">
            <v>CLAUDIO JORGE/LUIZ</v>
          </cell>
          <cell r="K2236" t="str">
            <v>ITAMBÉ</v>
          </cell>
          <cell r="L2236" t="str">
            <v>RODRIGO</v>
          </cell>
          <cell r="M2236" t="str">
            <v>MARIA LOURDES</v>
          </cell>
        </row>
        <row r="2237">
          <cell r="B2237">
            <v>5313531</v>
          </cell>
          <cell r="C2237" t="str">
            <v>VIA LACTEA INDUSTRIA E COMERCIO</v>
          </cell>
          <cell r="D2237" t="str">
            <v>6001</v>
          </cell>
          <cell r="E2237" t="str">
            <v>6028</v>
          </cell>
          <cell r="F2237" t="str">
            <v>C1</v>
          </cell>
          <cell r="G2237" t="str">
            <v>CE</v>
          </cell>
          <cell r="H2237" t="str">
            <v>INGREDIENTS</v>
          </cell>
          <cell r="I2237" t="str">
            <v>INGREDIENTS</v>
          </cell>
          <cell r="J2237" t="str">
            <v>JOEL ELEOTÉRIO</v>
          </cell>
          <cell r="K2237" t="str">
            <v>ITAMBÉ</v>
          </cell>
          <cell r="L2237" t="str">
            <v>MAURICIO</v>
          </cell>
          <cell r="M2237" t="str">
            <v>JOEL</v>
          </cell>
        </row>
        <row r="2238">
          <cell r="B2238">
            <v>5347670</v>
          </cell>
          <cell r="C2238" t="str">
            <v>KOHI CAFETERIA LTDA</v>
          </cell>
          <cell r="D2238" t="str">
            <v>7001</v>
          </cell>
          <cell r="E2238" t="str">
            <v>0749</v>
          </cell>
          <cell r="F2238" t="str">
            <v>C5</v>
          </cell>
          <cell r="G2238" t="str">
            <v>SP</v>
          </cell>
          <cell r="H2238" t="str">
            <v>DISTRIBUIÇÃO</v>
          </cell>
          <cell r="I2238" t="str">
            <v>FOOD SERVICE</v>
          </cell>
          <cell r="J2238" t="str">
            <v>FLAC 3</v>
          </cell>
          <cell r="K2238" t="str">
            <v>LACTALIS</v>
          </cell>
          <cell r="L2238" t="str">
            <v>RODRIGO</v>
          </cell>
          <cell r="M2238" t="str">
            <v>RAQUEL BARBOSA</v>
          </cell>
        </row>
        <row r="2239">
          <cell r="B2239">
            <v>5346063</v>
          </cell>
          <cell r="C2239" t="str">
            <v>COMERCIAL ATACADISTA NECHIO LTD</v>
          </cell>
          <cell r="D2239" t="str">
            <v>6001</v>
          </cell>
          <cell r="E2239" t="str">
            <v>6169</v>
          </cell>
          <cell r="F2239" t="str">
            <v>C1</v>
          </cell>
          <cell r="G2239" t="str">
            <v>RJ</v>
          </cell>
          <cell r="H2239" t="str">
            <v>DISTRIBUIÇÃO</v>
          </cell>
          <cell r="I2239" t="str">
            <v>FOOD SERVICE</v>
          </cell>
          <cell r="J2239" t="str">
            <v>LUCIANA MARTINS</v>
          </cell>
          <cell r="K2239" t="str">
            <v>ITAMBÉ</v>
          </cell>
          <cell r="L2239" t="str">
            <v>RODRIGO</v>
          </cell>
          <cell r="M2239" t="str">
            <v>JESSICA</v>
          </cell>
        </row>
        <row r="2240">
          <cell r="B2240">
            <v>5142828</v>
          </cell>
          <cell r="C2240" t="str">
            <v>JACOMASSO COMERCIO DE BOLOS LTDA</v>
          </cell>
          <cell r="D2240" t="str">
            <v>3001</v>
          </cell>
          <cell r="E2240" t="str">
            <v>0126</v>
          </cell>
          <cell r="F2240" t="str">
            <v>C1</v>
          </cell>
          <cell r="G2240" t="str">
            <v>PR</v>
          </cell>
          <cell r="H2240" t="str">
            <v>DISTRIBUIÇÃO</v>
          </cell>
          <cell r="I2240" t="str">
            <v>FOOD SERVICE</v>
          </cell>
          <cell r="J2240" t="str">
            <v>ANGELICA BATISTELA</v>
          </cell>
          <cell r="K2240" t="str">
            <v>ITAMBÉ</v>
          </cell>
          <cell r="L2240" t="str">
            <v>RODRIGO</v>
          </cell>
          <cell r="M2240" t="str">
            <v>ANGELICA BATISTELA</v>
          </cell>
        </row>
        <row r="2241">
          <cell r="B2241">
            <v>5211387</v>
          </cell>
          <cell r="C2241" t="str">
            <v>C B M MORAES COMERCIO DE PRODUT</v>
          </cell>
          <cell r="D2241" t="str">
            <v>6001</v>
          </cell>
          <cell r="E2241" t="str">
            <v>6169</v>
          </cell>
          <cell r="F2241" t="str">
            <v>C1</v>
          </cell>
          <cell r="G2241" t="str">
            <v>ES</v>
          </cell>
          <cell r="H2241" t="str">
            <v>DISTRIBUIÇÃO</v>
          </cell>
          <cell r="I2241" t="str">
            <v>FOOD SERVICE</v>
          </cell>
          <cell r="J2241" t="str">
            <v>MARCELO DUARTE</v>
          </cell>
          <cell r="K2241" t="str">
            <v>ITAMBÉ</v>
          </cell>
          <cell r="L2241" t="str">
            <v>RODRIGO</v>
          </cell>
          <cell r="M2241" t="str">
            <v>JESSICA</v>
          </cell>
        </row>
        <row r="2242">
          <cell r="B2242">
            <v>5313518</v>
          </cell>
          <cell r="C2242" t="str">
            <v>ANA MARTINS DOCERIA LTDA</v>
          </cell>
          <cell r="D2242" t="str">
            <v>7001</v>
          </cell>
          <cell r="E2242" t="str">
            <v>0749</v>
          </cell>
          <cell r="F2242" t="str">
            <v>C5</v>
          </cell>
          <cell r="G2242" t="str">
            <v>SP</v>
          </cell>
          <cell r="H2242" t="str">
            <v>DISTRIBUIÇÃO</v>
          </cell>
          <cell r="I2242" t="str">
            <v>FOOD SERVICE</v>
          </cell>
          <cell r="J2242" t="str">
            <v>FLAC 6</v>
          </cell>
          <cell r="K2242" t="str">
            <v>LACTALIS</v>
          </cell>
          <cell r="L2242" t="str">
            <v>RODRIGO</v>
          </cell>
          <cell r="M2242" t="str">
            <v>RAQUEL BARBOSA</v>
          </cell>
        </row>
        <row r="2243">
          <cell r="B2243">
            <v>5322183</v>
          </cell>
          <cell r="C2243" t="str">
            <v>RJR ALIMENTACOES LTDA</v>
          </cell>
          <cell r="D2243" t="str">
            <v>7001</v>
          </cell>
          <cell r="E2243" t="str">
            <v>0749</v>
          </cell>
          <cell r="F2243" t="str">
            <v>C5</v>
          </cell>
          <cell r="G2243" t="str">
            <v>SP</v>
          </cell>
          <cell r="H2243" t="str">
            <v>DISTRIBUIÇÃO</v>
          </cell>
          <cell r="I2243" t="str">
            <v>FOOD SERVICE</v>
          </cell>
          <cell r="J2243" t="str">
            <v>FLAC 2</v>
          </cell>
          <cell r="K2243" t="str">
            <v>LACTALIS</v>
          </cell>
          <cell r="L2243" t="str">
            <v>RODRIGO</v>
          </cell>
          <cell r="M2243" t="str">
            <v>RAQUEL BARBOSA</v>
          </cell>
        </row>
        <row r="2244">
          <cell r="B2244">
            <v>5352114</v>
          </cell>
          <cell r="C2244" t="str">
            <v>FERNANDO RODRIGUES P COM DE ALI</v>
          </cell>
          <cell r="D2244" t="str">
            <v>7001</v>
          </cell>
          <cell r="E2244" t="str">
            <v>0749</v>
          </cell>
          <cell r="F2244" t="str">
            <v>C5</v>
          </cell>
          <cell r="G2244" t="str">
            <v>SP</v>
          </cell>
          <cell r="H2244" t="str">
            <v>DISTRIBUIÇÃO</v>
          </cell>
          <cell r="I2244" t="str">
            <v>FOOD SERVICE</v>
          </cell>
          <cell r="J2244" t="str">
            <v>FLAC 5</v>
          </cell>
          <cell r="K2244" t="str">
            <v>LACTALIS</v>
          </cell>
          <cell r="L2244" t="str">
            <v>RODRIGO</v>
          </cell>
          <cell r="M2244" t="str">
            <v>RAQUEL BARBOSA</v>
          </cell>
        </row>
        <row r="2245">
          <cell r="B2245">
            <v>5217192</v>
          </cell>
          <cell r="C2245" t="str">
            <v>D P DOS SANTOS CAFETERIA</v>
          </cell>
          <cell r="D2245" t="str">
            <v>7001</v>
          </cell>
          <cell r="E2245" t="str">
            <v>0749</v>
          </cell>
          <cell r="F2245" t="str">
            <v>C5</v>
          </cell>
          <cell r="G2245" t="str">
            <v>SP</v>
          </cell>
          <cell r="H2245" t="str">
            <v>DISTRIBUIÇÃO</v>
          </cell>
          <cell r="I2245" t="str">
            <v>FOOD SERVICE</v>
          </cell>
          <cell r="J2245" t="str">
            <v>FLAC 7</v>
          </cell>
          <cell r="K2245" t="str">
            <v>LACTALIS</v>
          </cell>
          <cell r="L2245" t="str">
            <v>RODRIGO</v>
          </cell>
          <cell r="M2245" t="str">
            <v>RAQUEL BARBOSA</v>
          </cell>
        </row>
        <row r="2246">
          <cell r="B2246">
            <v>5262521</v>
          </cell>
          <cell r="C2246" t="str">
            <v>L R REST E LANC</v>
          </cell>
          <cell r="D2246" t="str">
            <v>7001</v>
          </cell>
          <cell r="E2246" t="str">
            <v>0749</v>
          </cell>
          <cell r="F2246" t="str">
            <v>C5</v>
          </cell>
          <cell r="G2246" t="str">
            <v>SP</v>
          </cell>
          <cell r="H2246" t="str">
            <v>DISTRIBUIÇÃO</v>
          </cell>
          <cell r="I2246" t="str">
            <v>FOOD SERVICE</v>
          </cell>
          <cell r="J2246" t="str">
            <v>FLAC 3</v>
          </cell>
          <cell r="K2246" t="str">
            <v>LACTALIS</v>
          </cell>
          <cell r="L2246" t="str">
            <v>RODRIGO</v>
          </cell>
          <cell r="M2246" t="str">
            <v>RAQUEL BARBOSA</v>
          </cell>
        </row>
        <row r="2247">
          <cell r="B2247">
            <v>5348882</v>
          </cell>
          <cell r="C2247" t="str">
            <v>LANCHONETE JOTAKA LTDA</v>
          </cell>
          <cell r="D2247" t="str">
            <v>7001</v>
          </cell>
          <cell r="E2247" t="str">
            <v>0749</v>
          </cell>
          <cell r="F2247" t="str">
            <v>C5</v>
          </cell>
          <cell r="G2247" t="str">
            <v>SP</v>
          </cell>
          <cell r="H2247" t="str">
            <v>DISTRIBUIÇÃO</v>
          </cell>
          <cell r="I2247" t="str">
            <v>FOOD SERVICE</v>
          </cell>
          <cell r="J2247" t="str">
            <v>FLAC 3</v>
          </cell>
          <cell r="K2247" t="str">
            <v>LACTALIS</v>
          </cell>
          <cell r="L2247" t="str">
            <v>RODRIGO</v>
          </cell>
          <cell r="M2247" t="str">
            <v>RAQUEL BARBOSA</v>
          </cell>
        </row>
        <row r="2248">
          <cell r="B2248">
            <v>5009420</v>
          </cell>
          <cell r="C2248" t="str">
            <v>BASF SA</v>
          </cell>
          <cell r="D2248" t="str">
            <v>6001</v>
          </cell>
          <cell r="E2248" t="str">
            <v>6028</v>
          </cell>
          <cell r="F2248" t="str">
            <v>C1</v>
          </cell>
          <cell r="G2248" t="str">
            <v>SP</v>
          </cell>
          <cell r="H2248" t="str">
            <v>INGREDIENTS</v>
          </cell>
          <cell r="I2248" t="str">
            <v>INGREDIENTS</v>
          </cell>
          <cell r="J2248" t="str">
            <v>HENRIQUE FERREIRA</v>
          </cell>
          <cell r="K2248" t="str">
            <v>ITAMBÉ</v>
          </cell>
          <cell r="L2248" t="str">
            <v>MAURICIO</v>
          </cell>
          <cell r="M2248" t="str">
            <v>JOEL</v>
          </cell>
        </row>
        <row r="2249">
          <cell r="B2249">
            <v>5014667</v>
          </cell>
          <cell r="C2249" t="str">
            <v>H E D ALIMENTOS LTDA</v>
          </cell>
          <cell r="D2249" t="str">
            <v>3001</v>
          </cell>
          <cell r="E2249" t="str">
            <v>0126</v>
          </cell>
          <cell r="F2249" t="str">
            <v>C1</v>
          </cell>
          <cell r="G2249" t="str">
            <v>PR</v>
          </cell>
          <cell r="H2249" t="str">
            <v>DISTRIBUIÇÃO</v>
          </cell>
          <cell r="I2249" t="str">
            <v>FOOD SERVICE</v>
          </cell>
          <cell r="J2249" t="str">
            <v>ANGELICA BATISTELA</v>
          </cell>
          <cell r="K2249" t="str">
            <v>ITAMBÉ</v>
          </cell>
          <cell r="L2249" t="str">
            <v>RODRIGO</v>
          </cell>
          <cell r="M2249" t="str">
            <v>ANGELICA BATISTELA</v>
          </cell>
        </row>
        <row r="2250">
          <cell r="B2250">
            <v>5259823</v>
          </cell>
          <cell r="C2250" t="str">
            <v>SGCJ COM DE PRODUTOS ALIMENT LT</v>
          </cell>
          <cell r="D2250" t="str">
            <v>7001</v>
          </cell>
          <cell r="E2250" t="str">
            <v>0749</v>
          </cell>
          <cell r="F2250" t="str">
            <v>C5</v>
          </cell>
          <cell r="G2250" t="str">
            <v>SP</v>
          </cell>
          <cell r="H2250" t="str">
            <v>DISTRIBUIÇÃO</v>
          </cell>
          <cell r="I2250" t="str">
            <v>FOOD SERVICE</v>
          </cell>
          <cell r="J2250" t="str">
            <v>FLAC 3</v>
          </cell>
          <cell r="K2250" t="str">
            <v>LACTALIS</v>
          </cell>
          <cell r="L2250" t="str">
            <v>RODRIGO</v>
          </cell>
          <cell r="M2250" t="str">
            <v>RAQUEL BARBOSA</v>
          </cell>
        </row>
        <row r="2251">
          <cell r="B2251">
            <v>5128707</v>
          </cell>
          <cell r="C2251" t="str">
            <v>ARMAZEM TOP ALTO LTDA</v>
          </cell>
          <cell r="D2251" t="str">
            <v>7001</v>
          </cell>
          <cell r="E2251" t="str">
            <v>0558</v>
          </cell>
          <cell r="F2251" t="str">
            <v>C5</v>
          </cell>
          <cell r="G2251" t="str">
            <v>BA</v>
          </cell>
          <cell r="H2251" t="str">
            <v>DISTRIBUIÇÃO</v>
          </cell>
          <cell r="I2251" t="str">
            <v>FOOD SERVICE</v>
          </cell>
          <cell r="J2251" t="str">
            <v>CLAUDIO JORGE</v>
          </cell>
          <cell r="K2251" t="str">
            <v>LACTALIS</v>
          </cell>
          <cell r="L2251" t="str">
            <v>RODRIGO</v>
          </cell>
          <cell r="M2251" t="str">
            <v>MARIA LOURDES</v>
          </cell>
        </row>
        <row r="2252">
          <cell r="B2252">
            <v>5130738</v>
          </cell>
          <cell r="C2252" t="str">
            <v>ODAIR JOSE DA SILVA COUTO 88212</v>
          </cell>
          <cell r="D2252" t="str">
            <v>6001</v>
          </cell>
          <cell r="E2252" t="str">
            <v>6009</v>
          </cell>
          <cell r="F2252" t="str">
            <v>C1</v>
          </cell>
          <cell r="G2252" t="str">
            <v>BA</v>
          </cell>
          <cell r="H2252" t="str">
            <v>DISTRIBUIÇÃO</v>
          </cell>
          <cell r="I2252" t="str">
            <v>FOOD SERVICE</v>
          </cell>
          <cell r="J2252" t="str">
            <v>CLAUDIO JORGE/LUIZ</v>
          </cell>
          <cell r="K2252" t="str">
            <v>ITAMBÉ</v>
          </cell>
          <cell r="L2252" t="str">
            <v>RODRIGO</v>
          </cell>
          <cell r="M2252" t="str">
            <v>MARIA LOURDES</v>
          </cell>
        </row>
        <row r="2253">
          <cell r="B2253">
            <v>5261771</v>
          </cell>
          <cell r="C2253" t="str">
            <v>HOTELARIA ACCOR BRASIL SA</v>
          </cell>
          <cell r="D2253" t="str">
            <v>7001</v>
          </cell>
          <cell r="E2253" t="str">
            <v>0749</v>
          </cell>
          <cell r="F2253" t="str">
            <v>C5</v>
          </cell>
          <cell r="G2253" t="str">
            <v>SP</v>
          </cell>
          <cell r="H2253" t="str">
            <v>DISTRIBUIÇÃO</v>
          </cell>
          <cell r="I2253" t="str">
            <v>FOOD SERVICE</v>
          </cell>
          <cell r="J2253" t="str">
            <v>FLAC 5</v>
          </cell>
          <cell r="K2253" t="str">
            <v>LACTALIS</v>
          </cell>
          <cell r="L2253" t="str">
            <v>RODRIGO</v>
          </cell>
          <cell r="M2253" t="str">
            <v>RAQUEL BARBOSA</v>
          </cell>
        </row>
        <row r="2254">
          <cell r="B2254">
            <v>5302744</v>
          </cell>
          <cell r="C2254" t="str">
            <v>HCN COMERCIO DE PRODUTOS PARA C</v>
          </cell>
          <cell r="D2254" t="str">
            <v>6001</v>
          </cell>
          <cell r="E2254" t="str">
            <v>6125</v>
          </cell>
          <cell r="F2254" t="str">
            <v>C1</v>
          </cell>
          <cell r="G2254" t="str">
            <v>SP</v>
          </cell>
          <cell r="H2254" t="str">
            <v>DISTRIBUIÇÃO</v>
          </cell>
          <cell r="I2254" t="str">
            <v>FOOD SERVICE</v>
          </cell>
          <cell r="J2254" t="str">
            <v>SP ITB FS FLAC REP.E COMERCIO</v>
          </cell>
          <cell r="K2254" t="str">
            <v>ITAMBÉ</v>
          </cell>
          <cell r="L2254" t="str">
            <v>RODRIGO</v>
          </cell>
          <cell r="M2254" t="str">
            <v>RAQUEL BARBOSA</v>
          </cell>
        </row>
        <row r="2255">
          <cell r="B2255">
            <v>5347144</v>
          </cell>
          <cell r="C2255" t="str">
            <v>MBF IND E COM DE ALIMENTOS LTDA</v>
          </cell>
          <cell r="D2255" t="str">
            <v>4001</v>
          </cell>
          <cell r="E2255" t="str">
            <v>0437</v>
          </cell>
          <cell r="F2255" t="str">
            <v>C1</v>
          </cell>
          <cell r="G2255" t="str">
            <v>SP</v>
          </cell>
          <cell r="H2255" t="str">
            <v>INGREDIENTS</v>
          </cell>
          <cell r="I2255" t="str">
            <v>INGREDIENTS</v>
          </cell>
          <cell r="J2255" t="str">
            <v>TATIANA NITTA</v>
          </cell>
          <cell r="K2255" t="str">
            <v>LACTALIS</v>
          </cell>
          <cell r="L2255" t="str">
            <v>MAURICIO</v>
          </cell>
          <cell r="M2255" t="str">
            <v>TATIANA NITTA</v>
          </cell>
        </row>
        <row r="2256">
          <cell r="B2256">
            <v>5351617</v>
          </cell>
          <cell r="C2256" t="str">
            <v>BAR E RESTAURANTE BAR ABERTO LT</v>
          </cell>
          <cell r="D2256" t="str">
            <v>7001</v>
          </cell>
          <cell r="E2256" t="str">
            <v>0749</v>
          </cell>
          <cell r="F2256" t="str">
            <v>C5</v>
          </cell>
          <cell r="G2256" t="str">
            <v>SP</v>
          </cell>
          <cell r="H2256" t="str">
            <v>DISTRIBUIÇÃO</v>
          </cell>
          <cell r="I2256" t="str">
            <v>FOOD SERVICE</v>
          </cell>
          <cell r="J2256" t="str">
            <v>FLAC 2</v>
          </cell>
          <cell r="K2256" t="str">
            <v>LACTALIS</v>
          </cell>
          <cell r="L2256" t="str">
            <v>RODRIGO</v>
          </cell>
          <cell r="M2256" t="str">
            <v>RAQUEL BARBOSA</v>
          </cell>
        </row>
        <row r="2257">
          <cell r="B2257">
            <v>5352282</v>
          </cell>
          <cell r="C2257" t="str">
            <v>MOOCA BUNS LTDA</v>
          </cell>
          <cell r="D2257" t="str">
            <v>7001</v>
          </cell>
          <cell r="E2257" t="str">
            <v>0749</v>
          </cell>
          <cell r="F2257" t="str">
            <v>C5</v>
          </cell>
          <cell r="G2257" t="str">
            <v>SP</v>
          </cell>
          <cell r="H2257" t="str">
            <v>DISTRIBUIÇÃO</v>
          </cell>
          <cell r="I2257" t="str">
            <v>FOOD SERVICE</v>
          </cell>
          <cell r="J2257" t="str">
            <v>FLAC 5</v>
          </cell>
          <cell r="K2257" t="str">
            <v>LACTALIS</v>
          </cell>
          <cell r="L2257" t="str">
            <v>RODRIGO</v>
          </cell>
          <cell r="M2257" t="str">
            <v>RAQUEL BARBOSA</v>
          </cell>
        </row>
        <row r="2258">
          <cell r="B2258">
            <v>5036214</v>
          </cell>
          <cell r="C2258" t="str">
            <v>ESPACO CHEF COMERCIO E DIST LTD</v>
          </cell>
          <cell r="D2258" t="str">
            <v>7001</v>
          </cell>
          <cell r="E2258" t="str">
            <v>0559</v>
          </cell>
          <cell r="F2258" t="str">
            <v>C5</v>
          </cell>
          <cell r="G2258" t="str">
            <v>CE</v>
          </cell>
          <cell r="H2258" t="str">
            <v>DISTRIBUIÇÃO</v>
          </cell>
          <cell r="I2258" t="str">
            <v>FOOD SERVICE</v>
          </cell>
          <cell r="J2258" t="str">
            <v>CLAUDIO JORGE</v>
          </cell>
          <cell r="K2258" t="str">
            <v>LACTALIS</v>
          </cell>
          <cell r="L2258" t="str">
            <v>RODRIGO</v>
          </cell>
          <cell r="M2258" t="str">
            <v>MARIA LOURDES</v>
          </cell>
        </row>
        <row r="2259">
          <cell r="B2259">
            <v>5252593</v>
          </cell>
          <cell r="C2259" t="str">
            <v>LUCIANA SILVEIRA DA SILVA</v>
          </cell>
          <cell r="D2259" t="str">
            <v>4001</v>
          </cell>
          <cell r="E2259" t="str">
            <v>0437</v>
          </cell>
          <cell r="F2259" t="str">
            <v>C1</v>
          </cell>
          <cell r="G2259" t="str">
            <v>RS</v>
          </cell>
          <cell r="H2259" t="str">
            <v>INGREDIENTS</v>
          </cell>
          <cell r="I2259" t="str">
            <v>INGREDIENTS</v>
          </cell>
          <cell r="J2259" t="str">
            <v>JOEL ELEOTÉRIO</v>
          </cell>
          <cell r="K2259" t="str">
            <v>LACTALIS</v>
          </cell>
          <cell r="L2259" t="str">
            <v>MAURICIO</v>
          </cell>
          <cell r="M2259" t="str">
            <v>JOEL</v>
          </cell>
        </row>
        <row r="2260">
          <cell r="B2260">
            <v>5260577</v>
          </cell>
          <cell r="C2260" t="str">
            <v>MAFRIOS DIST E IMPORTADORA LTDA</v>
          </cell>
          <cell r="D2260" t="str">
            <v>7001</v>
          </cell>
          <cell r="E2260" t="str">
            <v>0565</v>
          </cell>
          <cell r="F2260" t="str">
            <v>C5</v>
          </cell>
          <cell r="G2260" t="str">
            <v>SE</v>
          </cell>
          <cell r="H2260" t="str">
            <v>DISTRIBUIÇÃO</v>
          </cell>
          <cell r="I2260" t="str">
            <v>FOOD SERVICE</v>
          </cell>
          <cell r="J2260" t="str">
            <v>CLAUDIO JORGE</v>
          </cell>
          <cell r="K2260" t="str">
            <v>LACTALIS</v>
          </cell>
          <cell r="L2260" t="str">
            <v>RODRIGO</v>
          </cell>
          <cell r="M2260" t="str">
            <v>MARIA LOURDES</v>
          </cell>
        </row>
        <row r="2261">
          <cell r="B2261">
            <v>5352493</v>
          </cell>
          <cell r="C2261" t="str">
            <v>44986618 MARCIO BEZERRA MENDONCA</v>
          </cell>
          <cell r="D2261" t="str">
            <v>7001</v>
          </cell>
          <cell r="E2261" t="str">
            <v>0749</v>
          </cell>
          <cell r="F2261" t="str">
            <v>C5</v>
          </cell>
          <cell r="G2261" t="str">
            <v>SP</v>
          </cell>
          <cell r="H2261" t="str">
            <v>DISTRIBUIÇÃO</v>
          </cell>
          <cell r="I2261" t="str">
            <v>FOOD SERVICE</v>
          </cell>
          <cell r="J2261" t="str">
            <v>FLAC 7</v>
          </cell>
          <cell r="K2261" t="str">
            <v>LACTALIS</v>
          </cell>
          <cell r="L2261" t="str">
            <v>RODRIGO</v>
          </cell>
          <cell r="M2261" t="str">
            <v>RAQUEL BARBOSA</v>
          </cell>
        </row>
        <row r="2262">
          <cell r="B2262">
            <v>5215067</v>
          </cell>
          <cell r="C2262" t="str">
            <v>ASSOC PRI I DE F DE D PONTIF ARA DO</v>
          </cell>
          <cell r="D2262" t="str">
            <v>7001</v>
          </cell>
          <cell r="E2262" t="str">
            <v>0749</v>
          </cell>
          <cell r="F2262" t="str">
            <v>C5</v>
          </cell>
          <cell r="G2262" t="str">
            <v>SP</v>
          </cell>
          <cell r="H2262" t="str">
            <v>DISTRIBUIÇÃO</v>
          </cell>
          <cell r="I2262" t="str">
            <v>FOOD SERVICE</v>
          </cell>
          <cell r="J2262" t="str">
            <v>FLAC 2</v>
          </cell>
          <cell r="K2262" t="str">
            <v>LACTALIS</v>
          </cell>
          <cell r="L2262" t="str">
            <v>RODRIGO</v>
          </cell>
          <cell r="M2262" t="str">
            <v>RAQUEL BARBOSA</v>
          </cell>
        </row>
        <row r="2263">
          <cell r="B2263">
            <v>5352279</v>
          </cell>
          <cell r="C2263" t="str">
            <v>BAKEBUN BAKERY IND E COM LTDA</v>
          </cell>
          <cell r="D2263" t="str">
            <v>7001</v>
          </cell>
          <cell r="E2263" t="str">
            <v>0749</v>
          </cell>
          <cell r="F2263" t="str">
            <v>C5</v>
          </cell>
          <cell r="G2263" t="str">
            <v>SP</v>
          </cell>
          <cell r="H2263" t="str">
            <v>DISTRIBUIÇÃO</v>
          </cell>
          <cell r="I2263" t="str">
            <v>FOOD SERVICE</v>
          </cell>
          <cell r="J2263" t="str">
            <v>FLAC 5</v>
          </cell>
          <cell r="K2263" t="str">
            <v>LACTALIS</v>
          </cell>
          <cell r="L2263" t="str">
            <v>RODRIGO</v>
          </cell>
          <cell r="M2263" t="str">
            <v>RAQUEL BARBOSA</v>
          </cell>
        </row>
        <row r="2264">
          <cell r="B2264">
            <v>5352580</v>
          </cell>
          <cell r="C2264" t="str">
            <v>MERCEARIA E RESTAURANTE POINT LTDA</v>
          </cell>
          <cell r="D2264" t="str">
            <v>7001</v>
          </cell>
          <cell r="E2264" t="str">
            <v>0749</v>
          </cell>
          <cell r="F2264" t="str">
            <v>C5</v>
          </cell>
          <cell r="G2264" t="str">
            <v>SP</v>
          </cell>
          <cell r="H2264" t="str">
            <v>DISTRIBUIÇÃO</v>
          </cell>
          <cell r="I2264" t="str">
            <v>FOOD SERVICE</v>
          </cell>
          <cell r="J2264" t="str">
            <v>FLAC 5</v>
          </cell>
          <cell r="K2264" t="str">
            <v>LACTALIS</v>
          </cell>
          <cell r="L2264" t="str">
            <v>RODRIGO</v>
          </cell>
          <cell r="M2264" t="str">
            <v>RAQUEL BARBOSA</v>
          </cell>
        </row>
        <row r="2265">
          <cell r="B2265">
            <v>5143288</v>
          </cell>
          <cell r="C2265" t="str">
            <v>KERRY DO BRASIL LTDA</v>
          </cell>
          <cell r="D2265" t="str">
            <v>3001</v>
          </cell>
          <cell r="E2265" t="str">
            <v>0028</v>
          </cell>
          <cell r="F2265" t="str">
            <v>C1</v>
          </cell>
          <cell r="G2265" t="str">
            <v>MG</v>
          </cell>
          <cell r="H2265" t="str">
            <v>INGREDIENTS</v>
          </cell>
          <cell r="I2265" t="str">
            <v>INGREDIENTS</v>
          </cell>
          <cell r="J2265" t="str">
            <v>JOEL ELEOTÉRIO</v>
          </cell>
          <cell r="K2265" t="str">
            <v>ITAMBÉ</v>
          </cell>
          <cell r="L2265" t="str">
            <v>MAURICIO</v>
          </cell>
          <cell r="M2265" t="str">
            <v>JOEL</v>
          </cell>
        </row>
        <row r="2266">
          <cell r="B2266">
            <v>5352129</v>
          </cell>
          <cell r="C2266" t="str">
            <v>PIZZARIA JULIA VILLAGE DE FR LT</v>
          </cell>
          <cell r="D2266" t="str">
            <v>7001</v>
          </cell>
          <cell r="E2266" t="str">
            <v>0749</v>
          </cell>
          <cell r="F2266" t="str">
            <v>C5</v>
          </cell>
          <cell r="G2266" t="str">
            <v>SP</v>
          </cell>
          <cell r="H2266" t="str">
            <v>DISTRIBUIÇÃO</v>
          </cell>
          <cell r="I2266" t="str">
            <v>FOOD SERVICE</v>
          </cell>
          <cell r="J2266" t="str">
            <v>FLAC 3</v>
          </cell>
          <cell r="K2266" t="str">
            <v>LACTALIS</v>
          </cell>
          <cell r="L2266" t="str">
            <v>RODRIGO</v>
          </cell>
          <cell r="M2266" t="str">
            <v>RAQUEL BARBOSA</v>
          </cell>
        </row>
        <row r="2267">
          <cell r="B2267">
            <v>5352384</v>
          </cell>
          <cell r="C2267" t="str">
            <v>BASSANO HL RESTAU E EVENT LTDA</v>
          </cell>
          <cell r="D2267" t="str">
            <v>7001</v>
          </cell>
          <cell r="E2267" t="str">
            <v>0749</v>
          </cell>
          <cell r="F2267" t="str">
            <v>C5</v>
          </cell>
          <cell r="G2267" t="str">
            <v>SP</v>
          </cell>
          <cell r="H2267" t="str">
            <v>DISTRIBUIÇÃO</v>
          </cell>
          <cell r="I2267" t="str">
            <v>FOOD SERVICE</v>
          </cell>
          <cell r="J2267" t="str">
            <v>FLAC 5</v>
          </cell>
          <cell r="K2267" t="str">
            <v>LACTALIS</v>
          </cell>
          <cell r="L2267" t="str">
            <v>RODRIGO</v>
          </cell>
          <cell r="M2267" t="str">
            <v>RAQUEL BARBOSA</v>
          </cell>
        </row>
        <row r="2268">
          <cell r="B2268">
            <v>5352541</v>
          </cell>
          <cell r="C2268" t="str">
            <v>AKIRA ORGANIZACAO COMERCIO DE</v>
          </cell>
          <cell r="D2268" t="str">
            <v>7001</v>
          </cell>
          <cell r="E2268" t="str">
            <v>0749</v>
          </cell>
          <cell r="F2268" t="str">
            <v>C5</v>
          </cell>
          <cell r="G2268" t="str">
            <v>SP</v>
          </cell>
          <cell r="H2268" t="str">
            <v>DISTRIBUIÇÃO</v>
          </cell>
          <cell r="I2268" t="str">
            <v>FOOD SERVICE</v>
          </cell>
          <cell r="J2268" t="str">
            <v>FLAC 3</v>
          </cell>
          <cell r="K2268" t="str">
            <v>LACTALIS</v>
          </cell>
          <cell r="L2268" t="str">
            <v>RODRIGO</v>
          </cell>
          <cell r="M2268" t="str">
            <v>RAQUEL BARBOSA</v>
          </cell>
        </row>
        <row r="2269">
          <cell r="B2269">
            <v>5145301</v>
          </cell>
          <cell r="C2269" t="str">
            <v>CAFE E RESTAURANTE BERLIN LTDA</v>
          </cell>
          <cell r="D2269" t="str">
            <v>7001</v>
          </cell>
          <cell r="E2269" t="str">
            <v>0749</v>
          </cell>
          <cell r="F2269" t="str">
            <v>C5</v>
          </cell>
          <cell r="G2269" t="str">
            <v>SP</v>
          </cell>
          <cell r="H2269" t="str">
            <v>DISTRIBUIÇÃO</v>
          </cell>
          <cell r="I2269" t="str">
            <v>FOOD SERVICE</v>
          </cell>
          <cell r="J2269" t="str">
            <v>FLAC 5</v>
          </cell>
          <cell r="K2269" t="str">
            <v>LACTALIS</v>
          </cell>
          <cell r="L2269" t="str">
            <v>RODRIGO</v>
          </cell>
          <cell r="M2269" t="str">
            <v>RAQUEL BARBOSA</v>
          </cell>
        </row>
        <row r="2270">
          <cell r="B2270">
            <v>5289224</v>
          </cell>
          <cell r="C2270" t="str">
            <v>CASARIA COM DE ALIMENTOS E BEB</v>
          </cell>
          <cell r="D2270" t="str">
            <v>7001</v>
          </cell>
          <cell r="E2270" t="str">
            <v>0749</v>
          </cell>
          <cell r="F2270" t="str">
            <v>C5</v>
          </cell>
          <cell r="G2270" t="str">
            <v>SP</v>
          </cell>
          <cell r="H2270" t="str">
            <v>DISTRIBUIÇÃO</v>
          </cell>
          <cell r="I2270" t="str">
            <v>FOOD SERVICE</v>
          </cell>
          <cell r="J2270" t="str">
            <v>FLAC 6</v>
          </cell>
          <cell r="K2270" t="str">
            <v>LACTALIS</v>
          </cell>
          <cell r="L2270" t="str">
            <v>RODRIGO</v>
          </cell>
          <cell r="M2270" t="str">
            <v>RAQUEL BARBOSA</v>
          </cell>
        </row>
        <row r="2271">
          <cell r="B2271">
            <v>5333763</v>
          </cell>
          <cell r="C2271" t="str">
            <v>DNA GASTRONOMIA LTDA</v>
          </cell>
          <cell r="D2271" t="str">
            <v>7001</v>
          </cell>
          <cell r="E2271" t="str">
            <v>0749</v>
          </cell>
          <cell r="F2271" t="str">
            <v>C5</v>
          </cell>
          <cell r="G2271" t="str">
            <v>SP</v>
          </cell>
          <cell r="H2271" t="str">
            <v>DISTRIBUIÇÃO</v>
          </cell>
          <cell r="I2271" t="str">
            <v>FOOD SERVICE</v>
          </cell>
          <cell r="J2271" t="str">
            <v>FLAC 5</v>
          </cell>
          <cell r="K2271" t="str">
            <v>LACTALIS</v>
          </cell>
          <cell r="L2271" t="str">
            <v>RODRIGO</v>
          </cell>
          <cell r="M2271" t="str">
            <v>RAQUEL BARBOSA</v>
          </cell>
        </row>
        <row r="2272">
          <cell r="B2272">
            <v>5352021</v>
          </cell>
          <cell r="C2272" t="str">
            <v>COSTELARIA TOKUNFOME LTDA</v>
          </cell>
          <cell r="D2272" t="str">
            <v>7001</v>
          </cell>
          <cell r="E2272" t="str">
            <v>0749</v>
          </cell>
          <cell r="F2272" t="str">
            <v>C5</v>
          </cell>
          <cell r="G2272" t="str">
            <v>SP</v>
          </cell>
          <cell r="H2272" t="str">
            <v>DISTRIBUIÇÃO</v>
          </cell>
          <cell r="I2272" t="str">
            <v>FOOD SERVICE</v>
          </cell>
          <cell r="J2272" t="str">
            <v>FLAC 5</v>
          </cell>
          <cell r="K2272" t="str">
            <v>LACTALIS</v>
          </cell>
          <cell r="L2272" t="str">
            <v>RODRIGO</v>
          </cell>
          <cell r="M2272" t="str">
            <v>RAQUEL BARBOSA</v>
          </cell>
        </row>
        <row r="2273">
          <cell r="B2273">
            <v>5025237</v>
          </cell>
          <cell r="C2273" t="str">
            <v>LIOTECNICA TECNOLOGIA</v>
          </cell>
          <cell r="D2273" t="str">
            <v>4001</v>
          </cell>
          <cell r="E2273" t="str">
            <v>0437</v>
          </cell>
          <cell r="F2273" t="str">
            <v>C1</v>
          </cell>
          <cell r="G2273" t="str">
            <v>SP</v>
          </cell>
          <cell r="H2273" t="str">
            <v>INGREDIENTS</v>
          </cell>
          <cell r="I2273" t="str">
            <v>INGREDIENTS</v>
          </cell>
          <cell r="J2273" t="str">
            <v>MARCELO RODRIGUES</v>
          </cell>
          <cell r="K2273" t="str">
            <v>LACTALIS</v>
          </cell>
          <cell r="L2273" t="str">
            <v>MAURICIO</v>
          </cell>
          <cell r="M2273" t="str">
            <v>MARCELO</v>
          </cell>
        </row>
        <row r="2274">
          <cell r="B2274">
            <v>5089996</v>
          </cell>
          <cell r="C2274" t="str">
            <v>COOP AGROPECUARIA PETROPOLIS LT</v>
          </cell>
          <cell r="D2274" t="str">
            <v>4001</v>
          </cell>
          <cell r="E2274" t="str">
            <v>0546</v>
          </cell>
          <cell r="F2274" t="str">
            <v>C1</v>
          </cell>
          <cell r="G2274" t="str">
            <v>RS</v>
          </cell>
          <cell r="H2274" t="str">
            <v>INGREDIENTS</v>
          </cell>
          <cell r="I2274" t="str">
            <v>INGREDIENTS</v>
          </cell>
          <cell r="J2274" t="str">
            <v>JOEL ELEOTÉRIO</v>
          </cell>
          <cell r="K2274" t="str">
            <v>LACTALIS</v>
          </cell>
          <cell r="L2274" t="str">
            <v>MAURICIO</v>
          </cell>
          <cell r="M2274" t="str">
            <v>JOEL</v>
          </cell>
        </row>
        <row r="2275">
          <cell r="B2275">
            <v>5099067</v>
          </cell>
          <cell r="C2275" t="str">
            <v>DR OETKER BRASIL LTDA</v>
          </cell>
          <cell r="D2275" t="str">
            <v>4001</v>
          </cell>
          <cell r="E2275" t="str">
            <v>0437</v>
          </cell>
          <cell r="F2275" t="str">
            <v>C1</v>
          </cell>
          <cell r="G2275" t="str">
            <v>SP</v>
          </cell>
          <cell r="H2275" t="str">
            <v>INGREDIENTS</v>
          </cell>
          <cell r="I2275" t="str">
            <v>INGREDIENTS</v>
          </cell>
          <cell r="J2275" t="str">
            <v>MARCELO RODRIGUES</v>
          </cell>
          <cell r="K2275" t="str">
            <v>LACTALIS</v>
          </cell>
          <cell r="L2275" t="str">
            <v>MAURICIO</v>
          </cell>
          <cell r="M2275" t="str">
            <v>MARCELO</v>
          </cell>
        </row>
        <row r="2276">
          <cell r="B2276">
            <v>5130053</v>
          </cell>
          <cell r="C2276" t="str">
            <v>SEARA ALIMENTOS LTDA</v>
          </cell>
          <cell r="D2276" t="str">
            <v>4001</v>
          </cell>
          <cell r="E2276" t="str">
            <v>0456</v>
          </cell>
          <cell r="F2276" t="str">
            <v>C1</v>
          </cell>
          <cell r="G2276" t="str">
            <v>SC</v>
          </cell>
          <cell r="H2276" t="str">
            <v>INGREDIENTS</v>
          </cell>
          <cell r="I2276" t="str">
            <v>INGREDIENTS</v>
          </cell>
          <cell r="J2276" t="str">
            <v>JOEL ELEOTÉRIO</v>
          </cell>
          <cell r="K2276" t="str">
            <v>LACTALIS</v>
          </cell>
          <cell r="L2276" t="str">
            <v>MAURICIO</v>
          </cell>
          <cell r="M2276" t="str">
            <v>JOEL</v>
          </cell>
        </row>
        <row r="2277">
          <cell r="B2277">
            <v>5149588</v>
          </cell>
          <cell r="C2277" t="str">
            <v>LUA NOVA IND E COM PROD ALIM LT</v>
          </cell>
          <cell r="D2277" t="str">
            <v>4001</v>
          </cell>
          <cell r="E2277" t="str">
            <v>0455</v>
          </cell>
          <cell r="F2277" t="str">
            <v>C1</v>
          </cell>
          <cell r="G2277" t="str">
            <v>PR</v>
          </cell>
          <cell r="H2277" t="str">
            <v>INGREDIENTS</v>
          </cell>
          <cell r="I2277" t="str">
            <v>INGREDIENTS</v>
          </cell>
          <cell r="J2277" t="str">
            <v>TATIANA NITTA</v>
          </cell>
          <cell r="K2277" t="str">
            <v>LACTALIS</v>
          </cell>
          <cell r="L2277" t="str">
            <v>MAURICIO</v>
          </cell>
          <cell r="M2277" t="str">
            <v>TATIANA NITTA</v>
          </cell>
        </row>
        <row r="2278">
          <cell r="B2278">
            <v>5150121</v>
          </cell>
          <cell r="C2278" t="str">
            <v>VITAO ALIMENTOS LTDA</v>
          </cell>
          <cell r="D2278" t="str">
            <v>4001</v>
          </cell>
          <cell r="E2278" t="str">
            <v>0455</v>
          </cell>
          <cell r="F2278" t="str">
            <v>C1</v>
          </cell>
          <cell r="G2278" t="str">
            <v>PR</v>
          </cell>
          <cell r="H2278" t="str">
            <v>INGREDIENTS</v>
          </cell>
          <cell r="I2278" t="str">
            <v>INGREDIENTS</v>
          </cell>
          <cell r="J2278" t="str">
            <v>MARCELO RODRIGUES</v>
          </cell>
          <cell r="K2278" t="str">
            <v>LACTALIS</v>
          </cell>
          <cell r="L2278" t="str">
            <v>MAURICIO</v>
          </cell>
          <cell r="M2278" t="str">
            <v>MARCELO</v>
          </cell>
        </row>
        <row r="2279">
          <cell r="B2279">
            <v>5170056</v>
          </cell>
          <cell r="C2279" t="str">
            <v>ANTONIO ROBERTO M DOS SANTOS ME</v>
          </cell>
          <cell r="D2279" t="str">
            <v>4001</v>
          </cell>
          <cell r="E2279" t="str">
            <v>0437</v>
          </cell>
          <cell r="F2279" t="str">
            <v>C1</v>
          </cell>
          <cell r="G2279" t="str">
            <v>SP</v>
          </cell>
          <cell r="H2279" t="str">
            <v>INGREDIENTS</v>
          </cell>
          <cell r="I2279" t="str">
            <v>INGREDIENTS</v>
          </cell>
          <cell r="J2279" t="str">
            <v>MARCELO RODRIGUES</v>
          </cell>
          <cell r="K2279" t="str">
            <v>LACTALIS</v>
          </cell>
          <cell r="L2279" t="str">
            <v>MAURICIO</v>
          </cell>
          <cell r="M2279" t="str">
            <v>MARCELO</v>
          </cell>
        </row>
        <row r="2280">
          <cell r="B2280">
            <v>5171893</v>
          </cell>
          <cell r="C2280" t="str">
            <v>M DIAS BRANCO SA IND COM ALIM</v>
          </cell>
          <cell r="D2280" t="str">
            <v>4001</v>
          </cell>
          <cell r="E2280" t="str">
            <v>0454</v>
          </cell>
          <cell r="F2280" t="str">
            <v>C1</v>
          </cell>
          <cell r="G2280" t="str">
            <v>PE</v>
          </cell>
          <cell r="H2280" t="str">
            <v>INGREDIENTS</v>
          </cell>
          <cell r="I2280" t="str">
            <v>INGREDIENTS</v>
          </cell>
          <cell r="J2280" t="str">
            <v>JOEL ELEOTÉRIO</v>
          </cell>
          <cell r="K2280" t="str">
            <v>LACTALIS</v>
          </cell>
          <cell r="L2280" t="str">
            <v>MAURICIO</v>
          </cell>
          <cell r="M2280" t="str">
            <v>JOEL</v>
          </cell>
        </row>
        <row r="2281">
          <cell r="B2281">
            <v>5181258</v>
          </cell>
          <cell r="C2281" t="str">
            <v>LATICINIOS TIROLEZ LTDA</v>
          </cell>
          <cell r="D2281" t="str">
            <v>4001</v>
          </cell>
          <cell r="E2281" t="str">
            <v>0437</v>
          </cell>
          <cell r="F2281" t="str">
            <v>C1</v>
          </cell>
          <cell r="G2281" t="str">
            <v>SP</v>
          </cell>
          <cell r="H2281" t="str">
            <v>INGREDIENTS</v>
          </cell>
          <cell r="I2281" t="str">
            <v>INGREDIENTS</v>
          </cell>
          <cell r="J2281" t="str">
            <v>MARCELO RODRIGUES</v>
          </cell>
          <cell r="K2281" t="str">
            <v>LACTALIS</v>
          </cell>
          <cell r="L2281" t="str">
            <v>MAURICIO</v>
          </cell>
          <cell r="M2281" t="str">
            <v>MARCELO</v>
          </cell>
        </row>
        <row r="2282">
          <cell r="B2282">
            <v>5192017</v>
          </cell>
          <cell r="C2282" t="str">
            <v>SORVESAN IND E COM DE SORV LTDA</v>
          </cell>
          <cell r="D2282" t="str">
            <v>4001</v>
          </cell>
          <cell r="E2282" t="str">
            <v>0437</v>
          </cell>
          <cell r="F2282" t="str">
            <v>C1</v>
          </cell>
          <cell r="G2282" t="str">
            <v>SP</v>
          </cell>
          <cell r="H2282" t="str">
            <v>INGREDIENTS</v>
          </cell>
          <cell r="I2282" t="str">
            <v>INGREDIENTS</v>
          </cell>
          <cell r="J2282" t="str">
            <v>MARCELO RODRIGUES</v>
          </cell>
          <cell r="K2282" t="str">
            <v>LACTALIS</v>
          </cell>
          <cell r="L2282" t="str">
            <v>MAURICIO</v>
          </cell>
          <cell r="M2282" t="str">
            <v>MARCELO</v>
          </cell>
        </row>
        <row r="2283">
          <cell r="B2283">
            <v>5217383</v>
          </cell>
          <cell r="C2283" t="str">
            <v>FRUTAL INDUSTRIA E COMERCIO LTD</v>
          </cell>
          <cell r="D2283" t="str">
            <v>4001</v>
          </cell>
          <cell r="E2283" t="str">
            <v>0540</v>
          </cell>
          <cell r="F2283" t="str">
            <v>C1</v>
          </cell>
          <cell r="G2283" t="str">
            <v>AM</v>
          </cell>
          <cell r="H2283" t="str">
            <v>INGREDIENTS</v>
          </cell>
          <cell r="I2283" t="str">
            <v>INGREDIENTS</v>
          </cell>
          <cell r="J2283" t="str">
            <v>JOEL ELEOTÉRIO</v>
          </cell>
          <cell r="K2283" t="str">
            <v>LACTALIS</v>
          </cell>
          <cell r="L2283" t="str">
            <v>MAURICIO</v>
          </cell>
          <cell r="M2283" t="str">
            <v>JOEL</v>
          </cell>
        </row>
        <row r="2284">
          <cell r="B2284">
            <v>5223459</v>
          </cell>
          <cell r="C2284" t="str">
            <v>POMPEIA SA INDUSTRIA E COMERCIO</v>
          </cell>
          <cell r="D2284" t="str">
            <v>4001</v>
          </cell>
          <cell r="E2284" t="str">
            <v>0437</v>
          </cell>
          <cell r="F2284" t="str">
            <v>C1</v>
          </cell>
          <cell r="G2284" t="str">
            <v>SP</v>
          </cell>
          <cell r="H2284" t="str">
            <v>INGREDIENTS</v>
          </cell>
          <cell r="I2284" t="str">
            <v>INGREDIENTS</v>
          </cell>
          <cell r="J2284" t="str">
            <v>MARCELO RODRIGUES</v>
          </cell>
          <cell r="K2284" t="str">
            <v>LACTALIS</v>
          </cell>
          <cell r="L2284" t="str">
            <v>MAURICIO</v>
          </cell>
          <cell r="M2284" t="str">
            <v>MARCELO</v>
          </cell>
        </row>
        <row r="2285">
          <cell r="B2285">
            <v>5256477</v>
          </cell>
          <cell r="C2285" t="str">
            <v>CAPRICCHE SA</v>
          </cell>
          <cell r="D2285" t="str">
            <v>4001</v>
          </cell>
          <cell r="E2285" t="str">
            <v>0454</v>
          </cell>
          <cell r="F2285" t="str">
            <v>C1</v>
          </cell>
          <cell r="G2285" t="str">
            <v>PE</v>
          </cell>
          <cell r="H2285" t="str">
            <v>INGREDIENTS</v>
          </cell>
          <cell r="I2285" t="str">
            <v>INGREDIENTS</v>
          </cell>
          <cell r="J2285" t="str">
            <v>JOEL ELEOTÉRIO</v>
          </cell>
          <cell r="K2285" t="str">
            <v>LACTALIS</v>
          </cell>
          <cell r="L2285" t="str">
            <v>MAURICIO</v>
          </cell>
          <cell r="M2285" t="str">
            <v>JOEL</v>
          </cell>
        </row>
        <row r="2286">
          <cell r="B2286">
            <v>5260663</v>
          </cell>
          <cell r="C2286" t="str">
            <v>M DIAS BRANCO SA IND E COM DE A</v>
          </cell>
          <cell r="D2286" t="str">
            <v>4001</v>
          </cell>
          <cell r="E2286" t="str">
            <v>0546</v>
          </cell>
          <cell r="F2286" t="str">
            <v>C1</v>
          </cell>
          <cell r="G2286" t="str">
            <v>RS</v>
          </cell>
          <cell r="H2286" t="str">
            <v>INGREDIENTS</v>
          </cell>
          <cell r="I2286" t="str">
            <v>INGREDIENTS</v>
          </cell>
          <cell r="J2286" t="str">
            <v>JOEL ELEOTÉRIO</v>
          </cell>
          <cell r="K2286" t="str">
            <v>LACTALIS</v>
          </cell>
          <cell r="L2286" t="str">
            <v>MAURICIO</v>
          </cell>
          <cell r="M2286" t="str">
            <v>JOEL</v>
          </cell>
        </row>
        <row r="2287">
          <cell r="B2287">
            <v>5265736</v>
          </cell>
          <cell r="C2287" t="str">
            <v>LATICINIOS VENEZA LTDA</v>
          </cell>
          <cell r="D2287" t="str">
            <v>4001</v>
          </cell>
          <cell r="E2287" t="str">
            <v>0456</v>
          </cell>
          <cell r="F2287" t="str">
            <v>C1</v>
          </cell>
          <cell r="G2287" t="str">
            <v>SC</v>
          </cell>
          <cell r="H2287" t="str">
            <v>INGREDIENTS</v>
          </cell>
          <cell r="I2287" t="str">
            <v>INGREDIENTS</v>
          </cell>
          <cell r="J2287" t="str">
            <v>JOEL ELEOTÉRIO</v>
          </cell>
          <cell r="K2287" t="str">
            <v>LACTALIS</v>
          </cell>
          <cell r="L2287" t="str">
            <v>MAURICIO</v>
          </cell>
          <cell r="M2287" t="str">
            <v>JOEL</v>
          </cell>
        </row>
        <row r="2288">
          <cell r="B2288">
            <v>5280081</v>
          </cell>
          <cell r="C2288" t="str">
            <v>BUNGE ALIMENTOS S A</v>
          </cell>
          <cell r="D2288" t="str">
            <v>4001</v>
          </cell>
          <cell r="E2288" t="str">
            <v>0455</v>
          </cell>
          <cell r="F2288" t="str">
            <v>C1</v>
          </cell>
          <cell r="G2288" t="str">
            <v>PR</v>
          </cell>
          <cell r="H2288" t="str">
            <v>INGREDIENTS</v>
          </cell>
          <cell r="I2288" t="str">
            <v>INGREDIENTS</v>
          </cell>
          <cell r="J2288" t="str">
            <v>JOEL ELEOTÉRIO</v>
          </cell>
          <cell r="K2288" t="str">
            <v>LACTALIS</v>
          </cell>
          <cell r="L2288" t="str">
            <v>MAURICIO</v>
          </cell>
          <cell r="M2288" t="str">
            <v>JOEL</v>
          </cell>
        </row>
        <row r="2289">
          <cell r="B2289">
            <v>5281650</v>
          </cell>
          <cell r="C2289" t="str">
            <v>T R KLEINCIA LTDA</v>
          </cell>
          <cell r="D2289" t="str">
            <v>4001</v>
          </cell>
          <cell r="E2289" t="str">
            <v>0546</v>
          </cell>
          <cell r="F2289" t="str">
            <v>C1</v>
          </cell>
          <cell r="G2289" t="str">
            <v>RS</v>
          </cell>
          <cell r="H2289" t="str">
            <v>INGREDIENTS</v>
          </cell>
          <cell r="I2289" t="str">
            <v>INGREDIENTS</v>
          </cell>
          <cell r="J2289" t="str">
            <v>JOEL ELEOTÉRIO</v>
          </cell>
          <cell r="K2289" t="str">
            <v>LACTALIS</v>
          </cell>
          <cell r="L2289" t="str">
            <v>MAURICIO</v>
          </cell>
          <cell r="M2289" t="str">
            <v>JOEL</v>
          </cell>
        </row>
        <row r="2290">
          <cell r="B2290">
            <v>5283460</v>
          </cell>
          <cell r="C2290" t="str">
            <v>FRIMESA COOPERATIVA CENTRAL</v>
          </cell>
          <cell r="D2290" t="str">
            <v>4001</v>
          </cell>
          <cell r="E2290" t="str">
            <v>0455</v>
          </cell>
          <cell r="F2290" t="str">
            <v>C1</v>
          </cell>
          <cell r="G2290" t="str">
            <v>PR</v>
          </cell>
          <cell r="H2290" t="str">
            <v>INGREDIENTS</v>
          </cell>
          <cell r="I2290" t="str">
            <v>INGREDIENTS</v>
          </cell>
          <cell r="J2290" t="str">
            <v>MARCELO RODRIGUES</v>
          </cell>
          <cell r="K2290" t="str">
            <v>LACTALIS</v>
          </cell>
          <cell r="L2290" t="str">
            <v>MAURICIO</v>
          </cell>
          <cell r="M2290" t="str">
            <v>MARCELO</v>
          </cell>
        </row>
        <row r="2291">
          <cell r="B2291">
            <v>5284531</v>
          </cell>
          <cell r="C2291" t="str">
            <v>LATICINIO BELO VALE LTDA</v>
          </cell>
          <cell r="D2291" t="str">
            <v>4001</v>
          </cell>
          <cell r="E2291" t="str">
            <v>0543</v>
          </cell>
          <cell r="F2291" t="str">
            <v>C1</v>
          </cell>
          <cell r="G2291" t="str">
            <v>PB</v>
          </cell>
          <cell r="H2291" t="str">
            <v>INGREDIENTS</v>
          </cell>
          <cell r="I2291" t="str">
            <v>INGREDIENTS</v>
          </cell>
          <cell r="J2291" t="str">
            <v>JOEL ELEOTÉRIO</v>
          </cell>
          <cell r="K2291" t="str">
            <v>LACTALIS</v>
          </cell>
          <cell r="L2291" t="str">
            <v>MAURICIO</v>
          </cell>
          <cell r="M2291" t="str">
            <v>JOEL</v>
          </cell>
        </row>
        <row r="2292">
          <cell r="B2292">
            <v>5284837</v>
          </cell>
          <cell r="C2292" t="str">
            <v>FRIMESA COOPERATIVA CENTRAL</v>
          </cell>
          <cell r="D2292" t="str">
            <v>4001</v>
          </cell>
          <cell r="E2292" t="str">
            <v>0455</v>
          </cell>
          <cell r="F2292" t="str">
            <v>C1</v>
          </cell>
          <cell r="G2292" t="str">
            <v>PR</v>
          </cell>
          <cell r="H2292" t="str">
            <v>INGREDIENTS</v>
          </cell>
          <cell r="I2292" t="str">
            <v>INGREDIENTS</v>
          </cell>
          <cell r="J2292" t="str">
            <v>MARCELO RODRIGUES</v>
          </cell>
          <cell r="K2292" t="str">
            <v>LACTALIS</v>
          </cell>
          <cell r="L2292" t="str">
            <v>MAURICIO</v>
          </cell>
          <cell r="M2292" t="str">
            <v>MARCELO</v>
          </cell>
        </row>
        <row r="2293">
          <cell r="B2293">
            <v>5346909</v>
          </cell>
          <cell r="C2293" t="str">
            <v>LIOTECNICA TECNOLOGIA</v>
          </cell>
          <cell r="D2293" t="str">
            <v>4001</v>
          </cell>
          <cell r="E2293" t="str">
            <v>0437</v>
          </cell>
          <cell r="F2293" t="str">
            <v>C1</v>
          </cell>
          <cell r="G2293" t="str">
            <v>SP</v>
          </cell>
          <cell r="H2293" t="str">
            <v>INGREDIENTS</v>
          </cell>
          <cell r="I2293" t="str">
            <v>INGREDIENTS</v>
          </cell>
          <cell r="J2293" t="str">
            <v>MARCELO RODRIGUES</v>
          </cell>
          <cell r="K2293" t="str">
            <v>LACTALIS</v>
          </cell>
          <cell r="L2293" t="str">
            <v>MAURICIO</v>
          </cell>
          <cell r="M2293" t="str">
            <v>MARCELO</v>
          </cell>
        </row>
        <row r="2294">
          <cell r="B2294">
            <v>5350225</v>
          </cell>
          <cell r="C2294" t="str">
            <v>GABEN FERNANDEZ HOTEL LTDA</v>
          </cell>
          <cell r="D2294" t="str">
            <v>7001</v>
          </cell>
          <cell r="E2294" t="str">
            <v>0749</v>
          </cell>
          <cell r="F2294" t="str">
            <v>C5</v>
          </cell>
          <cell r="G2294" t="str">
            <v>SP</v>
          </cell>
          <cell r="H2294" t="str">
            <v>DISTRIBUIÇÃO</v>
          </cell>
          <cell r="I2294" t="str">
            <v>FOOD SERVICE</v>
          </cell>
          <cell r="J2294" t="str">
            <v>FLAC 5</v>
          </cell>
          <cell r="K2294" t="str">
            <v>LACTALIS</v>
          </cell>
          <cell r="L2294" t="str">
            <v>RODRIGO</v>
          </cell>
          <cell r="M2294" t="str">
            <v>RAQUEL BARBOSA</v>
          </cell>
        </row>
        <row r="2295">
          <cell r="B2295">
            <v>5352687</v>
          </cell>
          <cell r="C2295" t="str">
            <v>AHTO PATISSERIE LTDA</v>
          </cell>
          <cell r="D2295" t="str">
            <v>7001</v>
          </cell>
          <cell r="E2295" t="str">
            <v>0749</v>
          </cell>
          <cell r="F2295" t="str">
            <v>C5</v>
          </cell>
          <cell r="G2295" t="str">
            <v>SP</v>
          </cell>
          <cell r="H2295" t="str">
            <v>DISTRIBUIÇÃO</v>
          </cell>
          <cell r="I2295" t="str">
            <v>FOOD SERVICE</v>
          </cell>
          <cell r="J2295" t="str">
            <v>FLAC 6</v>
          </cell>
          <cell r="K2295" t="str">
            <v>LACTALIS</v>
          </cell>
          <cell r="L2295" t="str">
            <v>RODRIGO</v>
          </cell>
          <cell r="M2295" t="str">
            <v>RAQUEL BARBOSA</v>
          </cell>
        </row>
        <row r="2296">
          <cell r="B2296">
            <v>5183495</v>
          </cell>
          <cell r="C2296" t="str">
            <v>ASTRON INDUSTRIA DE DOCES L</v>
          </cell>
          <cell r="D2296" t="str">
            <v>3001</v>
          </cell>
          <cell r="E2296" t="str">
            <v>0028</v>
          </cell>
          <cell r="F2296" t="str">
            <v>C1</v>
          </cell>
          <cell r="G2296" t="str">
            <v>MG</v>
          </cell>
          <cell r="H2296" t="str">
            <v>INGREDIENTS</v>
          </cell>
          <cell r="I2296" t="str">
            <v>INGREDIENTS</v>
          </cell>
          <cell r="J2296" t="str">
            <v>HENRIQUE FERREIRA</v>
          </cell>
          <cell r="K2296" t="str">
            <v>ITAMBÉ</v>
          </cell>
          <cell r="L2296" t="str">
            <v>MAURICIO</v>
          </cell>
          <cell r="M2296" t="str">
            <v>JOEL</v>
          </cell>
        </row>
        <row r="2297">
          <cell r="B2297">
            <v>5262210</v>
          </cell>
          <cell r="C2297" t="str">
            <v>ZHF RESTAURANTE</v>
          </cell>
          <cell r="D2297" t="str">
            <v>7001</v>
          </cell>
          <cell r="E2297" t="str">
            <v>0749</v>
          </cell>
          <cell r="F2297" t="str">
            <v>C5</v>
          </cell>
          <cell r="G2297" t="str">
            <v>SP</v>
          </cell>
          <cell r="H2297" t="str">
            <v>DISTRIBUIÇÃO</v>
          </cell>
          <cell r="I2297" t="str">
            <v>FOOD SERVICE</v>
          </cell>
          <cell r="J2297" t="str">
            <v>FLAC 5</v>
          </cell>
          <cell r="K2297" t="str">
            <v>LACTALIS</v>
          </cell>
          <cell r="L2297" t="str">
            <v>RODRIGO</v>
          </cell>
          <cell r="M2297" t="str">
            <v>RAQUEL BARBOSA</v>
          </cell>
        </row>
        <row r="2298">
          <cell r="B2298">
            <v>5349266</v>
          </cell>
          <cell r="C2298" t="str">
            <v>ATHENAS ROQUE LANCHES LTDA</v>
          </cell>
          <cell r="D2298" t="str">
            <v>7001</v>
          </cell>
          <cell r="E2298" t="str">
            <v>0749</v>
          </cell>
          <cell r="F2298" t="str">
            <v>C5</v>
          </cell>
          <cell r="G2298" t="str">
            <v>SP</v>
          </cell>
          <cell r="H2298" t="str">
            <v>DISTRIBUIÇÃO</v>
          </cell>
          <cell r="I2298" t="str">
            <v>FOOD SERVICE</v>
          </cell>
          <cell r="J2298" t="str">
            <v>FLAC 5</v>
          </cell>
          <cell r="K2298" t="str">
            <v>LACTALIS</v>
          </cell>
          <cell r="L2298" t="str">
            <v>RODRIGO</v>
          </cell>
          <cell r="M2298" t="str">
            <v>RAQUEL BARBOSA</v>
          </cell>
        </row>
        <row r="2299">
          <cell r="B2299">
            <v>5310902</v>
          </cell>
          <cell r="C2299" t="str">
            <v>RA DISTRIBUIDORA</v>
          </cell>
          <cell r="D2299" t="str">
            <v>7001</v>
          </cell>
          <cell r="E2299" t="str">
            <v>0749</v>
          </cell>
          <cell r="F2299" t="str">
            <v>C5</v>
          </cell>
          <cell r="G2299" t="str">
            <v>SP</v>
          </cell>
          <cell r="H2299" t="str">
            <v>DISTRIBUIÇÃO</v>
          </cell>
          <cell r="I2299" t="str">
            <v>FOOD SERVICE</v>
          </cell>
          <cell r="J2299" t="str">
            <v>FLAC 2</v>
          </cell>
          <cell r="K2299" t="str">
            <v>LACTALIS</v>
          </cell>
          <cell r="L2299" t="str">
            <v>RODRIGO</v>
          </cell>
          <cell r="M2299" t="str">
            <v>RAQUEL BARBOSA</v>
          </cell>
        </row>
        <row r="2300">
          <cell r="B2300">
            <v>5131228</v>
          </cell>
          <cell r="C2300" t="str">
            <v>POLENGHI INDUSTRIAS ALIMS LTDA</v>
          </cell>
          <cell r="D2300" t="str">
            <v>3001</v>
          </cell>
          <cell r="E2300" t="str">
            <v>0028</v>
          </cell>
          <cell r="F2300" t="str">
            <v>C1</v>
          </cell>
          <cell r="G2300" t="str">
            <v>GO</v>
          </cell>
          <cell r="H2300" t="str">
            <v>INGREDIENTS</v>
          </cell>
          <cell r="I2300" t="str">
            <v>INGREDIENTS</v>
          </cell>
          <cell r="J2300" t="str">
            <v>TATIANA NITTA</v>
          </cell>
          <cell r="K2300" t="str">
            <v>ITAMBÉ</v>
          </cell>
          <cell r="L2300" t="str">
            <v>MAURICIO</v>
          </cell>
          <cell r="M2300" t="str">
            <v>TATIANA NITTA</v>
          </cell>
        </row>
        <row r="2301">
          <cell r="B2301">
            <v>5218658</v>
          </cell>
          <cell r="C2301" t="str">
            <v>ADLM SERVICOS MEDICOS LTDA</v>
          </cell>
          <cell r="D2301" t="str">
            <v>7001</v>
          </cell>
          <cell r="E2301" t="str">
            <v>0749</v>
          </cell>
          <cell r="F2301" t="str">
            <v>C5</v>
          </cell>
          <cell r="G2301" t="str">
            <v>SP</v>
          </cell>
          <cell r="H2301" t="str">
            <v>DISTRIBUIÇÃO</v>
          </cell>
          <cell r="I2301" t="str">
            <v>FOOD SERVICE</v>
          </cell>
          <cell r="J2301" t="str">
            <v>FLAC 5</v>
          </cell>
          <cell r="K2301" t="str">
            <v>LACTALIS</v>
          </cell>
          <cell r="L2301" t="str">
            <v>RODRIGO</v>
          </cell>
          <cell r="M2301" t="str">
            <v>RAQUEL BARBOSA</v>
          </cell>
        </row>
        <row r="2302">
          <cell r="B2302">
            <v>5351794</v>
          </cell>
          <cell r="C2302" t="str">
            <v>GRAN RIO HOTEL DAN INN LTDA</v>
          </cell>
          <cell r="D2302" t="str">
            <v>7001</v>
          </cell>
          <cell r="E2302" t="str">
            <v>0749</v>
          </cell>
          <cell r="F2302" t="str">
            <v>C5</v>
          </cell>
          <cell r="G2302" t="str">
            <v>SP</v>
          </cell>
          <cell r="H2302" t="str">
            <v>DISTRIBUIÇÃO</v>
          </cell>
          <cell r="I2302" t="str">
            <v>FOOD SERVICE</v>
          </cell>
          <cell r="J2302" t="str">
            <v>FLAC 8</v>
          </cell>
          <cell r="K2302" t="str">
            <v>LACTALIS</v>
          </cell>
          <cell r="L2302" t="str">
            <v>RODRIGO</v>
          </cell>
          <cell r="M2302" t="str">
            <v>RAQUEL BARBOSA</v>
          </cell>
        </row>
        <row r="2303">
          <cell r="B2303">
            <v>5352824</v>
          </cell>
          <cell r="C2303" t="str">
            <v>SAMUEL OLIVEIRA</v>
          </cell>
          <cell r="D2303" t="str">
            <v>7001</v>
          </cell>
          <cell r="E2303" t="str">
            <v>0749</v>
          </cell>
          <cell r="F2303" t="str">
            <v>C5</v>
          </cell>
          <cell r="G2303" t="str">
            <v>SP</v>
          </cell>
          <cell r="H2303" t="str">
            <v>DISTRIBUIÇÃO</v>
          </cell>
          <cell r="I2303" t="str">
            <v>FOOD SERVICE</v>
          </cell>
          <cell r="J2303" t="str">
            <v>FLAC 5</v>
          </cell>
          <cell r="K2303" t="str">
            <v>LACTALIS</v>
          </cell>
          <cell r="L2303" t="str">
            <v>RODRIGO</v>
          </cell>
          <cell r="M2303" t="str">
            <v>RAQUEL BARBOSA</v>
          </cell>
        </row>
        <row r="2304">
          <cell r="B2304">
            <v>5011062</v>
          </cell>
          <cell r="C2304" t="str">
            <v>LACTICINIOS TIROL LTDA</v>
          </cell>
          <cell r="D2304" t="str">
            <v>4001</v>
          </cell>
          <cell r="E2304" t="str">
            <v>0455</v>
          </cell>
          <cell r="F2304" t="str">
            <v>C1</v>
          </cell>
          <cell r="G2304" t="str">
            <v>PR</v>
          </cell>
          <cell r="H2304" t="str">
            <v>OUTROS</v>
          </cell>
          <cell r="I2304" t="str">
            <v>OUTROS</v>
          </cell>
          <cell r="J2304" t="str">
            <v>SERVIÇO TIROL</v>
          </cell>
          <cell r="K2304" t="str">
            <v>OUTROS</v>
          </cell>
          <cell r="L2304" t="str">
            <v>OUTROS</v>
          </cell>
          <cell r="M2304" t="str">
            <v>SERVIÇO TIROL</v>
          </cell>
        </row>
        <row r="2305">
          <cell r="B2305">
            <v>5324461</v>
          </cell>
          <cell r="C2305" t="str">
            <v>RODOLUKI COMERCIO LOGISTICA E D</v>
          </cell>
          <cell r="D2305" t="str">
            <v>7001</v>
          </cell>
          <cell r="E2305" t="str">
            <v>0722</v>
          </cell>
          <cell r="F2305" t="str">
            <v>C1</v>
          </cell>
          <cell r="G2305" t="str">
            <v>SP</v>
          </cell>
          <cell r="H2305" t="str">
            <v>QSR</v>
          </cell>
          <cell r="I2305" t="str">
            <v>FOOD SERVICE</v>
          </cell>
          <cell r="J2305" t="str">
            <v>ANA MENIQUETE</v>
          </cell>
          <cell r="K2305" t="str">
            <v>LACTALIS</v>
          </cell>
          <cell r="L2305" t="str">
            <v>PEDRO</v>
          </cell>
          <cell r="M2305" t="str">
            <v>ANA MENIQUETE</v>
          </cell>
        </row>
        <row r="2306">
          <cell r="B2306">
            <v>5335459</v>
          </cell>
          <cell r="C2306" t="str">
            <v>KARLA CHRISTINA DE PAIVA SANTOS</v>
          </cell>
          <cell r="D2306" t="str">
            <v>3001</v>
          </cell>
          <cell r="E2306" t="str">
            <v>0028</v>
          </cell>
          <cell r="F2306" t="str">
            <v>C1</v>
          </cell>
          <cell r="G2306" t="str">
            <v>MG</v>
          </cell>
          <cell r="H2306" t="str">
            <v>INGREDIENTS</v>
          </cell>
          <cell r="I2306" t="str">
            <v>INGREDIENTS</v>
          </cell>
          <cell r="J2306" t="str">
            <v>HENRIQUE FERREIRA</v>
          </cell>
          <cell r="K2306" t="str">
            <v>ITAMBÉ</v>
          </cell>
          <cell r="L2306" t="str">
            <v>MAURICIO</v>
          </cell>
          <cell r="M2306" t="str">
            <v>JOEL</v>
          </cell>
        </row>
        <row r="2307">
          <cell r="B2307">
            <v>5351439</v>
          </cell>
          <cell r="C2307" t="str">
            <v>FREAK CAFES ESPECIAIS LTDA</v>
          </cell>
          <cell r="D2307" t="str">
            <v>7001</v>
          </cell>
          <cell r="E2307" t="str">
            <v>0749</v>
          </cell>
          <cell r="F2307" t="str">
            <v>C5</v>
          </cell>
          <cell r="G2307" t="str">
            <v>SP</v>
          </cell>
          <cell r="H2307" t="str">
            <v>DISTRIBUIÇÃO</v>
          </cell>
          <cell r="I2307" t="str">
            <v>FOOD SERVICE</v>
          </cell>
          <cell r="J2307" t="str">
            <v>FLAC 5</v>
          </cell>
          <cell r="K2307" t="str">
            <v>LACTALIS</v>
          </cell>
          <cell r="L2307" t="str">
            <v>RODRIGO</v>
          </cell>
          <cell r="M2307" t="str">
            <v>RAQUEL BARBOSA</v>
          </cell>
        </row>
        <row r="2308">
          <cell r="B2308">
            <v>5352327</v>
          </cell>
          <cell r="C2308" t="str">
            <v>PRIME UP COM DE FRUTAS E DOCES</v>
          </cell>
          <cell r="D2308" t="str">
            <v>7001</v>
          </cell>
          <cell r="E2308" t="str">
            <v>0749</v>
          </cell>
          <cell r="F2308" t="str">
            <v>C5</v>
          </cell>
          <cell r="G2308" t="str">
            <v>SP</v>
          </cell>
          <cell r="H2308" t="str">
            <v>DISTRIBUIÇÃO</v>
          </cell>
          <cell r="I2308" t="str">
            <v>FOOD SERVICE</v>
          </cell>
          <cell r="J2308" t="str">
            <v>FLAC 3</v>
          </cell>
          <cell r="K2308" t="str">
            <v>LACTALIS</v>
          </cell>
          <cell r="L2308" t="str">
            <v>RODRIGO</v>
          </cell>
          <cell r="M2308" t="str">
            <v>RAQUEL BARBOSA</v>
          </cell>
        </row>
        <row r="2309">
          <cell r="B2309">
            <v>5352584</v>
          </cell>
          <cell r="C2309" t="str">
            <v>LANCHONETE MORENO LTDA</v>
          </cell>
          <cell r="D2309" t="str">
            <v>7001</v>
          </cell>
          <cell r="E2309" t="str">
            <v>0749</v>
          </cell>
          <cell r="F2309" t="str">
            <v>C5</v>
          </cell>
          <cell r="G2309" t="str">
            <v>SP</v>
          </cell>
          <cell r="H2309" t="str">
            <v>DISTRIBUIÇÃO</v>
          </cell>
          <cell r="I2309" t="str">
            <v>FOOD SERVICE</v>
          </cell>
          <cell r="J2309" t="str">
            <v>FLAC 5</v>
          </cell>
          <cell r="K2309" t="str">
            <v>LACTALIS</v>
          </cell>
          <cell r="L2309" t="str">
            <v>RODRIGO</v>
          </cell>
          <cell r="M2309" t="str">
            <v>RAQUEL BARBOSA</v>
          </cell>
        </row>
        <row r="2310">
          <cell r="B2310">
            <v>5352804</v>
          </cell>
          <cell r="C2310" t="str">
            <v>OPERA PADARIA E CONFEITARIA LTD</v>
          </cell>
          <cell r="D2310" t="str">
            <v>7001</v>
          </cell>
          <cell r="E2310" t="str">
            <v>0749</v>
          </cell>
          <cell r="F2310" t="str">
            <v>C5</v>
          </cell>
          <cell r="G2310" t="str">
            <v>SP</v>
          </cell>
          <cell r="H2310" t="str">
            <v>DISTRIBUIÇÃO</v>
          </cell>
          <cell r="I2310" t="str">
            <v>FOOD SERVICE</v>
          </cell>
          <cell r="J2310" t="str">
            <v>FLAC 6</v>
          </cell>
          <cell r="K2310" t="str">
            <v>LACTALIS</v>
          </cell>
          <cell r="L2310" t="str">
            <v>RODRIGO</v>
          </cell>
          <cell r="M2310" t="str">
            <v>RAQUEL BARBOSA</v>
          </cell>
        </row>
        <row r="2311">
          <cell r="B2311">
            <v>5353190</v>
          </cell>
          <cell r="C2311" t="str">
            <v>MORUMBY COMERCIO DE ALIMENT</v>
          </cell>
          <cell r="D2311" t="str">
            <v>7001</v>
          </cell>
          <cell r="E2311" t="str">
            <v>0749</v>
          </cell>
          <cell r="F2311" t="str">
            <v>C5</v>
          </cell>
          <cell r="G2311" t="str">
            <v>SP</v>
          </cell>
          <cell r="H2311" t="str">
            <v>DISTRIBUIÇÃO</v>
          </cell>
          <cell r="I2311" t="str">
            <v>FOOD SERVICE</v>
          </cell>
          <cell r="J2311" t="str">
            <v>FLAC 2</v>
          </cell>
          <cell r="K2311" t="str">
            <v>LACTALIS</v>
          </cell>
          <cell r="L2311" t="str">
            <v>RODRIGO</v>
          </cell>
          <cell r="M2311" t="str">
            <v>RAQUEL BARBOSA</v>
          </cell>
        </row>
        <row r="2312">
          <cell r="B2312">
            <v>5060394</v>
          </cell>
          <cell r="C2312" t="str">
            <v>SCHREIBER FOODS DO BRASIL IND ALIM</v>
          </cell>
          <cell r="D2312" t="str">
            <v>4001</v>
          </cell>
          <cell r="E2312" t="str">
            <v>0455</v>
          </cell>
          <cell r="F2312" t="str">
            <v>C1</v>
          </cell>
          <cell r="G2312" t="str">
            <v>PR</v>
          </cell>
          <cell r="H2312" t="str">
            <v>INGREDIENTS</v>
          </cell>
          <cell r="I2312" t="str">
            <v>INGREDIENTS</v>
          </cell>
          <cell r="J2312" t="str">
            <v>MARCELO RODRIGUES</v>
          </cell>
          <cell r="K2312" t="str">
            <v>LACTALIS</v>
          </cell>
          <cell r="L2312" t="str">
            <v>MAURICIO</v>
          </cell>
          <cell r="M2312" t="str">
            <v>MARCELO</v>
          </cell>
        </row>
        <row r="2313">
          <cell r="B2313">
            <v>5063510</v>
          </cell>
          <cell r="C2313" t="str">
            <v>ASS CULTURAL NSA SENHORA DE FAT</v>
          </cell>
          <cell r="D2313" t="str">
            <v>7001</v>
          </cell>
          <cell r="E2313" t="str">
            <v>0749</v>
          </cell>
          <cell r="F2313" t="str">
            <v>C5</v>
          </cell>
          <cell r="G2313" t="str">
            <v>SP</v>
          </cell>
          <cell r="H2313" t="str">
            <v>DISTRIBUIÇÃO</v>
          </cell>
          <cell r="I2313" t="str">
            <v>FOOD SERVICE</v>
          </cell>
          <cell r="J2313" t="str">
            <v>FLAC 2</v>
          </cell>
          <cell r="K2313" t="str">
            <v>LACTALIS</v>
          </cell>
          <cell r="L2313" t="str">
            <v>RODRIGO</v>
          </cell>
          <cell r="M2313" t="str">
            <v>RAQUEL BARBOSA</v>
          </cell>
        </row>
        <row r="2314">
          <cell r="B2314">
            <v>5169969</v>
          </cell>
          <cell r="C2314" t="str">
            <v>WCN COM E REPRESENTACAO DE ALIM</v>
          </cell>
          <cell r="D2314" t="str">
            <v>6001</v>
          </cell>
          <cell r="E2314" t="str">
            <v>6009</v>
          </cell>
          <cell r="F2314" t="str">
            <v>C1</v>
          </cell>
          <cell r="G2314" t="str">
            <v>BA</v>
          </cell>
          <cell r="H2314" t="str">
            <v>DISTRIBUIÇÃO</v>
          </cell>
          <cell r="I2314" t="str">
            <v>FOOD SERVICE</v>
          </cell>
          <cell r="J2314" t="str">
            <v>CLAUDIO JORGE/LUIZ</v>
          </cell>
          <cell r="K2314" t="str">
            <v>ITAMBÉ</v>
          </cell>
          <cell r="L2314" t="str">
            <v>RODRIGO</v>
          </cell>
          <cell r="M2314" t="str">
            <v>MARIA LOURDES</v>
          </cell>
        </row>
        <row r="2315">
          <cell r="B2315">
            <v>5199005</v>
          </cell>
          <cell r="C2315" t="str">
            <v>IMAC INDUSTRIA DE MASSAS CONGEL</v>
          </cell>
          <cell r="D2315" t="str">
            <v>6001</v>
          </cell>
          <cell r="E2315" t="str">
            <v>6127</v>
          </cell>
          <cell r="F2315" t="str">
            <v>C1</v>
          </cell>
          <cell r="G2315" t="str">
            <v>CE</v>
          </cell>
          <cell r="H2315" t="str">
            <v>DISTRIBUIÇÃO</v>
          </cell>
          <cell r="I2315" t="str">
            <v>FOOD SERVICE</v>
          </cell>
          <cell r="J2315" t="str">
            <v>WH FOOD SERVICE CE</v>
          </cell>
          <cell r="K2315" t="str">
            <v>ITAMBÉ</v>
          </cell>
          <cell r="L2315" t="str">
            <v>RODRIGO</v>
          </cell>
          <cell r="M2315" t="str">
            <v>MARIA LOURDES</v>
          </cell>
        </row>
        <row r="2316">
          <cell r="B2316">
            <v>5352925</v>
          </cell>
          <cell r="C2316" t="str">
            <v>JT INDUSTRIA E COM DE ALIM LTDA</v>
          </cell>
          <cell r="D2316" t="str">
            <v>4001</v>
          </cell>
          <cell r="E2316" t="str">
            <v>0458</v>
          </cell>
          <cell r="F2316" t="str">
            <v>C1</v>
          </cell>
          <cell r="G2316" t="str">
            <v>MG</v>
          </cell>
          <cell r="H2316" t="str">
            <v>INGREDIENTS</v>
          </cell>
          <cell r="I2316" t="str">
            <v>INGREDIENTS</v>
          </cell>
          <cell r="J2316" t="str">
            <v>JOEL ELEOTÉRIO</v>
          </cell>
          <cell r="K2316" t="str">
            <v>LACTALIS</v>
          </cell>
          <cell r="L2316" t="str">
            <v>MAURICIO</v>
          </cell>
          <cell r="M2316" t="str">
            <v>JOEL</v>
          </cell>
        </row>
        <row r="2317">
          <cell r="B2317">
            <v>5353188</v>
          </cell>
          <cell r="C2317" t="str">
            <v>ACZ CAFE EXPRESSO LTDA</v>
          </cell>
          <cell r="D2317" t="str">
            <v>7001</v>
          </cell>
          <cell r="E2317" t="str">
            <v>0749</v>
          </cell>
          <cell r="F2317" t="str">
            <v>C5</v>
          </cell>
          <cell r="G2317" t="str">
            <v>SP</v>
          </cell>
          <cell r="H2317" t="str">
            <v>DISTRIBUIÇÃO</v>
          </cell>
          <cell r="I2317" t="str">
            <v>FOOD SERVICE</v>
          </cell>
          <cell r="J2317" t="str">
            <v>FLAC 5</v>
          </cell>
          <cell r="K2317" t="str">
            <v>LACTALIS</v>
          </cell>
          <cell r="L2317" t="str">
            <v>RODRIGO</v>
          </cell>
          <cell r="M2317" t="str">
            <v>RAQUEL BARBOSA</v>
          </cell>
        </row>
        <row r="2318">
          <cell r="B2318">
            <v>5275102</v>
          </cell>
          <cell r="C2318" t="str">
            <v>AFFARI ALIMENTACAO LTDA</v>
          </cell>
          <cell r="D2318" t="str">
            <v>7001</v>
          </cell>
          <cell r="E2318" t="str">
            <v>0749</v>
          </cell>
          <cell r="F2318" t="str">
            <v>C5</v>
          </cell>
          <cell r="G2318" t="str">
            <v>SP</v>
          </cell>
          <cell r="H2318" t="str">
            <v>DISTRIBUIÇÃO</v>
          </cell>
          <cell r="I2318" t="str">
            <v>FOOD SERVICE</v>
          </cell>
          <cell r="J2318" t="str">
            <v>FLAC 5</v>
          </cell>
          <cell r="K2318" t="str">
            <v>LACTALIS</v>
          </cell>
          <cell r="L2318" t="str">
            <v>RODRIGO</v>
          </cell>
          <cell r="M2318" t="str">
            <v>RAQUEL BARBOSA</v>
          </cell>
        </row>
        <row r="2319">
          <cell r="B2319">
            <v>5338667</v>
          </cell>
          <cell r="C2319" t="str">
            <v>IBAE IND BRASILEIRA DE ALI ESP</v>
          </cell>
          <cell r="D2319" t="str">
            <v>4001</v>
          </cell>
          <cell r="E2319" t="str">
            <v>0437</v>
          </cell>
          <cell r="F2319" t="str">
            <v>C1</v>
          </cell>
          <cell r="G2319" t="str">
            <v>ES</v>
          </cell>
          <cell r="H2319" t="str">
            <v>INGREDIENTS</v>
          </cell>
          <cell r="I2319" t="str">
            <v>INGREDIENTS</v>
          </cell>
          <cell r="J2319" t="str">
            <v>TATIANA NITTA</v>
          </cell>
          <cell r="K2319" t="str">
            <v>LACTALIS</v>
          </cell>
          <cell r="L2319" t="str">
            <v>MAURICIO</v>
          </cell>
          <cell r="M2319" t="str">
            <v>TATIANA NITTA</v>
          </cell>
        </row>
        <row r="2320">
          <cell r="B2320">
            <v>5296844</v>
          </cell>
          <cell r="C2320" t="str">
            <v>SANTU PANIFICACAO LTDA</v>
          </cell>
          <cell r="D2320" t="str">
            <v>7001</v>
          </cell>
          <cell r="E2320" t="str">
            <v>0749</v>
          </cell>
          <cell r="F2320" t="str">
            <v>C5</v>
          </cell>
          <cell r="G2320" t="str">
            <v>SP</v>
          </cell>
          <cell r="H2320" t="str">
            <v>DISTRIBUIÇÃO</v>
          </cell>
          <cell r="I2320" t="str">
            <v>FOOD SERVICE</v>
          </cell>
          <cell r="J2320" t="str">
            <v>FLAC 2</v>
          </cell>
          <cell r="K2320" t="str">
            <v>LACTALIS</v>
          </cell>
          <cell r="L2320" t="str">
            <v>RODRIGO</v>
          </cell>
          <cell r="M2320" t="str">
            <v>RAQUEL BARBOSA</v>
          </cell>
        </row>
        <row r="2321">
          <cell r="B2321">
            <v>5319474</v>
          </cell>
          <cell r="C2321" t="str">
            <v>PADARIA ARTESANAL ORGANICA LTDA</v>
          </cell>
          <cell r="D2321" t="str">
            <v>7001</v>
          </cell>
          <cell r="E2321" t="str">
            <v>0749</v>
          </cell>
          <cell r="F2321" t="str">
            <v>C5</v>
          </cell>
          <cell r="G2321" t="str">
            <v>SP</v>
          </cell>
          <cell r="H2321" t="str">
            <v>DISTRIBUIÇÃO</v>
          </cell>
          <cell r="I2321" t="str">
            <v>FOOD SERVICE</v>
          </cell>
          <cell r="J2321" t="str">
            <v>FLAC 5</v>
          </cell>
          <cell r="K2321" t="str">
            <v>LACTALIS</v>
          </cell>
          <cell r="L2321" t="str">
            <v>RODRIGO</v>
          </cell>
          <cell r="M2321" t="str">
            <v>RAQUEL BARBOSA</v>
          </cell>
        </row>
        <row r="2322">
          <cell r="B2322">
            <v>5352113</v>
          </cell>
          <cell r="C2322" t="str">
            <v>VUPI ALIMENTOS LTDA</v>
          </cell>
          <cell r="D2322" t="str">
            <v>6001</v>
          </cell>
          <cell r="E2322" t="str">
            <v>6125</v>
          </cell>
          <cell r="F2322" t="str">
            <v>C1</v>
          </cell>
          <cell r="G2322" t="str">
            <v>SP</v>
          </cell>
          <cell r="H2322" t="str">
            <v>DISTRIBUIÇÃO</v>
          </cell>
          <cell r="I2322" t="str">
            <v>FOOD SERVICE</v>
          </cell>
          <cell r="J2322" t="str">
            <v>VAGO SP</v>
          </cell>
          <cell r="K2322" t="str">
            <v>ITAMBÉ</v>
          </cell>
          <cell r="L2322" t="str">
            <v>RODRIGO</v>
          </cell>
          <cell r="M2322" t="str">
            <v>RAQUEL BARBOSA</v>
          </cell>
        </row>
        <row r="2323">
          <cell r="B2323">
            <v>5352467</v>
          </cell>
          <cell r="C2323" t="str">
            <v>CRP JOAO CACHOEIRA COMERCIO DE</v>
          </cell>
          <cell r="D2323" t="str">
            <v>7001</v>
          </cell>
          <cell r="E2323" t="str">
            <v>0749</v>
          </cell>
          <cell r="F2323" t="str">
            <v>C5</v>
          </cell>
          <cell r="G2323" t="str">
            <v>SP</v>
          </cell>
          <cell r="H2323" t="str">
            <v>DISTRIBUIÇÃO</v>
          </cell>
          <cell r="I2323" t="str">
            <v>FOOD SERVICE</v>
          </cell>
          <cell r="J2323" t="str">
            <v>FLAC 5</v>
          </cell>
          <cell r="K2323" t="str">
            <v>LACTALIS</v>
          </cell>
          <cell r="L2323" t="str">
            <v>RODRIGO</v>
          </cell>
          <cell r="M2323" t="str">
            <v>RAQUEL BARBOSA</v>
          </cell>
        </row>
        <row r="2324">
          <cell r="B2324">
            <v>5231792</v>
          </cell>
          <cell r="C2324" t="str">
            <v>FIOR CAMBUI ALIMEN SAUDAVEL LTD</v>
          </cell>
          <cell r="D2324" t="str">
            <v>7001</v>
          </cell>
          <cell r="E2324" t="str">
            <v>0749</v>
          </cell>
          <cell r="F2324" t="str">
            <v>C5</v>
          </cell>
          <cell r="G2324" t="str">
            <v>SP</v>
          </cell>
          <cell r="H2324" t="str">
            <v>DISTRIBUIÇÃO</v>
          </cell>
          <cell r="I2324" t="str">
            <v>FOOD SERVICE</v>
          </cell>
          <cell r="J2324" t="str">
            <v>FLAC 5</v>
          </cell>
          <cell r="K2324" t="str">
            <v>LACTALIS</v>
          </cell>
          <cell r="L2324" t="str">
            <v>RODRIGO</v>
          </cell>
          <cell r="M2324" t="str">
            <v>RAQUEL BARBOSA</v>
          </cell>
        </row>
        <row r="2325">
          <cell r="B2325">
            <v>5352570</v>
          </cell>
          <cell r="C2325" t="str">
            <v>GREENJOY RESTAURANTES LTDA</v>
          </cell>
          <cell r="D2325" t="str">
            <v>7001</v>
          </cell>
          <cell r="E2325" t="str">
            <v>0749</v>
          </cell>
          <cell r="F2325" t="str">
            <v>C5</v>
          </cell>
          <cell r="G2325" t="str">
            <v>SP</v>
          </cell>
          <cell r="H2325" t="str">
            <v>DISTRIBUIÇÃO</v>
          </cell>
          <cell r="I2325" t="str">
            <v>FOOD SERVICE</v>
          </cell>
          <cell r="J2325" t="str">
            <v>FLAC 5</v>
          </cell>
          <cell r="K2325" t="str">
            <v>LACTALIS</v>
          </cell>
          <cell r="L2325" t="str">
            <v>RODRIGO</v>
          </cell>
          <cell r="M2325" t="str">
            <v>RAQUEL BARBOSA</v>
          </cell>
        </row>
        <row r="2326">
          <cell r="B2326">
            <v>5353431</v>
          </cell>
          <cell r="C2326" t="str">
            <v>RVG COMERCIO DE PROD ALIM E BEB</v>
          </cell>
          <cell r="D2326" t="str">
            <v>7001</v>
          </cell>
          <cell r="E2326" t="str">
            <v>0749</v>
          </cell>
          <cell r="F2326" t="str">
            <v>C5</v>
          </cell>
          <cell r="G2326" t="str">
            <v>SP</v>
          </cell>
          <cell r="H2326" t="str">
            <v>DISTRIBUIÇÃO</v>
          </cell>
          <cell r="I2326" t="str">
            <v>FOOD SERVICE</v>
          </cell>
          <cell r="J2326" t="str">
            <v>FLAC 5</v>
          </cell>
          <cell r="K2326" t="str">
            <v>LACTALIS</v>
          </cell>
          <cell r="L2326" t="str">
            <v>RODRIGO</v>
          </cell>
          <cell r="M2326" t="str">
            <v>RAQUEL BARBOSA</v>
          </cell>
        </row>
        <row r="2327">
          <cell r="B2327">
            <v>5230508</v>
          </cell>
          <cell r="C2327" t="str">
            <v>THIAGO MAGNO SILVERIO DA FONSEC</v>
          </cell>
          <cell r="D2327" t="str">
            <v>6001</v>
          </cell>
          <cell r="E2327" t="str">
            <v>6075</v>
          </cell>
          <cell r="F2327" t="str">
            <v>C1</v>
          </cell>
          <cell r="G2327" t="str">
            <v>CE</v>
          </cell>
          <cell r="H2327" t="str">
            <v>DISTRIBUIÇÃO</v>
          </cell>
          <cell r="I2327" t="str">
            <v>FOOD SERVICE</v>
          </cell>
          <cell r="J2327" t="str">
            <v>WH FOOD SERVICE CE</v>
          </cell>
          <cell r="K2327" t="str">
            <v>ITAMBÉ</v>
          </cell>
          <cell r="L2327" t="str">
            <v>RODRIGO</v>
          </cell>
          <cell r="M2327" t="str">
            <v>MARIA LOURDES</v>
          </cell>
        </row>
        <row r="2328">
          <cell r="B2328">
            <v>5316368</v>
          </cell>
          <cell r="C2328" t="str">
            <v>BANOFFERIA SALVADOR LTDA</v>
          </cell>
          <cell r="D2328" t="str">
            <v>3001</v>
          </cell>
          <cell r="E2328" t="str">
            <v>0127</v>
          </cell>
          <cell r="F2328" t="str">
            <v>C1</v>
          </cell>
          <cell r="G2328" t="str">
            <v>BA</v>
          </cell>
          <cell r="H2328" t="str">
            <v>DISTRIBUIÇÃO</v>
          </cell>
          <cell r="I2328" t="str">
            <v>FOOD SERVICE</v>
          </cell>
          <cell r="J2328" t="str">
            <v>CLAUDIO JORGE/LUIZ</v>
          </cell>
          <cell r="K2328" t="str">
            <v>ITAMBÉ</v>
          </cell>
          <cell r="L2328" t="str">
            <v>RODRIGO</v>
          </cell>
          <cell r="M2328" t="str">
            <v>MARIA LOURDES</v>
          </cell>
        </row>
        <row r="2329">
          <cell r="B2329">
            <v>5350294</v>
          </cell>
          <cell r="C2329" t="str">
            <v>MIX CEASA EXPRESSO ALIMENTOS LT</v>
          </cell>
          <cell r="D2329" t="str">
            <v>3001</v>
          </cell>
          <cell r="E2329" t="str">
            <v>0127</v>
          </cell>
          <cell r="F2329" t="str">
            <v>C1</v>
          </cell>
          <cell r="G2329" t="str">
            <v>PE</v>
          </cell>
          <cell r="H2329" t="str">
            <v>DISTRIBUIÇÃO</v>
          </cell>
          <cell r="I2329" t="str">
            <v>FOOD SERVICE</v>
          </cell>
          <cell r="J2329" t="str">
            <v>CLAUDIO JORGE</v>
          </cell>
          <cell r="K2329" t="str">
            <v>ITAMBÉ</v>
          </cell>
          <cell r="L2329" t="str">
            <v>RODRIGO</v>
          </cell>
          <cell r="M2329" t="str">
            <v>MARIA LOURDES</v>
          </cell>
        </row>
        <row r="2330">
          <cell r="B2330">
            <v>5352582</v>
          </cell>
          <cell r="C2330" t="str">
            <v>CESARS ALIMENTACAO LTDA</v>
          </cell>
          <cell r="D2330" t="str">
            <v>7001</v>
          </cell>
          <cell r="E2330" t="str">
            <v>0749</v>
          </cell>
          <cell r="F2330" t="str">
            <v>C5</v>
          </cell>
          <cell r="G2330" t="str">
            <v>SP</v>
          </cell>
          <cell r="H2330" t="str">
            <v>DISTRIBUIÇÃO</v>
          </cell>
          <cell r="I2330" t="str">
            <v>FOOD SERVICE</v>
          </cell>
          <cell r="J2330" t="str">
            <v>FLAC 5</v>
          </cell>
          <cell r="K2330" t="str">
            <v>LACTALIS</v>
          </cell>
          <cell r="L2330" t="str">
            <v>RODRIGO</v>
          </cell>
          <cell r="M2330" t="str">
            <v>RAQUEL BARBOSA</v>
          </cell>
        </row>
        <row r="2331">
          <cell r="B2331">
            <v>5041698</v>
          </cell>
          <cell r="C2331" t="str">
            <v>REFFEL PRODUTOS ALIMENTICIOS LT</v>
          </cell>
          <cell r="D2331" t="str">
            <v>6001</v>
          </cell>
          <cell r="E2331" t="str">
            <v>6028</v>
          </cell>
          <cell r="F2331" t="str">
            <v>C1</v>
          </cell>
          <cell r="G2331" t="str">
            <v>SP</v>
          </cell>
          <cell r="H2331" t="str">
            <v>INGREDIENTS</v>
          </cell>
          <cell r="I2331" t="str">
            <v>INGREDIENTS</v>
          </cell>
          <cell r="J2331" t="str">
            <v>HENRIQUE FERREIRA</v>
          </cell>
          <cell r="K2331" t="str">
            <v>ITAMBÉ</v>
          </cell>
          <cell r="L2331" t="str">
            <v>MAURICIO</v>
          </cell>
          <cell r="M2331" t="str">
            <v>JOEL</v>
          </cell>
        </row>
        <row r="2332">
          <cell r="B2332">
            <v>5126977</v>
          </cell>
          <cell r="C2332" t="str">
            <v>COMERCIO DE ALIMENTOS NOVO MEXI</v>
          </cell>
          <cell r="D2332" t="str">
            <v>7001</v>
          </cell>
          <cell r="E2332" t="str">
            <v>0739</v>
          </cell>
          <cell r="F2332" t="str">
            <v>C1</v>
          </cell>
          <cell r="G2332" t="str">
            <v>ES</v>
          </cell>
          <cell r="H2332" t="str">
            <v>DISTRIBUIÇÃO</v>
          </cell>
          <cell r="I2332" t="str">
            <v>FOOD SERVICE</v>
          </cell>
          <cell r="J2332" t="str">
            <v>MARCELO DUARTE</v>
          </cell>
          <cell r="K2332" t="str">
            <v>LACTALIS</v>
          </cell>
          <cell r="L2332" t="str">
            <v>RODRIGO</v>
          </cell>
          <cell r="M2332" t="str">
            <v>JESSICA</v>
          </cell>
        </row>
        <row r="2333">
          <cell r="B2333">
            <v>5145924</v>
          </cell>
          <cell r="C2333" t="str">
            <v>CAFE TRES CORACOES SA</v>
          </cell>
          <cell r="D2333" t="str">
            <v>4001</v>
          </cell>
          <cell r="E2333" t="str">
            <v>0458</v>
          </cell>
          <cell r="F2333" t="str">
            <v>C1</v>
          </cell>
          <cell r="G2333" t="str">
            <v>MG</v>
          </cell>
          <cell r="H2333" t="str">
            <v>INGREDIENTS</v>
          </cell>
          <cell r="I2333" t="str">
            <v>INGREDIENTS</v>
          </cell>
          <cell r="J2333" t="str">
            <v>JOEL ELEOTÉRIO</v>
          </cell>
          <cell r="K2333" t="str">
            <v>LACTALIS</v>
          </cell>
          <cell r="L2333" t="str">
            <v>MAURICIO</v>
          </cell>
          <cell r="M2333" t="str">
            <v>JOEL</v>
          </cell>
        </row>
        <row r="2334">
          <cell r="B2334">
            <v>5332247</v>
          </cell>
          <cell r="C2334" t="str">
            <v>AMIV COMERCIO DE PRODUTOS</v>
          </cell>
          <cell r="D2334" t="str">
            <v>6001</v>
          </cell>
          <cell r="E2334" t="str">
            <v>6075</v>
          </cell>
          <cell r="F2334" t="str">
            <v>C1</v>
          </cell>
          <cell r="G2334" t="str">
            <v>CE</v>
          </cell>
          <cell r="H2334" t="str">
            <v>DISTRIBUIÇÃO</v>
          </cell>
          <cell r="I2334" t="str">
            <v>FOOD SERVICE</v>
          </cell>
          <cell r="J2334" t="str">
            <v>WH FOOD SERVICE CE</v>
          </cell>
          <cell r="K2334" t="str">
            <v>ITAMBÉ</v>
          </cell>
          <cell r="L2334" t="str">
            <v>RODRIGO</v>
          </cell>
          <cell r="M2334" t="str">
            <v>MARIA LOURDES</v>
          </cell>
        </row>
        <row r="2335">
          <cell r="B2335">
            <v>5350815</v>
          </cell>
          <cell r="C2335" t="str">
            <v>SORVETOP COMERCIO LTDA</v>
          </cell>
          <cell r="D2335" t="str">
            <v>6001</v>
          </cell>
          <cell r="E2335" t="str">
            <v>6169</v>
          </cell>
          <cell r="F2335" t="str">
            <v>C1</v>
          </cell>
          <cell r="G2335" t="str">
            <v>ES</v>
          </cell>
          <cell r="H2335" t="str">
            <v>DISTRIBUIÇÃO</v>
          </cell>
          <cell r="I2335" t="str">
            <v>FOOD SERVICE</v>
          </cell>
          <cell r="J2335" t="str">
            <v>MARCELO DUARTE</v>
          </cell>
          <cell r="K2335" t="str">
            <v>ITAMBÉ</v>
          </cell>
          <cell r="L2335" t="str">
            <v>RODRIGO</v>
          </cell>
          <cell r="M2335" t="str">
            <v>JESSICA</v>
          </cell>
        </row>
        <row r="2336">
          <cell r="B2336">
            <v>5352573</v>
          </cell>
          <cell r="C2336" t="str">
            <v>CRP KINOPLEX 77 LTDA</v>
          </cell>
          <cell r="D2336" t="str">
            <v>7001</v>
          </cell>
          <cell r="E2336" t="str">
            <v>0749</v>
          </cell>
          <cell r="F2336" t="str">
            <v>C5</v>
          </cell>
          <cell r="G2336" t="str">
            <v>SP</v>
          </cell>
          <cell r="H2336" t="str">
            <v>DISTRIBUIÇÃO</v>
          </cell>
          <cell r="I2336" t="str">
            <v>FOOD SERVICE</v>
          </cell>
          <cell r="J2336" t="str">
            <v>FLAC 5</v>
          </cell>
          <cell r="K2336" t="str">
            <v>LACTALIS</v>
          </cell>
          <cell r="L2336" t="str">
            <v>RODRIGO</v>
          </cell>
          <cell r="M2336" t="str">
            <v>RAQUEL BARBOSA</v>
          </cell>
        </row>
        <row r="2337">
          <cell r="B2337">
            <v>5316368</v>
          </cell>
          <cell r="C2337" t="str">
            <v>BANOFFERIA SALVADOR LTDA</v>
          </cell>
          <cell r="D2337" t="str">
            <v>6001</v>
          </cell>
          <cell r="E2337" t="str">
            <v>6127</v>
          </cell>
          <cell r="F2337" t="str">
            <v>C1</v>
          </cell>
          <cell r="G2337" t="str">
            <v>BA</v>
          </cell>
          <cell r="H2337" t="str">
            <v>DISTRIBUIÇÃO</v>
          </cell>
          <cell r="I2337" t="str">
            <v>FOOD SERVICE</v>
          </cell>
          <cell r="J2337" t="str">
            <v>CLAUDIO JORGE/LUIZ</v>
          </cell>
          <cell r="K2337" t="str">
            <v>ITAMBÉ</v>
          </cell>
          <cell r="L2337" t="str">
            <v>RODRIGO</v>
          </cell>
          <cell r="M2337" t="str">
            <v>MARIA LOURDES</v>
          </cell>
        </row>
        <row r="2338">
          <cell r="B2338">
            <v>5173305</v>
          </cell>
          <cell r="C2338" t="str">
            <v>ARCOR DO BRASIL LTDA</v>
          </cell>
          <cell r="D2338" t="str">
            <v>4001</v>
          </cell>
          <cell r="E2338" t="str">
            <v>0437</v>
          </cell>
          <cell r="F2338" t="str">
            <v>C1</v>
          </cell>
          <cell r="G2338" t="str">
            <v>SP</v>
          </cell>
          <cell r="H2338" t="str">
            <v>INGREDIENTS</v>
          </cell>
          <cell r="I2338" t="str">
            <v>INGREDIENTS</v>
          </cell>
          <cell r="J2338" t="str">
            <v>TATIANA NITTA</v>
          </cell>
          <cell r="K2338" t="str">
            <v>LACTALIS</v>
          </cell>
          <cell r="L2338" t="str">
            <v>MAURICIO</v>
          </cell>
          <cell r="M2338" t="str">
            <v>TATIANA NITTA</v>
          </cell>
        </row>
        <row r="2339">
          <cell r="B2339">
            <v>5183495</v>
          </cell>
          <cell r="C2339" t="str">
            <v>ASTRON INDUSTRIA DE DOCES L</v>
          </cell>
          <cell r="D2339" t="str">
            <v>3001</v>
          </cell>
          <cell r="E2339" t="str">
            <v>0122</v>
          </cell>
          <cell r="F2339" t="str">
            <v>C1</v>
          </cell>
          <cell r="G2339" t="str">
            <v>MG</v>
          </cell>
          <cell r="H2339" t="str">
            <v>INGREDIENTS</v>
          </cell>
          <cell r="I2339" t="str">
            <v>INGREDIENTS</v>
          </cell>
          <cell r="J2339" t="str">
            <v>HENRIQUE FERREIRA</v>
          </cell>
          <cell r="K2339" t="str">
            <v>ITAMBÉ</v>
          </cell>
          <cell r="L2339" t="str">
            <v>MAURICIO</v>
          </cell>
          <cell r="M2339" t="str">
            <v>JOEL</v>
          </cell>
        </row>
        <row r="2340">
          <cell r="B2340">
            <v>5321026</v>
          </cell>
          <cell r="C2340" t="str">
            <v>GOODSERVICE PROMOE EVENTOS LTDA</v>
          </cell>
          <cell r="D2340" t="str">
            <v>7001</v>
          </cell>
          <cell r="E2340" t="str">
            <v>0749</v>
          </cell>
          <cell r="F2340" t="str">
            <v>C5</v>
          </cell>
          <cell r="G2340" t="str">
            <v>SP</v>
          </cell>
          <cell r="H2340" t="str">
            <v>DISTRIBUIÇÃO</v>
          </cell>
          <cell r="I2340" t="str">
            <v>FOOD SERVICE</v>
          </cell>
          <cell r="J2340" t="str">
            <v>FLAC 2</v>
          </cell>
          <cell r="K2340" t="str">
            <v>LACTALIS</v>
          </cell>
          <cell r="L2340" t="str">
            <v>RODRIGO</v>
          </cell>
          <cell r="M2340" t="str">
            <v>RAQUEL BARBOSA</v>
          </cell>
        </row>
        <row r="2341">
          <cell r="B2341">
            <v>5351693</v>
          </cell>
          <cell r="C2341" t="str">
            <v>CANELLE HEALTHY E CO LTDA</v>
          </cell>
          <cell r="D2341" t="str">
            <v>7001</v>
          </cell>
          <cell r="E2341" t="str">
            <v>0749</v>
          </cell>
          <cell r="F2341" t="str">
            <v>C5</v>
          </cell>
          <cell r="G2341" t="str">
            <v>SP</v>
          </cell>
          <cell r="H2341" t="str">
            <v>DISTRIBUIÇÃO</v>
          </cell>
          <cell r="I2341" t="str">
            <v>FOOD SERVICE</v>
          </cell>
          <cell r="J2341" t="str">
            <v>FLAC 6</v>
          </cell>
          <cell r="K2341" t="str">
            <v>LACTALIS</v>
          </cell>
          <cell r="L2341" t="str">
            <v>RODRIGO</v>
          </cell>
          <cell r="M2341" t="str">
            <v>RAQUEL BARBOSA</v>
          </cell>
        </row>
        <row r="2342">
          <cell r="B2342">
            <v>5317313</v>
          </cell>
          <cell r="C2342" t="str">
            <v>RESTAURANTE LELLIS TRATTORIA LT</v>
          </cell>
          <cell r="D2342" t="str">
            <v>7001</v>
          </cell>
          <cell r="E2342" t="str">
            <v>0749</v>
          </cell>
          <cell r="F2342" t="str">
            <v>C5</v>
          </cell>
          <cell r="G2342" t="str">
            <v>SP</v>
          </cell>
          <cell r="H2342" t="str">
            <v>DISTRIBUIÇÃO</v>
          </cell>
          <cell r="I2342" t="str">
            <v>FOOD SERVICE</v>
          </cell>
          <cell r="J2342" t="str">
            <v>FLAC 5</v>
          </cell>
          <cell r="K2342" t="str">
            <v>LACTALIS</v>
          </cell>
          <cell r="L2342" t="str">
            <v>RODRIGO</v>
          </cell>
          <cell r="M2342" t="str">
            <v>RAQUEL BARBOSA</v>
          </cell>
        </row>
        <row r="2343">
          <cell r="B2343">
            <v>5328247</v>
          </cell>
          <cell r="C2343" t="str">
            <v>TUDO NA BRASA RESTAURANTE DELIV</v>
          </cell>
          <cell r="D2343" t="str">
            <v>4001</v>
          </cell>
          <cell r="E2343" t="str">
            <v>0458</v>
          </cell>
          <cell r="F2343" t="str">
            <v>C1</v>
          </cell>
          <cell r="G2343" t="str">
            <v>MG</v>
          </cell>
          <cell r="H2343" t="str">
            <v>INGREDIENTS</v>
          </cell>
          <cell r="I2343" t="str">
            <v>INGREDIENTS</v>
          </cell>
          <cell r="J2343" t="str">
            <v>HENRIQUE FERREIRA</v>
          </cell>
          <cell r="K2343" t="str">
            <v>LACTALIS</v>
          </cell>
          <cell r="L2343" t="str">
            <v>MAURICIO</v>
          </cell>
          <cell r="M2343" t="str">
            <v>JOEL</v>
          </cell>
        </row>
        <row r="2344">
          <cell r="B2344">
            <v>5352823</v>
          </cell>
          <cell r="C2344" t="str">
            <v>BACO DIVINO COM DE BEBIDAS LTDA</v>
          </cell>
          <cell r="D2344" t="str">
            <v>7001</v>
          </cell>
          <cell r="E2344" t="str">
            <v>0749</v>
          </cell>
          <cell r="F2344" t="str">
            <v>C5</v>
          </cell>
          <cell r="G2344" t="str">
            <v>SP</v>
          </cell>
          <cell r="H2344" t="str">
            <v>DISTRIBUIÇÃO</v>
          </cell>
          <cell r="I2344" t="str">
            <v>FOOD SERVICE</v>
          </cell>
          <cell r="J2344" t="str">
            <v>FLAC 2</v>
          </cell>
          <cell r="K2344" t="str">
            <v>LACTALIS</v>
          </cell>
          <cell r="L2344" t="str">
            <v>RODRIGO</v>
          </cell>
          <cell r="M2344" t="str">
            <v>RAQUEL BARBOSA</v>
          </cell>
        </row>
        <row r="2345">
          <cell r="B2345">
            <v>5353256</v>
          </cell>
          <cell r="C2345" t="str">
            <v>GOODSERVICE PROMOE EVENTOS LTDA</v>
          </cell>
          <cell r="D2345" t="str">
            <v>7001</v>
          </cell>
          <cell r="E2345" t="str">
            <v>0749</v>
          </cell>
          <cell r="F2345" t="str">
            <v>C5</v>
          </cell>
          <cell r="G2345" t="str">
            <v>SP</v>
          </cell>
          <cell r="H2345" t="str">
            <v>DISTRIBUIÇÃO</v>
          </cell>
          <cell r="I2345" t="str">
            <v>FOOD SERVICE</v>
          </cell>
          <cell r="J2345" t="str">
            <v>FLAC 2</v>
          </cell>
          <cell r="K2345" t="str">
            <v>LACTALIS</v>
          </cell>
          <cell r="L2345" t="str">
            <v>RODRIGO</v>
          </cell>
          <cell r="M2345" t="str">
            <v>RAQUEL BARBOSA</v>
          </cell>
        </row>
        <row r="2346">
          <cell r="B2346">
            <v>5349403</v>
          </cell>
          <cell r="C2346" t="str">
            <v>PARADELA DIST DE ALIMENTOS LTDA</v>
          </cell>
          <cell r="D2346" t="str">
            <v>6001</v>
          </cell>
          <cell r="E2346" t="str">
            <v>6169</v>
          </cell>
          <cell r="F2346" t="str">
            <v>C1</v>
          </cell>
          <cell r="G2346" t="str">
            <v>RJ</v>
          </cell>
          <cell r="H2346" t="str">
            <v>DISTRIBUIÇÃO</v>
          </cell>
          <cell r="I2346" t="str">
            <v>FOOD SERVICE</v>
          </cell>
          <cell r="J2346" t="str">
            <v>JULIANA CORDEIRO</v>
          </cell>
          <cell r="K2346" t="str">
            <v>ITAMBÉ</v>
          </cell>
          <cell r="L2346" t="str">
            <v>RODRIGO</v>
          </cell>
          <cell r="M2346" t="str">
            <v>JESSICA</v>
          </cell>
        </row>
        <row r="2347">
          <cell r="B2347">
            <v>5353604</v>
          </cell>
          <cell r="C2347" t="str">
            <v>ELIBRE CLINICA DE SAUDE LTDA</v>
          </cell>
          <cell r="D2347" t="str">
            <v>7001</v>
          </cell>
          <cell r="E2347" t="str">
            <v>0749</v>
          </cell>
          <cell r="F2347" t="str">
            <v>C5</v>
          </cell>
          <cell r="G2347" t="str">
            <v>SP</v>
          </cell>
          <cell r="H2347" t="str">
            <v>DISTRIBUIÇÃO</v>
          </cell>
          <cell r="I2347" t="str">
            <v>FOOD SERVICE</v>
          </cell>
          <cell r="J2347" t="str">
            <v>FLAC 3</v>
          </cell>
          <cell r="K2347" t="str">
            <v>LACTALIS</v>
          </cell>
          <cell r="L2347" t="str">
            <v>RODRIGO</v>
          </cell>
          <cell r="M2347" t="str">
            <v>RAQUEL BARBOSA</v>
          </cell>
        </row>
        <row r="2348">
          <cell r="B2348">
            <v>5115189</v>
          </cell>
          <cell r="C2348" t="str">
            <v>STA DISTRIBUIDORA DE ALIMENTOS LTDA</v>
          </cell>
          <cell r="D2348" t="str">
            <v>7001</v>
          </cell>
          <cell r="E2348" t="str">
            <v>0562</v>
          </cell>
          <cell r="F2348" t="str">
            <v>C5</v>
          </cell>
          <cell r="G2348" t="str">
            <v>GO</v>
          </cell>
          <cell r="H2348" t="str">
            <v>DISTRIBUIÇÃO</v>
          </cell>
          <cell r="I2348" t="str">
            <v>FOOD SERVICE</v>
          </cell>
          <cell r="J2348" t="str">
            <v>CLAUDIO JORGE/MARIA LAURA</v>
          </cell>
          <cell r="K2348" t="str">
            <v>LACTALIS</v>
          </cell>
          <cell r="L2348" t="str">
            <v>RODRIGO</v>
          </cell>
          <cell r="M2348" t="str">
            <v>MARCO AURELIO</v>
          </cell>
        </row>
        <row r="2349">
          <cell r="B2349">
            <v>5130771</v>
          </cell>
          <cell r="C2349" t="str">
            <v>DEFAL COMERCIO ATACADISTA DE BE</v>
          </cell>
          <cell r="D2349" t="str">
            <v>6001</v>
          </cell>
          <cell r="E2349" t="str">
            <v>6125</v>
          </cell>
          <cell r="F2349" t="str">
            <v>C1</v>
          </cell>
          <cell r="G2349" t="str">
            <v>SP</v>
          </cell>
          <cell r="H2349" t="str">
            <v>INGREDIENTS</v>
          </cell>
          <cell r="I2349" t="str">
            <v>INGREDIENTS</v>
          </cell>
          <cell r="J2349" t="str">
            <v>HENRIQUE FERREIRA</v>
          </cell>
          <cell r="K2349" t="str">
            <v>ITAMBÉ</v>
          </cell>
          <cell r="L2349" t="str">
            <v>MAURICIO</v>
          </cell>
          <cell r="M2349" t="str">
            <v>JOEL</v>
          </cell>
        </row>
        <row r="2350">
          <cell r="B2350">
            <v>5316125</v>
          </cell>
          <cell r="C2350" t="str">
            <v>AFFARI ALIMENTACAO LTDA</v>
          </cell>
          <cell r="D2350" t="str">
            <v>7001</v>
          </cell>
          <cell r="E2350" t="str">
            <v>0749</v>
          </cell>
          <cell r="F2350" t="str">
            <v>C5</v>
          </cell>
          <cell r="G2350" t="str">
            <v>SP</v>
          </cell>
          <cell r="H2350" t="str">
            <v>DISTRIBUIÇÃO</v>
          </cell>
          <cell r="I2350" t="str">
            <v>FOOD SERVICE</v>
          </cell>
          <cell r="J2350" t="str">
            <v>FLAC 4</v>
          </cell>
          <cell r="K2350" t="str">
            <v>LACTALIS</v>
          </cell>
          <cell r="L2350" t="str">
            <v>RODRIGO</v>
          </cell>
          <cell r="M2350" t="str">
            <v>RAQUEL BARBOSA</v>
          </cell>
        </row>
        <row r="2351">
          <cell r="B2351">
            <v>5316128</v>
          </cell>
          <cell r="C2351" t="str">
            <v>AFFARI ALIMENTACAO LTDA</v>
          </cell>
          <cell r="D2351" t="str">
            <v>7001</v>
          </cell>
          <cell r="E2351" t="str">
            <v>0749</v>
          </cell>
          <cell r="F2351" t="str">
            <v>C5</v>
          </cell>
          <cell r="G2351" t="str">
            <v>SP</v>
          </cell>
          <cell r="H2351" t="str">
            <v>DISTRIBUIÇÃO</v>
          </cell>
          <cell r="I2351" t="str">
            <v>FOOD SERVICE</v>
          </cell>
          <cell r="J2351" t="str">
            <v>FLAC 4</v>
          </cell>
          <cell r="K2351" t="str">
            <v>LACTALIS</v>
          </cell>
          <cell r="L2351" t="str">
            <v>RODRIGO</v>
          </cell>
          <cell r="M2351" t="str">
            <v>RAQUEL BARBOSA</v>
          </cell>
        </row>
        <row r="2352">
          <cell r="B2352">
            <v>5353215</v>
          </cell>
          <cell r="C2352" t="str">
            <v>SORVET E LANCH SABOR E ARTE LTD</v>
          </cell>
          <cell r="D2352" t="str">
            <v>3001</v>
          </cell>
          <cell r="E2352" t="str">
            <v>0028</v>
          </cell>
          <cell r="F2352" t="str">
            <v>C1</v>
          </cell>
          <cell r="G2352" t="str">
            <v>MG</v>
          </cell>
          <cell r="H2352" t="str">
            <v>INGREDIENTS</v>
          </cell>
          <cell r="I2352" t="str">
            <v>INGREDIENTS</v>
          </cell>
          <cell r="J2352" t="str">
            <v>HENRIQUE FERREIRA</v>
          </cell>
          <cell r="K2352" t="str">
            <v>ITAMBÉ</v>
          </cell>
          <cell r="L2352" t="str">
            <v>MAURICIO</v>
          </cell>
          <cell r="M2352" t="str">
            <v>JOEL</v>
          </cell>
        </row>
        <row r="2353">
          <cell r="B2353">
            <v>5133664</v>
          </cell>
          <cell r="C2353" t="str">
            <v>PADEIRAO COMERCIO PROD PARA PANI LT</v>
          </cell>
          <cell r="D2353" t="str">
            <v>4001</v>
          </cell>
          <cell r="E2353" t="str">
            <v>0536</v>
          </cell>
          <cell r="F2353" t="str">
            <v>C5</v>
          </cell>
          <cell r="G2353" t="str">
            <v>PE</v>
          </cell>
          <cell r="H2353" t="str">
            <v>DISTRIBUIÇÃO</v>
          </cell>
          <cell r="I2353" t="str">
            <v>FOOD SERVICE</v>
          </cell>
          <cell r="J2353" t="str">
            <v>CLAUDIO JORGE/AMANDA SANDS</v>
          </cell>
          <cell r="K2353" t="str">
            <v>LACTALIS</v>
          </cell>
          <cell r="L2353" t="str">
            <v>RODRIGO</v>
          </cell>
          <cell r="M2353" t="str">
            <v>MARIA LOURDES</v>
          </cell>
        </row>
        <row r="2354">
          <cell r="B2354">
            <v>5353757</v>
          </cell>
          <cell r="C2354" t="str">
            <v>GIOVANA G RONDON E SILVA 48468438820</v>
          </cell>
          <cell r="D2354" t="str">
            <v>7001</v>
          </cell>
          <cell r="E2354" t="str">
            <v>0749</v>
          </cell>
          <cell r="F2354" t="str">
            <v>C5</v>
          </cell>
          <cell r="G2354" t="str">
            <v>SP</v>
          </cell>
          <cell r="H2354" t="str">
            <v>DISTRIBUIÇÃO</v>
          </cell>
          <cell r="I2354" t="str">
            <v>FOOD SERVICE</v>
          </cell>
          <cell r="J2354" t="str">
            <v>FLAC 5</v>
          </cell>
          <cell r="K2354" t="str">
            <v>LACTALIS</v>
          </cell>
          <cell r="L2354" t="str">
            <v>RODRIGO</v>
          </cell>
          <cell r="M2354" t="str">
            <v>RAQUEL BARBOSA</v>
          </cell>
        </row>
        <row r="2355">
          <cell r="B2355">
            <v>5198408</v>
          </cell>
          <cell r="C2355" t="str">
            <v>MARIA ISABEL TOMICH DUARTE 0150</v>
          </cell>
          <cell r="D2355" t="str">
            <v>3001</v>
          </cell>
          <cell r="E2355" t="str">
            <v>0028</v>
          </cell>
          <cell r="F2355" t="str">
            <v>C1</v>
          </cell>
          <cell r="G2355" t="str">
            <v>MG</v>
          </cell>
          <cell r="H2355" t="str">
            <v>INGREDIENTS</v>
          </cell>
          <cell r="I2355" t="str">
            <v>INGREDIENTS</v>
          </cell>
          <cell r="J2355" t="str">
            <v>HENRIQUE FERREIRA</v>
          </cell>
          <cell r="K2355" t="str">
            <v>ITAMBÉ</v>
          </cell>
          <cell r="L2355" t="str">
            <v>MAURICIO</v>
          </cell>
          <cell r="M2355" t="str">
            <v>JOEL</v>
          </cell>
        </row>
        <row r="2356">
          <cell r="B2356">
            <v>5330279</v>
          </cell>
          <cell r="C2356" t="str">
            <v>AUREA INDUSTRIA E COMERCIO LTDA</v>
          </cell>
          <cell r="D2356" t="str">
            <v>4001</v>
          </cell>
          <cell r="E2356" t="str">
            <v>0456</v>
          </cell>
          <cell r="F2356" t="str">
            <v>C1</v>
          </cell>
          <cell r="G2356" t="str">
            <v>SC</v>
          </cell>
          <cell r="H2356" t="str">
            <v>INGREDIENTS</v>
          </cell>
          <cell r="I2356" t="str">
            <v>INGREDIENTS</v>
          </cell>
          <cell r="J2356" t="str">
            <v>MARCELO RODRIGUES</v>
          </cell>
          <cell r="K2356" t="str">
            <v>LACTALIS</v>
          </cell>
          <cell r="L2356" t="str">
            <v>MAURICIO</v>
          </cell>
          <cell r="M2356" t="str">
            <v>MARCELO</v>
          </cell>
        </row>
        <row r="2357">
          <cell r="B2357">
            <v>5331461</v>
          </cell>
          <cell r="C2357" t="str">
            <v>TANGARA IMPORTADORA E EXPORTADO</v>
          </cell>
          <cell r="D2357" t="str">
            <v>4001</v>
          </cell>
          <cell r="E2357" t="str">
            <v>0546</v>
          </cell>
          <cell r="F2357" t="str">
            <v>C1</v>
          </cell>
          <cell r="G2357" t="str">
            <v>RS</v>
          </cell>
          <cell r="H2357" t="str">
            <v>INGREDIENTS</v>
          </cell>
          <cell r="I2357" t="str">
            <v>INGREDIENTS</v>
          </cell>
          <cell r="J2357" t="str">
            <v>MARCELO RODRIGUES</v>
          </cell>
          <cell r="K2357" t="str">
            <v>LACTALIS</v>
          </cell>
          <cell r="L2357" t="str">
            <v>MAURICIO</v>
          </cell>
          <cell r="M2357" t="str">
            <v>MARCELO</v>
          </cell>
        </row>
        <row r="2358">
          <cell r="B2358">
            <v>5350693</v>
          </cell>
          <cell r="C2358" t="str">
            <v>SPAZIO VERDE HOTEL LTDA</v>
          </cell>
          <cell r="D2358" t="str">
            <v>7001</v>
          </cell>
          <cell r="E2358" t="str">
            <v>0749</v>
          </cell>
          <cell r="F2358" t="str">
            <v>C5</v>
          </cell>
          <cell r="G2358" t="str">
            <v>SP</v>
          </cell>
          <cell r="H2358" t="str">
            <v>DISTRIBUIÇÃO</v>
          </cell>
          <cell r="I2358" t="str">
            <v>FOOD SERVICE</v>
          </cell>
          <cell r="J2358" t="str">
            <v>FLAC 7</v>
          </cell>
          <cell r="K2358" t="str">
            <v>LACTALIS</v>
          </cell>
          <cell r="L2358" t="str">
            <v>RODRIGO</v>
          </cell>
          <cell r="M2358" t="str">
            <v>RAQUEL BARBOSA</v>
          </cell>
        </row>
        <row r="2359">
          <cell r="B2359">
            <v>5353656</v>
          </cell>
          <cell r="C2359" t="str">
            <v>COSTA ALIMENTOS LTDA</v>
          </cell>
          <cell r="D2359" t="str">
            <v>7001</v>
          </cell>
          <cell r="E2359" t="str">
            <v>0749</v>
          </cell>
          <cell r="F2359" t="str">
            <v>C5</v>
          </cell>
          <cell r="G2359" t="str">
            <v>SP</v>
          </cell>
          <cell r="H2359" t="str">
            <v>DISTRIBUIÇÃO</v>
          </cell>
          <cell r="I2359" t="str">
            <v>FOOD SERVICE</v>
          </cell>
          <cell r="J2359" t="str">
            <v>FLAC 5</v>
          </cell>
          <cell r="K2359" t="str">
            <v>LACTALIS</v>
          </cell>
          <cell r="L2359" t="str">
            <v>RODRIGO</v>
          </cell>
          <cell r="M2359" t="str">
            <v>RAQUEL BARBOSA</v>
          </cell>
        </row>
        <row r="2360">
          <cell r="B2360">
            <v>5353769</v>
          </cell>
          <cell r="C2360" t="str">
            <v>TWF EMPORIO E CAFE LTDA</v>
          </cell>
          <cell r="D2360" t="str">
            <v>7001</v>
          </cell>
          <cell r="E2360" t="str">
            <v>0749</v>
          </cell>
          <cell r="F2360" t="str">
            <v>C5</v>
          </cell>
          <cell r="G2360" t="str">
            <v>SP</v>
          </cell>
          <cell r="H2360" t="str">
            <v>DISTRIBUIÇÃO</v>
          </cell>
          <cell r="I2360" t="str">
            <v>FOOD SERVICE</v>
          </cell>
          <cell r="J2360" t="str">
            <v>FLAC 6</v>
          </cell>
          <cell r="K2360" t="str">
            <v>LACTALIS</v>
          </cell>
          <cell r="L2360" t="str">
            <v>RODRIGO</v>
          </cell>
          <cell r="M2360" t="str">
            <v>RAQUEL BARBOSA</v>
          </cell>
        </row>
        <row r="2361">
          <cell r="B2361">
            <v>5353998</v>
          </cell>
          <cell r="C2361" t="str">
            <v>RESTAURANTE PIZZARIA E DISTRI A</v>
          </cell>
          <cell r="D2361" t="str">
            <v>7001</v>
          </cell>
          <cell r="E2361" t="str">
            <v>0749</v>
          </cell>
          <cell r="F2361" t="str">
            <v>C5</v>
          </cell>
          <cell r="G2361" t="str">
            <v>SP</v>
          </cell>
          <cell r="H2361" t="str">
            <v>DISTRIBUIÇÃO</v>
          </cell>
          <cell r="I2361" t="str">
            <v>FOOD SERVICE</v>
          </cell>
          <cell r="J2361" t="str">
            <v>FLAC 5</v>
          </cell>
          <cell r="K2361" t="str">
            <v>LACTALIS</v>
          </cell>
          <cell r="L2361" t="str">
            <v>RODRIGO</v>
          </cell>
          <cell r="M2361" t="str">
            <v>RAQUEL BARBOSA</v>
          </cell>
        </row>
        <row r="2362">
          <cell r="B2362">
            <v>5250457</v>
          </cell>
          <cell r="C2362" t="str">
            <v>CARLOTA ALIMENTOS LTDA</v>
          </cell>
          <cell r="D2362" t="str">
            <v>7001</v>
          </cell>
          <cell r="E2362" t="str">
            <v>0749</v>
          </cell>
          <cell r="F2362" t="str">
            <v>C5</v>
          </cell>
          <cell r="G2362" t="str">
            <v>SP</v>
          </cell>
          <cell r="H2362" t="str">
            <v>DISTRIBUIÇÃO</v>
          </cell>
          <cell r="I2362" t="str">
            <v>FOOD SERVICE</v>
          </cell>
          <cell r="J2362" t="str">
            <v>FLAC 6</v>
          </cell>
          <cell r="K2362" t="str">
            <v>LACTALIS</v>
          </cell>
          <cell r="L2362" t="str">
            <v>RODRIGO</v>
          </cell>
          <cell r="M2362" t="str">
            <v>RAQUEL BARBOSA</v>
          </cell>
        </row>
        <row r="2363">
          <cell r="B2363">
            <v>5308405</v>
          </cell>
          <cell r="C2363" t="str">
            <v>EGP COMERCIO DE ALIMENTOS LTDA</v>
          </cell>
          <cell r="D2363" t="str">
            <v>4001</v>
          </cell>
          <cell r="E2363" t="str">
            <v>0546</v>
          </cell>
          <cell r="F2363" t="str">
            <v>C1</v>
          </cell>
          <cell r="G2363" t="str">
            <v>RS</v>
          </cell>
          <cell r="H2363" t="str">
            <v>INGREDIENTS</v>
          </cell>
          <cell r="I2363" t="str">
            <v>INGREDIENTS</v>
          </cell>
          <cell r="J2363" t="str">
            <v>JOEL ELEOTÉRIO</v>
          </cell>
          <cell r="K2363" t="str">
            <v>LACTALIS</v>
          </cell>
          <cell r="L2363" t="str">
            <v>MAURICIO</v>
          </cell>
          <cell r="M2363" t="str">
            <v>JOEL</v>
          </cell>
        </row>
        <row r="2364">
          <cell r="B2364">
            <v>5341743</v>
          </cell>
          <cell r="C2364" t="str">
            <v>MAURO SIQUEIRA DE MOURA JUNIOR</v>
          </cell>
          <cell r="D2364" t="str">
            <v>4001</v>
          </cell>
          <cell r="E2364" t="str">
            <v>0437</v>
          </cell>
          <cell r="F2364" t="str">
            <v>C1</v>
          </cell>
          <cell r="G2364" t="str">
            <v>SP</v>
          </cell>
          <cell r="H2364" t="str">
            <v>INGREDIENTS</v>
          </cell>
          <cell r="I2364" t="str">
            <v>INGREDIENTS</v>
          </cell>
          <cell r="J2364" t="str">
            <v>JOEL ELEOTÉRIO</v>
          </cell>
          <cell r="K2364" t="str">
            <v>LACTALIS</v>
          </cell>
          <cell r="L2364" t="str">
            <v>MAURICIO</v>
          </cell>
          <cell r="M2364" t="str">
            <v>JOEL</v>
          </cell>
        </row>
        <row r="2365">
          <cell r="B2365">
            <v>5349798</v>
          </cell>
          <cell r="C2365" t="str">
            <v>41224939 EDJACKSON DA CRUZ DE C</v>
          </cell>
          <cell r="D2365" t="str">
            <v>7001</v>
          </cell>
          <cell r="E2365" t="str">
            <v>0749</v>
          </cell>
          <cell r="F2365" t="str">
            <v>C5</v>
          </cell>
          <cell r="G2365" t="str">
            <v>SP</v>
          </cell>
          <cell r="H2365" t="str">
            <v>DISTRIBUIÇÃO</v>
          </cell>
          <cell r="I2365" t="str">
            <v>FOOD SERVICE</v>
          </cell>
          <cell r="J2365" t="str">
            <v>FLAC 5</v>
          </cell>
          <cell r="K2365" t="str">
            <v>LACTALIS</v>
          </cell>
          <cell r="L2365" t="str">
            <v>RODRIGO</v>
          </cell>
          <cell r="M2365" t="str">
            <v>RAQUEL BARBOSA</v>
          </cell>
        </row>
        <row r="2366">
          <cell r="B2366">
            <v>5353685</v>
          </cell>
          <cell r="C2366" t="str">
            <v>GANTE COMERCIO DE DOCES LTDA</v>
          </cell>
          <cell r="D2366" t="str">
            <v>6001</v>
          </cell>
          <cell r="E2366" t="str">
            <v>6028</v>
          </cell>
          <cell r="F2366" t="str">
            <v>C1</v>
          </cell>
          <cell r="G2366" t="str">
            <v>SP</v>
          </cell>
          <cell r="H2366" t="str">
            <v>INGREDIENTS</v>
          </cell>
          <cell r="I2366" t="str">
            <v>INGREDIENTS</v>
          </cell>
          <cell r="J2366" t="str">
            <v>HENRIQUE FERREIRA</v>
          </cell>
          <cell r="K2366" t="str">
            <v>ITAMBÉ</v>
          </cell>
          <cell r="L2366" t="str">
            <v>MAURICIO</v>
          </cell>
          <cell r="M2366" t="str">
            <v>JOEL</v>
          </cell>
        </row>
        <row r="2367">
          <cell r="B2367">
            <v>5143288</v>
          </cell>
          <cell r="C2367" t="str">
            <v>KERRY DO BRASIL LTDA</v>
          </cell>
          <cell r="D2367" t="str">
            <v>4001</v>
          </cell>
          <cell r="E2367" t="str">
            <v>0458</v>
          </cell>
          <cell r="F2367" t="str">
            <v>C1</v>
          </cell>
          <cell r="G2367" t="str">
            <v>MG</v>
          </cell>
          <cell r="H2367" t="str">
            <v>INGREDIENTS</v>
          </cell>
          <cell r="I2367" t="str">
            <v>INGREDIENTS</v>
          </cell>
          <cell r="J2367" t="str">
            <v>JOEL ELEOTÉRIO</v>
          </cell>
          <cell r="K2367" t="str">
            <v>LACTALIS</v>
          </cell>
          <cell r="L2367" t="str">
            <v>MAURICIO</v>
          </cell>
          <cell r="M2367" t="str">
            <v>JOEL</v>
          </cell>
        </row>
        <row r="2368">
          <cell r="B2368">
            <v>5328019</v>
          </cell>
          <cell r="C2368" t="str">
            <v>CROISSANTS DE FRA COM DE MASSAS</v>
          </cell>
          <cell r="D2368" t="str">
            <v>4001</v>
          </cell>
          <cell r="E2368" t="str">
            <v>0455</v>
          </cell>
          <cell r="F2368" t="str">
            <v>C1</v>
          </cell>
          <cell r="G2368" t="str">
            <v>SC</v>
          </cell>
          <cell r="H2368" t="str">
            <v>INGREDIENTS</v>
          </cell>
          <cell r="I2368" t="str">
            <v>INGREDIENTS</v>
          </cell>
          <cell r="J2368" t="str">
            <v>MARCELO RODRIGUES</v>
          </cell>
          <cell r="K2368" t="str">
            <v>LACTALIS</v>
          </cell>
          <cell r="L2368" t="str">
            <v>MAURICIO</v>
          </cell>
          <cell r="M2368" t="str">
            <v>MARCELO</v>
          </cell>
        </row>
        <row r="2369">
          <cell r="B2369">
            <v>5335320</v>
          </cell>
          <cell r="C2369" t="str">
            <v>RA CATERING DO BRASIL LTDA</v>
          </cell>
          <cell r="D2369" t="str">
            <v>6001</v>
          </cell>
          <cell r="E2369" t="str">
            <v>6125</v>
          </cell>
          <cell r="F2369" t="str">
            <v>C1</v>
          </cell>
          <cell r="G2369" t="str">
            <v>SP</v>
          </cell>
          <cell r="H2369" t="str">
            <v>QSR</v>
          </cell>
          <cell r="I2369" t="str">
            <v>FOOD SERVICE</v>
          </cell>
          <cell r="J2369" t="str">
            <v>ANA MENIQUETE</v>
          </cell>
          <cell r="K2369" t="str">
            <v>ITAMBÉ</v>
          </cell>
          <cell r="L2369" t="str">
            <v>PEDRO</v>
          </cell>
          <cell r="M2369" t="str">
            <v>ANA MENIQUETE</v>
          </cell>
        </row>
        <row r="2370">
          <cell r="B2370">
            <v>5351026</v>
          </cell>
          <cell r="C2370" t="str">
            <v>SWEET SHOT CONFEITARIA GOURMET</v>
          </cell>
          <cell r="D2370" t="str">
            <v>7001</v>
          </cell>
          <cell r="E2370" t="str">
            <v>0749</v>
          </cell>
          <cell r="F2370" t="str">
            <v>C5</v>
          </cell>
          <cell r="G2370" t="str">
            <v>SP</v>
          </cell>
          <cell r="H2370" t="str">
            <v>DISTRIBUIÇÃO</v>
          </cell>
          <cell r="I2370" t="str">
            <v>FOOD SERVICE</v>
          </cell>
          <cell r="J2370" t="str">
            <v>FLAC 6</v>
          </cell>
          <cell r="K2370" t="str">
            <v>LACTALIS</v>
          </cell>
          <cell r="L2370" t="str">
            <v>RODRIGO</v>
          </cell>
          <cell r="M2370" t="str">
            <v>RAQUEL BARBOSA</v>
          </cell>
        </row>
        <row r="2371">
          <cell r="B2371">
            <v>5353716</v>
          </cell>
          <cell r="C2371" t="str">
            <v>JON PIL LEE 04161454694</v>
          </cell>
          <cell r="D2371" t="str">
            <v>7001</v>
          </cell>
          <cell r="E2371" t="str">
            <v>0749</v>
          </cell>
          <cell r="F2371" t="str">
            <v>C5</v>
          </cell>
          <cell r="G2371" t="str">
            <v>SP</v>
          </cell>
          <cell r="H2371" t="str">
            <v>DISTRIBUIÇÃO</v>
          </cell>
          <cell r="I2371" t="str">
            <v>FOOD SERVICE</v>
          </cell>
          <cell r="J2371" t="str">
            <v>FLAC 5</v>
          </cell>
          <cell r="K2371" t="str">
            <v>LACTALIS</v>
          </cell>
          <cell r="L2371" t="str">
            <v>RODRIGO</v>
          </cell>
          <cell r="M2371" t="str">
            <v>RAQUEL BARBOSA</v>
          </cell>
        </row>
        <row r="2372">
          <cell r="B2372">
            <v>5335320</v>
          </cell>
          <cell r="C2372" t="str">
            <v>RA CATERING DO BRASIL LTDA</v>
          </cell>
          <cell r="D2372" t="str">
            <v>7001</v>
          </cell>
          <cell r="E2372" t="str">
            <v>0722</v>
          </cell>
          <cell r="F2372" t="str">
            <v>C1</v>
          </cell>
          <cell r="G2372" t="str">
            <v>SP</v>
          </cell>
          <cell r="H2372" t="str">
            <v>QSR</v>
          </cell>
          <cell r="I2372" t="str">
            <v>FOOD SERVICE</v>
          </cell>
          <cell r="J2372" t="str">
            <v>ANA MENIQUETE</v>
          </cell>
          <cell r="K2372" t="str">
            <v>LACTALIS</v>
          </cell>
          <cell r="L2372" t="str">
            <v>PEDRO</v>
          </cell>
          <cell r="M2372" t="str">
            <v>ANA MENIQUETE</v>
          </cell>
        </row>
        <row r="2373">
          <cell r="B2373">
            <v>5235618</v>
          </cell>
          <cell r="C2373" t="str">
            <v>GIRO SERVICOS E LATICINIOS LTDA</v>
          </cell>
          <cell r="D2373" t="str">
            <v>4001</v>
          </cell>
          <cell r="E2373" t="str">
            <v>0437</v>
          </cell>
          <cell r="F2373" t="str">
            <v>C1</v>
          </cell>
          <cell r="G2373" t="str">
            <v>SP</v>
          </cell>
          <cell r="H2373" t="str">
            <v>INGREDIENTS</v>
          </cell>
          <cell r="I2373" t="str">
            <v>INGREDIENTS</v>
          </cell>
          <cell r="J2373" t="str">
            <v>MARCELO RODRIGUES</v>
          </cell>
          <cell r="K2373" t="str">
            <v>LACTALIS</v>
          </cell>
          <cell r="L2373" t="str">
            <v>MAURICIO</v>
          </cell>
          <cell r="M2373" t="str">
            <v>MARCELO</v>
          </cell>
        </row>
        <row r="2374">
          <cell r="B2374">
            <v>5314037</v>
          </cell>
          <cell r="C2374" t="str">
            <v>Q ALIMENTARE COMERC IMPORT E EX</v>
          </cell>
          <cell r="D2374" t="str">
            <v>4001</v>
          </cell>
          <cell r="E2374" t="str">
            <v>0437</v>
          </cell>
          <cell r="F2374" t="str">
            <v>C1</v>
          </cell>
          <cell r="G2374" t="str">
            <v>SP</v>
          </cell>
          <cell r="H2374" t="str">
            <v>INGREDIENTS</v>
          </cell>
          <cell r="I2374" t="str">
            <v>INGREDIENTS</v>
          </cell>
          <cell r="J2374" t="str">
            <v>MARCELO RODRIGUES</v>
          </cell>
          <cell r="K2374" t="str">
            <v>LACTALIS</v>
          </cell>
          <cell r="L2374" t="str">
            <v>MAURICIO</v>
          </cell>
          <cell r="M2374" t="str">
            <v>MARCELO</v>
          </cell>
        </row>
        <row r="2375">
          <cell r="B2375">
            <v>5168941</v>
          </cell>
          <cell r="C2375" t="str">
            <v>GANACHE DOCERIA LTDA</v>
          </cell>
          <cell r="D2375" t="str">
            <v>6001</v>
          </cell>
          <cell r="E2375" t="str">
            <v>6127</v>
          </cell>
          <cell r="F2375" t="str">
            <v>C1</v>
          </cell>
          <cell r="G2375" t="str">
            <v>BA</v>
          </cell>
          <cell r="H2375" t="str">
            <v>DISTRIBUIÇÃO</v>
          </cell>
          <cell r="I2375" t="str">
            <v>FOOD SERVICE</v>
          </cell>
          <cell r="J2375" t="str">
            <v>CLAUDIO JORGE/LUIZ</v>
          </cell>
          <cell r="K2375" t="str">
            <v>ITAMBÉ</v>
          </cell>
          <cell r="L2375" t="str">
            <v>RODRIGO</v>
          </cell>
          <cell r="M2375" t="str">
            <v>MARIA LOURDES</v>
          </cell>
        </row>
        <row r="2376">
          <cell r="B2376">
            <v>5204939</v>
          </cell>
          <cell r="C2376" t="str">
            <v>UNICA COMERCIO E DISTRIBUICAO L</v>
          </cell>
          <cell r="D2376" t="str">
            <v>6001</v>
          </cell>
          <cell r="E2376" t="str">
            <v>6125</v>
          </cell>
          <cell r="F2376" t="str">
            <v>C1</v>
          </cell>
          <cell r="G2376" t="str">
            <v>SP</v>
          </cell>
          <cell r="H2376" t="str">
            <v>QSR</v>
          </cell>
          <cell r="I2376" t="str">
            <v>FOOD SERVICE</v>
          </cell>
          <cell r="J2376" t="str">
            <v>VAGO QSR</v>
          </cell>
          <cell r="K2376" t="str">
            <v>ITAMBÉ</v>
          </cell>
          <cell r="L2376" t="str">
            <v>PEDRO</v>
          </cell>
          <cell r="M2376" t="str">
            <v>VAGO QSR</v>
          </cell>
        </row>
        <row r="2377">
          <cell r="B2377">
            <v>5280111</v>
          </cell>
          <cell r="C2377" t="str">
            <v>FEDERACAO ESPIRITA DO ESTADO DO</v>
          </cell>
          <cell r="D2377" t="str">
            <v>7001</v>
          </cell>
          <cell r="E2377" t="str">
            <v>0749</v>
          </cell>
          <cell r="F2377" t="str">
            <v>C5</v>
          </cell>
          <cell r="G2377" t="str">
            <v>SP</v>
          </cell>
          <cell r="H2377" t="str">
            <v>DISTRIBUIÇÃO</v>
          </cell>
          <cell r="I2377" t="str">
            <v>FOOD SERVICE</v>
          </cell>
          <cell r="J2377" t="str">
            <v>FLAC 5</v>
          </cell>
          <cell r="K2377" t="str">
            <v>LACTALIS</v>
          </cell>
          <cell r="L2377" t="str">
            <v>RODRIGO</v>
          </cell>
          <cell r="M2377" t="str">
            <v>RAQUEL BARBOSA</v>
          </cell>
        </row>
        <row r="2378">
          <cell r="B2378">
            <v>5352581</v>
          </cell>
          <cell r="C2378" t="str">
            <v>CRP FARIA LIMA 77 COMERCIO DE A</v>
          </cell>
          <cell r="D2378" t="str">
            <v>7001</v>
          </cell>
          <cell r="E2378" t="str">
            <v>0749</v>
          </cell>
          <cell r="F2378" t="str">
            <v>C5</v>
          </cell>
          <cell r="G2378" t="str">
            <v>SP</v>
          </cell>
          <cell r="H2378" t="str">
            <v>DISTRIBUIÇÃO</v>
          </cell>
          <cell r="I2378" t="str">
            <v>FOOD SERVICE</v>
          </cell>
          <cell r="J2378" t="str">
            <v>FLAC 5</v>
          </cell>
          <cell r="K2378" t="str">
            <v>LACTALIS</v>
          </cell>
          <cell r="L2378" t="str">
            <v>RODRIGO</v>
          </cell>
          <cell r="M2378" t="str">
            <v>RAQUEL BARBOSA</v>
          </cell>
        </row>
        <row r="2379">
          <cell r="B2379">
            <v>5354129</v>
          </cell>
          <cell r="C2379" t="str">
            <v>OBRAS SOCIAIS N SENHORA AQUIROP</v>
          </cell>
          <cell r="D2379" t="str">
            <v>7001</v>
          </cell>
          <cell r="E2379" t="str">
            <v>0749</v>
          </cell>
          <cell r="F2379" t="str">
            <v>C5</v>
          </cell>
          <cell r="G2379" t="str">
            <v>SP</v>
          </cell>
          <cell r="H2379" t="str">
            <v>DISTRIBUIÇÃO</v>
          </cell>
          <cell r="I2379" t="str">
            <v>FOOD SERVICE</v>
          </cell>
          <cell r="J2379" t="str">
            <v>FLAC 5</v>
          </cell>
          <cell r="K2379" t="str">
            <v>LACTALIS</v>
          </cell>
          <cell r="L2379" t="str">
            <v>RODRIGO</v>
          </cell>
          <cell r="M2379" t="str">
            <v>RAQUEL BARBOSA</v>
          </cell>
        </row>
        <row r="2380">
          <cell r="B2380">
            <v>5354300</v>
          </cell>
          <cell r="C2380" t="str">
            <v>MATHEUS CASTILHO DOS SANTOS LTD</v>
          </cell>
          <cell r="D2380" t="str">
            <v>3001</v>
          </cell>
          <cell r="E2380" t="str">
            <v>0028</v>
          </cell>
          <cell r="F2380" t="str">
            <v>C1</v>
          </cell>
          <cell r="G2380" t="str">
            <v>PR</v>
          </cell>
          <cell r="H2380" t="str">
            <v>INGREDIENTS</v>
          </cell>
          <cell r="I2380" t="str">
            <v>INGREDIENTS</v>
          </cell>
          <cell r="J2380" t="str">
            <v>MARCELO RODRIGUES</v>
          </cell>
          <cell r="K2380" t="str">
            <v>ITAMBÉ</v>
          </cell>
          <cell r="L2380" t="str">
            <v>MAURICIO</v>
          </cell>
          <cell r="M2380" t="str">
            <v>MARCELO</v>
          </cell>
        </row>
        <row r="2381">
          <cell r="B2381">
            <v>5028647</v>
          </cell>
          <cell r="C2381" t="str">
            <v>LAURO DELEVEDOVE</v>
          </cell>
          <cell r="D2381" t="str">
            <v>6001</v>
          </cell>
          <cell r="E2381" t="str">
            <v>0169</v>
          </cell>
          <cell r="F2381" t="str">
            <v>C1</v>
          </cell>
          <cell r="G2381" t="str">
            <v>ES</v>
          </cell>
          <cell r="H2381" t="str">
            <v>DISTRIBUIÇÃO</v>
          </cell>
          <cell r="I2381" t="str">
            <v>FOOD SERVICE</v>
          </cell>
          <cell r="J2381" t="str">
            <v>MARCELO DUARTE</v>
          </cell>
          <cell r="K2381" t="str">
            <v>ITAMBÉ</v>
          </cell>
          <cell r="L2381" t="str">
            <v>RODRIGO</v>
          </cell>
          <cell r="M2381" t="str">
            <v>JESSICA</v>
          </cell>
        </row>
        <row r="2382">
          <cell r="B2382">
            <v>5033323</v>
          </cell>
          <cell r="C2382" t="str">
            <v>SORVESHOPES COMERCIAL LTDA</v>
          </cell>
          <cell r="D2382" t="str">
            <v>3001</v>
          </cell>
          <cell r="E2382" t="str">
            <v>6028</v>
          </cell>
          <cell r="F2382" t="str">
            <v>C1</v>
          </cell>
          <cell r="G2382" t="str">
            <v>ES</v>
          </cell>
          <cell r="H2382" t="str">
            <v>DISTRIBUIÇÃO</v>
          </cell>
          <cell r="I2382" t="str">
            <v>FOOD SERVICE</v>
          </cell>
          <cell r="J2382" t="str">
            <v>MARCELO DUARTE</v>
          </cell>
          <cell r="K2382" t="str">
            <v>ITAMBÉ</v>
          </cell>
          <cell r="L2382" t="str">
            <v>RODRIGO</v>
          </cell>
          <cell r="M2382" t="str">
            <v>JESSICA</v>
          </cell>
        </row>
        <row r="2383">
          <cell r="B2383">
            <v>5069172</v>
          </cell>
          <cell r="C2383" t="str">
            <v>SANNA COMERCIO DE ALIMENTOS LTDA</v>
          </cell>
          <cell r="D2383" t="str">
            <v>6001</v>
          </cell>
          <cell r="E2383" t="str">
            <v>0126</v>
          </cell>
          <cell r="F2383" t="str">
            <v>C1</v>
          </cell>
          <cell r="G2383" t="str">
            <v>SP</v>
          </cell>
          <cell r="H2383" t="str">
            <v>DISTRIBUIÇÃO</v>
          </cell>
          <cell r="I2383" t="str">
            <v>FOOD SERVICE</v>
          </cell>
          <cell r="J2383" t="str">
            <v>ALEXANDRE BONANI</v>
          </cell>
          <cell r="K2383" t="str">
            <v>ITAMBÉ</v>
          </cell>
          <cell r="L2383" t="str">
            <v>RODRIGO</v>
          </cell>
          <cell r="M2383" t="str">
            <v>ALEXANDRE BONANI</v>
          </cell>
        </row>
        <row r="2384">
          <cell r="B2384">
            <v>5108984</v>
          </cell>
          <cell r="C2384" t="str">
            <v>IRMAOS BENASSI PROD E DIST DE F</v>
          </cell>
          <cell r="D2384" t="str">
            <v>6001</v>
          </cell>
          <cell r="E2384" t="str">
            <v>0169</v>
          </cell>
          <cell r="F2384" t="str">
            <v>C1</v>
          </cell>
          <cell r="G2384" t="str">
            <v>RJ</v>
          </cell>
          <cell r="H2384" t="str">
            <v>DISTRIBUIÇÃO</v>
          </cell>
          <cell r="I2384" t="str">
            <v>FOOD SERVICE</v>
          </cell>
          <cell r="J2384" t="str">
            <v>LUCIANA MARTINS</v>
          </cell>
          <cell r="K2384" t="str">
            <v>ITAMBÉ</v>
          </cell>
          <cell r="L2384" t="str">
            <v>RODRIGO</v>
          </cell>
          <cell r="M2384" t="str">
            <v>JESSICA</v>
          </cell>
        </row>
        <row r="2385">
          <cell r="B2385">
            <v>5109334</v>
          </cell>
          <cell r="C2385" t="str">
            <v>CENTRAL OSASCO DIST ALIM E BEBI</v>
          </cell>
          <cell r="D2385" t="str">
            <v>3001</v>
          </cell>
          <cell r="E2385" t="str">
            <v>6125</v>
          </cell>
          <cell r="F2385" t="str">
            <v>C1</v>
          </cell>
          <cell r="G2385" t="str">
            <v>SP</v>
          </cell>
          <cell r="H2385" t="str">
            <v>DISTRIBUIÇÃO</v>
          </cell>
          <cell r="I2385" t="str">
            <v>FOOD SERVICE</v>
          </cell>
          <cell r="J2385" t="str">
            <v>SP ITB FS FLAC REP.E COMERCIO</v>
          </cell>
          <cell r="K2385" t="str">
            <v>ITAMBÉ</v>
          </cell>
          <cell r="L2385" t="str">
            <v>RODRIGO</v>
          </cell>
          <cell r="M2385" t="str">
            <v>RAQUEL BARBOSA</v>
          </cell>
        </row>
        <row r="2386">
          <cell r="B2386">
            <v>5118035</v>
          </cell>
          <cell r="C2386" t="str">
            <v>A B GUIMARAES BRANDAO VILAR</v>
          </cell>
          <cell r="D2386" t="str">
            <v>6001</v>
          </cell>
          <cell r="E2386" t="str">
            <v>0127</v>
          </cell>
          <cell r="F2386" t="str">
            <v>C1</v>
          </cell>
          <cell r="G2386" t="str">
            <v>BA</v>
          </cell>
          <cell r="H2386" t="str">
            <v>DISTRIBUIÇÃO</v>
          </cell>
          <cell r="I2386" t="str">
            <v>FOOD SERVICE</v>
          </cell>
          <cell r="J2386" t="str">
            <v>CLAUDIO JORGE/LUIZ</v>
          </cell>
          <cell r="K2386" t="str">
            <v>ITAMBÉ</v>
          </cell>
          <cell r="L2386" t="str">
            <v>RODRIGO</v>
          </cell>
          <cell r="M2386" t="str">
            <v>MARIA LOURDES</v>
          </cell>
        </row>
        <row r="2387">
          <cell r="B2387">
            <v>5126977</v>
          </cell>
          <cell r="C2387" t="str">
            <v>COMERCIO DE ALIMENTOS NOVO MEXI</v>
          </cell>
          <cell r="D2387" t="str">
            <v>6001</v>
          </cell>
          <cell r="E2387" t="str">
            <v>0169</v>
          </cell>
          <cell r="F2387" t="str">
            <v>C1</v>
          </cell>
          <cell r="G2387" t="str">
            <v>ES</v>
          </cell>
          <cell r="H2387" t="str">
            <v>DISTRIBUIÇÃO</v>
          </cell>
          <cell r="I2387" t="str">
            <v>FOOD SERVICE</v>
          </cell>
          <cell r="J2387" t="str">
            <v>MARCELO DUARTE</v>
          </cell>
          <cell r="K2387" t="str">
            <v>ITAMBÉ</v>
          </cell>
          <cell r="L2387" t="str">
            <v>RODRIGO</v>
          </cell>
          <cell r="M2387" t="str">
            <v>JESSICA</v>
          </cell>
        </row>
        <row r="2388">
          <cell r="B2388">
            <v>5139324</v>
          </cell>
          <cell r="C2388" t="str">
            <v>H P EMABALAGENS LTDA ME</v>
          </cell>
          <cell r="D2388" t="str">
            <v>6001</v>
          </cell>
          <cell r="E2388" t="str">
            <v>0169</v>
          </cell>
          <cell r="F2388" t="str">
            <v>C1</v>
          </cell>
          <cell r="G2388" t="str">
            <v>ES</v>
          </cell>
          <cell r="H2388" t="str">
            <v>INGREDIENTS</v>
          </cell>
          <cell r="I2388" t="str">
            <v>INGREDIENTS</v>
          </cell>
          <cell r="J2388" t="str">
            <v>DUAS RODAS</v>
          </cell>
          <cell r="K2388" t="str">
            <v>ITAMBÉ</v>
          </cell>
          <cell r="L2388" t="str">
            <v>MAURICIO</v>
          </cell>
          <cell r="M2388" t="str">
            <v>TATIANA NITTA</v>
          </cell>
        </row>
        <row r="2389">
          <cell r="B2389">
            <v>5141759</v>
          </cell>
          <cell r="C2389" t="str">
            <v>V C F BOM DOCE LTDA</v>
          </cell>
          <cell r="D2389" t="str">
            <v>6001</v>
          </cell>
          <cell r="E2389" t="str">
            <v>0169</v>
          </cell>
          <cell r="F2389" t="str">
            <v>C1</v>
          </cell>
          <cell r="G2389" t="str">
            <v>ES</v>
          </cell>
          <cell r="H2389" t="str">
            <v>DISTRIBUIÇÃO</v>
          </cell>
          <cell r="I2389" t="str">
            <v>FOOD SERVICE</v>
          </cell>
          <cell r="J2389" t="str">
            <v>MARCELO DUARTE</v>
          </cell>
          <cell r="K2389" t="str">
            <v>ITAMBÉ</v>
          </cell>
          <cell r="L2389" t="str">
            <v>RODRIGO</v>
          </cell>
          <cell r="M2389" t="str">
            <v>JESSICA</v>
          </cell>
        </row>
        <row r="2390">
          <cell r="B2390">
            <v>5165963</v>
          </cell>
          <cell r="C2390" t="str">
            <v>SORVEMIX COMERCIO DE ALIM LTDA</v>
          </cell>
          <cell r="D2390" t="str">
            <v>3001</v>
          </cell>
          <cell r="E2390" t="str">
            <v>6028</v>
          </cell>
          <cell r="F2390" t="str">
            <v>C1</v>
          </cell>
          <cell r="G2390" t="str">
            <v>SP</v>
          </cell>
          <cell r="H2390" t="str">
            <v>INGREDIENTS</v>
          </cell>
          <cell r="I2390" t="str">
            <v>INGREDIENTS</v>
          </cell>
          <cell r="J2390" t="str">
            <v>DUAS RODAS</v>
          </cell>
          <cell r="K2390" t="str">
            <v>ITAMBÉ</v>
          </cell>
          <cell r="L2390" t="str">
            <v>MAURICIO</v>
          </cell>
          <cell r="M2390" t="str">
            <v>MARCELO</v>
          </cell>
        </row>
        <row r="2391">
          <cell r="B2391">
            <v>5166253</v>
          </cell>
          <cell r="C2391" t="str">
            <v>AGRANA FRUIT BRASIL IND COM IMP</v>
          </cell>
          <cell r="D2391" t="str">
            <v>6001</v>
          </cell>
          <cell r="E2391" t="str">
            <v>0125</v>
          </cell>
          <cell r="F2391" t="str">
            <v>C1</v>
          </cell>
          <cell r="G2391" t="str">
            <v>SP</v>
          </cell>
          <cell r="H2391" t="str">
            <v>INGREDIENTS</v>
          </cell>
          <cell r="I2391" t="str">
            <v>INGREDIENTS</v>
          </cell>
          <cell r="J2391" t="str">
            <v>HENRIQUE FERREIRA</v>
          </cell>
          <cell r="K2391" t="str">
            <v>ITAMBÉ</v>
          </cell>
          <cell r="L2391" t="str">
            <v>MAURICIO</v>
          </cell>
          <cell r="M2391" t="str">
            <v>JOEL</v>
          </cell>
        </row>
        <row r="2392">
          <cell r="B2392">
            <v>5171400</v>
          </cell>
          <cell r="C2392" t="str">
            <v>PANIBRASIL MASSAS CONGELADAS LT</v>
          </cell>
          <cell r="D2392" t="str">
            <v>6001</v>
          </cell>
          <cell r="E2392" t="str">
            <v>0125</v>
          </cell>
          <cell r="F2392" t="str">
            <v>C1</v>
          </cell>
          <cell r="G2392" t="str">
            <v>SP</v>
          </cell>
          <cell r="H2392" t="str">
            <v>INGREDIENTS</v>
          </cell>
          <cell r="I2392" t="str">
            <v>INGREDIENTS</v>
          </cell>
          <cell r="J2392" t="str">
            <v>HENRIQUE FERREIRA</v>
          </cell>
          <cell r="K2392" t="str">
            <v>ITAMBÉ</v>
          </cell>
          <cell r="L2392" t="str">
            <v>MAURICIO</v>
          </cell>
          <cell r="M2392" t="str">
            <v>JOEL</v>
          </cell>
        </row>
        <row r="2393">
          <cell r="B2393">
            <v>5187333</v>
          </cell>
          <cell r="C2393" t="str">
            <v>MONTE CARLO COMERCIO DE ALIMENT</v>
          </cell>
          <cell r="D2393" t="str">
            <v>6001</v>
          </cell>
          <cell r="E2393" t="str">
            <v>0127</v>
          </cell>
          <cell r="F2393" t="str">
            <v>C1</v>
          </cell>
          <cell r="G2393" t="str">
            <v>CE</v>
          </cell>
          <cell r="H2393" t="str">
            <v>DISTRIBUIÇÃO</v>
          </cell>
          <cell r="I2393" t="str">
            <v>FOOD SERVICE</v>
          </cell>
          <cell r="J2393" t="str">
            <v>WH FOOD SERVICE CE</v>
          </cell>
          <cell r="K2393" t="str">
            <v>ITAMBÉ</v>
          </cell>
          <cell r="L2393" t="str">
            <v>RODRIGO</v>
          </cell>
          <cell r="M2393" t="str">
            <v>MARIA LOURDES</v>
          </cell>
        </row>
        <row r="2394">
          <cell r="B2394">
            <v>5198698</v>
          </cell>
          <cell r="C2394" t="str">
            <v>PANDURATA ALIMENTOS LTDA</v>
          </cell>
          <cell r="D2394" t="str">
            <v>7001</v>
          </cell>
          <cell r="E2394" t="str">
            <v>0722</v>
          </cell>
          <cell r="F2394" t="str">
            <v>C1</v>
          </cell>
          <cell r="G2394" t="str">
            <v>SP</v>
          </cell>
          <cell r="H2394" t="str">
            <v>INGREDIENTS</v>
          </cell>
          <cell r="I2394" t="str">
            <v>INGREDIENTS</v>
          </cell>
          <cell r="J2394" t="str">
            <v>JOEL ELEOTÉRIO</v>
          </cell>
          <cell r="K2394" t="str">
            <v>LACTALIS</v>
          </cell>
          <cell r="L2394" t="str">
            <v>MAURICIO</v>
          </cell>
          <cell r="M2394" t="str">
            <v>JOEL</v>
          </cell>
        </row>
        <row r="2395">
          <cell r="B2395">
            <v>5200068</v>
          </cell>
          <cell r="C2395" t="str">
            <v>GULA COM DE REF E BEB LTDA</v>
          </cell>
          <cell r="D2395" t="str">
            <v>3001</v>
          </cell>
          <cell r="E2395" t="str">
            <v>6127</v>
          </cell>
          <cell r="F2395" t="str">
            <v>C1</v>
          </cell>
          <cell r="G2395" t="str">
            <v>CE</v>
          </cell>
          <cell r="H2395" t="str">
            <v>DISTRIBUIÇÃO</v>
          </cell>
          <cell r="I2395" t="str">
            <v>FOOD SERVICE</v>
          </cell>
          <cell r="J2395" t="str">
            <v>WH FOOD SERVICE CE</v>
          </cell>
          <cell r="K2395" t="str">
            <v>ITAMBÉ</v>
          </cell>
          <cell r="L2395" t="str">
            <v>RODRIGO</v>
          </cell>
          <cell r="M2395" t="str">
            <v>MARIA LOURDES</v>
          </cell>
        </row>
        <row r="2396">
          <cell r="B2396">
            <v>5210615</v>
          </cell>
          <cell r="C2396" t="str">
            <v>M A DA SILVA COMERCIO</v>
          </cell>
          <cell r="D2396" t="str">
            <v>6001</v>
          </cell>
          <cell r="E2396" t="str">
            <v>0169</v>
          </cell>
          <cell r="F2396" t="str">
            <v>C1</v>
          </cell>
          <cell r="G2396" t="str">
            <v>ES</v>
          </cell>
          <cell r="H2396" t="str">
            <v>DISTRIBUIÇÃO</v>
          </cell>
          <cell r="I2396" t="str">
            <v>FOOD SERVICE</v>
          </cell>
          <cell r="J2396" t="str">
            <v>MARCELO DUARTE</v>
          </cell>
          <cell r="K2396" t="str">
            <v>ITAMBÉ</v>
          </cell>
          <cell r="L2396" t="str">
            <v>RODRIGO</v>
          </cell>
          <cell r="M2396" t="str">
            <v>JESSICA</v>
          </cell>
        </row>
        <row r="2397">
          <cell r="B2397">
            <v>5211387</v>
          </cell>
          <cell r="C2397" t="str">
            <v>C B M MORAES COMERCIO DE PRODUT</v>
          </cell>
          <cell r="D2397" t="str">
            <v>6001</v>
          </cell>
          <cell r="E2397" t="str">
            <v>0169</v>
          </cell>
          <cell r="F2397" t="str">
            <v>C1</v>
          </cell>
          <cell r="G2397" t="str">
            <v>ES</v>
          </cell>
          <cell r="H2397" t="str">
            <v>DISTRIBUIÇÃO</v>
          </cell>
          <cell r="I2397" t="str">
            <v>FOOD SERVICE</v>
          </cell>
          <cell r="J2397" t="str">
            <v>MARCELO DUARTE</v>
          </cell>
          <cell r="K2397" t="str">
            <v>ITAMBÉ</v>
          </cell>
          <cell r="L2397" t="str">
            <v>RODRIGO</v>
          </cell>
          <cell r="M2397" t="str">
            <v>JESSICA</v>
          </cell>
        </row>
        <row r="2398">
          <cell r="B2398">
            <v>5213440</v>
          </cell>
          <cell r="C2398" t="str">
            <v>DOCE INDUSTRIA DE BISCOITOS LTD</v>
          </cell>
          <cell r="D2398" t="str">
            <v>6001</v>
          </cell>
          <cell r="E2398" t="str">
            <v>0123</v>
          </cell>
          <cell r="F2398" t="str">
            <v>C1</v>
          </cell>
          <cell r="G2398" t="str">
            <v>DF</v>
          </cell>
          <cell r="H2398" t="str">
            <v>DISTRIBUIÇÃO</v>
          </cell>
          <cell r="I2398" t="str">
            <v>FOOD SERVICE</v>
          </cell>
          <cell r="J2398" t="str">
            <v>CLAUDIO JORGE</v>
          </cell>
          <cell r="K2398" t="str">
            <v>ITAMBÉ</v>
          </cell>
          <cell r="L2398" t="str">
            <v>RODRIGO</v>
          </cell>
          <cell r="M2398" t="str">
            <v>MARCO AURELIO</v>
          </cell>
        </row>
        <row r="2399">
          <cell r="B2399">
            <v>5224995</v>
          </cell>
          <cell r="C2399" t="str">
            <v>DISALLCON DIST DE DOCES LTDA</v>
          </cell>
          <cell r="D2399" t="str">
            <v>3001</v>
          </cell>
          <cell r="E2399" t="str">
            <v>0126</v>
          </cell>
          <cell r="F2399" t="str">
            <v>C1</v>
          </cell>
          <cell r="G2399" t="str">
            <v>PR</v>
          </cell>
          <cell r="H2399" t="str">
            <v>INGREDIENTS</v>
          </cell>
          <cell r="I2399" t="str">
            <v>INGREDIENTS</v>
          </cell>
          <cell r="J2399" t="str">
            <v>MARCELO RODRIGUES</v>
          </cell>
          <cell r="K2399" t="str">
            <v>ITAMBÉ</v>
          </cell>
          <cell r="L2399" t="str">
            <v>MAURICIO</v>
          </cell>
          <cell r="M2399" t="str">
            <v>MARCELO</v>
          </cell>
        </row>
        <row r="2400">
          <cell r="B2400">
            <v>5225381</v>
          </cell>
          <cell r="C2400" t="str">
            <v>SEC INDUSTRIA E COMERCIO LTDA</v>
          </cell>
          <cell r="D2400" t="str">
            <v>3001</v>
          </cell>
          <cell r="E2400" t="str">
            <v>0028</v>
          </cell>
          <cell r="F2400" t="str">
            <v>C1</v>
          </cell>
          <cell r="G2400" t="str">
            <v>MG</v>
          </cell>
          <cell r="H2400" t="str">
            <v>INGREDIENTS</v>
          </cell>
          <cell r="I2400" t="str">
            <v>INGREDIENTS</v>
          </cell>
          <cell r="J2400" t="str">
            <v>HENRIQUE FERREIRA</v>
          </cell>
          <cell r="K2400" t="str">
            <v>ITAMBÉ</v>
          </cell>
          <cell r="L2400" t="str">
            <v>MAURICIO</v>
          </cell>
          <cell r="M2400" t="str">
            <v>JOEL</v>
          </cell>
        </row>
        <row r="2401">
          <cell r="B2401">
            <v>5226805</v>
          </cell>
          <cell r="C2401" t="str">
            <v>OESA COMERCIO E REPRESENTACOES</v>
          </cell>
          <cell r="D2401" t="str">
            <v>4001</v>
          </cell>
          <cell r="E2401" t="str">
            <v>0458</v>
          </cell>
          <cell r="F2401" t="str">
            <v>C1</v>
          </cell>
          <cell r="G2401" t="str">
            <v>MG</v>
          </cell>
          <cell r="H2401" t="str">
            <v>DISTRIBUIÇÃO</v>
          </cell>
          <cell r="I2401" t="str">
            <v>FOOD SERVICE</v>
          </cell>
          <cell r="J2401" t="str">
            <v>CELIO/MARANATHA</v>
          </cell>
          <cell r="K2401" t="str">
            <v>LACTALIS</v>
          </cell>
          <cell r="L2401" t="str">
            <v>RODRIGO</v>
          </cell>
          <cell r="M2401" t="str">
            <v>CELIO MARTINS</v>
          </cell>
        </row>
        <row r="2402">
          <cell r="B2402">
            <v>5228827</v>
          </cell>
          <cell r="C2402" t="str">
            <v>FABRICA ACAI MAGNIFICO LTDA</v>
          </cell>
          <cell r="D2402" t="str">
            <v>3001</v>
          </cell>
          <cell r="E2402" t="str">
            <v>6028</v>
          </cell>
          <cell r="F2402" t="str">
            <v>C1</v>
          </cell>
          <cell r="G2402" t="str">
            <v>SP</v>
          </cell>
          <cell r="H2402" t="str">
            <v>INGREDIENTS</v>
          </cell>
          <cell r="I2402" t="str">
            <v>INGREDIENTS</v>
          </cell>
          <cell r="J2402" t="str">
            <v>HENRIQUE FERREIRA</v>
          </cell>
          <cell r="K2402" t="str">
            <v>ITAMBÉ</v>
          </cell>
          <cell r="L2402" t="str">
            <v>MAURICIO</v>
          </cell>
          <cell r="M2402" t="str">
            <v>JOEL</v>
          </cell>
        </row>
        <row r="2403">
          <cell r="B2403">
            <v>5229621</v>
          </cell>
          <cell r="C2403" t="str">
            <v>NUTRY MAX COMERCIO DE PRODUTOS</v>
          </cell>
          <cell r="D2403" t="str">
            <v>6001</v>
          </cell>
          <cell r="E2403" t="str">
            <v>0169</v>
          </cell>
          <cell r="F2403" t="str">
            <v>C1</v>
          </cell>
          <cell r="G2403" t="str">
            <v>RJ</v>
          </cell>
          <cell r="H2403" t="str">
            <v>DISTRIBUIÇÃO</v>
          </cell>
          <cell r="I2403" t="str">
            <v>FOOD SERVICE</v>
          </cell>
          <cell r="J2403" t="str">
            <v>JESSICA CARLA</v>
          </cell>
          <cell r="K2403" t="str">
            <v>ITAMBÉ</v>
          </cell>
          <cell r="L2403" t="str">
            <v>RODRIGO</v>
          </cell>
          <cell r="M2403" t="str">
            <v>JESSICA</v>
          </cell>
        </row>
        <row r="2404">
          <cell r="B2404">
            <v>5313531</v>
          </cell>
          <cell r="C2404" t="str">
            <v>VIA LACTEA INDUSTRIA E COMERCIO</v>
          </cell>
          <cell r="D2404" t="str">
            <v>6001</v>
          </cell>
          <cell r="E2404" t="str">
            <v>0028</v>
          </cell>
          <cell r="F2404" t="str">
            <v>C1</v>
          </cell>
          <cell r="G2404" t="str">
            <v>CE</v>
          </cell>
          <cell r="H2404" t="str">
            <v>INGREDIENTS</v>
          </cell>
          <cell r="I2404" t="str">
            <v>INGREDIENTS</v>
          </cell>
          <cell r="J2404" t="str">
            <v>JOEL ELEOTÉRIO</v>
          </cell>
          <cell r="K2404" t="str">
            <v>ITAMBÉ</v>
          </cell>
          <cell r="L2404" t="str">
            <v>MAURICIO</v>
          </cell>
          <cell r="M2404" t="str">
            <v>JOEL</v>
          </cell>
        </row>
        <row r="2405">
          <cell r="B2405">
            <v>5314689</v>
          </cell>
          <cell r="C2405" t="str">
            <v>DUMIL PRODUTOS ALIMENTICIOS LTD</v>
          </cell>
          <cell r="D2405" t="str">
            <v>3001</v>
          </cell>
          <cell r="E2405" t="str">
            <v>6125</v>
          </cell>
          <cell r="F2405" t="str">
            <v>C1</v>
          </cell>
          <cell r="G2405" t="str">
            <v>SP</v>
          </cell>
          <cell r="H2405" t="str">
            <v>DISTRIBUIÇÃO</v>
          </cell>
          <cell r="I2405" t="str">
            <v>FOOD SERVICE</v>
          </cell>
          <cell r="J2405" t="str">
            <v>GUILHERME NASCIMENTO</v>
          </cell>
          <cell r="K2405" t="str">
            <v>ITAMBÉ</v>
          </cell>
          <cell r="L2405" t="str">
            <v>RODRIGO</v>
          </cell>
          <cell r="M2405" t="str">
            <v>ALEXANDRO</v>
          </cell>
        </row>
        <row r="2406">
          <cell r="B2406">
            <v>5344709</v>
          </cell>
          <cell r="C2406" t="str">
            <v>ADL COMERCIO DE ALIMENTOS LTDA</v>
          </cell>
          <cell r="D2406" t="str">
            <v>6001</v>
          </cell>
          <cell r="E2406" t="str">
            <v>0127</v>
          </cell>
          <cell r="F2406" t="str">
            <v>C1</v>
          </cell>
          <cell r="G2406" t="str">
            <v>BA</v>
          </cell>
          <cell r="H2406" t="str">
            <v>DISTRIBUIÇÃO</v>
          </cell>
          <cell r="I2406" t="str">
            <v>FOOD SERVICE</v>
          </cell>
          <cell r="J2406" t="str">
            <v>CLAUDIO JORGE/LUIZ</v>
          </cell>
          <cell r="K2406" t="str">
            <v>ITAMBÉ</v>
          </cell>
          <cell r="L2406" t="str">
            <v>RODRIGO</v>
          </cell>
          <cell r="M2406" t="str">
            <v>MARIA LOURDES</v>
          </cell>
        </row>
        <row r="2407">
          <cell r="B2407">
            <v>5155365</v>
          </cell>
          <cell r="C2407" t="str">
            <v>MINI MERCADO FLOR DE MOEMA LTDA</v>
          </cell>
          <cell r="D2407" t="str">
            <v>7001</v>
          </cell>
          <cell r="E2407" t="str">
            <v>0749</v>
          </cell>
          <cell r="F2407" t="str">
            <v>C5</v>
          </cell>
          <cell r="G2407" t="str">
            <v>SP</v>
          </cell>
          <cell r="H2407" t="str">
            <v>DISTRIBUIÇÃO</v>
          </cell>
          <cell r="I2407" t="str">
            <v>FOOD SERVICE</v>
          </cell>
          <cell r="J2407" t="str">
            <v>FLAC 5</v>
          </cell>
          <cell r="K2407" t="str">
            <v>LACTALIS</v>
          </cell>
          <cell r="L2407" t="str">
            <v>RODRIGO</v>
          </cell>
          <cell r="M2407" t="str">
            <v>RAQUEL BARBOSA</v>
          </cell>
        </row>
        <row r="2408">
          <cell r="B2408">
            <v>5198698</v>
          </cell>
          <cell r="C2408" t="str">
            <v>PANDURATA ALIMENTOS LTDA</v>
          </cell>
          <cell r="D2408" t="str">
            <v>6001</v>
          </cell>
          <cell r="E2408" t="str">
            <v>6028</v>
          </cell>
          <cell r="F2408" t="str">
            <v>C1</v>
          </cell>
          <cell r="G2408" t="str">
            <v>SP</v>
          </cell>
          <cell r="H2408" t="str">
            <v>INGREDIENTS</v>
          </cell>
          <cell r="I2408" t="str">
            <v>INGREDIENTS</v>
          </cell>
          <cell r="J2408" t="str">
            <v>JOEL ELEOTÉRIO</v>
          </cell>
          <cell r="K2408" t="str">
            <v>ITAMBÉ</v>
          </cell>
          <cell r="L2408" t="str">
            <v>MAURICIO</v>
          </cell>
          <cell r="M2408" t="str">
            <v>JOEL</v>
          </cell>
        </row>
        <row r="2409">
          <cell r="B2409">
            <v>5353526</v>
          </cell>
          <cell r="C2409" t="str">
            <v>NUNEKI ALIMENTOS LTDA</v>
          </cell>
          <cell r="D2409" t="str">
            <v>7001</v>
          </cell>
          <cell r="E2409" t="str">
            <v>0749</v>
          </cell>
          <cell r="F2409" t="str">
            <v>C5</v>
          </cell>
          <cell r="G2409" t="str">
            <v>SP</v>
          </cell>
          <cell r="H2409" t="str">
            <v>DISTRIBUIÇÃO</v>
          </cell>
          <cell r="I2409" t="str">
            <v>FOOD SERVICE</v>
          </cell>
          <cell r="J2409" t="str">
            <v>FLAC 3</v>
          </cell>
          <cell r="K2409" t="str">
            <v>LACTALIS</v>
          </cell>
          <cell r="L2409" t="str">
            <v>RODRIGO</v>
          </cell>
          <cell r="M2409" t="str">
            <v>RAQUEL BARBOSA</v>
          </cell>
        </row>
        <row r="2410">
          <cell r="B2410">
            <v>5354395</v>
          </cell>
          <cell r="C2410" t="str">
            <v>GRANO NOSTRO PAN E COM DE AL LT</v>
          </cell>
          <cell r="D2410" t="str">
            <v>7001</v>
          </cell>
          <cell r="E2410" t="str">
            <v>0749</v>
          </cell>
          <cell r="F2410" t="str">
            <v>C5</v>
          </cell>
          <cell r="G2410" t="str">
            <v>SP</v>
          </cell>
          <cell r="H2410" t="str">
            <v>DISTRIBUIÇÃO</v>
          </cell>
          <cell r="I2410" t="str">
            <v>FOOD SERVICE</v>
          </cell>
          <cell r="J2410" t="str">
            <v>FLAC 2</v>
          </cell>
          <cell r="K2410" t="str">
            <v>LACTALIS</v>
          </cell>
          <cell r="L2410" t="str">
            <v>RODRIGO</v>
          </cell>
          <cell r="M2410" t="str">
            <v>RAQUEL BARBOSA</v>
          </cell>
        </row>
        <row r="2411">
          <cell r="B2411">
            <v>5354456</v>
          </cell>
          <cell r="C2411" t="str">
            <v>NEXO CAFE LTDA</v>
          </cell>
          <cell r="D2411" t="str">
            <v>7001</v>
          </cell>
          <cell r="E2411" t="str">
            <v>0749</v>
          </cell>
          <cell r="F2411" t="str">
            <v>C5</v>
          </cell>
          <cell r="G2411" t="str">
            <v>SP</v>
          </cell>
          <cell r="H2411" t="str">
            <v>DISTRIBUIÇÃO</v>
          </cell>
          <cell r="I2411" t="str">
            <v>FOOD SERVICE</v>
          </cell>
          <cell r="J2411" t="str">
            <v>FLAC 2</v>
          </cell>
          <cell r="K2411" t="str">
            <v>LACTALIS</v>
          </cell>
          <cell r="L2411" t="str">
            <v>RODRIGO</v>
          </cell>
          <cell r="M2411" t="str">
            <v>RAQUEL BARBOSA</v>
          </cell>
        </row>
        <row r="2412">
          <cell r="B2412">
            <v>5275476</v>
          </cell>
          <cell r="C2412" t="str">
            <v>MON CHOU COM IMP E EXP LTDA</v>
          </cell>
          <cell r="D2412" t="str">
            <v>7001</v>
          </cell>
          <cell r="E2412" t="str">
            <v>0739</v>
          </cell>
          <cell r="F2412" t="str">
            <v>C1</v>
          </cell>
          <cell r="G2412" t="str">
            <v>SP</v>
          </cell>
          <cell r="H2412" t="str">
            <v>DISTRIBUIÇÃO</v>
          </cell>
          <cell r="I2412" t="str">
            <v>FOOD SERVICE</v>
          </cell>
          <cell r="J2412" t="str">
            <v>LUCIANA MARTINS</v>
          </cell>
          <cell r="K2412" t="str">
            <v>LACTALIS</v>
          </cell>
          <cell r="L2412" t="str">
            <v>RODRIGO</v>
          </cell>
          <cell r="M2412" t="str">
            <v>JESSICA</v>
          </cell>
        </row>
        <row r="2413">
          <cell r="B2413">
            <v>5354424</v>
          </cell>
          <cell r="C2413" t="str">
            <v>PRM FOODS IND E COM DE ALIM LTD</v>
          </cell>
          <cell r="D2413" t="str">
            <v>4001</v>
          </cell>
          <cell r="E2413" t="str">
            <v>0437</v>
          </cell>
          <cell r="F2413" t="str">
            <v>C1</v>
          </cell>
          <cell r="G2413" t="str">
            <v>SP</v>
          </cell>
          <cell r="H2413" t="str">
            <v>INGREDIENTS</v>
          </cell>
          <cell r="I2413" t="str">
            <v>INGREDIENTS</v>
          </cell>
          <cell r="J2413" t="str">
            <v>MARCELO RODRIGUES</v>
          </cell>
          <cell r="K2413" t="str">
            <v>LACTALIS</v>
          </cell>
          <cell r="L2413" t="str">
            <v>MAURICIO</v>
          </cell>
          <cell r="M2413" t="str">
            <v>MARCELO</v>
          </cell>
        </row>
        <row r="2414">
          <cell r="B2414">
            <v>5027769</v>
          </cell>
          <cell r="C2414" t="str">
            <v>TAPIOCARIA DE ITAPUA LTDA ME</v>
          </cell>
          <cell r="D2414" t="str">
            <v>6001</v>
          </cell>
          <cell r="E2414" t="str">
            <v>6009</v>
          </cell>
          <cell r="F2414" t="str">
            <v>C1</v>
          </cell>
          <cell r="G2414" t="str">
            <v>BA</v>
          </cell>
          <cell r="H2414" t="str">
            <v>DISTRIBUIÇÃO</v>
          </cell>
          <cell r="I2414" t="str">
            <v>FOOD SERVICE</v>
          </cell>
          <cell r="J2414" t="str">
            <v>CLAUDIO JORGE/LUIZ</v>
          </cell>
          <cell r="K2414" t="str">
            <v>ITAMBÉ</v>
          </cell>
          <cell r="L2414" t="str">
            <v>RODRIGO</v>
          </cell>
          <cell r="M2414" t="str">
            <v>MARIA LOURDES</v>
          </cell>
        </row>
        <row r="2415">
          <cell r="B2415">
            <v>5031579</v>
          </cell>
          <cell r="C2415" t="str">
            <v>ALPES BUFFET SERV E COM LTDA ME</v>
          </cell>
          <cell r="D2415" t="str">
            <v>3001</v>
          </cell>
          <cell r="E2415" t="str">
            <v>0028</v>
          </cell>
          <cell r="F2415" t="str">
            <v>C1</v>
          </cell>
          <cell r="G2415" t="str">
            <v>MG</v>
          </cell>
          <cell r="H2415" t="str">
            <v>INGREDIENTS</v>
          </cell>
          <cell r="I2415" t="str">
            <v>INGREDIENTS</v>
          </cell>
          <cell r="J2415" t="str">
            <v>MARCELO RODRIGUES</v>
          </cell>
          <cell r="K2415" t="str">
            <v>ITAMBÉ</v>
          </cell>
          <cell r="L2415" t="str">
            <v>MAURICIO</v>
          </cell>
          <cell r="M2415" t="str">
            <v>MARCELO</v>
          </cell>
        </row>
        <row r="2416">
          <cell r="B2416">
            <v>5160241</v>
          </cell>
          <cell r="C2416" t="str">
            <v>TRES CORACOES ALIMENTOS SA</v>
          </cell>
          <cell r="D2416" t="str">
            <v>4001</v>
          </cell>
          <cell r="E2416" t="str">
            <v>0437</v>
          </cell>
          <cell r="F2416" t="str">
            <v>C1</v>
          </cell>
          <cell r="G2416" t="str">
            <v>RN</v>
          </cell>
          <cell r="H2416" t="str">
            <v>INGREDIENTS</v>
          </cell>
          <cell r="I2416" t="str">
            <v>INGREDIENTS</v>
          </cell>
          <cell r="J2416" t="str">
            <v>JOEL ELEOTÉRIO</v>
          </cell>
          <cell r="K2416" t="str">
            <v>LACTALIS</v>
          </cell>
          <cell r="L2416" t="str">
            <v>MAURICIO</v>
          </cell>
          <cell r="M2416" t="str">
            <v>JOEL</v>
          </cell>
        </row>
        <row r="2417">
          <cell r="B2417">
            <v>5340677</v>
          </cell>
          <cell r="C2417" t="str">
            <v>M SANTOS IANSEN SORVETERIA</v>
          </cell>
          <cell r="D2417" t="str">
            <v>3001</v>
          </cell>
          <cell r="E2417" t="str">
            <v>0028</v>
          </cell>
          <cell r="F2417" t="str">
            <v>C1</v>
          </cell>
          <cell r="G2417" t="str">
            <v>PR</v>
          </cell>
          <cell r="H2417" t="str">
            <v>INGREDIENTS</v>
          </cell>
          <cell r="I2417" t="str">
            <v>INGREDIENTS</v>
          </cell>
          <cell r="J2417" t="str">
            <v>TATIANA NITTA</v>
          </cell>
          <cell r="K2417" t="str">
            <v>ITAMBÉ</v>
          </cell>
          <cell r="L2417" t="str">
            <v>MAURICIO</v>
          </cell>
          <cell r="M2417" t="str">
            <v>TATIANA NITTA</v>
          </cell>
        </row>
        <row r="2418">
          <cell r="B2418">
            <v>5352914</v>
          </cell>
          <cell r="C2418" t="str">
            <v>OSTUNI ADMINIST HOTELEIRA LTDA</v>
          </cell>
          <cell r="D2418" t="str">
            <v>7001</v>
          </cell>
          <cell r="E2418" t="str">
            <v>0749</v>
          </cell>
          <cell r="F2418" t="str">
            <v>C5</v>
          </cell>
          <cell r="G2418" t="str">
            <v>SP</v>
          </cell>
          <cell r="H2418" t="str">
            <v>DISTRIBUIÇÃO</v>
          </cell>
          <cell r="I2418" t="str">
            <v>FOOD SERVICE</v>
          </cell>
          <cell r="J2418" t="str">
            <v>FLAC 2</v>
          </cell>
          <cell r="K2418" t="str">
            <v>LACTALIS</v>
          </cell>
          <cell r="L2418" t="str">
            <v>RODRIGO</v>
          </cell>
          <cell r="M2418" t="str">
            <v>RAQUEL BARBOSA</v>
          </cell>
        </row>
        <row r="2419">
          <cell r="B2419">
            <v>5354388</v>
          </cell>
          <cell r="C2419" t="str">
            <v>PEDRO HENRIQUE COSTA SEDRIM</v>
          </cell>
          <cell r="D2419" t="str">
            <v>7001</v>
          </cell>
          <cell r="E2419" t="str">
            <v>0749</v>
          </cell>
          <cell r="F2419" t="str">
            <v>C5</v>
          </cell>
          <cell r="G2419" t="str">
            <v>SP</v>
          </cell>
          <cell r="H2419" t="str">
            <v>DISTRIBUIÇÃO</v>
          </cell>
          <cell r="I2419" t="str">
            <v>FOOD SERVICE</v>
          </cell>
          <cell r="J2419" t="str">
            <v>FLAC 2</v>
          </cell>
          <cell r="K2419" t="str">
            <v>LACTALIS</v>
          </cell>
          <cell r="L2419" t="str">
            <v>RODRIGO</v>
          </cell>
          <cell r="M2419" t="str">
            <v>RAQUEL BARBOSA</v>
          </cell>
        </row>
        <row r="2420">
          <cell r="B2420">
            <v>5270160</v>
          </cell>
          <cell r="C2420" t="str">
            <v>PASTICCERIA INTERNAZIONALE LTDA</v>
          </cell>
          <cell r="D2420" t="str">
            <v>7001</v>
          </cell>
          <cell r="E2420" t="str">
            <v>0749</v>
          </cell>
          <cell r="F2420" t="str">
            <v>C5</v>
          </cell>
          <cell r="G2420" t="str">
            <v>SP</v>
          </cell>
          <cell r="H2420" t="str">
            <v>DISTRIBUIÇÃO</v>
          </cell>
          <cell r="I2420" t="str">
            <v>FOOD SERVICE</v>
          </cell>
          <cell r="J2420" t="str">
            <v>FLAC 3</v>
          </cell>
          <cell r="K2420" t="str">
            <v>LACTALIS</v>
          </cell>
          <cell r="L2420" t="str">
            <v>RODRIGO</v>
          </cell>
          <cell r="M2420" t="str">
            <v>RAQUEL BARBOSA</v>
          </cell>
        </row>
        <row r="2421">
          <cell r="B2421">
            <v>5341282</v>
          </cell>
          <cell r="C2421" t="str">
            <v>GRACA DI NAPOLLI PIZZ E REST LT</v>
          </cell>
          <cell r="D2421" t="str">
            <v>7001</v>
          </cell>
          <cell r="E2421" t="str">
            <v>0749</v>
          </cell>
          <cell r="F2421" t="str">
            <v>C5</v>
          </cell>
          <cell r="G2421" t="str">
            <v>SP</v>
          </cell>
          <cell r="H2421" t="str">
            <v>DISTRIBUIÇÃO</v>
          </cell>
          <cell r="I2421" t="str">
            <v>FOOD SERVICE</v>
          </cell>
          <cell r="J2421" t="str">
            <v>FLAC 5</v>
          </cell>
          <cell r="K2421" t="str">
            <v>LACTALIS</v>
          </cell>
          <cell r="L2421" t="str">
            <v>RODRIGO</v>
          </cell>
          <cell r="M2421" t="str">
            <v>RAQUEL BARBOSA</v>
          </cell>
        </row>
        <row r="2422">
          <cell r="B2422">
            <v>5353844</v>
          </cell>
          <cell r="C2422" t="str">
            <v>FEITO CHOCOLATE LTDA</v>
          </cell>
          <cell r="D2422" t="str">
            <v>3001</v>
          </cell>
          <cell r="E2422" t="str">
            <v>0126</v>
          </cell>
          <cell r="F2422" t="str">
            <v>C1</v>
          </cell>
          <cell r="G2422" t="str">
            <v>PR</v>
          </cell>
          <cell r="H2422" t="str">
            <v>DISTRIBUIÇÃO</v>
          </cell>
          <cell r="I2422" t="str">
            <v>FOOD SERVICE</v>
          </cell>
          <cell r="J2422" t="str">
            <v>ANGELICA BATISTELA</v>
          </cell>
          <cell r="K2422" t="str">
            <v>ITAMBÉ</v>
          </cell>
          <cell r="L2422" t="str">
            <v>RODRIGO</v>
          </cell>
          <cell r="M2422" t="str">
            <v>ANGELICA BATISTELA</v>
          </cell>
        </row>
        <row r="2423">
          <cell r="B2423">
            <v>5349113</v>
          </cell>
          <cell r="C2423" t="str">
            <v>PRAIA DO PAO PADARIA ARTESANAL LTDA</v>
          </cell>
          <cell r="D2423" t="str">
            <v>7001</v>
          </cell>
          <cell r="E2423" t="str">
            <v>0749</v>
          </cell>
          <cell r="F2423" t="str">
            <v>C5</v>
          </cell>
          <cell r="G2423" t="str">
            <v>SP</v>
          </cell>
          <cell r="H2423" t="str">
            <v>DISTRIBUIÇÃO</v>
          </cell>
          <cell r="I2423" t="str">
            <v>FOOD SERVICE</v>
          </cell>
          <cell r="J2423" t="str">
            <v>FLAC 6</v>
          </cell>
          <cell r="K2423" t="str">
            <v>LACTALIS</v>
          </cell>
          <cell r="L2423" t="str">
            <v>RODRIGO</v>
          </cell>
          <cell r="M2423" t="str">
            <v>RAQUEL BARBOSA</v>
          </cell>
        </row>
        <row r="2424">
          <cell r="B2424">
            <v>5350878</v>
          </cell>
          <cell r="C2424" t="str">
            <v>LE JOUR LA NUIT CUISINE BISTRO</v>
          </cell>
          <cell r="D2424" t="str">
            <v>7001</v>
          </cell>
          <cell r="E2424" t="str">
            <v>0749</v>
          </cell>
          <cell r="F2424" t="str">
            <v>C5</v>
          </cell>
          <cell r="G2424" t="str">
            <v>SP</v>
          </cell>
          <cell r="H2424" t="str">
            <v>DISTRIBUIÇÃO</v>
          </cell>
          <cell r="I2424" t="str">
            <v>FOOD SERVICE</v>
          </cell>
          <cell r="J2424" t="str">
            <v>FLAC 2</v>
          </cell>
          <cell r="K2424" t="str">
            <v>LACTALIS</v>
          </cell>
          <cell r="L2424" t="str">
            <v>RODRIGO</v>
          </cell>
          <cell r="M2424" t="str">
            <v>RAQUEL BARBOSA</v>
          </cell>
        </row>
        <row r="2425">
          <cell r="B2425">
            <v>5353664</v>
          </cell>
          <cell r="C2425" t="str">
            <v>PAMIJUCA ALIMENTACAO LTDA</v>
          </cell>
          <cell r="D2425" t="str">
            <v>7001</v>
          </cell>
          <cell r="E2425" t="str">
            <v>0749</v>
          </cell>
          <cell r="F2425" t="str">
            <v>C5</v>
          </cell>
          <cell r="G2425" t="str">
            <v>SP</v>
          </cell>
          <cell r="H2425" t="str">
            <v>DISTRIBUIÇÃO</v>
          </cell>
          <cell r="I2425" t="str">
            <v>FOOD SERVICE</v>
          </cell>
          <cell r="J2425" t="str">
            <v>FLAC 5</v>
          </cell>
          <cell r="K2425" t="str">
            <v>LACTALIS</v>
          </cell>
          <cell r="L2425" t="str">
            <v>RODRIGO</v>
          </cell>
          <cell r="M2425" t="str">
            <v>RAQUEL BARBOSA</v>
          </cell>
        </row>
        <row r="2426">
          <cell r="B2426">
            <v>5171550</v>
          </cell>
          <cell r="C2426" t="str">
            <v>PSG COMERCIO DE ALIMENTOS LTDA ME</v>
          </cell>
          <cell r="D2426" t="str">
            <v>3001</v>
          </cell>
          <cell r="E2426" t="str">
            <v>0126</v>
          </cell>
          <cell r="F2426" t="str">
            <v>C1</v>
          </cell>
          <cell r="G2426" t="str">
            <v>PR</v>
          </cell>
          <cell r="H2426" t="str">
            <v>QSR</v>
          </cell>
          <cell r="I2426" t="str">
            <v>FOOD SERVICE</v>
          </cell>
          <cell r="J2426" t="str">
            <v>VAGO QSR</v>
          </cell>
          <cell r="K2426" t="str">
            <v>ITAMBÉ</v>
          </cell>
          <cell r="L2426" t="str">
            <v>PEDRO</v>
          </cell>
          <cell r="M2426" t="str">
            <v>VAGO QSR</v>
          </cell>
        </row>
        <row r="2427">
          <cell r="B2427">
            <v>5342745</v>
          </cell>
          <cell r="C2427" t="str">
            <v>INICIAL COM E DISTRIB DE ALIM L</v>
          </cell>
          <cell r="D2427" t="str">
            <v>6001</v>
          </cell>
          <cell r="E2427" t="str">
            <v>6028</v>
          </cell>
          <cell r="F2427" t="str">
            <v>C1</v>
          </cell>
          <cell r="G2427" t="str">
            <v>MS</v>
          </cell>
          <cell r="H2427" t="str">
            <v>INGREDIENTS</v>
          </cell>
          <cell r="I2427" t="str">
            <v>INGREDIENTS</v>
          </cell>
          <cell r="J2427" t="str">
            <v>DUAS RODAS</v>
          </cell>
          <cell r="K2427" t="str">
            <v>ITAMBÉ</v>
          </cell>
          <cell r="L2427" t="str">
            <v>MAURICIO</v>
          </cell>
          <cell r="M2427" t="str">
            <v>MARCELO</v>
          </cell>
        </row>
        <row r="2428">
          <cell r="B2428">
            <v>5354795</v>
          </cell>
          <cell r="C2428" t="str">
            <v>COB EVENTOS CAFE E CIA LTDA</v>
          </cell>
          <cell r="D2428" t="str">
            <v>7001</v>
          </cell>
          <cell r="E2428" t="str">
            <v>0749</v>
          </cell>
          <cell r="F2428" t="str">
            <v>C5</v>
          </cell>
          <cell r="G2428" t="str">
            <v>SP</v>
          </cell>
          <cell r="H2428" t="str">
            <v>DISTRIBUIÇÃO</v>
          </cell>
          <cell r="I2428" t="str">
            <v>FOOD SERVICE</v>
          </cell>
          <cell r="J2428" t="str">
            <v>FLAC 7</v>
          </cell>
          <cell r="K2428" t="str">
            <v>LACTALIS</v>
          </cell>
          <cell r="L2428" t="str">
            <v>RODRIGO</v>
          </cell>
          <cell r="M2428" t="str">
            <v>RAQUEL BARBOSA</v>
          </cell>
        </row>
        <row r="2429">
          <cell r="B2429">
            <v>5354201</v>
          </cell>
          <cell r="C2429" t="str">
            <v>INTL LABORATORIOS NUTRACEUT LTD</v>
          </cell>
          <cell r="D2429" t="str">
            <v>7001</v>
          </cell>
          <cell r="E2429" t="str">
            <v>0553</v>
          </cell>
          <cell r="F2429" t="str">
            <v>C1</v>
          </cell>
          <cell r="G2429" t="str">
            <v>ES</v>
          </cell>
          <cell r="H2429" t="str">
            <v>INGREDIENTS</v>
          </cell>
          <cell r="I2429" t="str">
            <v>INGREDIENTS</v>
          </cell>
          <cell r="J2429" t="str">
            <v>JOEL ELEOTÉRIO</v>
          </cell>
          <cell r="K2429" t="str">
            <v>LACTALIS</v>
          </cell>
          <cell r="L2429" t="str">
            <v>MAURICIO</v>
          </cell>
          <cell r="M2429" t="str">
            <v>JOEL</v>
          </cell>
        </row>
        <row r="2430">
          <cell r="B2430">
            <v>5354561</v>
          </cell>
          <cell r="C2430" t="str">
            <v>LANCHONETE JOIA DO BRAS LTDA</v>
          </cell>
          <cell r="D2430" t="str">
            <v>7001</v>
          </cell>
          <cell r="E2430" t="str">
            <v>0749</v>
          </cell>
          <cell r="F2430" t="str">
            <v>C5</v>
          </cell>
          <cell r="G2430" t="str">
            <v>SP</v>
          </cell>
          <cell r="H2430" t="str">
            <v>DISTRIBUIÇÃO</v>
          </cell>
          <cell r="I2430" t="str">
            <v>FOOD SERVICE</v>
          </cell>
          <cell r="J2430" t="str">
            <v>FLAC 10</v>
          </cell>
          <cell r="K2430" t="str">
            <v>LACTALIS</v>
          </cell>
          <cell r="L2430" t="str">
            <v>RODRIGO</v>
          </cell>
          <cell r="M2430" t="str">
            <v>RAQUEL BARBOSA</v>
          </cell>
        </row>
        <row r="2431">
          <cell r="B2431">
            <v>5144334</v>
          </cell>
          <cell r="C2431" t="str">
            <v>ALICE QUINDINS DOCERIA LTD</v>
          </cell>
          <cell r="D2431" t="str">
            <v>7001</v>
          </cell>
          <cell r="E2431" t="str">
            <v>0749</v>
          </cell>
          <cell r="F2431" t="str">
            <v>C5</v>
          </cell>
          <cell r="G2431" t="str">
            <v>SP</v>
          </cell>
          <cell r="H2431" t="str">
            <v>DISTRIBUIÇÃO</v>
          </cell>
          <cell r="I2431" t="str">
            <v>FOOD SERVICE</v>
          </cell>
          <cell r="J2431" t="str">
            <v>FLAC 5</v>
          </cell>
          <cell r="K2431" t="str">
            <v>LACTALIS</v>
          </cell>
          <cell r="L2431" t="str">
            <v>RODRIGO</v>
          </cell>
          <cell r="M2431" t="str">
            <v>RAQUEL BARBOSA</v>
          </cell>
        </row>
        <row r="2432">
          <cell r="B2432">
            <v>5349649</v>
          </cell>
          <cell r="C2432" t="str">
            <v>AKIBA STATION STORE IMP EXPO LT</v>
          </cell>
          <cell r="D2432" t="str">
            <v>7001</v>
          </cell>
          <cell r="E2432" t="str">
            <v>0749</v>
          </cell>
          <cell r="F2432" t="str">
            <v>C5</v>
          </cell>
          <cell r="G2432" t="str">
            <v>SP</v>
          </cell>
          <cell r="H2432" t="str">
            <v>DISTRIBUIÇÃO</v>
          </cell>
          <cell r="I2432" t="str">
            <v>FOOD SERVICE</v>
          </cell>
          <cell r="J2432" t="str">
            <v>FLAC 3</v>
          </cell>
          <cell r="K2432" t="str">
            <v>LACTALIS</v>
          </cell>
          <cell r="L2432" t="str">
            <v>RODRIGO</v>
          </cell>
          <cell r="M2432" t="str">
            <v>RAQUEL BARBOSA</v>
          </cell>
        </row>
        <row r="2433">
          <cell r="B2433">
            <v>5353848</v>
          </cell>
          <cell r="C2433" t="str">
            <v>LOGUI DISTRIBUICAO LTDA</v>
          </cell>
          <cell r="D2433" t="str">
            <v>3001</v>
          </cell>
          <cell r="E2433" t="str">
            <v>0128</v>
          </cell>
          <cell r="F2433" t="str">
            <v>C1</v>
          </cell>
          <cell r="G2433" t="str">
            <v>PA</v>
          </cell>
          <cell r="H2433" t="str">
            <v>DISTRIBUIÇÃO</v>
          </cell>
          <cell r="I2433" t="str">
            <v>FOOD SERVICE</v>
          </cell>
          <cell r="J2433" t="str">
            <v>TC REPRESENTAÇÕES</v>
          </cell>
          <cell r="K2433" t="str">
            <v>ITAMBÉ</v>
          </cell>
          <cell r="L2433" t="str">
            <v>RODRIGO</v>
          </cell>
          <cell r="M2433" t="str">
            <v>MARCO AURELIO</v>
          </cell>
        </row>
        <row r="2434">
          <cell r="B2434">
            <v>5354989</v>
          </cell>
          <cell r="C2434" t="str">
            <v>SOBASICO IND E COMERCIO DE ALIM LTD</v>
          </cell>
          <cell r="D2434" t="str">
            <v>4001</v>
          </cell>
          <cell r="E2434" t="str">
            <v>0437</v>
          </cell>
          <cell r="F2434" t="str">
            <v>C1</v>
          </cell>
          <cell r="G2434" t="str">
            <v>SP</v>
          </cell>
          <cell r="H2434" t="str">
            <v>INGREDIENTS</v>
          </cell>
          <cell r="I2434" t="str">
            <v>INGREDIENTS</v>
          </cell>
          <cell r="J2434" t="str">
            <v>MARCELO RODRIGUES</v>
          </cell>
          <cell r="K2434" t="str">
            <v>LACTALIS</v>
          </cell>
          <cell r="L2434" t="str">
            <v>MAURICIO</v>
          </cell>
          <cell r="M2434" t="str">
            <v>MARCELO</v>
          </cell>
        </row>
        <row r="2435">
          <cell r="B2435">
            <v>5012695</v>
          </cell>
          <cell r="C2435" t="str">
            <v>LACTOMIL IND E COM DE ALIM LTDA</v>
          </cell>
          <cell r="D2435" t="str">
            <v>4001</v>
          </cell>
          <cell r="E2435" t="str">
            <v>0437</v>
          </cell>
          <cell r="F2435" t="str">
            <v>C1</v>
          </cell>
          <cell r="G2435" t="str">
            <v>SP</v>
          </cell>
          <cell r="H2435" t="str">
            <v>INGREDIENTS</v>
          </cell>
          <cell r="I2435" t="str">
            <v>INGREDIENTS</v>
          </cell>
          <cell r="J2435" t="str">
            <v>JOEL ELEOTÉRIO</v>
          </cell>
          <cell r="K2435" t="str">
            <v>LACTALIS</v>
          </cell>
          <cell r="L2435" t="str">
            <v>MAURICIO</v>
          </cell>
          <cell r="M2435" t="str">
            <v>JOEL</v>
          </cell>
        </row>
        <row r="2436">
          <cell r="B2436">
            <v>5323094</v>
          </cell>
          <cell r="C2436" t="str">
            <v>NC ALAMEDA SANTOS COMERCIO DE A</v>
          </cell>
          <cell r="D2436" t="str">
            <v>7001</v>
          </cell>
          <cell r="E2436" t="str">
            <v>0749</v>
          </cell>
          <cell r="F2436" t="str">
            <v>C5</v>
          </cell>
          <cell r="G2436" t="str">
            <v>SP</v>
          </cell>
          <cell r="H2436" t="str">
            <v>DISTRIBUIÇÃO</v>
          </cell>
          <cell r="I2436" t="str">
            <v>FOOD SERVICE</v>
          </cell>
          <cell r="J2436" t="str">
            <v>FLAC 5</v>
          </cell>
          <cell r="K2436" t="str">
            <v>LACTALIS</v>
          </cell>
          <cell r="L2436" t="str">
            <v>RODRIGO</v>
          </cell>
          <cell r="M2436" t="str">
            <v>RAQUEL BARBOSA</v>
          </cell>
        </row>
        <row r="2437">
          <cell r="B2437">
            <v>5346651</v>
          </cell>
          <cell r="C2437" t="str">
            <v>BRASKOP COMERCIO DE ALIMENTOS L</v>
          </cell>
          <cell r="D2437" t="str">
            <v>7001</v>
          </cell>
          <cell r="E2437" t="str">
            <v>0749</v>
          </cell>
          <cell r="F2437" t="str">
            <v>C5</v>
          </cell>
          <cell r="G2437" t="str">
            <v>SP</v>
          </cell>
          <cell r="H2437" t="str">
            <v>DISTRIBUIÇÃO</v>
          </cell>
          <cell r="I2437" t="str">
            <v>FOOD SERVICE</v>
          </cell>
          <cell r="J2437" t="str">
            <v>FLAC 6</v>
          </cell>
          <cell r="K2437" t="str">
            <v>LACTALIS</v>
          </cell>
          <cell r="L2437" t="str">
            <v>RODRIGO</v>
          </cell>
          <cell r="M2437" t="str">
            <v>RAQUEL BARBOSA</v>
          </cell>
        </row>
        <row r="2438">
          <cell r="B2438">
            <v>5353280</v>
          </cell>
          <cell r="C2438" t="str">
            <v>FENIX HOTEL BOM RETIRO LTDA</v>
          </cell>
          <cell r="D2438" t="str">
            <v>7001</v>
          </cell>
          <cell r="E2438" t="str">
            <v>0749</v>
          </cell>
          <cell r="F2438" t="str">
            <v>C5</v>
          </cell>
          <cell r="G2438" t="str">
            <v>SP</v>
          </cell>
          <cell r="H2438" t="str">
            <v>DISTRIBUIÇÃO</v>
          </cell>
          <cell r="I2438" t="str">
            <v>FOOD SERVICE</v>
          </cell>
          <cell r="J2438" t="str">
            <v>FLAC 5</v>
          </cell>
          <cell r="K2438" t="str">
            <v>LACTALIS</v>
          </cell>
          <cell r="L2438" t="str">
            <v>RODRIGO</v>
          </cell>
          <cell r="M2438" t="str">
            <v>RAQUEL BARBOSA</v>
          </cell>
        </row>
        <row r="2439">
          <cell r="B2439">
            <v>5109334</v>
          </cell>
          <cell r="C2439" t="str">
            <v>CENTRAL OSASCO DIST ALIM E BEBI</v>
          </cell>
          <cell r="D2439" t="str">
            <v>6001</v>
          </cell>
          <cell r="E2439" t="str">
            <v>6028</v>
          </cell>
          <cell r="F2439" t="str">
            <v>C1</v>
          </cell>
          <cell r="G2439" t="str">
            <v>SP</v>
          </cell>
          <cell r="H2439" t="str">
            <v>DISTRIBUIÇÃO</v>
          </cell>
          <cell r="I2439" t="str">
            <v>FOOD SERVICE</v>
          </cell>
          <cell r="J2439" t="str">
            <v>SP ITB FS FLAC REP.E COMERCIO</v>
          </cell>
          <cell r="K2439" t="str">
            <v>ITAMBÉ</v>
          </cell>
          <cell r="L2439" t="str">
            <v>RODRIGO</v>
          </cell>
          <cell r="M2439" t="str">
            <v>RAQUEL BARBOSA</v>
          </cell>
        </row>
        <row r="2440">
          <cell r="B2440">
            <v>5162498</v>
          </cell>
          <cell r="C2440" t="str">
            <v>DOCE ENCONTRO LTDA</v>
          </cell>
          <cell r="D2440" t="str">
            <v>3001</v>
          </cell>
          <cell r="E2440" t="str">
            <v>0028</v>
          </cell>
          <cell r="F2440" t="str">
            <v>C1</v>
          </cell>
          <cell r="G2440" t="str">
            <v>PR</v>
          </cell>
          <cell r="H2440" t="str">
            <v>INGREDIENTS</v>
          </cell>
          <cell r="I2440" t="str">
            <v>INGREDIENTS</v>
          </cell>
          <cell r="J2440" t="str">
            <v>MARCELO RODRIGUES</v>
          </cell>
          <cell r="K2440" t="str">
            <v>ITAMBÉ</v>
          </cell>
          <cell r="L2440" t="str">
            <v>MAURICIO</v>
          </cell>
          <cell r="M2440" t="str">
            <v>MARCELO</v>
          </cell>
        </row>
        <row r="2441">
          <cell r="B2441">
            <v>5178343</v>
          </cell>
          <cell r="C2441" t="str">
            <v>NT INDSUTRIA E COM DE PANIFICAC</v>
          </cell>
          <cell r="D2441" t="str">
            <v>4001</v>
          </cell>
          <cell r="E2441" t="str">
            <v>0531</v>
          </cell>
          <cell r="F2441" t="str">
            <v>C5</v>
          </cell>
          <cell r="G2441" t="str">
            <v>AM</v>
          </cell>
          <cell r="H2441" t="str">
            <v>DISTRIBUIÇÃO</v>
          </cell>
          <cell r="I2441" t="str">
            <v>FOOD SERVICE</v>
          </cell>
          <cell r="J2441" t="str">
            <v>CLAUDIO JORGE</v>
          </cell>
          <cell r="K2441" t="str">
            <v>LACTALIS</v>
          </cell>
          <cell r="L2441" t="str">
            <v>RODRIGO</v>
          </cell>
          <cell r="M2441" t="str">
            <v>MARCO AURELIO</v>
          </cell>
        </row>
        <row r="2442">
          <cell r="B2442">
            <v>5263281</v>
          </cell>
          <cell r="C2442" t="str">
            <v>PAO E TALHO SANDUICHERIA LTDA M</v>
          </cell>
          <cell r="D2442" t="str">
            <v>7001</v>
          </cell>
          <cell r="E2442" t="str">
            <v>0749</v>
          </cell>
          <cell r="F2442" t="str">
            <v>C5</v>
          </cell>
          <cell r="G2442" t="str">
            <v>SP</v>
          </cell>
          <cell r="H2442" t="str">
            <v>DISTRIBUIÇÃO</v>
          </cell>
          <cell r="I2442" t="str">
            <v>FOOD SERVICE</v>
          </cell>
          <cell r="J2442" t="str">
            <v>FLAC 2</v>
          </cell>
          <cell r="K2442" t="str">
            <v>LACTALIS</v>
          </cell>
          <cell r="L2442" t="str">
            <v>RODRIGO</v>
          </cell>
          <cell r="M2442" t="str">
            <v>RAQUEL BARBOSA</v>
          </cell>
        </row>
        <row r="2443">
          <cell r="B2443">
            <v>5354761</v>
          </cell>
          <cell r="C2443" t="str">
            <v>DISTRIBUIDORA DIEGO MORANGOS LT</v>
          </cell>
          <cell r="D2443" t="str">
            <v>3001</v>
          </cell>
          <cell r="E2443" t="str">
            <v>0028</v>
          </cell>
          <cell r="F2443" t="str">
            <v>C1</v>
          </cell>
          <cell r="G2443" t="str">
            <v>MG</v>
          </cell>
          <cell r="H2443" t="str">
            <v>INGREDIENTS</v>
          </cell>
          <cell r="I2443" t="str">
            <v>INGREDIENTS</v>
          </cell>
          <cell r="J2443" t="str">
            <v>HENRIQUE FERREIRA</v>
          </cell>
          <cell r="K2443" t="str">
            <v>ITAMBÉ</v>
          </cell>
          <cell r="L2443" t="str">
            <v>MAURICIO</v>
          </cell>
          <cell r="M2443" t="str">
            <v>JOEL</v>
          </cell>
        </row>
        <row r="2444">
          <cell r="B2444">
            <v>5355051</v>
          </cell>
          <cell r="C2444" t="str">
            <v>UNIAO LOGISTICA IMPORTACAO E EX</v>
          </cell>
          <cell r="D2444" t="str">
            <v>4001</v>
          </cell>
          <cell r="E2444" t="str">
            <v>0437</v>
          </cell>
          <cell r="F2444" t="str">
            <v>C1</v>
          </cell>
          <cell r="G2444" t="str">
            <v>SP</v>
          </cell>
          <cell r="H2444" t="str">
            <v>INGREDIENTS</v>
          </cell>
          <cell r="I2444" t="str">
            <v>INGREDIENTS</v>
          </cell>
          <cell r="J2444" t="str">
            <v>MARCELO RODRIGUES</v>
          </cell>
          <cell r="K2444" t="str">
            <v>LACTALIS</v>
          </cell>
          <cell r="L2444" t="str">
            <v>MAURICIO</v>
          </cell>
          <cell r="M2444" t="str">
            <v>MARCELO</v>
          </cell>
        </row>
        <row r="2445">
          <cell r="B2445">
            <v>5348271</v>
          </cell>
          <cell r="C2445" t="str">
            <v>CENTRAL MIX LTDA</v>
          </cell>
          <cell r="D2445" t="str">
            <v>3001</v>
          </cell>
          <cell r="E2445" t="str">
            <v>0122</v>
          </cell>
          <cell r="F2445" t="str">
            <v>C1</v>
          </cell>
          <cell r="G2445" t="str">
            <v>MG</v>
          </cell>
          <cell r="H2445" t="str">
            <v>DISTRIBUIÇÃO</v>
          </cell>
          <cell r="I2445" t="str">
            <v>FOOD SERVICE</v>
          </cell>
          <cell r="J2445" t="str">
            <v>MARCELO SILVA</v>
          </cell>
          <cell r="K2445" t="str">
            <v>ITAMBÉ</v>
          </cell>
          <cell r="L2445" t="str">
            <v>RODRIGO</v>
          </cell>
          <cell r="M2445" t="str">
            <v>CELIO MARTINS</v>
          </cell>
        </row>
        <row r="2446">
          <cell r="B2446">
            <v>5353525</v>
          </cell>
          <cell r="C2446" t="str">
            <v>AEROMATE DISTRIBUIDORA LTDA</v>
          </cell>
          <cell r="D2446" t="str">
            <v>7001</v>
          </cell>
          <cell r="E2446" t="str">
            <v>0749</v>
          </cell>
          <cell r="F2446" t="str">
            <v>C5</v>
          </cell>
          <cell r="G2446" t="str">
            <v>SP</v>
          </cell>
          <cell r="H2446" t="str">
            <v>DISTRIBUIÇÃO</v>
          </cell>
          <cell r="I2446" t="str">
            <v>FOOD SERVICE</v>
          </cell>
          <cell r="J2446" t="str">
            <v>FLAC 3</v>
          </cell>
          <cell r="K2446" t="str">
            <v>LACTALIS</v>
          </cell>
          <cell r="L2446" t="str">
            <v>RODRIGO</v>
          </cell>
          <cell r="M2446" t="str">
            <v>RAQUEL BARBOSA</v>
          </cell>
        </row>
        <row r="2447">
          <cell r="B2447">
            <v>5355174</v>
          </cell>
          <cell r="C2447" t="str">
            <v>JOH GASTRONOMIA LTDA</v>
          </cell>
          <cell r="D2447" t="str">
            <v>7001</v>
          </cell>
          <cell r="E2447" t="str">
            <v>0749</v>
          </cell>
          <cell r="F2447" t="str">
            <v>C5</v>
          </cell>
          <cell r="G2447" t="str">
            <v>SP</v>
          </cell>
          <cell r="H2447" t="str">
            <v>DISTRIBUIÇÃO</v>
          </cell>
          <cell r="I2447" t="str">
            <v>FOOD SERVICE</v>
          </cell>
          <cell r="J2447" t="str">
            <v>FLAC 5</v>
          </cell>
          <cell r="K2447" t="str">
            <v>LACTALIS</v>
          </cell>
          <cell r="L2447" t="str">
            <v>RODRIGO</v>
          </cell>
          <cell r="M2447" t="str">
            <v>RAQUEL BARBOSA</v>
          </cell>
        </row>
        <row r="2448">
          <cell r="B2448">
            <v>5160918</v>
          </cell>
          <cell r="C2448" t="str">
            <v>PECCIN S A</v>
          </cell>
          <cell r="D2448" t="str">
            <v>4001</v>
          </cell>
          <cell r="E2448" t="str">
            <v>0455</v>
          </cell>
          <cell r="F2448" t="str">
            <v>C1</v>
          </cell>
          <cell r="G2448" t="str">
            <v>RS</v>
          </cell>
          <cell r="H2448" t="str">
            <v>INGREDIENTS</v>
          </cell>
          <cell r="I2448" t="str">
            <v>INGREDIENTS</v>
          </cell>
          <cell r="J2448" t="str">
            <v>MARCELO RODRIGUES</v>
          </cell>
          <cell r="K2448" t="str">
            <v>LACTALIS</v>
          </cell>
          <cell r="L2448" t="str">
            <v>MAURICIO</v>
          </cell>
          <cell r="M2448" t="str">
            <v>MARCELO</v>
          </cell>
        </row>
        <row r="2449">
          <cell r="B2449">
            <v>5206128</v>
          </cell>
          <cell r="C2449" t="str">
            <v>NUTRIWAY FOODS INDUSTRIA</v>
          </cell>
          <cell r="D2449" t="str">
            <v>4001</v>
          </cell>
          <cell r="E2449" t="str">
            <v>0437</v>
          </cell>
          <cell r="F2449" t="str">
            <v>C1</v>
          </cell>
          <cell r="G2449" t="str">
            <v>MG</v>
          </cell>
          <cell r="H2449" t="str">
            <v>INGREDIENTS</v>
          </cell>
          <cell r="I2449" t="str">
            <v>INGREDIENTS</v>
          </cell>
          <cell r="J2449" t="str">
            <v>MARCELO RODRIGUES</v>
          </cell>
          <cell r="K2449" t="str">
            <v>LACTALIS</v>
          </cell>
          <cell r="L2449" t="str">
            <v>MAURICIO</v>
          </cell>
          <cell r="M2449" t="str">
            <v>MARCELO</v>
          </cell>
        </row>
        <row r="2450">
          <cell r="B2450">
            <v>5352912</v>
          </cell>
          <cell r="C2450" t="str">
            <v>EMPORIO MC MINI MERCADO E PAD L</v>
          </cell>
          <cell r="D2450" t="str">
            <v>7001</v>
          </cell>
          <cell r="E2450" t="str">
            <v>0749</v>
          </cell>
          <cell r="F2450" t="str">
            <v>C5</v>
          </cell>
          <cell r="G2450" t="str">
            <v>SP</v>
          </cell>
          <cell r="H2450" t="str">
            <v>DISTRIBUIÇÃO</v>
          </cell>
          <cell r="I2450" t="str">
            <v>FOOD SERVICE</v>
          </cell>
          <cell r="J2450" t="str">
            <v>FLAC 5</v>
          </cell>
          <cell r="K2450" t="str">
            <v>LACTALIS</v>
          </cell>
          <cell r="L2450" t="str">
            <v>RODRIGO</v>
          </cell>
          <cell r="M2450" t="str">
            <v>RAQUEL BARBOSA</v>
          </cell>
        </row>
        <row r="2451">
          <cell r="B2451">
            <v>5355120</v>
          </cell>
          <cell r="C2451" t="str">
            <v>ATEMPORAL ALIMENTOS LTDA</v>
          </cell>
          <cell r="D2451" t="str">
            <v>7001</v>
          </cell>
          <cell r="E2451" t="str">
            <v>0749</v>
          </cell>
          <cell r="F2451" t="str">
            <v>C5</v>
          </cell>
          <cell r="G2451" t="str">
            <v>SP</v>
          </cell>
          <cell r="H2451" t="str">
            <v>DISTRIBUIÇÃO</v>
          </cell>
          <cell r="I2451" t="str">
            <v>FOOD SERVICE</v>
          </cell>
          <cell r="J2451" t="str">
            <v>FLAC 5</v>
          </cell>
          <cell r="K2451" t="str">
            <v>LACTALIS</v>
          </cell>
          <cell r="L2451" t="str">
            <v>RODRIGO</v>
          </cell>
          <cell r="M2451" t="str">
            <v>RAQUEL BARBOSA</v>
          </cell>
        </row>
        <row r="2452">
          <cell r="B2452">
            <v>5216898</v>
          </cell>
          <cell r="C2452" t="str">
            <v>CASA DAS EMBALAGENS E DOCES</v>
          </cell>
          <cell r="D2452" t="str">
            <v>6001</v>
          </cell>
          <cell r="E2452" t="str">
            <v>6169</v>
          </cell>
          <cell r="F2452" t="str">
            <v>C1</v>
          </cell>
          <cell r="G2452" t="str">
            <v>ES</v>
          </cell>
          <cell r="H2452" t="str">
            <v>DISTRIBUIÇÃO</v>
          </cell>
          <cell r="I2452" t="str">
            <v>FOOD SERVICE</v>
          </cell>
          <cell r="J2452" t="str">
            <v>MARCELO DUARTE</v>
          </cell>
          <cell r="K2452" t="str">
            <v>ITAMBÉ</v>
          </cell>
          <cell r="L2452" t="str">
            <v>RODRIGO</v>
          </cell>
          <cell r="M2452" t="str">
            <v>JESSICA</v>
          </cell>
        </row>
        <row r="2453">
          <cell r="B2453">
            <v>5353717</v>
          </cell>
          <cell r="C2453" t="str">
            <v>GNTP PIZ TRATORIA E RESTAURANTE</v>
          </cell>
          <cell r="D2453" t="str">
            <v>7001</v>
          </cell>
          <cell r="E2453" t="str">
            <v>0749</v>
          </cell>
          <cell r="F2453" t="str">
            <v>C5</v>
          </cell>
          <cell r="G2453" t="str">
            <v>SP</v>
          </cell>
          <cell r="H2453" t="str">
            <v>DISTRIBUIÇÃO</v>
          </cell>
          <cell r="I2453" t="str">
            <v>FOOD SERVICE</v>
          </cell>
          <cell r="J2453" t="str">
            <v>FLAC 5</v>
          </cell>
          <cell r="K2453" t="str">
            <v>LACTALIS</v>
          </cell>
          <cell r="L2453" t="str">
            <v>RODRIGO</v>
          </cell>
          <cell r="M2453" t="str">
            <v>RAQUEL BARBOSA</v>
          </cell>
        </row>
        <row r="2454">
          <cell r="B2454">
            <v>5008478</v>
          </cell>
          <cell r="C2454" t="str">
            <v>JCA FOODS COM DE PROD ALIM LTDA</v>
          </cell>
          <cell r="D2454" t="str">
            <v>6001</v>
          </cell>
          <cell r="E2454" t="str">
            <v>6125</v>
          </cell>
          <cell r="F2454" t="str">
            <v>C1</v>
          </cell>
          <cell r="G2454" t="str">
            <v>SP</v>
          </cell>
          <cell r="H2454" t="str">
            <v>DISTRIBUIÇÃO</v>
          </cell>
          <cell r="I2454" t="str">
            <v>FOOD SERVICE</v>
          </cell>
          <cell r="J2454" t="str">
            <v>VAGO SP</v>
          </cell>
          <cell r="K2454" t="str">
            <v>ITAMBÉ</v>
          </cell>
          <cell r="L2454" t="str">
            <v>RODRIGO</v>
          </cell>
          <cell r="M2454" t="str">
            <v>RAQUEL BARBOSA</v>
          </cell>
        </row>
        <row r="2455">
          <cell r="B2455">
            <v>5331354</v>
          </cell>
          <cell r="C2455" t="str">
            <v>JFS ALIMENTOS LTDA</v>
          </cell>
          <cell r="D2455" t="str">
            <v>4001</v>
          </cell>
          <cell r="E2455" t="str">
            <v>0437</v>
          </cell>
          <cell r="F2455" t="str">
            <v>C1</v>
          </cell>
          <cell r="G2455" t="str">
            <v>SP</v>
          </cell>
          <cell r="H2455" t="str">
            <v>INGREDIENTS</v>
          </cell>
          <cell r="I2455" t="str">
            <v>INGREDIENTS</v>
          </cell>
          <cell r="J2455" t="str">
            <v>MARCELO RODRIGUES</v>
          </cell>
          <cell r="K2455" t="str">
            <v>LACTALIS</v>
          </cell>
          <cell r="L2455" t="str">
            <v>MAURICIO</v>
          </cell>
          <cell r="M2455" t="str">
            <v>MARCELO</v>
          </cell>
        </row>
        <row r="2456">
          <cell r="B2456">
            <v>5355292</v>
          </cell>
          <cell r="C2456" t="str">
            <v>DOM MAITRE BUFFET E EVENTOS LTD</v>
          </cell>
          <cell r="D2456" t="str">
            <v>7001</v>
          </cell>
          <cell r="E2456" t="str">
            <v>0749</v>
          </cell>
          <cell r="F2456" t="str">
            <v>C5</v>
          </cell>
          <cell r="G2456" t="str">
            <v>SP</v>
          </cell>
          <cell r="H2456" t="str">
            <v>DISTRIBUIÇÃO</v>
          </cell>
          <cell r="I2456" t="str">
            <v>FOOD SERVICE</v>
          </cell>
          <cell r="J2456" t="str">
            <v>FLAC 5</v>
          </cell>
          <cell r="K2456" t="str">
            <v>LACTALIS</v>
          </cell>
          <cell r="L2456" t="str">
            <v>RODRIGO</v>
          </cell>
          <cell r="M2456" t="str">
            <v>RAQUEL BARBOSA</v>
          </cell>
        </row>
        <row r="2457">
          <cell r="B2457">
            <v>5355294</v>
          </cell>
          <cell r="C2457" t="str">
            <v>RB HAMBURGUERIA CENTRO LTDA</v>
          </cell>
          <cell r="D2457" t="str">
            <v>7001</v>
          </cell>
          <cell r="E2457" t="str">
            <v>0749</v>
          </cell>
          <cell r="F2457" t="str">
            <v>C5</v>
          </cell>
          <cell r="G2457" t="str">
            <v>SP</v>
          </cell>
          <cell r="H2457" t="str">
            <v>DISTRIBUIÇÃO</v>
          </cell>
          <cell r="I2457" t="str">
            <v>FOOD SERVICE</v>
          </cell>
          <cell r="J2457" t="str">
            <v>FLAC 2</v>
          </cell>
          <cell r="K2457" t="str">
            <v>LACTALIS</v>
          </cell>
          <cell r="L2457" t="str">
            <v>RODRIGO</v>
          </cell>
          <cell r="M2457" t="str">
            <v>RAQUEL BARBOSA</v>
          </cell>
        </row>
        <row r="2458">
          <cell r="B2458">
            <v>5182828</v>
          </cell>
          <cell r="C2458" t="str">
            <v>AMORIX ALIMENTOS LTDA</v>
          </cell>
          <cell r="D2458" t="str">
            <v>7001</v>
          </cell>
          <cell r="E2458" t="str">
            <v>0562</v>
          </cell>
          <cell r="F2458" t="str">
            <v>C5</v>
          </cell>
          <cell r="G2458" t="str">
            <v>GO</v>
          </cell>
          <cell r="H2458" t="str">
            <v>DISTRIBUIÇÃO</v>
          </cell>
          <cell r="I2458" t="str">
            <v>FOOD SERVICE</v>
          </cell>
          <cell r="J2458" t="str">
            <v>CLAUDIO JORGE</v>
          </cell>
          <cell r="K2458" t="str">
            <v>LACTALIS</v>
          </cell>
          <cell r="L2458" t="str">
            <v>RODRIGO</v>
          </cell>
          <cell r="M2458" t="str">
            <v>MARCO AURELIO</v>
          </cell>
        </row>
        <row r="2459">
          <cell r="B2459">
            <v>5228827</v>
          </cell>
          <cell r="C2459" t="str">
            <v>FABRICA ACAI MAGNIFICO LTDA</v>
          </cell>
          <cell r="D2459" t="str">
            <v>3001</v>
          </cell>
          <cell r="E2459" t="str">
            <v>0028</v>
          </cell>
          <cell r="F2459" t="str">
            <v>C1</v>
          </cell>
          <cell r="G2459" t="str">
            <v>SP</v>
          </cell>
          <cell r="H2459" t="str">
            <v>INGREDIENTS</v>
          </cell>
          <cell r="I2459" t="str">
            <v>INGREDIENTS</v>
          </cell>
          <cell r="J2459" t="str">
            <v>HENRIQUE FERREIRA</v>
          </cell>
          <cell r="K2459" t="str">
            <v>ITAMBÉ</v>
          </cell>
          <cell r="L2459" t="str">
            <v>MAURICIO</v>
          </cell>
          <cell r="M2459" t="str">
            <v>JOEL</v>
          </cell>
        </row>
        <row r="2460">
          <cell r="B2460">
            <v>5355125</v>
          </cell>
          <cell r="C2460" t="str">
            <v>FAGS COMERCIO LTDA</v>
          </cell>
          <cell r="D2460" t="str">
            <v>3001</v>
          </cell>
          <cell r="E2460" t="str">
            <v>0028</v>
          </cell>
          <cell r="F2460" t="str">
            <v>C1</v>
          </cell>
          <cell r="G2460" t="str">
            <v>PR</v>
          </cell>
          <cell r="H2460" t="str">
            <v>INGREDIENTS</v>
          </cell>
          <cell r="I2460" t="str">
            <v>INGREDIENTS</v>
          </cell>
          <cell r="J2460" t="str">
            <v>MARCELO RODRIGUES</v>
          </cell>
          <cell r="K2460" t="str">
            <v>ITAMBÉ</v>
          </cell>
          <cell r="L2460" t="str">
            <v>MAURICIO</v>
          </cell>
          <cell r="M2460" t="str">
            <v>MARCELO</v>
          </cell>
        </row>
        <row r="2461">
          <cell r="B2461">
            <v>5213747</v>
          </cell>
          <cell r="C2461" t="str">
            <v>MEGGA MANIA SORVETES</v>
          </cell>
          <cell r="D2461" t="str">
            <v>6001</v>
          </cell>
          <cell r="E2461" t="str">
            <v>6028</v>
          </cell>
          <cell r="F2461" t="str">
            <v>C1</v>
          </cell>
          <cell r="G2461" t="str">
            <v>SP</v>
          </cell>
          <cell r="H2461" t="str">
            <v>INGREDIENTS</v>
          </cell>
          <cell r="I2461" t="str">
            <v>INGREDIENTS</v>
          </cell>
          <cell r="J2461" t="str">
            <v>SP ITB FS IKM REPRESENTACOES</v>
          </cell>
          <cell r="K2461" t="str">
            <v>ITAMBÉ</v>
          </cell>
          <cell r="L2461" t="str">
            <v>MAURICIO</v>
          </cell>
          <cell r="M2461" t="str">
            <v>TATIANA NITTA</v>
          </cell>
        </row>
        <row r="2462">
          <cell r="B2462">
            <v>5354394</v>
          </cell>
          <cell r="C2462" t="str">
            <v>POMAR DO NORTE C DE P AL E B LT</v>
          </cell>
          <cell r="D2462" t="str">
            <v>7001</v>
          </cell>
          <cell r="E2462" t="str">
            <v>0749</v>
          </cell>
          <cell r="F2462" t="str">
            <v>C5</v>
          </cell>
          <cell r="G2462" t="str">
            <v>SP</v>
          </cell>
          <cell r="H2462" t="str">
            <v>DISTRIBUIÇÃO</v>
          </cell>
          <cell r="I2462" t="str">
            <v>FOOD SERVICE</v>
          </cell>
          <cell r="J2462" t="str">
            <v>FLAC 2</v>
          </cell>
          <cell r="K2462" t="str">
            <v>LACTALIS</v>
          </cell>
          <cell r="L2462" t="str">
            <v>RODRIGO</v>
          </cell>
          <cell r="M2462" t="str">
            <v>RAQUEL BARBOSA</v>
          </cell>
        </row>
        <row r="2463">
          <cell r="B2463">
            <v>5355547</v>
          </cell>
          <cell r="C2463" t="str">
            <v>GGC ALIMENTOS LTDA</v>
          </cell>
          <cell r="D2463" t="str">
            <v>3001</v>
          </cell>
          <cell r="E2463" t="str">
            <v>0028</v>
          </cell>
          <cell r="F2463" t="str">
            <v>C1</v>
          </cell>
          <cell r="G2463" t="str">
            <v>MG</v>
          </cell>
          <cell r="H2463" t="str">
            <v>INGREDIENTS</v>
          </cell>
          <cell r="I2463" t="str">
            <v>INGREDIENTS</v>
          </cell>
          <cell r="J2463" t="str">
            <v>HENRIQUE FERREIRA</v>
          </cell>
          <cell r="K2463" t="str">
            <v>ITAMBÉ</v>
          </cell>
          <cell r="L2463" t="str">
            <v>MAURICIO</v>
          </cell>
          <cell r="M2463" t="str">
            <v>JOEL</v>
          </cell>
        </row>
        <row r="2464">
          <cell r="B2464">
            <v>5058881</v>
          </cell>
          <cell r="C2464" t="str">
            <v>GR SERVICOS E ALIMENTACAO LTDA</v>
          </cell>
          <cell r="D2464" t="str">
            <v>7001</v>
          </cell>
          <cell r="E2464" t="str">
            <v>0749</v>
          </cell>
          <cell r="F2464" t="str">
            <v>C5</v>
          </cell>
          <cell r="G2464" t="str">
            <v>SP</v>
          </cell>
          <cell r="H2464" t="str">
            <v>QSR</v>
          </cell>
          <cell r="I2464" t="str">
            <v>FOOD SERVICE</v>
          </cell>
          <cell r="J2464" t="str">
            <v>NUTRI</v>
          </cell>
          <cell r="K2464" t="str">
            <v>LACTALIS</v>
          </cell>
          <cell r="L2464" t="str">
            <v>PEDRO</v>
          </cell>
          <cell r="M2464" t="str">
            <v>VAGO QSR</v>
          </cell>
        </row>
        <row r="2465">
          <cell r="B2465">
            <v>5191198</v>
          </cell>
          <cell r="C2465" t="str">
            <v>ACAI NO KILO INDUS E COME DE AL</v>
          </cell>
          <cell r="D2465" t="str">
            <v>6001</v>
          </cell>
          <cell r="E2465" t="str">
            <v>6009</v>
          </cell>
          <cell r="F2465" t="str">
            <v>C1</v>
          </cell>
          <cell r="G2465" t="str">
            <v>BA</v>
          </cell>
          <cell r="H2465" t="str">
            <v>DISTRIBUIÇÃO</v>
          </cell>
          <cell r="I2465" t="str">
            <v>FOOD SERVICE</v>
          </cell>
          <cell r="J2465" t="str">
            <v>CLAUDIO JORGE/LUIZ</v>
          </cell>
          <cell r="K2465" t="str">
            <v>ITAMBÉ</v>
          </cell>
          <cell r="L2465" t="str">
            <v>RODRIGO</v>
          </cell>
          <cell r="M2465" t="str">
            <v>MARIA LOURDES</v>
          </cell>
        </row>
        <row r="2466">
          <cell r="B2466">
            <v>5199893</v>
          </cell>
          <cell r="C2466" t="str">
            <v>JADE COM ATAC DE PROD EM SACHES</v>
          </cell>
          <cell r="D2466" t="str">
            <v>7001</v>
          </cell>
          <cell r="E2466" t="str">
            <v>0756</v>
          </cell>
          <cell r="F2466" t="str">
            <v>C1</v>
          </cell>
          <cell r="G2466" t="str">
            <v>SC</v>
          </cell>
          <cell r="H2466" t="str">
            <v>DISTRIBUIÇÃO</v>
          </cell>
          <cell r="I2466" t="str">
            <v>FOOD SERVICE</v>
          </cell>
          <cell r="J2466" t="str">
            <v>ANGELICA BATISTELA</v>
          </cell>
          <cell r="K2466" t="str">
            <v>LACTALIS</v>
          </cell>
          <cell r="L2466" t="str">
            <v>RODRIGO</v>
          </cell>
          <cell r="M2466" t="str">
            <v>ANGELICA BATISTELA</v>
          </cell>
        </row>
        <row r="2467">
          <cell r="B2467">
            <v>5355693</v>
          </cell>
          <cell r="C2467" t="str">
            <v>MICA CHOCOLATES LTDA</v>
          </cell>
          <cell r="D2467" t="str">
            <v>7001</v>
          </cell>
          <cell r="E2467" t="str">
            <v>0749</v>
          </cell>
          <cell r="F2467" t="str">
            <v>C5</v>
          </cell>
          <cell r="G2467" t="str">
            <v>SP</v>
          </cell>
          <cell r="H2467" t="str">
            <v>DISTRIBUIÇÃO</v>
          </cell>
          <cell r="I2467" t="str">
            <v>FOOD SERVICE</v>
          </cell>
          <cell r="J2467" t="str">
            <v>FLAC 10</v>
          </cell>
          <cell r="K2467" t="str">
            <v>LACTALIS</v>
          </cell>
          <cell r="L2467" t="str">
            <v>RODRIGO</v>
          </cell>
          <cell r="M2467" t="str">
            <v>RAQUEL BARBOSA</v>
          </cell>
        </row>
        <row r="2468">
          <cell r="B2468">
            <v>5262010</v>
          </cell>
          <cell r="C2468" t="str">
            <v>JOSE ROBERTO NESTORIO SORVET BO</v>
          </cell>
          <cell r="D2468" t="str">
            <v>7001</v>
          </cell>
          <cell r="E2468" t="str">
            <v>0749</v>
          </cell>
          <cell r="F2468" t="str">
            <v>C5</v>
          </cell>
          <cell r="G2468" t="str">
            <v>SP</v>
          </cell>
          <cell r="H2468" t="str">
            <v>DISTRIBUIÇÃO</v>
          </cell>
          <cell r="I2468" t="str">
            <v>FOOD SERVICE</v>
          </cell>
          <cell r="J2468" t="str">
            <v>FLAC 3</v>
          </cell>
          <cell r="K2468" t="str">
            <v>LACTALIS</v>
          </cell>
          <cell r="L2468" t="str">
            <v>RODRIGO</v>
          </cell>
          <cell r="M2468" t="str">
            <v>RAQUEL BARBOSA</v>
          </cell>
        </row>
        <row r="2469">
          <cell r="B2469">
            <v>5352468</v>
          </cell>
          <cell r="C2469" t="str">
            <v>GJ FUNCHAL LTDA</v>
          </cell>
          <cell r="D2469" t="str">
            <v>7001</v>
          </cell>
          <cell r="E2469" t="str">
            <v>0749</v>
          </cell>
          <cell r="F2469" t="str">
            <v>C5</v>
          </cell>
          <cell r="G2469" t="str">
            <v>SP</v>
          </cell>
          <cell r="H2469" t="str">
            <v>DISTRIBUIÇÃO</v>
          </cell>
          <cell r="I2469" t="str">
            <v>FOOD SERVICE</v>
          </cell>
          <cell r="J2469" t="str">
            <v>FLAC 5</v>
          </cell>
          <cell r="K2469" t="str">
            <v>LACTALIS</v>
          </cell>
          <cell r="L2469" t="str">
            <v>RODRIGO</v>
          </cell>
          <cell r="M2469" t="str">
            <v>RAQUEL BARBOSA</v>
          </cell>
        </row>
        <row r="2470">
          <cell r="B2470">
            <v>5355103</v>
          </cell>
          <cell r="C2470" t="str">
            <v>ATRIO HOTEIS S A</v>
          </cell>
          <cell r="D2470" t="str">
            <v>7001</v>
          </cell>
          <cell r="E2470" t="str">
            <v>0749</v>
          </cell>
          <cell r="F2470" t="str">
            <v>C5</v>
          </cell>
          <cell r="G2470" t="str">
            <v>SP</v>
          </cell>
          <cell r="H2470" t="str">
            <v>DISTRIBUIÇÃO</v>
          </cell>
          <cell r="I2470" t="str">
            <v>FOOD SERVICE</v>
          </cell>
          <cell r="J2470" t="str">
            <v>FLAC 3</v>
          </cell>
          <cell r="K2470" t="str">
            <v>LACTALIS</v>
          </cell>
          <cell r="L2470" t="str">
            <v>RODRIGO</v>
          </cell>
          <cell r="M2470" t="str">
            <v>RAQUEL BARBOSA</v>
          </cell>
        </row>
        <row r="2471">
          <cell r="B2471">
            <v>5355680</v>
          </cell>
          <cell r="C2471" t="str">
            <v>48284083 WELLINGTON B FARIAS</v>
          </cell>
          <cell r="D2471" t="str">
            <v>7001</v>
          </cell>
          <cell r="E2471" t="str">
            <v>0749</v>
          </cell>
          <cell r="F2471" t="str">
            <v>C5</v>
          </cell>
          <cell r="G2471" t="str">
            <v>SP</v>
          </cell>
          <cell r="H2471" t="str">
            <v>DISTRIBUIÇÃO</v>
          </cell>
          <cell r="I2471" t="str">
            <v>FOOD SERVICE</v>
          </cell>
          <cell r="J2471" t="str">
            <v>FLAC 10</v>
          </cell>
          <cell r="K2471" t="str">
            <v>LACTALIS</v>
          </cell>
          <cell r="L2471" t="str">
            <v>RODRIGO</v>
          </cell>
          <cell r="M2471" t="str">
            <v>RAQUEL BARBOSA</v>
          </cell>
        </row>
        <row r="2472">
          <cell r="B2472">
            <v>5353255</v>
          </cell>
          <cell r="C2472" t="str">
            <v>PAULIMAR INDUSTRIA DISTRIBUIDOR</v>
          </cell>
          <cell r="D2472">
            <v>7001</v>
          </cell>
          <cell r="E2472" t="str">
            <v>0749</v>
          </cell>
          <cell r="F2472" t="str">
            <v>C5</v>
          </cell>
          <cell r="G2472" t="str">
            <v>SP</v>
          </cell>
          <cell r="H2472" t="str">
            <v>DISTRIBUIÇÃO</v>
          </cell>
          <cell r="I2472" t="str">
            <v>FOOD SERVICE</v>
          </cell>
          <cell r="J2472" t="str">
            <v>FLAC 10</v>
          </cell>
          <cell r="K2472" t="str">
            <v>LACTALIS</v>
          </cell>
          <cell r="L2472" t="str">
            <v>RODRIGO</v>
          </cell>
          <cell r="M2472" t="str">
            <v>RAQUEL BARBOSA</v>
          </cell>
        </row>
        <row r="2473">
          <cell r="B2473">
            <v>5352276</v>
          </cell>
          <cell r="C2473" t="str">
            <v>RESTAURANTE TRATTORIA DO PIER L</v>
          </cell>
          <cell r="D2473">
            <v>7001</v>
          </cell>
          <cell r="E2473" t="str">
            <v>0749</v>
          </cell>
          <cell r="F2473" t="str">
            <v>C5</v>
          </cell>
          <cell r="G2473" t="str">
            <v>SP</v>
          </cell>
          <cell r="H2473" t="str">
            <v>DISTRIBUIÇÃO</v>
          </cell>
          <cell r="I2473" t="str">
            <v>FOOD SERVICE</v>
          </cell>
          <cell r="J2473" t="str">
            <v>FLAC 4</v>
          </cell>
          <cell r="K2473" t="str">
            <v>LACTALIS</v>
          </cell>
          <cell r="L2473" t="str">
            <v>RODRIGO</v>
          </cell>
          <cell r="M2473" t="str">
            <v>RAQUEL BARBOSA</v>
          </cell>
        </row>
        <row r="2474">
          <cell r="B2474">
            <v>5036214</v>
          </cell>
          <cell r="C2474" t="str">
            <v>ESPACO CHEF COMERCIO E DIST LTD</v>
          </cell>
          <cell r="D2474" t="str">
            <v>6001</v>
          </cell>
          <cell r="E2474" t="str">
            <v>0127</v>
          </cell>
          <cell r="F2474" t="str">
            <v>C1</v>
          </cell>
          <cell r="G2474" t="str">
            <v>CE</v>
          </cell>
          <cell r="H2474" t="str">
            <v>DISTRIBUIÇÃO</v>
          </cell>
          <cell r="I2474" t="str">
            <v>FOOD SERVICE</v>
          </cell>
          <cell r="J2474" t="str">
            <v>WH FOOD SERVICE CE</v>
          </cell>
          <cell r="K2474" t="str">
            <v>ITAMBÉ</v>
          </cell>
          <cell r="L2474" t="str">
            <v>RODRIGO</v>
          </cell>
          <cell r="M2474" t="str">
            <v>MARIA LOURDES</v>
          </cell>
        </row>
        <row r="2475">
          <cell r="B2475">
            <v>5041698</v>
          </cell>
          <cell r="C2475" t="str">
            <v>REFFEL PRODUTOS ALIMENTICIOS LT</v>
          </cell>
          <cell r="D2475" t="str">
            <v>6001</v>
          </cell>
          <cell r="E2475" t="str">
            <v>0125</v>
          </cell>
          <cell r="F2475" t="str">
            <v>C1</v>
          </cell>
          <cell r="G2475" t="str">
            <v>SP</v>
          </cell>
          <cell r="H2475" t="str">
            <v>INGREDIENTS</v>
          </cell>
          <cell r="I2475" t="str">
            <v>INGREDIENTS</v>
          </cell>
          <cell r="J2475" t="str">
            <v>HENRIQUE FERREIRA</v>
          </cell>
          <cell r="K2475" t="str">
            <v>ITAMBÉ</v>
          </cell>
          <cell r="L2475" t="str">
            <v>MAURICIO</v>
          </cell>
          <cell r="M2475" t="str">
            <v>JOEL</v>
          </cell>
        </row>
        <row r="2476">
          <cell r="B2476">
            <v>5044784</v>
          </cell>
          <cell r="C2476" t="str">
            <v>BOZZETTI COMERCIO DE DOCES LTDA</v>
          </cell>
          <cell r="D2476" t="str">
            <v>6001</v>
          </cell>
          <cell r="E2476" t="str">
            <v>0169</v>
          </cell>
          <cell r="F2476" t="str">
            <v>C1</v>
          </cell>
          <cell r="G2476" t="str">
            <v>ES</v>
          </cell>
          <cell r="H2476" t="str">
            <v>DISTRIBUIÇÃO</v>
          </cell>
          <cell r="I2476" t="str">
            <v>FOOD SERVICE</v>
          </cell>
          <cell r="J2476" t="str">
            <v>MARCELO DUARTE</v>
          </cell>
          <cell r="K2476" t="str">
            <v>ITAMBÉ</v>
          </cell>
          <cell r="L2476" t="str">
            <v>RODRIGO</v>
          </cell>
          <cell r="M2476" t="str">
            <v>JESSICA</v>
          </cell>
        </row>
        <row r="2477">
          <cell r="B2477">
            <v>5073333</v>
          </cell>
          <cell r="C2477" t="str">
            <v>TUFFUS</v>
          </cell>
          <cell r="D2477" t="str">
            <v>6001</v>
          </cell>
          <cell r="E2477" t="str">
            <v>0127</v>
          </cell>
          <cell r="F2477" t="str">
            <v>C1</v>
          </cell>
          <cell r="G2477" t="str">
            <v>BA</v>
          </cell>
          <cell r="H2477" t="str">
            <v>DISTRIBUIÇÃO</v>
          </cell>
          <cell r="I2477" t="str">
            <v>FOOD SERVICE</v>
          </cell>
          <cell r="J2477" t="str">
            <v>CLAUDIO JORGE/LUIZ</v>
          </cell>
          <cell r="K2477" t="str">
            <v>ITAMBÉ</v>
          </cell>
          <cell r="L2477" t="str">
            <v>RODRIGO</v>
          </cell>
          <cell r="M2477" t="str">
            <v>MARIA LOURDES</v>
          </cell>
        </row>
        <row r="2478">
          <cell r="B2478">
            <v>5161553</v>
          </cell>
          <cell r="C2478" t="str">
            <v>SAPORE SA</v>
          </cell>
          <cell r="D2478" t="str">
            <v>3001</v>
          </cell>
          <cell r="E2478" t="str">
            <v>0126</v>
          </cell>
          <cell r="F2478" t="str">
            <v>C1</v>
          </cell>
          <cell r="G2478" t="str">
            <v>PR</v>
          </cell>
          <cell r="H2478" t="str">
            <v>QSR</v>
          </cell>
          <cell r="I2478" t="str">
            <v>FOOD SERVICE</v>
          </cell>
          <cell r="J2478" t="str">
            <v>NUTRI</v>
          </cell>
          <cell r="K2478" t="str">
            <v>ITAMBÉ</v>
          </cell>
          <cell r="L2478" t="str">
            <v>PEDRO</v>
          </cell>
          <cell r="M2478" t="str">
            <v>VAGO QSR</v>
          </cell>
        </row>
        <row r="2479">
          <cell r="B2479">
            <v>5168151</v>
          </cell>
          <cell r="C2479" t="str">
            <v>I S M GOMES DE MATTOS LTDA</v>
          </cell>
          <cell r="D2479" t="str">
            <v>6001</v>
          </cell>
          <cell r="E2479" t="str">
            <v>0127</v>
          </cell>
          <cell r="F2479" t="str">
            <v>C1</v>
          </cell>
          <cell r="G2479" t="str">
            <v>CE</v>
          </cell>
          <cell r="H2479" t="str">
            <v>DISTRIBUIÇÃO</v>
          </cell>
          <cell r="I2479" t="str">
            <v>FOOD SERVICE</v>
          </cell>
          <cell r="J2479" t="str">
            <v>WH FOOD SERVICE CE</v>
          </cell>
          <cell r="K2479" t="str">
            <v>ITAMBÉ</v>
          </cell>
          <cell r="L2479" t="str">
            <v>RODRIGO</v>
          </cell>
          <cell r="M2479" t="str">
            <v>MARIA LOURDES</v>
          </cell>
        </row>
        <row r="2480">
          <cell r="B2480">
            <v>5168941</v>
          </cell>
          <cell r="C2480" t="str">
            <v>GANACHE DOCERIA LTDA</v>
          </cell>
          <cell r="D2480" t="str">
            <v>6001</v>
          </cell>
          <cell r="E2480" t="str">
            <v>0127</v>
          </cell>
          <cell r="F2480" t="str">
            <v>C1</v>
          </cell>
          <cell r="G2480" t="str">
            <v>BA</v>
          </cell>
          <cell r="H2480" t="str">
            <v>DISTRIBUIÇÃO</v>
          </cell>
          <cell r="I2480" t="str">
            <v>FOOD SERVICE</v>
          </cell>
          <cell r="J2480" t="str">
            <v>CLAUDIO JORGE/LUIZ</v>
          </cell>
          <cell r="K2480" t="str">
            <v>ITAMBÉ</v>
          </cell>
          <cell r="L2480" t="str">
            <v>RODRIGO</v>
          </cell>
          <cell r="M2480" t="str">
            <v>MARIA LOURDES</v>
          </cell>
        </row>
        <row r="2481">
          <cell r="B2481">
            <v>5189644</v>
          </cell>
          <cell r="C2481" t="str">
            <v>BOCAO COMERCIO DE DOCES LTDA</v>
          </cell>
          <cell r="D2481" t="str">
            <v>6001</v>
          </cell>
          <cell r="E2481" t="str">
            <v>0125</v>
          </cell>
          <cell r="F2481" t="str">
            <v>C1</v>
          </cell>
          <cell r="G2481" t="str">
            <v>SP</v>
          </cell>
          <cell r="H2481" t="str">
            <v>DISTRIBUIÇÃO</v>
          </cell>
          <cell r="I2481" t="str">
            <v>FOOD SERVICE</v>
          </cell>
          <cell r="J2481" t="str">
            <v>SP ITB FS FLAC REP.E COMERCIO</v>
          </cell>
          <cell r="K2481" t="str">
            <v>ITAMBÉ</v>
          </cell>
          <cell r="L2481" t="str">
            <v>RODRIGO</v>
          </cell>
          <cell r="M2481" t="str">
            <v>RAQUEL BARBOSA</v>
          </cell>
        </row>
        <row r="2482">
          <cell r="B2482">
            <v>5191198</v>
          </cell>
          <cell r="C2482" t="str">
            <v>ACAI NO KILO INDUS E COME DE AL</v>
          </cell>
          <cell r="D2482" t="str">
            <v>6001</v>
          </cell>
          <cell r="E2482" t="str">
            <v>0127</v>
          </cell>
          <cell r="F2482" t="str">
            <v>C1</v>
          </cell>
          <cell r="G2482" t="str">
            <v>BA</v>
          </cell>
          <cell r="H2482" t="str">
            <v>DISTRIBUIÇÃO</v>
          </cell>
          <cell r="I2482" t="str">
            <v>FOOD SERVICE</v>
          </cell>
          <cell r="J2482" t="str">
            <v>CLAUDIO JORGE/LUIZ</v>
          </cell>
          <cell r="K2482" t="str">
            <v>ITAMBÉ</v>
          </cell>
          <cell r="L2482" t="str">
            <v>RODRIGO</v>
          </cell>
          <cell r="M2482" t="str">
            <v>MARIA LOURDES</v>
          </cell>
        </row>
        <row r="2483">
          <cell r="B2483">
            <v>5199005</v>
          </cell>
          <cell r="C2483" t="str">
            <v>IMAC INDUSTRIA DE MASSAS CONGEL</v>
          </cell>
          <cell r="D2483" t="str">
            <v>6001</v>
          </cell>
          <cell r="E2483" t="str">
            <v>0127</v>
          </cell>
          <cell r="F2483" t="str">
            <v>C1</v>
          </cell>
          <cell r="G2483" t="str">
            <v>CE</v>
          </cell>
          <cell r="H2483" t="str">
            <v>DISTRIBUIÇÃO</v>
          </cell>
          <cell r="I2483" t="str">
            <v>FOOD SERVICE</v>
          </cell>
          <cell r="J2483" t="str">
            <v>WH FOOD SERVICE CE</v>
          </cell>
          <cell r="K2483" t="str">
            <v>ITAMBÉ</v>
          </cell>
          <cell r="L2483" t="str">
            <v>RODRIGO</v>
          </cell>
          <cell r="M2483" t="str">
            <v>MARIA LOURDES</v>
          </cell>
        </row>
        <row r="2484">
          <cell r="B2484">
            <v>5204939</v>
          </cell>
          <cell r="C2484" t="str">
            <v>UNICA COMERCIO E DISTRIBUICAO L</v>
          </cell>
          <cell r="D2484" t="str">
            <v>6001</v>
          </cell>
          <cell r="E2484" t="str">
            <v>0125</v>
          </cell>
          <cell r="F2484" t="str">
            <v>C1</v>
          </cell>
          <cell r="G2484" t="str">
            <v>SP</v>
          </cell>
          <cell r="H2484" t="str">
            <v>QSR</v>
          </cell>
          <cell r="I2484" t="str">
            <v>FOOD SERVICE</v>
          </cell>
          <cell r="J2484" t="str">
            <v>VAGO QSR</v>
          </cell>
          <cell r="K2484" t="str">
            <v>ITAMBÉ</v>
          </cell>
          <cell r="L2484" t="str">
            <v>PEDRO</v>
          </cell>
          <cell r="M2484" t="str">
            <v>VAGO QSR</v>
          </cell>
        </row>
        <row r="2485">
          <cell r="B2485">
            <v>5216898</v>
          </cell>
          <cell r="C2485" t="str">
            <v>CASA DAS EMBALAGENS E DOCES</v>
          </cell>
          <cell r="D2485" t="str">
            <v>6001</v>
          </cell>
          <cell r="E2485" t="str">
            <v>0169</v>
          </cell>
          <cell r="F2485" t="str">
            <v>C1</v>
          </cell>
          <cell r="G2485" t="str">
            <v>ES</v>
          </cell>
          <cell r="H2485" t="str">
            <v>DISTRIBUIÇÃO</v>
          </cell>
          <cell r="I2485" t="str">
            <v>FOOD SERVICE</v>
          </cell>
          <cell r="J2485" t="str">
            <v>MARCELO DUARTE</v>
          </cell>
          <cell r="K2485" t="str">
            <v>ITAMBÉ</v>
          </cell>
          <cell r="L2485" t="str">
            <v>RODRIGO</v>
          </cell>
          <cell r="M2485" t="str">
            <v>JESSICA</v>
          </cell>
        </row>
        <row r="2486">
          <cell r="B2486">
            <v>5218945</v>
          </cell>
          <cell r="C2486" t="str">
            <v>MAIS LEVE C DE ALIMENTOS SAUDAV</v>
          </cell>
          <cell r="D2486" t="str">
            <v>6001</v>
          </cell>
          <cell r="E2486" t="str">
            <v>0127</v>
          </cell>
          <cell r="F2486" t="str">
            <v>C1</v>
          </cell>
          <cell r="G2486" t="str">
            <v>BA</v>
          </cell>
          <cell r="H2486" t="str">
            <v>DISTRIBUIÇÃO</v>
          </cell>
          <cell r="I2486" t="str">
            <v>FOOD SERVICE</v>
          </cell>
          <cell r="J2486" t="str">
            <v>CLAUDIO JORGE/LUIZ</v>
          </cell>
          <cell r="K2486" t="str">
            <v>ITAMBÉ</v>
          </cell>
          <cell r="L2486" t="str">
            <v>RODRIGO</v>
          </cell>
          <cell r="M2486" t="str">
            <v>MARIA LOURDES</v>
          </cell>
        </row>
        <row r="2487">
          <cell r="B2487">
            <v>5219588</v>
          </cell>
          <cell r="C2487" t="str">
            <v>DOCE GELATO COM E DIST DE ALIM</v>
          </cell>
          <cell r="D2487" t="str">
            <v>6001</v>
          </cell>
          <cell r="E2487" t="str">
            <v>0127</v>
          </cell>
          <cell r="F2487" t="str">
            <v>C1</v>
          </cell>
          <cell r="G2487" t="str">
            <v>BA</v>
          </cell>
          <cell r="H2487" t="str">
            <v>DISTRIBUIÇÃO</v>
          </cell>
          <cell r="I2487" t="str">
            <v>FOOD SERVICE</v>
          </cell>
          <cell r="J2487" t="str">
            <v>CLAUDIO JORGE/LUIZ</v>
          </cell>
          <cell r="K2487" t="str">
            <v>ITAMBÉ</v>
          </cell>
          <cell r="L2487" t="str">
            <v>RODRIGO</v>
          </cell>
          <cell r="M2487" t="str">
            <v>MARIA LOURDES</v>
          </cell>
        </row>
        <row r="2488">
          <cell r="B2488">
            <v>5230508</v>
          </cell>
          <cell r="C2488" t="str">
            <v>THIAGO MAGNO SILVERIO DA FONSEC</v>
          </cell>
          <cell r="D2488" t="str">
            <v>6001</v>
          </cell>
          <cell r="E2488" t="str">
            <v>0127</v>
          </cell>
          <cell r="F2488" t="str">
            <v>C1</v>
          </cell>
          <cell r="G2488" t="str">
            <v>CE</v>
          </cell>
          <cell r="H2488" t="str">
            <v>DISTRIBUIÇÃO</v>
          </cell>
          <cell r="I2488" t="str">
            <v>FOOD SERVICE</v>
          </cell>
          <cell r="J2488" t="str">
            <v>WH FOOD SERVICE CE</v>
          </cell>
          <cell r="K2488" t="str">
            <v>ITAMBÉ</v>
          </cell>
          <cell r="L2488" t="str">
            <v>RODRIGO</v>
          </cell>
          <cell r="M2488" t="str">
            <v>MARIA LOURDES</v>
          </cell>
        </row>
        <row r="2489">
          <cell r="B2489">
            <v>5316368</v>
          </cell>
          <cell r="C2489" t="str">
            <v>BANOFFERIA SALVADOR LTDA</v>
          </cell>
          <cell r="D2489" t="str">
            <v>6001</v>
          </cell>
          <cell r="E2489" t="str">
            <v>0127</v>
          </cell>
          <cell r="F2489" t="str">
            <v>C1</v>
          </cell>
          <cell r="G2489" t="str">
            <v>BA</v>
          </cell>
          <cell r="H2489" t="str">
            <v>DISTRIBUIÇÃO</v>
          </cell>
          <cell r="I2489" t="str">
            <v>FOOD SERVICE</v>
          </cell>
          <cell r="J2489" t="str">
            <v>CLAUDIO JORGE/LUIZ</v>
          </cell>
          <cell r="K2489" t="str">
            <v>ITAMBÉ</v>
          </cell>
          <cell r="L2489" t="str">
            <v>RODRIGO</v>
          </cell>
          <cell r="M2489" t="str">
            <v>MARIA LOURDES</v>
          </cell>
        </row>
        <row r="2490">
          <cell r="B2490">
            <v>5321120</v>
          </cell>
          <cell r="C2490" t="str">
            <v>CHALANA SORVETES LTDA ME</v>
          </cell>
          <cell r="D2490" t="str">
            <v>6001</v>
          </cell>
          <cell r="E2490" t="str">
            <v>0028</v>
          </cell>
          <cell r="F2490" t="str">
            <v>C1</v>
          </cell>
          <cell r="G2490" t="str">
            <v>MS</v>
          </cell>
          <cell r="H2490" t="str">
            <v>INGREDIENTS</v>
          </cell>
          <cell r="I2490" t="str">
            <v>INGREDIENTS</v>
          </cell>
          <cell r="J2490" t="str">
            <v>DUAS RODAS</v>
          </cell>
          <cell r="K2490" t="str">
            <v>ITAMBÉ</v>
          </cell>
          <cell r="L2490" t="str">
            <v>MAURICIO</v>
          </cell>
          <cell r="M2490" t="str">
            <v>MARCELO</v>
          </cell>
        </row>
        <row r="2491">
          <cell r="B2491">
            <v>5332247</v>
          </cell>
          <cell r="C2491" t="str">
            <v>AMIV COMERCIO DE PRODUTOS</v>
          </cell>
          <cell r="D2491" t="str">
            <v>6001</v>
          </cell>
          <cell r="E2491" t="str">
            <v>0127</v>
          </cell>
          <cell r="F2491" t="str">
            <v>C1</v>
          </cell>
          <cell r="G2491" t="str">
            <v>CE</v>
          </cell>
          <cell r="H2491" t="str">
            <v>DISTRIBUIÇÃO</v>
          </cell>
          <cell r="I2491" t="str">
            <v>FOOD SERVICE</v>
          </cell>
          <cell r="J2491" t="str">
            <v>WH FOOD SERVICE CE</v>
          </cell>
          <cell r="K2491" t="str">
            <v>ITAMBÉ</v>
          </cell>
          <cell r="L2491" t="str">
            <v>RODRIGO</v>
          </cell>
          <cell r="M2491" t="str">
            <v>MARIA LOURDES</v>
          </cell>
        </row>
        <row r="2492">
          <cell r="B2492">
            <v>5342745</v>
          </cell>
          <cell r="C2492" t="str">
            <v>INICIAL COM E DISTRIB DE ALIM L</v>
          </cell>
          <cell r="D2492" t="str">
            <v>6001</v>
          </cell>
          <cell r="E2492" t="str">
            <v>0028</v>
          </cell>
          <cell r="F2492" t="str">
            <v>C1</v>
          </cell>
          <cell r="G2492" t="str">
            <v>MS</v>
          </cell>
          <cell r="H2492" t="str">
            <v>INGREDIENTS</v>
          </cell>
          <cell r="I2492" t="str">
            <v>INGREDIENTS</v>
          </cell>
          <cell r="J2492" t="str">
            <v>DUAS RODAS</v>
          </cell>
          <cell r="K2492" t="str">
            <v>ITAMBÉ</v>
          </cell>
          <cell r="L2492" t="str">
            <v>MAURICIO</v>
          </cell>
          <cell r="M2492" t="str">
            <v>MARCELO</v>
          </cell>
        </row>
        <row r="2493">
          <cell r="B2493">
            <v>5355742</v>
          </cell>
          <cell r="C2493" t="str">
            <v>ARAUJO HECKERT EMBALAGENS LTDA</v>
          </cell>
          <cell r="D2493" t="str">
            <v>3001</v>
          </cell>
          <cell r="E2493" t="str">
            <v>0028</v>
          </cell>
          <cell r="F2493" t="str">
            <v>C1</v>
          </cell>
          <cell r="G2493" t="str">
            <v>MG</v>
          </cell>
          <cell r="H2493" t="str">
            <v>INGREDIENTS</v>
          </cell>
          <cell r="I2493" t="str">
            <v>INGREDIENTS</v>
          </cell>
          <cell r="J2493" t="str">
            <v>MG ITB FS GRAFNÇA REPRES</v>
          </cell>
          <cell r="K2493" t="str">
            <v>ITAMBÉ</v>
          </cell>
          <cell r="L2493" t="str">
            <v>MAURICIO</v>
          </cell>
          <cell r="M2493" t="str">
            <v>TATIANA NITTA</v>
          </cell>
        </row>
        <row r="2494">
          <cell r="B2494">
            <v>5355774</v>
          </cell>
          <cell r="C2494" t="str">
            <v>M ISHIKAVA LTDA</v>
          </cell>
          <cell r="D2494" t="str">
            <v>7001</v>
          </cell>
          <cell r="E2494" t="str">
            <v>0749</v>
          </cell>
          <cell r="F2494" t="str">
            <v>C5</v>
          </cell>
          <cell r="G2494" t="str">
            <v>SP</v>
          </cell>
          <cell r="H2494" t="str">
            <v>DISTRIBUIÇÃO</v>
          </cell>
          <cell r="I2494" t="str">
            <v>FOOD SERVICE</v>
          </cell>
          <cell r="J2494" t="str">
            <v>FLAC 2</v>
          </cell>
          <cell r="K2494" t="str">
            <v>LACTALIS</v>
          </cell>
          <cell r="L2494" t="str">
            <v>RODRIGO</v>
          </cell>
          <cell r="M2494" t="str">
            <v>RAQUEL BARBOSA</v>
          </cell>
        </row>
        <row r="2495">
          <cell r="B2495">
            <v>5021079</v>
          </cell>
          <cell r="C2495" t="str">
            <v>MARIANGELA BUFFET LTDA</v>
          </cell>
          <cell r="D2495" t="str">
            <v>3001</v>
          </cell>
          <cell r="E2495" t="str">
            <v>0122</v>
          </cell>
          <cell r="F2495" t="str">
            <v>C1</v>
          </cell>
          <cell r="G2495" t="str">
            <v>MG</v>
          </cell>
          <cell r="H2495" t="str">
            <v>QSR</v>
          </cell>
          <cell r="I2495" t="str">
            <v>FOOD SERVICE</v>
          </cell>
          <cell r="J2495" t="str">
            <v>NUTRI</v>
          </cell>
          <cell r="K2495" t="str">
            <v>ITAMBÉ</v>
          </cell>
          <cell r="L2495" t="str">
            <v>PEDRO</v>
          </cell>
          <cell r="M2495" t="str">
            <v>VAGO QSR</v>
          </cell>
        </row>
        <row r="2496">
          <cell r="B2496">
            <v>5212172</v>
          </cell>
          <cell r="C2496" t="str">
            <v>TANGARA IMPORTADORA E EXPORTADO</v>
          </cell>
          <cell r="D2496" t="str">
            <v>4001</v>
          </cell>
          <cell r="E2496" t="str">
            <v>0437</v>
          </cell>
          <cell r="F2496" t="str">
            <v>C1</v>
          </cell>
          <cell r="G2496" t="str">
            <v>MG</v>
          </cell>
          <cell r="H2496" t="str">
            <v>INGREDIENTS</v>
          </cell>
          <cell r="I2496" t="str">
            <v>INGREDIENTS</v>
          </cell>
          <cell r="J2496" t="str">
            <v>MARCELO RODRIGUES</v>
          </cell>
          <cell r="K2496" t="str">
            <v>LACTALIS</v>
          </cell>
          <cell r="L2496" t="str">
            <v>MAURICIO</v>
          </cell>
          <cell r="M2496" t="str">
            <v>MARCELO</v>
          </cell>
        </row>
        <row r="2497">
          <cell r="B2497">
            <v>5355260</v>
          </cell>
          <cell r="C2497" t="str">
            <v>KAREN DOS SANTOS SILVA 45883036</v>
          </cell>
          <cell r="D2497" t="str">
            <v>7001</v>
          </cell>
          <cell r="E2497" t="str">
            <v>0749</v>
          </cell>
          <cell r="F2497" t="str">
            <v>C5</v>
          </cell>
          <cell r="G2497" t="str">
            <v>SP</v>
          </cell>
          <cell r="H2497" t="str">
            <v>DISTRIBUIÇÃO</v>
          </cell>
          <cell r="I2497" t="str">
            <v>FOOD SERVICE</v>
          </cell>
          <cell r="J2497" t="str">
            <v>FLAC 6</v>
          </cell>
          <cell r="K2497" t="str">
            <v>LACTALIS</v>
          </cell>
          <cell r="L2497" t="str">
            <v>RODRIGO</v>
          </cell>
          <cell r="M2497" t="str">
            <v>RAQUEL BARBOSA</v>
          </cell>
        </row>
        <row r="2498">
          <cell r="B2498">
            <v>5075754</v>
          </cell>
          <cell r="C2498" t="str">
            <v>OMEGA DISTR DE PROD ALIM LTDA</v>
          </cell>
          <cell r="D2498" t="str">
            <v>6001</v>
          </cell>
          <cell r="E2498" t="str">
            <v>6127</v>
          </cell>
          <cell r="F2498" t="str">
            <v>C1</v>
          </cell>
          <cell r="G2498" t="str">
            <v>CE</v>
          </cell>
          <cell r="H2498" t="str">
            <v>DISTRIBUIÇÃO</v>
          </cell>
          <cell r="I2498" t="str">
            <v>FOOD SERVICE</v>
          </cell>
          <cell r="J2498" t="str">
            <v>WH FOOD SERVICE CE</v>
          </cell>
          <cell r="K2498" t="str">
            <v>ITAMBÉ</v>
          </cell>
          <cell r="L2498" t="str">
            <v>RODRIGO</v>
          </cell>
          <cell r="M2498" t="str">
            <v>MARIA LOURDES</v>
          </cell>
        </row>
        <row r="2499">
          <cell r="B2499">
            <v>5218199</v>
          </cell>
          <cell r="C2499" t="str">
            <v>CANTINHO GOURMET FAB DE ALIM CO</v>
          </cell>
          <cell r="D2499" t="str">
            <v>6001</v>
          </cell>
          <cell r="E2499" t="str">
            <v>6127</v>
          </cell>
          <cell r="F2499" t="str">
            <v>C1</v>
          </cell>
          <cell r="G2499" t="str">
            <v>BA</v>
          </cell>
          <cell r="H2499" t="str">
            <v>DISTRIBUIÇÃO</v>
          </cell>
          <cell r="I2499" t="str">
            <v>FOOD SERVICE</v>
          </cell>
          <cell r="J2499" t="str">
            <v>CLAUDIO JORGE/LUIZ</v>
          </cell>
          <cell r="K2499" t="str">
            <v>ITAMBÉ</v>
          </cell>
          <cell r="L2499" t="str">
            <v>RODRIGO</v>
          </cell>
          <cell r="M2499" t="str">
            <v>MARIA LOURDES</v>
          </cell>
        </row>
        <row r="2500">
          <cell r="B2500">
            <v>5260901</v>
          </cell>
          <cell r="C2500" t="str">
            <v>NUTRI ALIMENTOS COMERCIO LTDA</v>
          </cell>
          <cell r="D2500" t="str">
            <v>7001</v>
          </cell>
          <cell r="E2500" t="str">
            <v>0749</v>
          </cell>
          <cell r="F2500" t="str">
            <v>C5</v>
          </cell>
          <cell r="G2500" t="str">
            <v>SP</v>
          </cell>
          <cell r="H2500" t="str">
            <v>QSR</v>
          </cell>
          <cell r="I2500" t="str">
            <v>FOOD SERVICE</v>
          </cell>
          <cell r="J2500" t="str">
            <v>NUTRI</v>
          </cell>
          <cell r="K2500" t="str">
            <v>LACTALIS</v>
          </cell>
          <cell r="L2500" t="str">
            <v>PEDRO</v>
          </cell>
          <cell r="M2500" t="str">
            <v>VAGO QSR</v>
          </cell>
        </row>
        <row r="2501">
          <cell r="B2501">
            <v>5331461</v>
          </cell>
          <cell r="C2501" t="str">
            <v>TANGARA IMPORTADORA E EXPORTADO</v>
          </cell>
          <cell r="D2501" t="str">
            <v>4001</v>
          </cell>
          <cell r="E2501" t="str">
            <v>0455</v>
          </cell>
          <cell r="F2501" t="str">
            <v>C1</v>
          </cell>
          <cell r="G2501" t="str">
            <v>RS</v>
          </cell>
          <cell r="H2501" t="str">
            <v>INGREDIENTS</v>
          </cell>
          <cell r="I2501" t="str">
            <v>INGREDIENTS</v>
          </cell>
          <cell r="J2501" t="str">
            <v>MARCELO RODRIGUES</v>
          </cell>
          <cell r="K2501" t="str">
            <v>LACTALIS</v>
          </cell>
          <cell r="L2501" t="str">
            <v>MAURICIO</v>
          </cell>
          <cell r="M2501" t="str">
            <v>MARCELO</v>
          </cell>
        </row>
        <row r="2502">
          <cell r="B2502">
            <v>5354201</v>
          </cell>
          <cell r="C2502" t="str">
            <v>INTL LABORATORIOS NUTRACEUT LTD</v>
          </cell>
          <cell r="D2502" t="str">
            <v>4001</v>
          </cell>
          <cell r="E2502" t="str">
            <v>0437</v>
          </cell>
          <cell r="F2502" t="str">
            <v>C1</v>
          </cell>
          <cell r="G2502" t="str">
            <v>ES</v>
          </cell>
          <cell r="H2502" t="str">
            <v>INGREDIENTS</v>
          </cell>
          <cell r="I2502" t="str">
            <v>INGREDIENTS</v>
          </cell>
          <cell r="J2502" t="str">
            <v>JOEL ELEOTÉRIO</v>
          </cell>
          <cell r="K2502" t="str">
            <v>LACTALIS</v>
          </cell>
          <cell r="L2502" t="str">
            <v>MAURICIO</v>
          </cell>
          <cell r="M2502" t="str">
            <v>JOEL</v>
          </cell>
        </row>
        <row r="2503">
          <cell r="B2503">
            <v>5355951</v>
          </cell>
          <cell r="C2503" t="str">
            <v>SORVETES OLIVEIRA LTDA</v>
          </cell>
          <cell r="D2503" t="str">
            <v>6001</v>
          </cell>
          <cell r="E2503" t="str">
            <v>6028</v>
          </cell>
          <cell r="F2503" t="str">
            <v>C1</v>
          </cell>
          <cell r="G2503" t="str">
            <v>SP</v>
          </cell>
          <cell r="H2503" t="str">
            <v>INGREDIENTS</v>
          </cell>
          <cell r="I2503" t="str">
            <v>INGREDIENTS</v>
          </cell>
          <cell r="J2503" t="str">
            <v>SP ITB FS IKM REPRESENTACOES</v>
          </cell>
          <cell r="K2503" t="str">
            <v>ITAMBÉ</v>
          </cell>
          <cell r="L2503" t="str">
            <v>MAURICIO</v>
          </cell>
          <cell r="M2503" t="str">
            <v>TATIANA NITTA</v>
          </cell>
        </row>
        <row r="2504">
          <cell r="B2504">
            <v>5229831</v>
          </cell>
          <cell r="C2504" t="str">
            <v>BRIGADEIRO INDUSTRIA E COMERCIO</v>
          </cell>
          <cell r="D2504" t="str">
            <v>6001</v>
          </cell>
          <cell r="E2504" t="str">
            <v>6028</v>
          </cell>
          <cell r="F2504" t="str">
            <v>C1</v>
          </cell>
          <cell r="G2504" t="str">
            <v>RJ</v>
          </cell>
          <cell r="H2504" t="str">
            <v>INGREDIENTS</v>
          </cell>
          <cell r="I2504" t="str">
            <v>INGREDIENTS</v>
          </cell>
          <cell r="J2504" t="str">
            <v>TATIANA NITTA</v>
          </cell>
          <cell r="K2504" t="str">
            <v>ITAMBÉ</v>
          </cell>
          <cell r="L2504" t="str">
            <v>MAURICIO</v>
          </cell>
          <cell r="M2504" t="str">
            <v>TATIANA NITTA</v>
          </cell>
        </row>
        <row r="2505">
          <cell r="B2505">
            <v>5270630</v>
          </cell>
          <cell r="C2505" t="str">
            <v>EL CAMINO FOODS SA</v>
          </cell>
          <cell r="D2505" t="str">
            <v>6001</v>
          </cell>
          <cell r="E2505" t="str">
            <v>6125</v>
          </cell>
          <cell r="F2505" t="str">
            <v>C1</v>
          </cell>
          <cell r="G2505" t="str">
            <v>SP</v>
          </cell>
          <cell r="H2505" t="str">
            <v>QSR</v>
          </cell>
          <cell r="I2505" t="str">
            <v>FOOD SERVICE</v>
          </cell>
          <cell r="J2505" t="str">
            <v>ANA MENIQUETE</v>
          </cell>
          <cell r="K2505" t="str">
            <v>ITAMBÉ</v>
          </cell>
          <cell r="L2505" t="str">
            <v>PEDRO</v>
          </cell>
          <cell r="M2505" t="str">
            <v>ANA MENIQUETE</v>
          </cell>
        </row>
        <row r="2506">
          <cell r="B2506">
            <v>5354378</v>
          </cell>
          <cell r="C2506" t="str">
            <v>BERTONI DOCES LTDA</v>
          </cell>
          <cell r="D2506" t="str">
            <v>3001</v>
          </cell>
          <cell r="E2506" t="str">
            <v>0126</v>
          </cell>
          <cell r="F2506" t="str">
            <v>C1</v>
          </cell>
          <cell r="G2506" t="str">
            <v>PR</v>
          </cell>
          <cell r="H2506" t="str">
            <v>QSR</v>
          </cell>
          <cell r="I2506" t="str">
            <v>FOOD SERVICE</v>
          </cell>
          <cell r="J2506" t="str">
            <v>VAGO QSR</v>
          </cell>
          <cell r="K2506" t="str">
            <v>ITAMBÉ</v>
          </cell>
          <cell r="L2506" t="str">
            <v>PEDRO</v>
          </cell>
          <cell r="M2506" t="str">
            <v>VAGO QSR</v>
          </cell>
        </row>
        <row r="2507">
          <cell r="B2507">
            <v>5355771</v>
          </cell>
          <cell r="C2507" t="str">
            <v>VITAMINA D LANCHONETE LTDA</v>
          </cell>
          <cell r="D2507" t="str">
            <v>7001</v>
          </cell>
          <cell r="E2507" t="str">
            <v>0749</v>
          </cell>
          <cell r="F2507" t="str">
            <v>C5</v>
          </cell>
          <cell r="G2507" t="str">
            <v>SP</v>
          </cell>
          <cell r="H2507" t="str">
            <v>DISTRIBUIÇÃO</v>
          </cell>
          <cell r="I2507" t="str">
            <v>FOOD SERVICE</v>
          </cell>
          <cell r="J2507" t="str">
            <v>FLAC 5</v>
          </cell>
          <cell r="K2507" t="str">
            <v>LACTALIS</v>
          </cell>
          <cell r="L2507" t="str">
            <v>RODRIGO</v>
          </cell>
          <cell r="M2507" t="str">
            <v>RAQUEL BARBOSA</v>
          </cell>
        </row>
        <row r="2508">
          <cell r="B2508">
            <v>5063519</v>
          </cell>
          <cell r="C2508" t="str">
            <v>SAPORE SA</v>
          </cell>
          <cell r="D2508">
            <v>6001</v>
          </cell>
          <cell r="E2508" t="str">
            <v>0028</v>
          </cell>
          <cell r="F2508" t="str">
            <v>C1</v>
          </cell>
          <cell r="G2508" t="str">
            <v>SP</v>
          </cell>
          <cell r="H2508" t="str">
            <v>QSR</v>
          </cell>
          <cell r="I2508" t="str">
            <v>FOOD SERVICE</v>
          </cell>
          <cell r="J2508" t="str">
            <v>NUTRI</v>
          </cell>
          <cell r="K2508" t="str">
            <v>ITAMBÉ</v>
          </cell>
          <cell r="L2508" t="str">
            <v>PEDRO</v>
          </cell>
          <cell r="M2508" t="str">
            <v>VAGO QSR</v>
          </cell>
        </row>
        <row r="2509">
          <cell r="B2509">
            <v>5063519</v>
          </cell>
          <cell r="C2509" t="str">
            <v>SAPORE SA</v>
          </cell>
          <cell r="D2509" t="str">
            <v>3001</v>
          </cell>
          <cell r="E2509" t="str">
            <v>0028</v>
          </cell>
          <cell r="F2509" t="str">
            <v>C1</v>
          </cell>
          <cell r="G2509" t="str">
            <v>SP</v>
          </cell>
          <cell r="H2509" t="str">
            <v>QSR</v>
          </cell>
          <cell r="I2509" t="str">
            <v>FOOD SERVICE</v>
          </cell>
          <cell r="J2509" t="str">
            <v>NUTRI</v>
          </cell>
          <cell r="K2509" t="str">
            <v>ITAMBÉ</v>
          </cell>
          <cell r="L2509" t="str">
            <v>PEDRO</v>
          </cell>
          <cell r="M2509" t="str">
            <v>VAGO QSR</v>
          </cell>
        </row>
        <row r="2510">
          <cell r="B2510">
            <v>5340484</v>
          </cell>
          <cell r="C2510" t="str">
            <v>COLUMBIA RESTAURANTES LTDA</v>
          </cell>
          <cell r="D2510" t="str">
            <v>7001</v>
          </cell>
          <cell r="E2510" t="str">
            <v>0749</v>
          </cell>
          <cell r="F2510" t="str">
            <v>C5</v>
          </cell>
          <cell r="G2510" t="str">
            <v>SP</v>
          </cell>
          <cell r="H2510" t="str">
            <v>DISTRIBUIÇÃO</v>
          </cell>
          <cell r="I2510" t="str">
            <v>FOOD SERVICE</v>
          </cell>
          <cell r="J2510" t="str">
            <v>FLAC 5</v>
          </cell>
          <cell r="K2510" t="str">
            <v>LACTALIS</v>
          </cell>
          <cell r="L2510" t="str">
            <v>RODRIGO</v>
          </cell>
          <cell r="M2510" t="str">
            <v>RAQUEL BARBOSA</v>
          </cell>
        </row>
        <row r="2511">
          <cell r="B2511">
            <v>5221359</v>
          </cell>
          <cell r="C2511" t="str">
            <v>FABRICACAO DE PRODUTOS DE PADAR</v>
          </cell>
          <cell r="D2511" t="str">
            <v>6001</v>
          </cell>
          <cell r="E2511" t="str">
            <v>6127</v>
          </cell>
          <cell r="F2511" t="str">
            <v>C1</v>
          </cell>
          <cell r="G2511" t="str">
            <v>BA</v>
          </cell>
          <cell r="H2511" t="str">
            <v>DISTRIBUIÇÃO</v>
          </cell>
          <cell r="I2511" t="str">
            <v>FOOD SERVICE</v>
          </cell>
          <cell r="J2511" t="str">
            <v>CLAUDIO JORGE/LUIZ</v>
          </cell>
          <cell r="K2511" t="str">
            <v>ITAMBÉ</v>
          </cell>
          <cell r="L2511" t="str">
            <v>RODRIGO</v>
          </cell>
          <cell r="M2511" t="str">
            <v>MARIA LOURDES</v>
          </cell>
        </row>
        <row r="2512">
          <cell r="B2512">
            <v>5356025</v>
          </cell>
          <cell r="C2512" t="str">
            <v>R D R P RESTAURANTE E SORVETERI</v>
          </cell>
          <cell r="D2512" t="str">
            <v>6001</v>
          </cell>
          <cell r="E2512" t="str">
            <v>6028</v>
          </cell>
          <cell r="F2512" t="str">
            <v>C1</v>
          </cell>
          <cell r="G2512" t="str">
            <v>SP</v>
          </cell>
          <cell r="H2512" t="str">
            <v>INGREDIENTS</v>
          </cell>
          <cell r="I2512" t="str">
            <v>INGREDIENTS</v>
          </cell>
          <cell r="J2512" t="str">
            <v>TATIANA NITTA</v>
          </cell>
          <cell r="K2512" t="str">
            <v>ITAMBÉ</v>
          </cell>
          <cell r="L2512" t="str">
            <v>MAURICIO</v>
          </cell>
          <cell r="M2512" t="str">
            <v>TATIANA NITTA</v>
          </cell>
        </row>
        <row r="2513">
          <cell r="B2513">
            <v>5356130</v>
          </cell>
          <cell r="C2513" t="str">
            <v>CAFE DAS ARTES E SERV DE ALIMEN</v>
          </cell>
          <cell r="D2513" t="str">
            <v>7001</v>
          </cell>
          <cell r="E2513" t="str">
            <v>0749</v>
          </cell>
          <cell r="F2513" t="str">
            <v>C5</v>
          </cell>
          <cell r="G2513" t="str">
            <v>SP</v>
          </cell>
          <cell r="H2513" t="str">
            <v>DISTRIBUIÇÃO</v>
          </cell>
          <cell r="I2513" t="str">
            <v>FOOD SERVICE</v>
          </cell>
          <cell r="J2513" t="str">
            <v>FLAC 2</v>
          </cell>
          <cell r="K2513" t="str">
            <v>LACTALIS</v>
          </cell>
          <cell r="L2513" t="str">
            <v>RODRIGO</v>
          </cell>
          <cell r="M2513" t="str">
            <v>RAQUEL BARBOSA</v>
          </cell>
        </row>
        <row r="2514">
          <cell r="B2514">
            <v>5105028</v>
          </cell>
          <cell r="C2514" t="str">
            <v>CARVALHO AMENITIES E SACHES DIST LT</v>
          </cell>
          <cell r="D2514" t="str">
            <v>3001</v>
          </cell>
          <cell r="E2514" t="str">
            <v>0122</v>
          </cell>
          <cell r="F2514" t="str">
            <v>C1</v>
          </cell>
          <cell r="G2514" t="str">
            <v>MG</v>
          </cell>
          <cell r="H2514" t="str">
            <v>DISTRIBUIÇÃO</v>
          </cell>
          <cell r="I2514" t="str">
            <v>FOOD SERVICE</v>
          </cell>
          <cell r="J2514" t="str">
            <v>MARCELO SILVA</v>
          </cell>
          <cell r="K2514" t="str">
            <v>ITAMBÉ</v>
          </cell>
          <cell r="L2514" t="str">
            <v>RODRIGO</v>
          </cell>
          <cell r="M2514" t="str">
            <v>CELIO MARTINS</v>
          </cell>
        </row>
        <row r="2515">
          <cell r="B2515">
            <v>5147526</v>
          </cell>
          <cell r="C2515" t="str">
            <v>SAPORE SA</v>
          </cell>
          <cell r="D2515" t="str">
            <v>6001</v>
          </cell>
          <cell r="E2515" t="str">
            <v>6169</v>
          </cell>
          <cell r="F2515" t="str">
            <v>C1</v>
          </cell>
          <cell r="G2515" t="str">
            <v>RJ</v>
          </cell>
          <cell r="H2515" t="str">
            <v>QSR</v>
          </cell>
          <cell r="I2515" t="str">
            <v>FOOD SERVICE</v>
          </cell>
          <cell r="J2515" t="str">
            <v>NUTRI</v>
          </cell>
          <cell r="K2515" t="str">
            <v>ITAMBÉ</v>
          </cell>
          <cell r="L2515" t="str">
            <v>PEDRO</v>
          </cell>
          <cell r="M2515" t="str">
            <v>VAGO QSR</v>
          </cell>
        </row>
        <row r="2516">
          <cell r="B2516">
            <v>5190780</v>
          </cell>
          <cell r="C2516" t="str">
            <v>JULES PANIFICADORA E CONFEITARIA EI</v>
          </cell>
          <cell r="D2516" t="str">
            <v>7001</v>
          </cell>
          <cell r="E2516" t="str">
            <v>0749</v>
          </cell>
          <cell r="F2516" t="str">
            <v>C5</v>
          </cell>
          <cell r="G2516" t="str">
            <v>SP</v>
          </cell>
          <cell r="H2516" t="str">
            <v>DISTRIBUIÇÃO</v>
          </cell>
          <cell r="I2516" t="str">
            <v>FOOD SERVICE</v>
          </cell>
          <cell r="J2516" t="str">
            <v>FLAC 5</v>
          </cell>
          <cell r="K2516" t="str">
            <v>LACTALIS</v>
          </cell>
          <cell r="L2516" t="str">
            <v>RODRIGO</v>
          </cell>
          <cell r="M2516" t="str">
            <v>RAQUEL BARBOSA</v>
          </cell>
        </row>
        <row r="2517">
          <cell r="B2517">
            <v>5227772</v>
          </cell>
          <cell r="C2517" t="str">
            <v>CHOCONATA INDUSTRIA E COM DE AL</v>
          </cell>
          <cell r="D2517" t="str">
            <v>6001</v>
          </cell>
          <cell r="E2517" t="str">
            <v>6028</v>
          </cell>
          <cell r="F2517" t="str">
            <v>C1</v>
          </cell>
          <cell r="G2517" t="str">
            <v>RJ</v>
          </cell>
          <cell r="H2517" t="str">
            <v>INGREDIENTS</v>
          </cell>
          <cell r="I2517" t="str">
            <v>INGREDIENTS</v>
          </cell>
          <cell r="J2517" t="str">
            <v>TATIANA NITTA</v>
          </cell>
          <cell r="K2517" t="str">
            <v>ITAMBÉ</v>
          </cell>
          <cell r="L2517" t="str">
            <v>MAURICIO</v>
          </cell>
          <cell r="M2517" t="str">
            <v>TATIANA NITTA</v>
          </cell>
        </row>
        <row r="2518">
          <cell r="B2518">
            <v>5351302</v>
          </cell>
          <cell r="C2518" t="str">
            <v>LE CROQ PREMIUM BROWNIE LTDA</v>
          </cell>
          <cell r="D2518" t="str">
            <v>7001</v>
          </cell>
          <cell r="E2518" t="str">
            <v>0749</v>
          </cell>
          <cell r="F2518" t="str">
            <v>C5</v>
          </cell>
          <cell r="G2518" t="str">
            <v>SP</v>
          </cell>
          <cell r="H2518" t="str">
            <v>DISTRIBUIÇÃO</v>
          </cell>
          <cell r="I2518" t="str">
            <v>FOOD SERVICE</v>
          </cell>
          <cell r="J2518" t="str">
            <v>FLAC 4</v>
          </cell>
          <cell r="K2518" t="str">
            <v>LACTALIS</v>
          </cell>
          <cell r="L2518" t="str">
            <v>RODRIGO</v>
          </cell>
          <cell r="M2518" t="str">
            <v>RAQUEL BARBOSA</v>
          </cell>
        </row>
        <row r="2519">
          <cell r="B2519">
            <v>5355986</v>
          </cell>
          <cell r="C2519" t="str">
            <v>FUNCHAL IND E COM DE PAPEIS LTD</v>
          </cell>
          <cell r="D2519" t="str">
            <v>6001</v>
          </cell>
          <cell r="E2519" t="str">
            <v>6125</v>
          </cell>
          <cell r="F2519" t="str">
            <v>C1</v>
          </cell>
          <cell r="G2519" t="str">
            <v>SP</v>
          </cell>
          <cell r="H2519" t="str">
            <v>DISTRIBUIÇÃO</v>
          </cell>
          <cell r="I2519" t="str">
            <v>FOOD SERVICE</v>
          </cell>
          <cell r="J2519" t="str">
            <v>VAGO SP</v>
          </cell>
          <cell r="K2519" t="str">
            <v>ITAMBÉ</v>
          </cell>
          <cell r="L2519" t="str">
            <v>RODRIGO</v>
          </cell>
          <cell r="M2519" t="str">
            <v>RAQUEL BARBOSA</v>
          </cell>
        </row>
        <row r="2520">
          <cell r="B2520">
            <v>5111398</v>
          </cell>
          <cell r="C2520" t="str">
            <v>SCANIA LATIN AMERICA LTDA</v>
          </cell>
          <cell r="D2520" t="str">
            <v>7001</v>
          </cell>
          <cell r="E2520" t="str">
            <v>0749</v>
          </cell>
          <cell r="F2520" t="str">
            <v>C5</v>
          </cell>
          <cell r="G2520" t="str">
            <v>SP</v>
          </cell>
          <cell r="H2520" t="str">
            <v>QSR</v>
          </cell>
          <cell r="I2520" t="str">
            <v>FOOD SERVICE</v>
          </cell>
          <cell r="J2520" t="str">
            <v>VAGO QSR</v>
          </cell>
          <cell r="K2520" t="str">
            <v>LACTALIS</v>
          </cell>
          <cell r="L2520" t="str">
            <v>PEDRO</v>
          </cell>
          <cell r="M2520" t="str">
            <v>VAGO QSR</v>
          </cell>
        </row>
        <row r="2521">
          <cell r="B2521">
            <v>5347144</v>
          </cell>
          <cell r="C2521" t="str">
            <v>MBF IND E COM DE ALIMENTOS LTDA</v>
          </cell>
          <cell r="D2521" t="str">
            <v>6001</v>
          </cell>
          <cell r="E2521" t="str">
            <v>6028</v>
          </cell>
          <cell r="F2521" t="str">
            <v>C1</v>
          </cell>
          <cell r="G2521" t="str">
            <v>SP</v>
          </cell>
          <cell r="H2521" t="str">
            <v>INGREDIENTS</v>
          </cell>
          <cell r="I2521" t="str">
            <v>INGREDIENTS</v>
          </cell>
          <cell r="J2521" t="str">
            <v>TATIANA NITTA</v>
          </cell>
          <cell r="K2521" t="str">
            <v>ITAMBÉ</v>
          </cell>
          <cell r="L2521" t="str">
            <v>MAURICIO</v>
          </cell>
          <cell r="M2521" t="str">
            <v>TATIANA NITTA</v>
          </cell>
        </row>
        <row r="2522">
          <cell r="B2522">
            <v>5015298</v>
          </cell>
          <cell r="C2522" t="str">
            <v>CASA DA PANI COM DE PROD PARA PANI</v>
          </cell>
          <cell r="D2522" t="str">
            <v>7001</v>
          </cell>
          <cell r="E2522" t="str">
            <v>0756</v>
          </cell>
          <cell r="F2522" t="str">
            <v>C1</v>
          </cell>
          <cell r="G2522" t="str">
            <v>SC</v>
          </cell>
          <cell r="H2522" t="str">
            <v>DISTRIBUIÇÃO</v>
          </cell>
          <cell r="I2522" t="str">
            <v>FOOD SERVICE</v>
          </cell>
          <cell r="J2522" t="str">
            <v>ANGELICA BATISTELA</v>
          </cell>
          <cell r="K2522" t="str">
            <v>LACTALIS</v>
          </cell>
          <cell r="L2522" t="str">
            <v>RODRIGO</v>
          </cell>
          <cell r="M2522" t="str">
            <v>ANGELICA BATISTELA</v>
          </cell>
        </row>
        <row r="2523">
          <cell r="B2523">
            <v>5214716</v>
          </cell>
          <cell r="C2523" t="str">
            <v>SOLANGE TENORIO DOS SANTOS CONFEITA</v>
          </cell>
          <cell r="D2523" t="str">
            <v>7001</v>
          </cell>
          <cell r="E2523" t="str">
            <v>0749</v>
          </cell>
          <cell r="F2523" t="str">
            <v>C5</v>
          </cell>
          <cell r="G2523" t="str">
            <v>SP</v>
          </cell>
          <cell r="H2523" t="str">
            <v>DISTRIBUIÇÃO</v>
          </cell>
          <cell r="I2523" t="str">
            <v>FOOD SERVICE</v>
          </cell>
          <cell r="J2523" t="str">
            <v>FLAC 10</v>
          </cell>
          <cell r="K2523" t="str">
            <v>LACTALIS</v>
          </cell>
          <cell r="L2523" t="str">
            <v>RODRIGO</v>
          </cell>
          <cell r="M2523" t="str">
            <v>RAQUEL BARBOSA</v>
          </cell>
        </row>
        <row r="2524">
          <cell r="B2524">
            <v>5226350</v>
          </cell>
          <cell r="C2524" t="str">
            <v>SOS ALIMENTOS E TRANSPORTES LTD</v>
          </cell>
          <cell r="D2524" t="str">
            <v>7001</v>
          </cell>
          <cell r="E2524" t="str">
            <v>0756</v>
          </cell>
          <cell r="F2524" t="str">
            <v>C1</v>
          </cell>
          <cell r="G2524" t="str">
            <v>SC</v>
          </cell>
          <cell r="H2524" t="str">
            <v>DISTRIBUIÇÃO</v>
          </cell>
          <cell r="I2524" t="str">
            <v>FOOD SERVICE</v>
          </cell>
          <cell r="J2524" t="str">
            <v>ANGELICA BATISTELA</v>
          </cell>
          <cell r="K2524" t="str">
            <v>LACTALIS</v>
          </cell>
          <cell r="L2524" t="str">
            <v>RODRIGO</v>
          </cell>
          <cell r="M2524" t="str">
            <v>ANGELICA BATISTELA</v>
          </cell>
        </row>
        <row r="2525">
          <cell r="B2525">
            <v>5346652</v>
          </cell>
          <cell r="C2525" t="str">
            <v>VIVA COMERCIO DE CHOCOLATES LTD</v>
          </cell>
          <cell r="D2525" t="str">
            <v>7001</v>
          </cell>
          <cell r="E2525" t="str">
            <v>0749</v>
          </cell>
          <cell r="F2525" t="str">
            <v>C5</v>
          </cell>
          <cell r="G2525" t="str">
            <v>SP</v>
          </cell>
          <cell r="H2525" t="str">
            <v>DISTRIBUIÇÃO</v>
          </cell>
          <cell r="I2525" t="str">
            <v>FOOD SERVICE</v>
          </cell>
          <cell r="J2525" t="str">
            <v>FLAC 6</v>
          </cell>
          <cell r="K2525" t="str">
            <v>LACTALIS</v>
          </cell>
          <cell r="L2525" t="str">
            <v>RODRIGO</v>
          </cell>
          <cell r="M2525" t="str">
            <v>RAQUEL BARBOSA</v>
          </cell>
        </row>
        <row r="2526">
          <cell r="B2526">
            <v>5279284</v>
          </cell>
          <cell r="C2526" t="str">
            <v>FLAC REPRESENTACAO E COMERCIO L</v>
          </cell>
          <cell r="D2526" t="str">
            <v>7001</v>
          </cell>
          <cell r="E2526" t="str">
            <v>0722</v>
          </cell>
          <cell r="F2526" t="str">
            <v>C1</v>
          </cell>
          <cell r="G2526" t="str">
            <v>SP</v>
          </cell>
          <cell r="H2526" t="str">
            <v>DISTRIBUIÇÃO</v>
          </cell>
          <cell r="I2526" t="str">
            <v>FOOD SERVICE</v>
          </cell>
          <cell r="J2526" t="str">
            <v>RAQUEL BARBOSA</v>
          </cell>
          <cell r="K2526" t="str">
            <v>LACTALIS</v>
          </cell>
          <cell r="L2526" t="str">
            <v>RODRIGO</v>
          </cell>
          <cell r="M2526" t="str">
            <v>RAQUEL BARBOSA</v>
          </cell>
        </row>
        <row r="2527">
          <cell r="B2527">
            <v>5355972</v>
          </cell>
          <cell r="C2527" t="str">
            <v>BROWNIE DA MINHA MAE DOCERIA LT</v>
          </cell>
          <cell r="D2527" t="str">
            <v>7001</v>
          </cell>
          <cell r="E2527" t="str">
            <v>0749</v>
          </cell>
          <cell r="F2527" t="str">
            <v>C5</v>
          </cell>
          <cell r="G2527" t="str">
            <v>SP</v>
          </cell>
          <cell r="H2527" t="str">
            <v>DISTRIBUIÇÃO</v>
          </cell>
          <cell r="I2527" t="str">
            <v>FOOD SERVICE</v>
          </cell>
          <cell r="J2527" t="str">
            <v>FLAC 5</v>
          </cell>
          <cell r="K2527" t="str">
            <v>LACTALIS</v>
          </cell>
          <cell r="L2527" t="str">
            <v>RODRIGO</v>
          </cell>
          <cell r="M2527" t="str">
            <v>RAQUEL BARBOSA</v>
          </cell>
        </row>
        <row r="2528">
          <cell r="B2528">
            <v>5356234</v>
          </cell>
          <cell r="C2528" t="str">
            <v>HOTEL LIDO PLAZA LTDA</v>
          </cell>
          <cell r="D2528" t="str">
            <v>7001</v>
          </cell>
          <cell r="E2528" t="str">
            <v>0749</v>
          </cell>
          <cell r="F2528" t="str">
            <v>C5</v>
          </cell>
          <cell r="G2528" t="str">
            <v>SP</v>
          </cell>
          <cell r="H2528" t="str">
            <v>DISTRIBUIÇÃO</v>
          </cell>
          <cell r="I2528" t="str">
            <v>FOOD SERVICE</v>
          </cell>
          <cell r="J2528" t="str">
            <v>FLAC 10</v>
          </cell>
          <cell r="K2528" t="str">
            <v>LACTALIS</v>
          </cell>
          <cell r="L2528" t="str">
            <v>RODRIGO</v>
          </cell>
          <cell r="M2528" t="str">
            <v>RAQUEL BARBOSA</v>
          </cell>
        </row>
        <row r="2529">
          <cell r="B2529">
            <v>5356296</v>
          </cell>
          <cell r="C2529" t="str">
            <v>NEXO PADARIA ARTESANAL LTDA</v>
          </cell>
          <cell r="D2529" t="str">
            <v>7001</v>
          </cell>
          <cell r="E2529" t="str">
            <v>0749</v>
          </cell>
          <cell r="F2529" t="str">
            <v>C5</v>
          </cell>
          <cell r="G2529" t="str">
            <v>SP</v>
          </cell>
          <cell r="H2529" t="str">
            <v>DISTRIBUIÇÃO</v>
          </cell>
          <cell r="I2529" t="str">
            <v>FOOD SERVICE</v>
          </cell>
          <cell r="J2529" t="str">
            <v>FLAC 7</v>
          </cell>
          <cell r="K2529" t="str">
            <v>LACTALIS</v>
          </cell>
          <cell r="L2529" t="str">
            <v>RODRIGO</v>
          </cell>
          <cell r="M2529" t="str">
            <v>RAQUEL BARBOSA</v>
          </cell>
        </row>
        <row r="2530">
          <cell r="B2530">
            <v>5043898</v>
          </cell>
          <cell r="C2530" t="str">
            <v>SUPERMERCADO JACOMAR LTDA</v>
          </cell>
          <cell r="D2530" t="str">
            <v>3001</v>
          </cell>
          <cell r="E2530" t="str">
            <v>0126</v>
          </cell>
          <cell r="F2530" t="str">
            <v>C1</v>
          </cell>
          <cell r="G2530" t="str">
            <v>PR</v>
          </cell>
          <cell r="H2530" t="str">
            <v>QSR</v>
          </cell>
          <cell r="I2530" t="str">
            <v>FOOD SERVICE</v>
          </cell>
          <cell r="J2530" t="str">
            <v>VAGO QSR</v>
          </cell>
          <cell r="K2530" t="str">
            <v>ITAMBÉ</v>
          </cell>
          <cell r="L2530" t="str">
            <v>PEDRO</v>
          </cell>
          <cell r="M2530" t="str">
            <v>VAGO QSR</v>
          </cell>
        </row>
        <row r="2531">
          <cell r="B2531">
            <v>5079293</v>
          </cell>
          <cell r="C2531" t="str">
            <v>COPROSUL COMERCIO IMPORT E EXPO</v>
          </cell>
          <cell r="D2531" t="str">
            <v>6001</v>
          </cell>
          <cell r="E2531" t="str">
            <v>6125</v>
          </cell>
          <cell r="F2531" t="str">
            <v>C1</v>
          </cell>
          <cell r="G2531" t="str">
            <v>SP</v>
          </cell>
          <cell r="H2531" t="str">
            <v>DISTRIBUIÇÃO</v>
          </cell>
          <cell r="I2531" t="str">
            <v>FOOD SERVICE</v>
          </cell>
          <cell r="J2531" t="str">
            <v>SP ITB FS FLAC REP.E COMERCIO</v>
          </cell>
          <cell r="K2531" t="str">
            <v>ITAMBÉ</v>
          </cell>
          <cell r="L2531" t="str">
            <v>RODRIGO</v>
          </cell>
          <cell r="M2531" t="str">
            <v>RAQUEL BARBOSA</v>
          </cell>
        </row>
        <row r="2532">
          <cell r="B2532">
            <v>5190347</v>
          </cell>
          <cell r="C2532" t="str">
            <v>HIPER PAN DISTDE PROD DE PAN LT</v>
          </cell>
          <cell r="D2532" t="str">
            <v>6001</v>
          </cell>
          <cell r="E2532" t="str">
            <v>6127</v>
          </cell>
          <cell r="F2532" t="str">
            <v>C1</v>
          </cell>
          <cell r="G2532" t="str">
            <v>BA</v>
          </cell>
          <cell r="H2532" t="str">
            <v>DISTRIBUIÇÃO</v>
          </cell>
          <cell r="I2532" t="str">
            <v>FOOD SERVICE</v>
          </cell>
          <cell r="J2532" t="str">
            <v>CLAUDIO JORGE/LUIZ</v>
          </cell>
          <cell r="K2532" t="str">
            <v>ITAMBÉ</v>
          </cell>
          <cell r="L2532" t="str">
            <v>RODRIGO</v>
          </cell>
          <cell r="M2532" t="str">
            <v>MARIA LOURDES</v>
          </cell>
        </row>
        <row r="2533">
          <cell r="B2533">
            <v>5299403</v>
          </cell>
          <cell r="C2533" t="str">
            <v>ATRIO HOTEIS SA</v>
          </cell>
          <cell r="D2533" t="str">
            <v>7001</v>
          </cell>
          <cell r="E2533" t="str">
            <v>0749</v>
          </cell>
          <cell r="F2533" t="str">
            <v>C5</v>
          </cell>
          <cell r="G2533" t="str">
            <v>SP</v>
          </cell>
          <cell r="H2533" t="str">
            <v>DISTRIBUIÇÃO</v>
          </cell>
          <cell r="I2533" t="str">
            <v>FOOD SERVICE</v>
          </cell>
          <cell r="J2533" t="str">
            <v>FLAC 5</v>
          </cell>
          <cell r="K2533" t="str">
            <v>LACTALIS</v>
          </cell>
          <cell r="L2533" t="str">
            <v>RODRIGO</v>
          </cell>
          <cell r="M2533" t="str">
            <v>RAQUEL BARBOSA</v>
          </cell>
        </row>
        <row r="2534">
          <cell r="B2534">
            <v>5352994</v>
          </cell>
          <cell r="C2534" t="str">
            <v>LUCIMAR FRANCISCO MARQUES 18870</v>
          </cell>
          <cell r="D2534" t="str">
            <v>7001</v>
          </cell>
          <cell r="E2534" t="str">
            <v>0749</v>
          </cell>
          <cell r="F2534" t="str">
            <v>C5</v>
          </cell>
          <cell r="G2534" t="str">
            <v>SP</v>
          </cell>
          <cell r="H2534" t="str">
            <v>DISTRIBUIÇÃO</v>
          </cell>
          <cell r="I2534" t="str">
            <v>FOOD SERVICE</v>
          </cell>
          <cell r="J2534" t="str">
            <v>FLAC 10</v>
          </cell>
          <cell r="K2534" t="str">
            <v>LACTALIS</v>
          </cell>
          <cell r="L2534" t="str">
            <v>RODRIGO</v>
          </cell>
          <cell r="M2534" t="str">
            <v>RAQUEL BARBOSA</v>
          </cell>
        </row>
        <row r="2535">
          <cell r="B2535">
            <v>5356487</v>
          </cell>
          <cell r="C2535" t="str">
            <v>ROASTED COFFEE CAFETERIA LTDA</v>
          </cell>
          <cell r="D2535" t="str">
            <v>7001</v>
          </cell>
          <cell r="E2535" t="str">
            <v>0749</v>
          </cell>
          <cell r="F2535" t="str">
            <v>C5</v>
          </cell>
          <cell r="G2535" t="str">
            <v>SP</v>
          </cell>
          <cell r="H2535" t="str">
            <v>DISTRIBUIÇÃO</v>
          </cell>
          <cell r="I2535" t="str">
            <v>FOOD SERVICE</v>
          </cell>
          <cell r="J2535" t="str">
            <v>FLAC 6</v>
          </cell>
          <cell r="K2535" t="str">
            <v>LACTALIS</v>
          </cell>
          <cell r="L2535" t="str">
            <v>RODRIGO</v>
          </cell>
          <cell r="M2535" t="str">
            <v>RAQUEL BARBOSA</v>
          </cell>
        </row>
        <row r="2536">
          <cell r="B2536">
            <v>5353050</v>
          </cell>
          <cell r="C2536" t="str">
            <v>ALIBEY IND E COM DE ALIM E LTDA</v>
          </cell>
          <cell r="D2536" t="str">
            <v>6001</v>
          </cell>
          <cell r="E2536" t="str">
            <v>6028</v>
          </cell>
          <cell r="F2536" t="str">
            <v>C1</v>
          </cell>
          <cell r="G2536" t="str">
            <v>SP</v>
          </cell>
          <cell r="H2536" t="str">
            <v>INGREDIENTS</v>
          </cell>
          <cell r="I2536" t="str">
            <v>INGREDIENTS</v>
          </cell>
          <cell r="J2536" t="str">
            <v>TATIANA NITTA</v>
          </cell>
          <cell r="K2536" t="str">
            <v>ITAMBÉ</v>
          </cell>
          <cell r="L2536" t="str">
            <v>MAURICIO</v>
          </cell>
          <cell r="M2536" t="str">
            <v>TATIANA NITTA</v>
          </cell>
        </row>
        <row r="2537">
          <cell r="B2537">
            <v>5355701</v>
          </cell>
          <cell r="C2537" t="str">
            <v>TRENTINO ALIMENTOS LTDA</v>
          </cell>
          <cell r="D2537" t="str">
            <v>3001</v>
          </cell>
          <cell r="E2537" t="str">
            <v>0028</v>
          </cell>
          <cell r="F2537" t="str">
            <v>C1</v>
          </cell>
          <cell r="G2537" t="str">
            <v>MG</v>
          </cell>
          <cell r="H2537" t="str">
            <v>INGREDIENTS</v>
          </cell>
          <cell r="I2537" t="str">
            <v>INGREDIENTS</v>
          </cell>
          <cell r="J2537" t="str">
            <v>HENRIQUE FERREIRA</v>
          </cell>
          <cell r="K2537" t="str">
            <v>ITAMBÉ</v>
          </cell>
          <cell r="L2537" t="str">
            <v>MAURICIO</v>
          </cell>
          <cell r="M2537" t="str">
            <v>JOEL</v>
          </cell>
        </row>
        <row r="2538">
          <cell r="B2538">
            <v>5204180</v>
          </cell>
          <cell r="C2538" t="str">
            <v>E E MODOLO ME</v>
          </cell>
          <cell r="D2538" t="str">
            <v>7001</v>
          </cell>
          <cell r="E2538" t="str">
            <v>0739</v>
          </cell>
          <cell r="F2538" t="str">
            <v>C1</v>
          </cell>
          <cell r="G2538" t="str">
            <v>ES</v>
          </cell>
          <cell r="H2538" t="str">
            <v>DISTRIBUIÇÃO</v>
          </cell>
          <cell r="I2538" t="str">
            <v>FOOD SERVICE</v>
          </cell>
          <cell r="J2538" t="str">
            <v>MARCELO DUARTE</v>
          </cell>
          <cell r="K2538" t="str">
            <v>LACTALIS</v>
          </cell>
          <cell r="L2538" t="str">
            <v>RODRIGO</v>
          </cell>
          <cell r="M2538" t="str">
            <v>JESSICA</v>
          </cell>
        </row>
        <row r="2539">
          <cell r="B2539">
            <v>5339674</v>
          </cell>
          <cell r="C2539" t="str">
            <v>LANCH E REST BAMBARAS LTDA</v>
          </cell>
          <cell r="D2539" t="str">
            <v>6001</v>
          </cell>
          <cell r="E2539" t="str">
            <v>6125</v>
          </cell>
          <cell r="F2539" t="str">
            <v>C1</v>
          </cell>
          <cell r="G2539" t="str">
            <v>SP</v>
          </cell>
          <cell r="H2539" t="str">
            <v>DISTRIBUIÇÃO</v>
          </cell>
          <cell r="I2539" t="str">
            <v>FOOD SERVICE</v>
          </cell>
          <cell r="J2539" t="str">
            <v>SP ITB FS FLAC REP.E COMERCIO</v>
          </cell>
          <cell r="K2539" t="str">
            <v>ITAMBÉ</v>
          </cell>
          <cell r="L2539" t="str">
            <v>RODRIGO</v>
          </cell>
          <cell r="M2539" t="str">
            <v>RAQUEL BARBOSA</v>
          </cell>
        </row>
        <row r="2540">
          <cell r="B2540">
            <v>5356504</v>
          </cell>
          <cell r="C2540" t="str">
            <v>RESTAURANTE VISTA AO PARQUE LTD</v>
          </cell>
          <cell r="D2540" t="str">
            <v>7001</v>
          </cell>
          <cell r="E2540" t="str">
            <v>0749</v>
          </cell>
          <cell r="F2540" t="str">
            <v>C5</v>
          </cell>
          <cell r="G2540" t="str">
            <v>SP</v>
          </cell>
          <cell r="H2540" t="str">
            <v>DISTRIBUIÇÃO</v>
          </cell>
          <cell r="I2540" t="str">
            <v>FOOD SERVICE</v>
          </cell>
          <cell r="J2540" t="str">
            <v>FLAC 2</v>
          </cell>
          <cell r="K2540" t="str">
            <v>LACTALIS</v>
          </cell>
          <cell r="L2540" t="str">
            <v>RODRIGO</v>
          </cell>
          <cell r="M2540" t="str">
            <v>RAQUEL BARBOSA</v>
          </cell>
        </row>
        <row r="2541">
          <cell r="B2541">
            <v>5343417</v>
          </cell>
          <cell r="C2541" t="str">
            <v>LEITE CONFIANCA IND E COMERCIO LTDA</v>
          </cell>
          <cell r="D2541" t="str">
            <v>3001</v>
          </cell>
          <cell r="E2541" t="str">
            <v>0028</v>
          </cell>
          <cell r="F2541" t="str">
            <v>C1</v>
          </cell>
          <cell r="G2541" t="str">
            <v>PE</v>
          </cell>
          <cell r="H2541" t="str">
            <v>INGREDIENTS</v>
          </cell>
          <cell r="I2541" t="str">
            <v>INGREDIENTS</v>
          </cell>
          <cell r="J2541" t="str">
            <v>MARCELO RODRIGUES</v>
          </cell>
          <cell r="K2541" t="str">
            <v>ITAMBÉ</v>
          </cell>
          <cell r="L2541" t="str">
            <v>MAURICIO</v>
          </cell>
          <cell r="M2541" t="str">
            <v>MARCELO</v>
          </cell>
        </row>
        <row r="2542">
          <cell r="B2542">
            <v>5353593</v>
          </cell>
          <cell r="C2542" t="str">
            <v>SABIA DO PARQUE ALIMENTOS LTDA</v>
          </cell>
          <cell r="D2542" t="str">
            <v>7001</v>
          </cell>
          <cell r="E2542" t="str">
            <v>0749</v>
          </cell>
          <cell r="F2542" t="str">
            <v>C5</v>
          </cell>
          <cell r="G2542" t="str">
            <v>SP</v>
          </cell>
          <cell r="H2542" t="str">
            <v>DISTRIBUIÇÃO</v>
          </cell>
          <cell r="I2542" t="str">
            <v>FOOD SERVICE</v>
          </cell>
          <cell r="J2542" t="str">
            <v>FLAC 5</v>
          </cell>
          <cell r="K2542" t="str">
            <v>LACTALIS</v>
          </cell>
          <cell r="L2542" t="str">
            <v>RODRIGO</v>
          </cell>
          <cell r="M2542" t="str">
            <v>RAQUEL BARBOSA</v>
          </cell>
        </row>
        <row r="2543">
          <cell r="B2543">
            <v>5154644</v>
          </cell>
          <cell r="C2543" t="str">
            <v>LEITINO COMERCIO E IND DE LACTEOS L</v>
          </cell>
          <cell r="D2543" t="str">
            <v>3001</v>
          </cell>
          <cell r="E2543" t="str">
            <v>0122</v>
          </cell>
          <cell r="F2543" t="str">
            <v>C1</v>
          </cell>
          <cell r="G2543" t="str">
            <v>MG</v>
          </cell>
          <cell r="H2543" t="str">
            <v>INGREDIENTS</v>
          </cell>
          <cell r="I2543" t="str">
            <v>INGREDIENTS</v>
          </cell>
          <cell r="J2543" t="str">
            <v>JOEL ELEOTÉRIO</v>
          </cell>
          <cell r="K2543" t="str">
            <v>ITAMBÉ</v>
          </cell>
          <cell r="L2543" t="str">
            <v>MAURICIO</v>
          </cell>
          <cell r="M2543" t="str">
            <v>JOEL</v>
          </cell>
        </row>
        <row r="2544">
          <cell r="B2544">
            <v>5181837</v>
          </cell>
          <cell r="C2544" t="str">
            <v>LEVI KARKLIS 65217756934</v>
          </cell>
          <cell r="D2544" t="str">
            <v>3001</v>
          </cell>
          <cell r="E2544" t="str">
            <v>0028</v>
          </cell>
          <cell r="F2544" t="str">
            <v>C1</v>
          </cell>
          <cell r="G2544" t="str">
            <v>SC</v>
          </cell>
          <cell r="H2544" t="str">
            <v>INGREDIENTS</v>
          </cell>
          <cell r="I2544" t="str">
            <v>INGREDIENTS</v>
          </cell>
          <cell r="J2544" t="str">
            <v>DUAS RODAS</v>
          </cell>
          <cell r="K2544" t="str">
            <v>ITAMBÉ</v>
          </cell>
          <cell r="L2544" t="str">
            <v>MAURICIO</v>
          </cell>
          <cell r="M2544" t="str">
            <v>MARCELO</v>
          </cell>
        </row>
        <row r="2545">
          <cell r="B2545">
            <v>5321782</v>
          </cell>
          <cell r="C2545" t="str">
            <v>CENTER COMERCIO DE EMBALAGENS L</v>
          </cell>
          <cell r="D2545" t="str">
            <v>4001</v>
          </cell>
          <cell r="E2545" t="str">
            <v>0455</v>
          </cell>
          <cell r="F2545" t="str">
            <v>C1</v>
          </cell>
          <cell r="G2545" t="str">
            <v>PR</v>
          </cell>
          <cell r="H2545" t="str">
            <v>DISTRIBUIÇÃO</v>
          </cell>
          <cell r="I2545" t="str">
            <v>FOOD SERVICE</v>
          </cell>
          <cell r="J2545" t="str">
            <v>ANGELICA BATISTELA</v>
          </cell>
          <cell r="K2545" t="str">
            <v>LACTALIS</v>
          </cell>
          <cell r="L2545" t="str">
            <v>RODRIGO</v>
          </cell>
          <cell r="M2545" t="str">
            <v>ANGELICA BATISTELA</v>
          </cell>
        </row>
        <row r="2546">
          <cell r="B2546">
            <v>5356800</v>
          </cell>
          <cell r="C2546" t="str">
            <v>M I S MEKARO DOCERIA</v>
          </cell>
          <cell r="D2546" t="str">
            <v>7001</v>
          </cell>
          <cell r="E2546" t="str">
            <v>0749</v>
          </cell>
          <cell r="F2546" t="str">
            <v>C5</v>
          </cell>
          <cell r="G2546" t="str">
            <v>SP</v>
          </cell>
          <cell r="H2546" t="str">
            <v>DISTRIBUIÇÃO</v>
          </cell>
          <cell r="I2546" t="str">
            <v>FOOD SERVICE</v>
          </cell>
          <cell r="J2546" t="str">
            <v>FLAC 5</v>
          </cell>
          <cell r="K2546" t="str">
            <v>LACTALIS</v>
          </cell>
          <cell r="L2546" t="str">
            <v>RODRIGO</v>
          </cell>
          <cell r="M2546" t="str">
            <v>RAQUEL BARBOSA</v>
          </cell>
        </row>
        <row r="2547">
          <cell r="B2547">
            <v>5323939</v>
          </cell>
          <cell r="C2547" t="str">
            <v>CANAA COMERCIO DE FRIOS E PAES LTDA</v>
          </cell>
          <cell r="D2547" t="str">
            <v>4001</v>
          </cell>
          <cell r="E2547" t="str">
            <v>0437</v>
          </cell>
          <cell r="F2547" t="str">
            <v>C1</v>
          </cell>
          <cell r="G2547" t="str">
            <v>SP</v>
          </cell>
          <cell r="H2547" t="str">
            <v>INGREDIENTS</v>
          </cell>
          <cell r="I2547" t="str">
            <v>INGREDIENTS</v>
          </cell>
          <cell r="J2547" t="str">
            <v>JOEL ELEOTÉRIO</v>
          </cell>
          <cell r="K2547" t="str">
            <v>LACTALIS</v>
          </cell>
          <cell r="L2547" t="str">
            <v>MAURICIO</v>
          </cell>
          <cell r="M2547" t="str">
            <v>JOEL</v>
          </cell>
        </row>
        <row r="2548">
          <cell r="B2548">
            <v>5356536</v>
          </cell>
          <cell r="C2548" t="str">
            <v>KEZ PADARIA LTDA</v>
          </cell>
          <cell r="D2548" t="str">
            <v>7001</v>
          </cell>
          <cell r="E2548" t="str">
            <v>0749</v>
          </cell>
          <cell r="F2548" t="str">
            <v>C5</v>
          </cell>
          <cell r="G2548" t="str">
            <v>SP</v>
          </cell>
          <cell r="H2548" t="str">
            <v>DISTRIBUIÇÃO</v>
          </cell>
          <cell r="I2548" t="str">
            <v>FOOD SERVICE</v>
          </cell>
          <cell r="J2548" t="str">
            <v>FLAC 10</v>
          </cell>
          <cell r="K2548" t="str">
            <v>LACTALIS</v>
          </cell>
          <cell r="L2548" t="str">
            <v>RODRIGO</v>
          </cell>
          <cell r="M2548" t="str">
            <v>RAQUEL BARBOSA</v>
          </cell>
        </row>
        <row r="2549">
          <cell r="B2549">
            <v>5356544</v>
          </cell>
          <cell r="C2549" t="str">
            <v>NEFROSTAR CLIN MEDICA DE NEFROL</v>
          </cell>
          <cell r="D2549" t="str">
            <v>7001</v>
          </cell>
          <cell r="E2549" t="str">
            <v>0749</v>
          </cell>
          <cell r="F2549" t="str">
            <v>C5</v>
          </cell>
          <cell r="G2549" t="str">
            <v>SP</v>
          </cell>
          <cell r="H2549" t="str">
            <v>DISTRIBUIÇÃO</v>
          </cell>
          <cell r="I2549" t="str">
            <v>FOOD SERVICE</v>
          </cell>
          <cell r="J2549" t="str">
            <v>FLAC 10</v>
          </cell>
          <cell r="K2549" t="str">
            <v>LACTALIS</v>
          </cell>
          <cell r="L2549" t="str">
            <v>RODRIGO</v>
          </cell>
          <cell r="M2549" t="str">
            <v>RAQUEL BARBOSA</v>
          </cell>
        </row>
        <row r="2550">
          <cell r="B2550">
            <v>5063322</v>
          </cell>
          <cell r="C2550" t="str">
            <v>C D A DISTRIBUIDORA DE ALIMENTO</v>
          </cell>
          <cell r="D2550" t="str">
            <v>3001</v>
          </cell>
          <cell r="E2550" t="str">
            <v>0122</v>
          </cell>
          <cell r="F2550" t="str">
            <v>C1</v>
          </cell>
          <cell r="G2550" t="str">
            <v>MG</v>
          </cell>
          <cell r="H2550" t="str">
            <v>DISTRIBUIÇÃO</v>
          </cell>
          <cell r="I2550" t="str">
            <v>FOOD SERVICE</v>
          </cell>
          <cell r="J2550" t="str">
            <v>MARCELO SILVA</v>
          </cell>
          <cell r="K2550" t="str">
            <v>ITAMBÉ</v>
          </cell>
          <cell r="L2550" t="str">
            <v>RODRIGO</v>
          </cell>
          <cell r="M2550" t="str">
            <v>CELIO MARTINS</v>
          </cell>
        </row>
        <row r="2551">
          <cell r="B2551">
            <v>5034664</v>
          </cell>
          <cell r="C2551" t="str">
            <v>MAFRIOS DIST E IMPORTADORA LTDA</v>
          </cell>
          <cell r="D2551" t="str">
            <v>4001</v>
          </cell>
          <cell r="E2551" t="str">
            <v>0482</v>
          </cell>
          <cell r="F2551" t="str">
            <v>C5</v>
          </cell>
          <cell r="G2551" t="str">
            <v>AL</v>
          </cell>
          <cell r="H2551" t="str">
            <v>DISTRIBUIÇÃO</v>
          </cell>
          <cell r="I2551" t="str">
            <v>FOOD SERVICE</v>
          </cell>
          <cell r="J2551" t="str">
            <v>CLAUDIO JORGE</v>
          </cell>
          <cell r="K2551" t="str">
            <v>LACTALIS</v>
          </cell>
          <cell r="L2551" t="str">
            <v>RODRIGO</v>
          </cell>
          <cell r="M2551" t="str">
            <v>MARIA LOURDES</v>
          </cell>
        </row>
        <row r="2552">
          <cell r="B2552">
            <v>5316455</v>
          </cell>
          <cell r="C2552" t="str">
            <v>LLINEA SERVICOS E ALIMENTACAO L</v>
          </cell>
          <cell r="D2552" t="str">
            <v>6001</v>
          </cell>
          <cell r="E2552" t="str">
            <v>6125</v>
          </cell>
          <cell r="F2552" t="str">
            <v>C1</v>
          </cell>
          <cell r="G2552" t="str">
            <v>SP</v>
          </cell>
          <cell r="H2552" t="str">
            <v>DISTRIBUIÇÃO</v>
          </cell>
          <cell r="I2552" t="str">
            <v>FOOD SERVICE</v>
          </cell>
          <cell r="J2552" t="str">
            <v>FLAC 5</v>
          </cell>
          <cell r="K2552" t="str">
            <v>ITAMBÉ</v>
          </cell>
          <cell r="L2552" t="str">
            <v>RODRIGO</v>
          </cell>
          <cell r="M2552" t="str">
            <v>RAQUEL BARBOSA</v>
          </cell>
        </row>
        <row r="2553">
          <cell r="B2553">
            <v>5329531</v>
          </cell>
          <cell r="C2553" t="str">
            <v>ACOMODACOES BRASIL LTDA</v>
          </cell>
          <cell r="D2553" t="str">
            <v>7001</v>
          </cell>
          <cell r="E2553" t="str">
            <v>0749</v>
          </cell>
          <cell r="F2553" t="str">
            <v>C5</v>
          </cell>
          <cell r="G2553" t="str">
            <v>SP</v>
          </cell>
          <cell r="H2553" t="str">
            <v>DISTRIBUIÇÃO</v>
          </cell>
          <cell r="I2553" t="str">
            <v>FOOD SERVICE</v>
          </cell>
          <cell r="J2553" t="str">
            <v>FLAC 5</v>
          </cell>
          <cell r="K2553" t="str">
            <v>LACTALIS</v>
          </cell>
          <cell r="L2553" t="str">
            <v>RODRIGO</v>
          </cell>
          <cell r="M2553" t="str">
            <v>RAQUEL BARBOSA</v>
          </cell>
        </row>
        <row r="2554">
          <cell r="B2554">
            <v>5233387</v>
          </cell>
          <cell r="C2554" t="str">
            <v>COOPERATIVA LANGUIRU LTDA</v>
          </cell>
          <cell r="D2554" t="str">
            <v>4001</v>
          </cell>
          <cell r="E2554" t="str">
            <v>0546</v>
          </cell>
          <cell r="F2554" t="str">
            <v>C1</v>
          </cell>
          <cell r="G2554" t="str">
            <v>RS</v>
          </cell>
          <cell r="H2554" t="str">
            <v>OUTROS</v>
          </cell>
          <cell r="I2554" t="str">
            <v>OUTROS</v>
          </cell>
          <cell r="J2554" t="str">
            <v>OUTROS</v>
          </cell>
          <cell r="K2554" t="str">
            <v>OUTROS</v>
          </cell>
          <cell r="L2554" t="str">
            <v>OUTROS</v>
          </cell>
          <cell r="M2554" t="str">
            <v>OUTROS</v>
          </cell>
        </row>
        <row r="2555">
          <cell r="B2555">
            <v>5355175</v>
          </cell>
          <cell r="C2555" t="str">
            <v>SMAK COMERCIO E SERVICOS LTDA</v>
          </cell>
          <cell r="D2555" t="str">
            <v>7001</v>
          </cell>
          <cell r="E2555" t="str">
            <v>0749</v>
          </cell>
          <cell r="F2555" t="str">
            <v>C5</v>
          </cell>
          <cell r="G2555" t="str">
            <v>SP</v>
          </cell>
          <cell r="H2555" t="str">
            <v>DISTRIBUIÇÃO</v>
          </cell>
          <cell r="I2555" t="str">
            <v>FOOD SERVICE</v>
          </cell>
          <cell r="J2555" t="str">
            <v>FLAC 3</v>
          </cell>
          <cell r="K2555" t="str">
            <v>LACTALIS</v>
          </cell>
          <cell r="L2555" t="str">
            <v>RODRIGO</v>
          </cell>
          <cell r="M2555" t="str">
            <v>RAQUEL BARBOSA</v>
          </cell>
        </row>
        <row r="2556">
          <cell r="B2556">
            <v>5356655</v>
          </cell>
          <cell r="C2556" t="str">
            <v>AVIVA DISTRIBUIDORA DE PAES LTDA</v>
          </cell>
          <cell r="D2556" t="str">
            <v>7001</v>
          </cell>
          <cell r="E2556" t="str">
            <v>0749</v>
          </cell>
          <cell r="F2556" t="str">
            <v>C5</v>
          </cell>
          <cell r="G2556" t="str">
            <v>SP</v>
          </cell>
          <cell r="H2556" t="str">
            <v>DISTRIBUIÇÃO</v>
          </cell>
          <cell r="I2556" t="str">
            <v>FOOD SERVICE</v>
          </cell>
          <cell r="J2556" t="str">
            <v>FLAC 10</v>
          </cell>
          <cell r="K2556" t="str">
            <v>LACTALIS</v>
          </cell>
          <cell r="L2556" t="str">
            <v>RODRIGO</v>
          </cell>
          <cell r="M2556" t="str">
            <v>RAQUEL BARBOSA</v>
          </cell>
        </row>
        <row r="2557">
          <cell r="B2557">
            <v>5357008</v>
          </cell>
          <cell r="C2557" t="str">
            <v>JNR TRANSPORTES E LOGISTICA LTDA</v>
          </cell>
          <cell r="D2557" t="str">
            <v>7001</v>
          </cell>
          <cell r="E2557" t="str">
            <v>0749</v>
          </cell>
          <cell r="F2557" t="str">
            <v>C5</v>
          </cell>
          <cell r="G2557" t="str">
            <v>SP</v>
          </cell>
          <cell r="H2557" t="str">
            <v>DISTRIBUIÇÃO</v>
          </cell>
          <cell r="I2557" t="str">
            <v>FOOD SERVICE</v>
          </cell>
          <cell r="J2557" t="str">
            <v>FLAC 2</v>
          </cell>
          <cell r="K2557" t="str">
            <v>LACTALIS</v>
          </cell>
          <cell r="L2557" t="str">
            <v>RODRIGO</v>
          </cell>
          <cell r="M2557" t="str">
            <v>RAQUEL BARBOSA</v>
          </cell>
        </row>
        <row r="2558">
          <cell r="B2558">
            <v>5204620</v>
          </cell>
          <cell r="C2558" t="str">
            <v>M DIAS BRANCO SA IND E COM DE ALIM</v>
          </cell>
          <cell r="D2558" t="str">
            <v>4001</v>
          </cell>
          <cell r="E2558" t="str">
            <v>0437</v>
          </cell>
          <cell r="F2558" t="str">
            <v>C1</v>
          </cell>
          <cell r="G2558" t="str">
            <v>RJ</v>
          </cell>
          <cell r="H2558" t="str">
            <v>INGREDIENTS</v>
          </cell>
          <cell r="I2558" t="str">
            <v>INGREDIENTS</v>
          </cell>
          <cell r="J2558" t="str">
            <v>JOEL ELEOTÉRIO</v>
          </cell>
          <cell r="K2558" t="str">
            <v>LACTALIS</v>
          </cell>
          <cell r="L2558" t="str">
            <v>MAURICIO</v>
          </cell>
          <cell r="M2558" t="str">
            <v>JOEL</v>
          </cell>
        </row>
        <row r="2559">
          <cell r="B2559">
            <v>5343417</v>
          </cell>
          <cell r="C2559" t="str">
            <v>LEITE CONFIANCA IND E COMERCIO</v>
          </cell>
          <cell r="D2559" t="str">
            <v>4001</v>
          </cell>
          <cell r="E2559" t="str">
            <v>0454</v>
          </cell>
          <cell r="F2559" t="str">
            <v>C1</v>
          </cell>
          <cell r="G2559" t="str">
            <v>PE</v>
          </cell>
          <cell r="H2559" t="str">
            <v>INGREDIENTS</v>
          </cell>
          <cell r="I2559" t="str">
            <v>INGREDIENTS</v>
          </cell>
          <cell r="J2559" t="str">
            <v>MARCELO RODRIGUES</v>
          </cell>
          <cell r="K2559" t="str">
            <v>LACTALIS</v>
          </cell>
          <cell r="L2559" t="str">
            <v>MAURICIO</v>
          </cell>
          <cell r="M2559" t="str">
            <v>MARCELO</v>
          </cell>
        </row>
        <row r="2560">
          <cell r="B2560">
            <v>5331354</v>
          </cell>
          <cell r="C2560" t="str">
            <v>JFS ALIMENTOS LTDA</v>
          </cell>
          <cell r="D2560" t="str">
            <v>4001</v>
          </cell>
          <cell r="E2560" t="str">
            <v>0455</v>
          </cell>
          <cell r="F2560" t="str">
            <v>C1</v>
          </cell>
          <cell r="G2560" t="str">
            <v>SP</v>
          </cell>
          <cell r="H2560" t="str">
            <v>INGREDIENTS</v>
          </cell>
          <cell r="I2560" t="str">
            <v>INGREDIENTS</v>
          </cell>
          <cell r="J2560" t="str">
            <v>MARCELO RODRIGUES</v>
          </cell>
          <cell r="K2560" t="str">
            <v>LACTALIS</v>
          </cell>
          <cell r="L2560" t="str">
            <v>MAURICIO</v>
          </cell>
          <cell r="M2560" t="str">
            <v>MARCELO</v>
          </cell>
        </row>
        <row r="2561">
          <cell r="B2561">
            <v>5207685</v>
          </cell>
          <cell r="C2561" t="str">
            <v>ESPECIALI INDUSTRIA DE ALIMENTO</v>
          </cell>
          <cell r="D2561" t="str">
            <v>4001</v>
          </cell>
          <cell r="E2561" t="str">
            <v>0458</v>
          </cell>
          <cell r="F2561" t="str">
            <v>C1</v>
          </cell>
          <cell r="G2561" t="str">
            <v>MG</v>
          </cell>
          <cell r="H2561" t="str">
            <v>INGREDIENTS</v>
          </cell>
          <cell r="I2561" t="str">
            <v>INGREDIENTS</v>
          </cell>
          <cell r="J2561" t="str">
            <v>HENRIQUE FERREIRA</v>
          </cell>
          <cell r="K2561" t="str">
            <v>LACTALIS</v>
          </cell>
          <cell r="L2561" t="str">
            <v>MAURICIO</v>
          </cell>
          <cell r="M2561" t="str">
            <v>JOEL</v>
          </cell>
        </row>
        <row r="2562">
          <cell r="B2562">
            <v>5357073</v>
          </cell>
          <cell r="C2562" t="str">
            <v>PADARIA E CONFEITARIA ERICS BAK</v>
          </cell>
          <cell r="D2562" t="str">
            <v>7001</v>
          </cell>
          <cell r="E2562" t="str">
            <v>0749</v>
          </cell>
          <cell r="F2562" t="str">
            <v>C5</v>
          </cell>
          <cell r="G2562" t="str">
            <v>SP</v>
          </cell>
          <cell r="H2562" t="str">
            <v>DISTRIBUIÇÃO</v>
          </cell>
          <cell r="I2562" t="str">
            <v>FOOD SERVICE</v>
          </cell>
          <cell r="J2562" t="str">
            <v>FLAC 10</v>
          </cell>
          <cell r="K2562" t="str">
            <v>LACTALIS</v>
          </cell>
          <cell r="L2562" t="str">
            <v>RODRIGO</v>
          </cell>
          <cell r="M2562" t="str">
            <v>RAQUEL BARBOSA</v>
          </cell>
        </row>
        <row r="2563">
          <cell r="B2563">
            <v>5355801</v>
          </cell>
          <cell r="C2563" t="str">
            <v>EDILSON SANTOS SOUZA PADARIA</v>
          </cell>
          <cell r="D2563">
            <v>7001</v>
          </cell>
          <cell r="E2563" t="str">
            <v>0749</v>
          </cell>
          <cell r="F2563" t="str">
            <v>C5</v>
          </cell>
          <cell r="G2563" t="str">
            <v>SP</v>
          </cell>
          <cell r="H2563" t="str">
            <v>DISTRIBUIÇÃO</v>
          </cell>
          <cell r="I2563" t="str">
            <v>FOOD SERVICE</v>
          </cell>
          <cell r="J2563" t="str">
            <v>FLAC 10</v>
          </cell>
          <cell r="K2563" t="str">
            <v>LACTALIS</v>
          </cell>
          <cell r="L2563" t="str">
            <v>RODRIGO</v>
          </cell>
          <cell r="M2563" t="str">
            <v>RAQUEL BARBOSA</v>
          </cell>
        </row>
        <row r="2564">
          <cell r="B2564">
            <v>5002549</v>
          </cell>
          <cell r="C2564" t="str">
            <v>SERVCATER INTERNACIONAL LTDA</v>
          </cell>
          <cell r="D2564" t="str">
            <v>6001</v>
          </cell>
          <cell r="E2564" t="str">
            <v>0028</v>
          </cell>
          <cell r="F2564" t="str">
            <v>C1</v>
          </cell>
          <cell r="G2564" t="str">
            <v>SP</v>
          </cell>
          <cell r="H2564" t="str">
            <v>QSR</v>
          </cell>
          <cell r="I2564" t="str">
            <v>FOOD SERVICE</v>
          </cell>
          <cell r="J2564" t="str">
            <v>ANA MENIQUETE</v>
          </cell>
          <cell r="K2564" t="str">
            <v>ITAMBÉ</v>
          </cell>
          <cell r="L2564" t="str">
            <v>PEDRO</v>
          </cell>
          <cell r="M2564" t="str">
            <v>ANA MENIQUETE</v>
          </cell>
        </row>
        <row r="2565">
          <cell r="B2565">
            <v>5075754</v>
          </cell>
          <cell r="C2565" t="str">
            <v>OMEGA DISTR DE PROD ALIM LTDA</v>
          </cell>
          <cell r="D2565" t="str">
            <v>6001</v>
          </cell>
          <cell r="E2565" t="str">
            <v>0127</v>
          </cell>
          <cell r="F2565" t="str">
            <v>C1</v>
          </cell>
          <cell r="G2565" t="str">
            <v>CE</v>
          </cell>
          <cell r="H2565" t="str">
            <v>DISTRIBUIÇÃO</v>
          </cell>
          <cell r="I2565" t="str">
            <v>FOOD SERVICE</v>
          </cell>
          <cell r="J2565" t="str">
            <v>WH FOOD SERVICE CE</v>
          </cell>
          <cell r="K2565" t="str">
            <v>ITAMBÉ</v>
          </cell>
          <cell r="L2565" t="str">
            <v>RODRIGO</v>
          </cell>
          <cell r="M2565" t="str">
            <v>MARIA LOURDES</v>
          </cell>
        </row>
        <row r="2566">
          <cell r="B2566">
            <v>5110910</v>
          </cell>
          <cell r="C2566" t="str">
            <v>SORVETERIA RIBEIRA LTDA</v>
          </cell>
          <cell r="D2566" t="str">
            <v>6001</v>
          </cell>
          <cell r="E2566" t="str">
            <v>0127</v>
          </cell>
          <cell r="F2566" t="str">
            <v>C1</v>
          </cell>
          <cell r="G2566" t="str">
            <v>BA</v>
          </cell>
          <cell r="H2566" t="str">
            <v>DISTRIBUIÇÃO</v>
          </cell>
          <cell r="I2566" t="str">
            <v>FOOD SERVICE</v>
          </cell>
          <cell r="J2566" t="str">
            <v>CLAUDIO JORGE/LUIZ</v>
          </cell>
          <cell r="K2566" t="str">
            <v>ITAMBÉ</v>
          </cell>
          <cell r="L2566" t="str">
            <v>RODRIGO</v>
          </cell>
          <cell r="M2566" t="str">
            <v>MARIA LOURDES</v>
          </cell>
        </row>
        <row r="2567">
          <cell r="B2567">
            <v>5138388</v>
          </cell>
          <cell r="C2567" t="str">
            <v>GOIASMINAS INDUSTRIA DE LATICIN</v>
          </cell>
          <cell r="D2567" t="str">
            <v>4001</v>
          </cell>
          <cell r="E2567" t="str">
            <v>0437</v>
          </cell>
          <cell r="F2567" t="str">
            <v>C1</v>
          </cell>
          <cell r="G2567" t="str">
            <v>GO</v>
          </cell>
          <cell r="H2567" t="str">
            <v>INGREDIENTS</v>
          </cell>
          <cell r="I2567" t="str">
            <v>INGREDIENTS</v>
          </cell>
          <cell r="J2567" t="str">
            <v>JOEL ELEOTÉRIO</v>
          </cell>
          <cell r="K2567" t="str">
            <v>LACTALIS</v>
          </cell>
          <cell r="L2567" t="str">
            <v>MAURICIO</v>
          </cell>
          <cell r="M2567" t="str">
            <v>JOEL</v>
          </cell>
        </row>
        <row r="2568">
          <cell r="B2568">
            <v>5183642</v>
          </cell>
          <cell r="C2568" t="str">
            <v>BOLOS CASEIROS CASQUEL LTDA</v>
          </cell>
          <cell r="D2568" t="str">
            <v>3001</v>
          </cell>
          <cell r="E2568" t="str">
            <v>0126</v>
          </cell>
          <cell r="F2568" t="str">
            <v>C1</v>
          </cell>
          <cell r="G2568" t="str">
            <v>PR</v>
          </cell>
          <cell r="H2568" t="str">
            <v>QSR</v>
          </cell>
          <cell r="I2568" t="str">
            <v>FOOD SERVICE</v>
          </cell>
          <cell r="J2568" t="str">
            <v>VAGO QSR</v>
          </cell>
          <cell r="K2568" t="str">
            <v>ITAMBÉ</v>
          </cell>
          <cell r="L2568" t="str">
            <v>PEDRO</v>
          </cell>
          <cell r="M2568" t="str">
            <v>VAGO QSR</v>
          </cell>
        </row>
        <row r="2569">
          <cell r="B2569">
            <v>5183963</v>
          </cell>
          <cell r="C2569" t="str">
            <v>JOSIMAR COMERCIO DE DOCES LTDA</v>
          </cell>
          <cell r="D2569" t="str">
            <v>3001</v>
          </cell>
          <cell r="E2569" t="str">
            <v>0028</v>
          </cell>
          <cell r="F2569" t="str">
            <v>C1</v>
          </cell>
          <cell r="G2569" t="str">
            <v>PR</v>
          </cell>
          <cell r="H2569" t="str">
            <v>INGREDIENTS</v>
          </cell>
          <cell r="I2569" t="str">
            <v>INGREDIENTS</v>
          </cell>
          <cell r="J2569" t="str">
            <v>DUAS RODAS</v>
          </cell>
          <cell r="K2569" t="str">
            <v>ITAMBÉ</v>
          </cell>
          <cell r="L2569" t="str">
            <v>MAURICIO</v>
          </cell>
          <cell r="M2569" t="str">
            <v>MARCELO</v>
          </cell>
        </row>
        <row r="2570">
          <cell r="B2570">
            <v>5190347</v>
          </cell>
          <cell r="C2570" t="str">
            <v>HIPER PAN DISTDE PROD DE PAN LT</v>
          </cell>
          <cell r="D2570" t="str">
            <v>6001</v>
          </cell>
          <cell r="E2570" t="str">
            <v>0127</v>
          </cell>
          <cell r="F2570" t="str">
            <v>C1</v>
          </cell>
          <cell r="G2570" t="str">
            <v>BA</v>
          </cell>
          <cell r="H2570" t="str">
            <v>DISTRIBUIÇÃO</v>
          </cell>
          <cell r="I2570" t="str">
            <v>FOOD SERVICE</v>
          </cell>
          <cell r="J2570" t="str">
            <v>CLAUDIO JORGE/LUIZ</v>
          </cell>
          <cell r="K2570" t="str">
            <v>ITAMBÉ</v>
          </cell>
          <cell r="L2570" t="str">
            <v>RODRIGO</v>
          </cell>
          <cell r="M2570" t="str">
            <v>MARIA LOURDES</v>
          </cell>
        </row>
        <row r="2571">
          <cell r="B2571">
            <v>5191804</v>
          </cell>
          <cell r="C2571" t="str">
            <v>BOX 81 DISTR DE PRODS ALIMENT</v>
          </cell>
          <cell r="D2571" t="str">
            <v>6001</v>
          </cell>
          <cell r="E2571" t="str">
            <v>0169</v>
          </cell>
          <cell r="F2571" t="str">
            <v>C1</v>
          </cell>
          <cell r="G2571" t="str">
            <v>RJ</v>
          </cell>
          <cell r="H2571" t="str">
            <v>DISTRIBUIÇÃO</v>
          </cell>
          <cell r="I2571" t="str">
            <v>FOOD SERVICE</v>
          </cell>
          <cell r="J2571" t="str">
            <v>JULIANA CORDEIRO</v>
          </cell>
          <cell r="K2571" t="str">
            <v>ITAMBÉ</v>
          </cell>
          <cell r="L2571" t="str">
            <v>RODRIGO</v>
          </cell>
          <cell r="M2571" t="str">
            <v>JESSICA</v>
          </cell>
        </row>
        <row r="2572">
          <cell r="B2572">
            <v>5213747</v>
          </cell>
          <cell r="C2572" t="str">
            <v>MEGGA MANIA SORVETES</v>
          </cell>
          <cell r="D2572" t="str">
            <v>6001</v>
          </cell>
          <cell r="E2572" t="str">
            <v>0028</v>
          </cell>
          <cell r="F2572" t="str">
            <v>C1</v>
          </cell>
          <cell r="G2572" t="str">
            <v>SP</v>
          </cell>
          <cell r="H2572" t="str">
            <v>INGREDIENTS</v>
          </cell>
          <cell r="I2572" t="str">
            <v>INGREDIENTS</v>
          </cell>
          <cell r="J2572" t="str">
            <v>SP ITB FS IKM REPRESENTACOES</v>
          </cell>
          <cell r="K2572" t="str">
            <v>ITAMBÉ</v>
          </cell>
          <cell r="L2572" t="str">
            <v>MAURICIO</v>
          </cell>
          <cell r="M2572" t="str">
            <v>TATIANA NITTA</v>
          </cell>
        </row>
        <row r="2573">
          <cell r="B2573">
            <v>5218199</v>
          </cell>
          <cell r="C2573" t="str">
            <v>CANTINHO GOURMET FAB DE ALIM CO</v>
          </cell>
          <cell r="D2573" t="str">
            <v>6001</v>
          </cell>
          <cell r="E2573" t="str">
            <v>0127</v>
          </cell>
          <cell r="F2573" t="str">
            <v>C1</v>
          </cell>
          <cell r="G2573" t="str">
            <v>BA</v>
          </cell>
          <cell r="H2573" t="str">
            <v>DISTRIBUIÇÃO</v>
          </cell>
          <cell r="I2573" t="str">
            <v>FOOD SERVICE</v>
          </cell>
          <cell r="J2573" t="str">
            <v>CLAUDIO JORGE/LUIZ</v>
          </cell>
          <cell r="K2573" t="str">
            <v>ITAMBÉ</v>
          </cell>
          <cell r="L2573" t="str">
            <v>RODRIGO</v>
          </cell>
          <cell r="M2573" t="str">
            <v>MARIA LOURDES</v>
          </cell>
        </row>
        <row r="2574">
          <cell r="B2574">
            <v>5221359</v>
          </cell>
          <cell r="C2574" t="str">
            <v>FABRICACAO DE PRODUTOS DE PADAR</v>
          </cell>
          <cell r="D2574" t="str">
            <v>6001</v>
          </cell>
          <cell r="E2574" t="str">
            <v>0127</v>
          </cell>
          <cell r="F2574" t="str">
            <v>C1</v>
          </cell>
          <cell r="G2574" t="str">
            <v>BA</v>
          </cell>
          <cell r="H2574" t="str">
            <v>DISTRIBUIÇÃO</v>
          </cell>
          <cell r="I2574" t="str">
            <v>FOOD SERVICE</v>
          </cell>
          <cell r="J2574" t="str">
            <v>CLAUDIO JORGE/LUIZ</v>
          </cell>
          <cell r="K2574" t="str">
            <v>ITAMBÉ</v>
          </cell>
          <cell r="L2574" t="str">
            <v>RODRIGO</v>
          </cell>
          <cell r="M2574" t="str">
            <v>MARIA LOURDES</v>
          </cell>
        </row>
        <row r="2575">
          <cell r="B2575">
            <v>5227772</v>
          </cell>
          <cell r="C2575" t="str">
            <v>CHOCONATA INDUSTRIA E COM DE AL</v>
          </cell>
          <cell r="D2575" t="str">
            <v>6001</v>
          </cell>
          <cell r="E2575" t="str">
            <v>0169</v>
          </cell>
          <cell r="F2575" t="str">
            <v>C1</v>
          </cell>
          <cell r="G2575" t="str">
            <v>RJ</v>
          </cell>
          <cell r="H2575" t="str">
            <v>INGREDIENTS</v>
          </cell>
          <cell r="I2575" t="str">
            <v>INGREDIENTS</v>
          </cell>
          <cell r="J2575" t="str">
            <v>TATIANA NITTA</v>
          </cell>
          <cell r="K2575" t="str">
            <v>ITAMBÉ</v>
          </cell>
          <cell r="L2575" t="str">
            <v>MAURICIO</v>
          </cell>
          <cell r="M2575" t="str">
            <v>TATIANA NITTA</v>
          </cell>
        </row>
        <row r="2576">
          <cell r="B2576">
            <v>5229831</v>
          </cell>
          <cell r="C2576" t="str">
            <v>BRIGADEIRO INDUSTRIA E COMERCIO</v>
          </cell>
          <cell r="D2576" t="str">
            <v>6001</v>
          </cell>
          <cell r="E2576" t="str">
            <v>0169</v>
          </cell>
          <cell r="F2576" t="str">
            <v>C1</v>
          </cell>
          <cell r="G2576" t="str">
            <v>RJ</v>
          </cell>
          <cell r="H2576" t="str">
            <v>INGREDIENTS</v>
          </cell>
          <cell r="I2576" t="str">
            <v>INGREDIENTS</v>
          </cell>
          <cell r="J2576" t="str">
            <v>TATIANA NITTA</v>
          </cell>
          <cell r="K2576" t="str">
            <v>ITAMBÉ</v>
          </cell>
          <cell r="L2576" t="str">
            <v>MAURICIO</v>
          </cell>
          <cell r="M2576" t="str">
            <v>TATIANA NITTA</v>
          </cell>
        </row>
        <row r="2577">
          <cell r="B2577">
            <v>5230041</v>
          </cell>
          <cell r="C2577" t="str">
            <v>LATICINIOS REZENDE LTDA</v>
          </cell>
          <cell r="D2577" t="str">
            <v>4001</v>
          </cell>
          <cell r="E2577" t="str">
            <v>0423</v>
          </cell>
          <cell r="F2577" t="str">
            <v>C5</v>
          </cell>
          <cell r="G2577" t="str">
            <v>MG</v>
          </cell>
          <cell r="H2577" t="str">
            <v>INGREDIENTS</v>
          </cell>
          <cell r="I2577" t="str">
            <v>INGREDIENTS</v>
          </cell>
          <cell r="J2577" t="str">
            <v>DLUM</v>
          </cell>
          <cell r="K2577" t="str">
            <v>LACTALIS</v>
          </cell>
          <cell r="L2577" t="str">
            <v>MAURICIO</v>
          </cell>
          <cell r="M2577" t="str">
            <v>JOEL</v>
          </cell>
        </row>
        <row r="2578">
          <cell r="B2578">
            <v>5357099</v>
          </cell>
          <cell r="C2578" t="str">
            <v>BIANCA MORO GALUPPO SILVEIRA 11</v>
          </cell>
          <cell r="D2578" t="str">
            <v>7001</v>
          </cell>
          <cell r="E2578" t="str">
            <v>0749</v>
          </cell>
          <cell r="F2578" t="str">
            <v>C5</v>
          </cell>
          <cell r="G2578" t="str">
            <v>SP</v>
          </cell>
          <cell r="H2578" t="str">
            <v>DISTRIBUIÇÃO</v>
          </cell>
          <cell r="I2578" t="str">
            <v>FOOD SERVICE</v>
          </cell>
          <cell r="J2578" t="str">
            <v>FLAC 10</v>
          </cell>
          <cell r="K2578" t="str">
            <v>LACTALIS</v>
          </cell>
          <cell r="L2578" t="str">
            <v>RODRIGO</v>
          </cell>
          <cell r="M2578" t="str">
            <v>RAQUEL BARBOSA</v>
          </cell>
        </row>
        <row r="2579">
          <cell r="B2579">
            <v>5357220</v>
          </cell>
          <cell r="C2579" t="str">
            <v>SORVETES MELO LTDA</v>
          </cell>
          <cell r="D2579" t="str">
            <v>7001</v>
          </cell>
          <cell r="E2579" t="str">
            <v>0749</v>
          </cell>
          <cell r="F2579" t="str">
            <v>C5</v>
          </cell>
          <cell r="G2579" t="str">
            <v>SP</v>
          </cell>
          <cell r="H2579" t="str">
            <v>DISTRIBUIÇÃO</v>
          </cell>
          <cell r="I2579" t="str">
            <v>FOOD SERVICE</v>
          </cell>
          <cell r="J2579" t="str">
            <v>FLAC 6</v>
          </cell>
          <cell r="K2579" t="str">
            <v>LACTALIS</v>
          </cell>
          <cell r="L2579" t="str">
            <v>RODRIGO</v>
          </cell>
          <cell r="M2579" t="str">
            <v>RAQUEL BARBOSA</v>
          </cell>
        </row>
        <row r="2580">
          <cell r="B2580">
            <v>5128929</v>
          </cell>
          <cell r="C2580" t="str">
            <v>LPATSA ALIM TERC DE SERV ADMIN</v>
          </cell>
          <cell r="D2580" t="str">
            <v>6001</v>
          </cell>
          <cell r="E2580" t="str">
            <v>6127</v>
          </cell>
          <cell r="F2580" t="str">
            <v>C1</v>
          </cell>
          <cell r="G2580" t="str">
            <v>BA</v>
          </cell>
          <cell r="H2580" t="str">
            <v>DISTRIBUIÇÃO</v>
          </cell>
          <cell r="I2580" t="str">
            <v>FOOD SERVICE</v>
          </cell>
          <cell r="J2580" t="str">
            <v>CLAUDIO JORGE/LUIZ</v>
          </cell>
          <cell r="K2580" t="str">
            <v>ITAMBÉ</v>
          </cell>
          <cell r="L2580" t="str">
            <v>RODRIGO</v>
          </cell>
          <cell r="M2580" t="str">
            <v>MARIA LOURDES</v>
          </cell>
        </row>
        <row r="2581">
          <cell r="B2581">
            <v>5214053</v>
          </cell>
          <cell r="C2581" t="str">
            <v>MP MARTINS ALIMENTOS LTDA</v>
          </cell>
          <cell r="D2581" t="str">
            <v>7001</v>
          </cell>
          <cell r="E2581" t="str">
            <v>0756</v>
          </cell>
          <cell r="F2581" t="str">
            <v>C1</v>
          </cell>
          <cell r="G2581" t="str">
            <v>SC</v>
          </cell>
          <cell r="H2581" t="str">
            <v>DISTRIBUIÇÃO</v>
          </cell>
          <cell r="I2581" t="str">
            <v>FOOD SERVICE</v>
          </cell>
          <cell r="J2581" t="str">
            <v>ANGELICA BATISTELA</v>
          </cell>
          <cell r="K2581" t="str">
            <v>LACTALIS</v>
          </cell>
          <cell r="L2581" t="str">
            <v>RODRIGO</v>
          </cell>
          <cell r="M2581" t="str">
            <v>ANGELICA BATISTELA</v>
          </cell>
        </row>
        <row r="2582">
          <cell r="B2582">
            <v>5307722</v>
          </cell>
          <cell r="C2582" t="str">
            <v>SELECTO CACAU IND E COM PR ALIM</v>
          </cell>
          <cell r="D2582" t="str">
            <v>6001</v>
          </cell>
          <cell r="E2582" t="str">
            <v>6028</v>
          </cell>
          <cell r="F2582" t="str">
            <v>C1</v>
          </cell>
          <cell r="G2582" t="str">
            <v>SP</v>
          </cell>
          <cell r="H2582" t="str">
            <v>INGREDIENTS</v>
          </cell>
          <cell r="I2582" t="str">
            <v>INGREDIENTS</v>
          </cell>
          <cell r="J2582" t="str">
            <v>TATIANA NITTA</v>
          </cell>
          <cell r="K2582" t="str">
            <v>ITAMBÉ</v>
          </cell>
          <cell r="L2582" t="str">
            <v>MAURICIO</v>
          </cell>
          <cell r="M2582" t="str">
            <v>TATIANA NITTA</v>
          </cell>
        </row>
        <row r="2583">
          <cell r="B2583">
            <v>5231426</v>
          </cell>
          <cell r="C2583" t="str">
            <v>RC PADARIA E CONFEITARIA LTDA</v>
          </cell>
          <cell r="D2583" t="str">
            <v>7001</v>
          </cell>
          <cell r="E2583" t="str">
            <v>0749</v>
          </cell>
          <cell r="F2583" t="str">
            <v>C5</v>
          </cell>
          <cell r="G2583" t="str">
            <v>SP</v>
          </cell>
          <cell r="H2583" t="str">
            <v>DISTRIBUIÇÃO</v>
          </cell>
          <cell r="I2583" t="str">
            <v>FOOD SERVICE</v>
          </cell>
          <cell r="J2583" t="str">
            <v>FLAC 7</v>
          </cell>
          <cell r="K2583" t="str">
            <v>LACTALIS</v>
          </cell>
          <cell r="L2583" t="str">
            <v>RODRIGO</v>
          </cell>
          <cell r="M2583" t="str">
            <v>RAQUEL BARBOSA</v>
          </cell>
        </row>
        <row r="2584">
          <cell r="B2584">
            <v>5357534</v>
          </cell>
          <cell r="C2584" t="str">
            <v>THE WISH FACTORY LTDA</v>
          </cell>
          <cell r="D2584" t="str">
            <v>7001</v>
          </cell>
          <cell r="E2584" t="str">
            <v>0749</v>
          </cell>
          <cell r="F2584" t="str">
            <v>C5</v>
          </cell>
          <cell r="G2584" t="str">
            <v>SP</v>
          </cell>
          <cell r="H2584" t="str">
            <v>DISTRIBUIÇÃO</v>
          </cell>
          <cell r="I2584" t="str">
            <v>FOOD SERVICE</v>
          </cell>
          <cell r="J2584" t="str">
            <v>FLAC 10</v>
          </cell>
          <cell r="K2584" t="str">
            <v>LACTALIS</v>
          </cell>
          <cell r="L2584" t="str">
            <v>RODRIGO</v>
          </cell>
          <cell r="M2584" t="str">
            <v>RAQUEL BARBOSA</v>
          </cell>
        </row>
        <row r="2585">
          <cell r="B2585">
            <v>5084421</v>
          </cell>
          <cell r="C2585" t="str">
            <v>BONOTTO E COSTA COM ALIMENTOS L</v>
          </cell>
          <cell r="D2585" t="str">
            <v>4001</v>
          </cell>
          <cell r="E2585" t="str">
            <v>0546</v>
          </cell>
          <cell r="F2585" t="str">
            <v>C1</v>
          </cell>
          <cell r="G2585" t="str">
            <v>RS</v>
          </cell>
          <cell r="H2585" t="str">
            <v>DISTRIBUIÇÃO</v>
          </cell>
          <cell r="I2585" t="str">
            <v>FOOD SERVICE</v>
          </cell>
          <cell r="J2585" t="str">
            <v>ANGELICA BATISTELA</v>
          </cell>
          <cell r="K2585" t="str">
            <v>LACTALIS</v>
          </cell>
          <cell r="L2585" t="str">
            <v>RODRIGO</v>
          </cell>
          <cell r="M2585" t="str">
            <v>ANGELICA BATISTELA</v>
          </cell>
        </row>
        <row r="2586">
          <cell r="B2586">
            <v>5338667</v>
          </cell>
          <cell r="C2586" t="str">
            <v>IBAE IND BRASILEIRA DE ALI ESP</v>
          </cell>
          <cell r="D2586" t="str">
            <v>6001</v>
          </cell>
          <cell r="E2586" t="str">
            <v>6028</v>
          </cell>
          <cell r="F2586" t="str">
            <v>C1</v>
          </cell>
          <cell r="G2586" t="str">
            <v>ES</v>
          </cell>
          <cell r="H2586" t="str">
            <v>INGREDIENTS</v>
          </cell>
          <cell r="I2586" t="str">
            <v>INGREDIENTS</v>
          </cell>
          <cell r="J2586" t="str">
            <v>TATIANA NITTA</v>
          </cell>
          <cell r="K2586" t="str">
            <v>ITAMBÉ</v>
          </cell>
          <cell r="L2586" t="str">
            <v>MAURICIO</v>
          </cell>
          <cell r="M2586" t="str">
            <v>TATIANA NITTA</v>
          </cell>
        </row>
        <row r="2587">
          <cell r="B2587">
            <v>5357586</v>
          </cell>
          <cell r="C2587" t="str">
            <v>54760991 MAURISTELLA GOMES DO N</v>
          </cell>
          <cell r="D2587" t="str">
            <v>7001</v>
          </cell>
          <cell r="E2587" t="str">
            <v>0749</v>
          </cell>
          <cell r="F2587" t="str">
            <v>C5</v>
          </cell>
          <cell r="G2587" t="str">
            <v>SP</v>
          </cell>
          <cell r="H2587" t="str">
            <v>DISTRIBUIÇÃO</v>
          </cell>
          <cell r="I2587" t="str">
            <v>FOOD SERVICE</v>
          </cell>
          <cell r="J2587" t="str">
            <v>FLAC 5</v>
          </cell>
          <cell r="K2587" t="str">
            <v>LACTALIS</v>
          </cell>
          <cell r="L2587" t="str">
            <v>RODRIGO</v>
          </cell>
          <cell r="M2587" t="str">
            <v>RAQUEL BARBOSA</v>
          </cell>
        </row>
        <row r="2588">
          <cell r="B2588">
            <v>5261023</v>
          </cell>
          <cell r="C2588" t="str">
            <v>EMPORIO MEGA 100 COMERCIO DE AL</v>
          </cell>
          <cell r="D2588">
            <v>7001</v>
          </cell>
          <cell r="E2588" t="str">
            <v>0749</v>
          </cell>
          <cell r="F2588" t="str">
            <v>C5</v>
          </cell>
          <cell r="G2588" t="str">
            <v>SP</v>
          </cell>
          <cell r="H2588" t="str">
            <v>DISTRIBUIÇÃO</v>
          </cell>
          <cell r="I2588" t="str">
            <v>FOOD SERVICE</v>
          </cell>
          <cell r="J2588" t="str">
            <v>FLAC 1</v>
          </cell>
          <cell r="K2588" t="str">
            <v>LACTALIS</v>
          </cell>
          <cell r="L2588" t="str">
            <v>RODRIGO</v>
          </cell>
          <cell r="M2588" t="str">
            <v>RAQUEL BARBOSA</v>
          </cell>
        </row>
        <row r="2589">
          <cell r="B2589">
            <v>5103562</v>
          </cell>
          <cell r="C2589" t="str">
            <v>ERG DISTRIBUIDORA LTDA</v>
          </cell>
          <cell r="D2589" t="str">
            <v>3001</v>
          </cell>
          <cell r="E2589" t="str">
            <v>0122</v>
          </cell>
          <cell r="F2589" t="str">
            <v>C1</v>
          </cell>
          <cell r="G2589" t="str">
            <v>MG</v>
          </cell>
          <cell r="H2589" t="str">
            <v>DISTRIBUIÇÃO</v>
          </cell>
          <cell r="I2589" t="str">
            <v>FOOD SERVICE</v>
          </cell>
          <cell r="J2589" t="str">
            <v>MARCELO SILVA</v>
          </cell>
          <cell r="K2589" t="str">
            <v>ITAMBÉ</v>
          </cell>
          <cell r="L2589" t="str">
            <v>RODRIGO</v>
          </cell>
          <cell r="M2589" t="str">
            <v>CELIO MARTINS</v>
          </cell>
        </row>
        <row r="2590">
          <cell r="B2590">
            <v>5357567</v>
          </cell>
          <cell r="C2590" t="str">
            <v>GO TWO MKT LTDA</v>
          </cell>
          <cell r="D2590" t="str">
            <v>7001</v>
          </cell>
          <cell r="E2590" t="str">
            <v>0749</v>
          </cell>
          <cell r="F2590" t="str">
            <v>C5</v>
          </cell>
          <cell r="G2590" t="str">
            <v>SP</v>
          </cell>
          <cell r="H2590" t="str">
            <v>DISTRIBUIÇÃO</v>
          </cell>
          <cell r="I2590" t="str">
            <v>FOOD SERVICE</v>
          </cell>
          <cell r="J2590" t="str">
            <v>FLAC 10</v>
          </cell>
          <cell r="K2590" t="str">
            <v>LACTALIS</v>
          </cell>
          <cell r="L2590" t="str">
            <v>RODRIGO</v>
          </cell>
          <cell r="M2590" t="str">
            <v>RAQUEL BARBOSA</v>
          </cell>
        </row>
        <row r="2591">
          <cell r="B2591">
            <v>5357614</v>
          </cell>
          <cell r="C2591" t="str">
            <v>ACAI ISLAND COMERCIO E DISTRIBU</v>
          </cell>
          <cell r="D2591" t="str">
            <v>6001</v>
          </cell>
          <cell r="E2591" t="str">
            <v>6028</v>
          </cell>
          <cell r="F2591" t="str">
            <v>C1</v>
          </cell>
          <cell r="G2591" t="str">
            <v>SP</v>
          </cell>
          <cell r="H2591" t="str">
            <v>INGREDIENTS</v>
          </cell>
          <cell r="I2591" t="str">
            <v>INGREDIENTS</v>
          </cell>
          <cell r="J2591" t="str">
            <v>TATIANA NITTA</v>
          </cell>
          <cell r="K2591" t="str">
            <v>ITAMBÉ</v>
          </cell>
          <cell r="L2591" t="str">
            <v>MAURICIO</v>
          </cell>
          <cell r="M2591" t="str">
            <v>TATIANA NITTA</v>
          </cell>
        </row>
        <row r="2592">
          <cell r="B2592">
            <v>5357101</v>
          </cell>
          <cell r="C2592" t="str">
            <v>57739361 PAULO GUILH MIRANDA DA CRU</v>
          </cell>
          <cell r="D2592">
            <v>7001</v>
          </cell>
          <cell r="E2592" t="str">
            <v>0749</v>
          </cell>
          <cell r="F2592" t="str">
            <v>C5</v>
          </cell>
          <cell r="G2592" t="str">
            <v>SP</v>
          </cell>
          <cell r="H2592" t="str">
            <v>DISTRIBUIÇÃO</v>
          </cell>
          <cell r="I2592" t="str">
            <v>FOOD SERVICE</v>
          </cell>
          <cell r="J2592" t="str">
            <v>FLAC 10</v>
          </cell>
          <cell r="K2592" t="str">
            <v>LACTALIS</v>
          </cell>
          <cell r="L2592" t="str">
            <v>RODRIGO</v>
          </cell>
          <cell r="M2592" t="str">
            <v>RAQUEL BARBOSA</v>
          </cell>
        </row>
        <row r="2593">
          <cell r="B2593">
            <v>5099052</v>
          </cell>
          <cell r="C2593" t="str">
            <v>BORA INDUSTRIA DO BRASIL LTDA</v>
          </cell>
          <cell r="D2593">
            <v>4001</v>
          </cell>
          <cell r="E2593" t="str">
            <v>0455</v>
          </cell>
          <cell r="F2593" t="str">
            <v>C1</v>
          </cell>
          <cell r="G2593" t="str">
            <v>PR</v>
          </cell>
          <cell r="H2593" t="str">
            <v>INGREDIENTS</v>
          </cell>
          <cell r="I2593" t="str">
            <v>INGREDIENTS</v>
          </cell>
          <cell r="J2593" t="str">
            <v>MARCELO RODRIGUES</v>
          </cell>
          <cell r="K2593" t="str">
            <v>LACTALIS</v>
          </cell>
          <cell r="L2593" t="str">
            <v>MAURICIO</v>
          </cell>
          <cell r="M2593" t="str">
            <v>MARCELO</v>
          </cell>
        </row>
        <row r="2594">
          <cell r="B2594">
            <v>5207685</v>
          </cell>
          <cell r="C2594" t="str">
            <v>ESPECIALI INDUSTRIA DE ALIMENTO</v>
          </cell>
          <cell r="D2594" t="str">
            <v>3001</v>
          </cell>
          <cell r="E2594" t="str">
            <v>0028</v>
          </cell>
          <cell r="F2594" t="str">
            <v>C1</v>
          </cell>
          <cell r="G2594" t="str">
            <v>MG</v>
          </cell>
          <cell r="H2594" t="str">
            <v>INGREDIENTS</v>
          </cell>
          <cell r="I2594" t="str">
            <v>INGREDIENTS</v>
          </cell>
          <cell r="J2594" t="str">
            <v>HENRIQUE FERREIRA</v>
          </cell>
          <cell r="K2594" t="str">
            <v>ITAMBÉ</v>
          </cell>
          <cell r="L2594" t="str">
            <v>MAURICIO</v>
          </cell>
          <cell r="M2594" t="str">
            <v>JOEL</v>
          </cell>
        </row>
        <row r="2595">
          <cell r="B2595">
            <v>5353965</v>
          </cell>
          <cell r="C2595" t="str">
            <v>KROKO KIDS ORG DE FEST E LOC DE</v>
          </cell>
          <cell r="D2595" t="str">
            <v>7001</v>
          </cell>
          <cell r="E2595" t="str">
            <v>0749</v>
          </cell>
          <cell r="F2595" t="str">
            <v>C5</v>
          </cell>
          <cell r="G2595" t="str">
            <v>SP</v>
          </cell>
          <cell r="H2595" t="str">
            <v>DISTRIBUIÇÃO</v>
          </cell>
          <cell r="I2595" t="str">
            <v>FOOD SERVICE</v>
          </cell>
          <cell r="J2595" t="str">
            <v>FLAC 10</v>
          </cell>
          <cell r="K2595" t="str">
            <v>LACTALIS</v>
          </cell>
          <cell r="L2595" t="str">
            <v>RODRIGO</v>
          </cell>
          <cell r="M2595" t="str">
            <v>RAQUEL BARBOSA</v>
          </cell>
        </row>
        <row r="2596">
          <cell r="B2596">
            <v>5357100</v>
          </cell>
          <cell r="C2596" t="str">
            <v>LC COFFEE E SNACKS LTDA</v>
          </cell>
          <cell r="D2596" t="str">
            <v>7001</v>
          </cell>
          <cell r="E2596" t="str">
            <v>0749</v>
          </cell>
          <cell r="F2596" t="str">
            <v>C5</v>
          </cell>
          <cell r="G2596" t="str">
            <v>SP</v>
          </cell>
          <cell r="H2596" t="str">
            <v>DISTRIBUIÇÃO</v>
          </cell>
          <cell r="I2596" t="str">
            <v>FOOD SERVICE</v>
          </cell>
          <cell r="J2596" t="str">
            <v>FLAC 10</v>
          </cell>
          <cell r="K2596" t="str">
            <v>LACTALIS</v>
          </cell>
          <cell r="L2596" t="str">
            <v>RODRIGO</v>
          </cell>
          <cell r="M2596" t="str">
            <v>RAQUEL BARBOSA</v>
          </cell>
        </row>
        <row r="2597">
          <cell r="B2597">
            <v>5355684</v>
          </cell>
          <cell r="C2597" t="str">
            <v>MARCIO HENRIQUE GILIOLI 0426382</v>
          </cell>
          <cell r="D2597" t="str">
            <v>7001</v>
          </cell>
          <cell r="E2597" t="str">
            <v>0749</v>
          </cell>
          <cell r="F2597" t="str">
            <v>C5</v>
          </cell>
          <cell r="G2597" t="str">
            <v>SP</v>
          </cell>
          <cell r="H2597" t="str">
            <v>DISTRIBUIÇÃO</v>
          </cell>
          <cell r="I2597" t="str">
            <v>FOOD SERVICE</v>
          </cell>
          <cell r="J2597" t="str">
            <v>FLAC 10</v>
          </cell>
          <cell r="K2597" t="str">
            <v>LACTALIS</v>
          </cell>
          <cell r="L2597" t="str">
            <v>RODRIGO</v>
          </cell>
          <cell r="M2597" t="str">
            <v>RAQUEL BARBOSA</v>
          </cell>
        </row>
        <row r="2598">
          <cell r="B2598">
            <v>5357699</v>
          </cell>
          <cell r="C2598" t="str">
            <v>SCHPANSKI SERVICOS DE ALIMENTAC</v>
          </cell>
          <cell r="D2598" t="str">
            <v>3001</v>
          </cell>
          <cell r="E2598" t="str">
            <v>0028</v>
          </cell>
          <cell r="F2598" t="str">
            <v>C1</v>
          </cell>
          <cell r="G2598" t="str">
            <v>PR</v>
          </cell>
          <cell r="H2598" t="str">
            <v>INGREDIENTS</v>
          </cell>
          <cell r="I2598" t="str">
            <v>INGREDIENTS</v>
          </cell>
          <cell r="J2598" t="str">
            <v>MARCELO RODRIGUES</v>
          </cell>
          <cell r="K2598" t="str">
            <v>ITAMBÉ</v>
          </cell>
          <cell r="L2598" t="str">
            <v>MAURICIO</v>
          </cell>
          <cell r="M2598" t="str">
            <v>MARCELO</v>
          </cell>
        </row>
        <row r="2599">
          <cell r="B2599">
            <v>5249249</v>
          </cell>
          <cell r="C2599" t="str">
            <v>SAX HOTEIS LTDA</v>
          </cell>
          <cell r="D2599">
            <v>7001</v>
          </cell>
          <cell r="E2599" t="str">
            <v>0749</v>
          </cell>
          <cell r="F2599" t="str">
            <v>C5</v>
          </cell>
          <cell r="G2599" t="str">
            <v>SP</v>
          </cell>
          <cell r="H2599" t="str">
            <v>DISTRIBUIÇÃO</v>
          </cell>
          <cell r="I2599" t="str">
            <v>FOOD SERVICE</v>
          </cell>
          <cell r="J2599" t="str">
            <v>FLAC 6</v>
          </cell>
          <cell r="K2599" t="str">
            <v>LACTALIS</v>
          </cell>
          <cell r="L2599" t="str">
            <v>RODRIGO</v>
          </cell>
          <cell r="M2599" t="str">
            <v>RAQUEL BARBOSA</v>
          </cell>
        </row>
        <row r="2600">
          <cell r="B2600">
            <v>5161950</v>
          </cell>
          <cell r="C2600" t="str">
            <v>SEM LIMITE DIST DE ALIMENTOS LTDA</v>
          </cell>
          <cell r="D2600">
            <v>3001</v>
          </cell>
          <cell r="E2600" t="str">
            <v>0122</v>
          </cell>
          <cell r="F2600" t="str">
            <v>C1</v>
          </cell>
          <cell r="G2600" t="str">
            <v>MG</v>
          </cell>
          <cell r="H2600" t="str">
            <v>DISTRIBUIÇÃO</v>
          </cell>
          <cell r="I2600" t="str">
            <v>FOOD SERVICE</v>
          </cell>
          <cell r="J2600" t="str">
            <v>MARCELO SILVA</v>
          </cell>
          <cell r="K2600" t="str">
            <v>ITAMBÉ</v>
          </cell>
          <cell r="L2600" t="str">
            <v>RODRIGO</v>
          </cell>
          <cell r="M2600" t="str">
            <v>CELIO MARTINS</v>
          </cell>
        </row>
        <row r="2601">
          <cell r="B2601">
            <v>5019640</v>
          </cell>
          <cell r="C2601" t="str">
            <v>BIG CHURROS DE PIRACICABA LTDA</v>
          </cell>
          <cell r="D2601" t="str">
            <v>7001</v>
          </cell>
          <cell r="E2601" t="str">
            <v>0722</v>
          </cell>
          <cell r="F2601" t="str">
            <v>C1</v>
          </cell>
          <cell r="G2601" t="str">
            <v>SP</v>
          </cell>
          <cell r="H2601" t="str">
            <v>INGREDIENTS</v>
          </cell>
          <cell r="I2601" t="str">
            <v>INGREDIENTS</v>
          </cell>
          <cell r="J2601" t="str">
            <v>HENRIQUE FERREIRA</v>
          </cell>
          <cell r="K2601" t="str">
            <v>LACTALIS</v>
          </cell>
          <cell r="L2601" t="str">
            <v>MAURICIO</v>
          </cell>
          <cell r="M2601" t="str">
            <v>JOEL</v>
          </cell>
        </row>
        <row r="2602">
          <cell r="B2602">
            <v>5158121</v>
          </cell>
          <cell r="C2602" t="str">
            <v>DIHELO ALIMENTOS LTDA</v>
          </cell>
          <cell r="D2602" t="str">
            <v>3001</v>
          </cell>
          <cell r="E2602" t="str">
            <v>0126</v>
          </cell>
          <cell r="F2602" t="str">
            <v>C1</v>
          </cell>
          <cell r="G2602" t="str">
            <v>SC</v>
          </cell>
          <cell r="H2602" t="str">
            <v>INGREDIENTS</v>
          </cell>
          <cell r="I2602" t="str">
            <v>INGREDIENTS</v>
          </cell>
          <cell r="J2602" t="str">
            <v>JOEL ELEOTÉRIO</v>
          </cell>
          <cell r="K2602" t="str">
            <v>ITAMBÉ</v>
          </cell>
          <cell r="L2602" t="str">
            <v>MAURICIO</v>
          </cell>
          <cell r="M2602" t="str">
            <v>JOEL</v>
          </cell>
        </row>
        <row r="2603">
          <cell r="B2603">
            <v>5220056</v>
          </cell>
          <cell r="C2603" t="str">
            <v>CAFE ITAPEVA LTDA</v>
          </cell>
          <cell r="D2603" t="str">
            <v>7001</v>
          </cell>
          <cell r="E2603" t="str">
            <v>0749</v>
          </cell>
          <cell r="F2603" t="str">
            <v>C5</v>
          </cell>
          <cell r="G2603" t="str">
            <v>SP</v>
          </cell>
          <cell r="H2603" t="str">
            <v>DISTRIBUIÇÃO</v>
          </cell>
          <cell r="I2603" t="str">
            <v>FOOD SERVICE</v>
          </cell>
          <cell r="J2603" t="str">
            <v>FLAC 5</v>
          </cell>
          <cell r="K2603" t="str">
            <v>LACTALIS</v>
          </cell>
          <cell r="L2603" t="str">
            <v>RODRIGO</v>
          </cell>
          <cell r="M2603" t="str">
            <v>RAQUEL BARBOSA</v>
          </cell>
        </row>
        <row r="2604">
          <cell r="B2604">
            <v>5230041</v>
          </cell>
          <cell r="C2604" t="str">
            <v>LATICINIOS REZENDE LTDA</v>
          </cell>
          <cell r="D2604" t="str">
            <v>3001</v>
          </cell>
          <cell r="E2604" t="str">
            <v>0028</v>
          </cell>
          <cell r="F2604" t="str">
            <v>C1</v>
          </cell>
          <cell r="G2604" t="str">
            <v>MG</v>
          </cell>
          <cell r="H2604" t="str">
            <v>INGREDIENTS</v>
          </cell>
          <cell r="I2604" t="str">
            <v>INGREDIENTS</v>
          </cell>
          <cell r="J2604" t="str">
            <v>JOEL ELEOTÉRIO</v>
          </cell>
          <cell r="K2604" t="str">
            <v>ITAMBÉ</v>
          </cell>
          <cell r="L2604" t="str">
            <v>MAURICIO</v>
          </cell>
          <cell r="M2604" t="str">
            <v>JOEL</v>
          </cell>
        </row>
        <row r="2605">
          <cell r="B2605">
            <v>5319562</v>
          </cell>
          <cell r="C2605" t="str">
            <v>FUTURA GASTRONOMIA S A</v>
          </cell>
          <cell r="D2605" t="str">
            <v>7001</v>
          </cell>
          <cell r="E2605" t="str">
            <v>0749</v>
          </cell>
          <cell r="F2605" t="str">
            <v>C5</v>
          </cell>
          <cell r="G2605" t="str">
            <v>SP</v>
          </cell>
          <cell r="H2605" t="str">
            <v>DISTRIBUIÇÃO</v>
          </cell>
          <cell r="I2605" t="str">
            <v>FOOD SERVICE</v>
          </cell>
          <cell r="J2605" t="str">
            <v>FLAC 5</v>
          </cell>
          <cell r="K2605" t="str">
            <v>LACTALIS</v>
          </cell>
          <cell r="L2605" t="str">
            <v>RODRIGO</v>
          </cell>
          <cell r="M2605" t="str">
            <v>RAQUEL BARBOSA</v>
          </cell>
        </row>
        <row r="2606">
          <cell r="B2606">
            <v>5357859</v>
          </cell>
          <cell r="C2606" t="str">
            <v>PLANAR CONSULTORIA E INVESTIMEN</v>
          </cell>
          <cell r="D2606" t="str">
            <v>7001</v>
          </cell>
          <cell r="E2606" t="str">
            <v>0749</v>
          </cell>
          <cell r="F2606" t="str">
            <v>C5</v>
          </cell>
          <cell r="G2606" t="str">
            <v>SP</v>
          </cell>
          <cell r="H2606" t="str">
            <v>DISTRIBUIÇÃO</v>
          </cell>
          <cell r="I2606" t="str">
            <v>FOOD SERVICE</v>
          </cell>
          <cell r="J2606" t="str">
            <v>FLAC 5</v>
          </cell>
          <cell r="K2606" t="str">
            <v>LACTALIS</v>
          </cell>
          <cell r="L2606" t="str">
            <v>RODRIGO</v>
          </cell>
          <cell r="M2606" t="str">
            <v>RAQUEL BARBOSA</v>
          </cell>
        </row>
        <row r="2607">
          <cell r="B2607">
            <v>5357894</v>
          </cell>
          <cell r="C2607" t="str">
            <v>MINI MERCADINHO SILVA LTDA</v>
          </cell>
          <cell r="D2607" t="str">
            <v>7001</v>
          </cell>
          <cell r="E2607" t="str">
            <v>0749</v>
          </cell>
          <cell r="F2607" t="str">
            <v>C5</v>
          </cell>
          <cell r="G2607" t="str">
            <v>SP</v>
          </cell>
          <cell r="H2607" t="str">
            <v>DISTRIBUIÇÃO</v>
          </cell>
          <cell r="I2607" t="str">
            <v>FOOD SERVICE</v>
          </cell>
          <cell r="J2607" t="str">
            <v>FLAC 2</v>
          </cell>
          <cell r="K2607" t="str">
            <v>LACTALIS</v>
          </cell>
          <cell r="L2607" t="str">
            <v>RODRIGO</v>
          </cell>
          <cell r="M2607" t="str">
            <v>RAQUEL BARBOSA</v>
          </cell>
        </row>
        <row r="2608">
          <cell r="B2608">
            <v>5233735</v>
          </cell>
          <cell r="C2608" t="str">
            <v>IND MATSUBARA DE PROD ALIMENTIC</v>
          </cell>
          <cell r="D2608" t="str">
            <v>3001</v>
          </cell>
          <cell r="E2608" t="str">
            <v>0127</v>
          </cell>
          <cell r="F2608" t="str">
            <v>C1</v>
          </cell>
          <cell r="G2608" t="str">
            <v>AL</v>
          </cell>
          <cell r="H2608" t="str">
            <v>INGREDIENTS</v>
          </cell>
          <cell r="I2608" t="str">
            <v>INGREDIENTS</v>
          </cell>
          <cell r="J2608" t="str">
            <v>JOEL ELEOTÉRIO</v>
          </cell>
          <cell r="K2608" t="str">
            <v>ITAMBÉ</v>
          </cell>
          <cell r="L2608" t="str">
            <v>MAURICIO</v>
          </cell>
          <cell r="M2608" t="str">
            <v>JOEL</v>
          </cell>
        </row>
        <row r="2609">
          <cell r="B2609">
            <v>5285875</v>
          </cell>
          <cell r="C2609" t="str">
            <v>RAINER E RAINER ARMAZEM LTDA ME</v>
          </cell>
          <cell r="D2609" t="str">
            <v>7001</v>
          </cell>
          <cell r="E2609" t="str">
            <v>0749</v>
          </cell>
          <cell r="F2609" t="str">
            <v>C5</v>
          </cell>
          <cell r="G2609" t="str">
            <v>SP</v>
          </cell>
          <cell r="H2609" t="str">
            <v>DISTRIBUIÇÃO</v>
          </cell>
          <cell r="I2609" t="str">
            <v>FOOD SERVICE</v>
          </cell>
          <cell r="J2609" t="str">
            <v>FLAC 2</v>
          </cell>
          <cell r="K2609" t="str">
            <v>LACTALIS</v>
          </cell>
          <cell r="L2609" t="str">
            <v>RODRIGO</v>
          </cell>
          <cell r="M2609" t="str">
            <v>RAQUEL BARBOSA</v>
          </cell>
        </row>
        <row r="2610">
          <cell r="B2610">
            <v>5357695</v>
          </cell>
          <cell r="C2610" t="str">
            <v>JESSICA TORRES 35866196859</v>
          </cell>
          <cell r="D2610" t="str">
            <v>7001</v>
          </cell>
          <cell r="E2610" t="str">
            <v>0749</v>
          </cell>
          <cell r="F2610" t="str">
            <v>C5</v>
          </cell>
          <cell r="G2610" t="str">
            <v>SP</v>
          </cell>
          <cell r="H2610" t="str">
            <v>DISTRIBUIÇÃO</v>
          </cell>
          <cell r="I2610" t="str">
            <v>FOOD SERVICE</v>
          </cell>
          <cell r="J2610" t="str">
            <v>FLAC 6</v>
          </cell>
          <cell r="K2610" t="str">
            <v>LACTALIS</v>
          </cell>
          <cell r="L2610" t="str">
            <v>RODRIGO</v>
          </cell>
          <cell r="M2610" t="str">
            <v>RAQUEL BARBOSA</v>
          </cell>
        </row>
        <row r="2611">
          <cell r="B2611">
            <v>5357959</v>
          </cell>
          <cell r="C2611" t="str">
            <v>LANCHONETE BARRACA DA LU LU LTD</v>
          </cell>
          <cell r="D2611" t="str">
            <v>7001</v>
          </cell>
          <cell r="E2611" t="str">
            <v>0749</v>
          </cell>
          <cell r="F2611" t="str">
            <v>C5</v>
          </cell>
          <cell r="G2611" t="str">
            <v>SP</v>
          </cell>
          <cell r="H2611" t="str">
            <v>DISTRIBUIÇÃO</v>
          </cell>
          <cell r="I2611" t="str">
            <v>FOOD SERVICE</v>
          </cell>
          <cell r="J2611" t="str">
            <v>FLAC 10</v>
          </cell>
          <cell r="K2611" t="str">
            <v>LACTALIS</v>
          </cell>
          <cell r="L2611" t="str">
            <v>RODRIGO</v>
          </cell>
          <cell r="M2611" t="str">
            <v>RAQUEL BARBOSA</v>
          </cell>
        </row>
        <row r="2612">
          <cell r="B2612">
            <v>5007304</v>
          </cell>
          <cell r="C2612" t="str">
            <v>WWW BIGSTORE COM DE MINIATURAS</v>
          </cell>
          <cell r="D2612" t="str">
            <v>7001</v>
          </cell>
          <cell r="E2612" t="str">
            <v>0739</v>
          </cell>
          <cell r="F2612" t="str">
            <v>C1</v>
          </cell>
          <cell r="G2612" t="str">
            <v>RJ</v>
          </cell>
          <cell r="H2612" t="str">
            <v>DISTRIBUIÇÃO</v>
          </cell>
          <cell r="I2612" t="str">
            <v>FOOD SERVICE</v>
          </cell>
          <cell r="J2612" t="str">
            <v>JULIANA CORDEIRO</v>
          </cell>
          <cell r="K2612" t="str">
            <v>LACTALIS</v>
          </cell>
          <cell r="L2612" t="str">
            <v>RODRIGO</v>
          </cell>
          <cell r="M2612" t="str">
            <v>JESSICA</v>
          </cell>
        </row>
        <row r="2613">
          <cell r="B2613">
            <v>5204041</v>
          </cell>
          <cell r="C2613" t="str">
            <v>CAUCASUS RESTAURANTES LTDA</v>
          </cell>
          <cell r="D2613" t="str">
            <v>7001</v>
          </cell>
          <cell r="E2613" t="str">
            <v>0722</v>
          </cell>
          <cell r="F2613" t="str">
            <v>C1</v>
          </cell>
          <cell r="G2613" t="str">
            <v>SP</v>
          </cell>
          <cell r="H2613" t="str">
            <v>QSR</v>
          </cell>
          <cell r="I2613" t="str">
            <v>FOOD SERVICE</v>
          </cell>
          <cell r="J2613" t="str">
            <v>ANA MENIQUETE</v>
          </cell>
          <cell r="K2613" t="str">
            <v>LACTALIS</v>
          </cell>
          <cell r="L2613" t="str">
            <v>PEDRO</v>
          </cell>
          <cell r="M2613" t="str">
            <v>ANA MENIQUETE</v>
          </cell>
        </row>
        <row r="2614">
          <cell r="B2614">
            <v>5221294</v>
          </cell>
          <cell r="C2614" t="str">
            <v>HOTELARIA ACCOR BRASIL SA</v>
          </cell>
          <cell r="D2614" t="str">
            <v>7001</v>
          </cell>
          <cell r="E2614" t="str">
            <v>0749</v>
          </cell>
          <cell r="F2614" t="str">
            <v>C5</v>
          </cell>
          <cell r="G2614" t="str">
            <v>SP</v>
          </cell>
          <cell r="H2614" t="str">
            <v>DISTRIBUIÇÃO</v>
          </cell>
          <cell r="I2614" t="str">
            <v>FOOD SERVICE</v>
          </cell>
          <cell r="J2614" t="str">
            <v>FLAC 5</v>
          </cell>
          <cell r="K2614" t="str">
            <v>LACTALIS</v>
          </cell>
          <cell r="L2614" t="str">
            <v>RODRIGO</v>
          </cell>
          <cell r="M2614" t="str">
            <v>RAQUEL BARBOSA</v>
          </cell>
        </row>
        <row r="2615">
          <cell r="B2615">
            <v>5231829</v>
          </cell>
          <cell r="C2615" t="str">
            <v>SEM LIMITE DIST DE ALIMENTOS LT</v>
          </cell>
          <cell r="D2615" t="str">
            <v>3001</v>
          </cell>
          <cell r="E2615" t="str">
            <v>0122</v>
          </cell>
          <cell r="F2615" t="str">
            <v>C1</v>
          </cell>
          <cell r="G2615" t="str">
            <v>MG</v>
          </cell>
          <cell r="H2615" t="str">
            <v>DISTRIBUIÇÃO</v>
          </cell>
          <cell r="I2615" t="str">
            <v>FOOD SERVICE</v>
          </cell>
          <cell r="J2615" t="str">
            <v>MARCELO SILVA</v>
          </cell>
          <cell r="K2615" t="str">
            <v>ITAMBÉ</v>
          </cell>
          <cell r="L2615" t="str">
            <v>RODRIGO</v>
          </cell>
          <cell r="M2615" t="str">
            <v>CELIO MARTINS</v>
          </cell>
        </row>
        <row r="2616">
          <cell r="B2616">
            <v>5358039</v>
          </cell>
          <cell r="C2616" t="str">
            <v>ANDREIA MIGLIORELI DE MORAES SA</v>
          </cell>
          <cell r="D2616" t="str">
            <v>6001</v>
          </cell>
          <cell r="E2616" t="str">
            <v>6028</v>
          </cell>
          <cell r="F2616" t="str">
            <v>C1</v>
          </cell>
          <cell r="G2616" t="str">
            <v>SP</v>
          </cell>
          <cell r="H2616" t="str">
            <v>INGREDIENTS</v>
          </cell>
          <cell r="I2616" t="str">
            <v>INGREDIENTS</v>
          </cell>
          <cell r="J2616" t="str">
            <v>DUAS RODAS</v>
          </cell>
          <cell r="K2616" t="str">
            <v>ITAMBÉ</v>
          </cell>
          <cell r="L2616" t="str">
            <v>MAURICIO</v>
          </cell>
          <cell r="M2616" t="str">
            <v>TATIANA NITTA</v>
          </cell>
        </row>
        <row r="2617">
          <cell r="B2617">
            <v>5192480</v>
          </cell>
          <cell r="C2617" t="str">
            <v>RALSKI RESTAURANTES LTDA</v>
          </cell>
          <cell r="D2617" t="str">
            <v>7001</v>
          </cell>
          <cell r="E2617" t="str">
            <v>0722</v>
          </cell>
          <cell r="F2617" t="str">
            <v>C1</v>
          </cell>
          <cell r="G2617" t="str">
            <v>SP</v>
          </cell>
          <cell r="H2617" t="str">
            <v>QSR</v>
          </cell>
          <cell r="I2617" t="str">
            <v>FOOD SERVICE</v>
          </cell>
          <cell r="J2617" t="str">
            <v>ANA MENIQUETE</v>
          </cell>
          <cell r="K2617" t="str">
            <v>LACTALIS</v>
          </cell>
          <cell r="L2617" t="str">
            <v>PEDRO</v>
          </cell>
          <cell r="M2617" t="str">
            <v>ANA MENIQUETE</v>
          </cell>
        </row>
        <row r="2618">
          <cell r="B2618">
            <v>5207341</v>
          </cell>
          <cell r="C2618" t="str">
            <v>ALIMENTOS PORTIOLI LTDA</v>
          </cell>
          <cell r="D2618" t="str">
            <v>7001</v>
          </cell>
          <cell r="E2618" t="str">
            <v>0749</v>
          </cell>
          <cell r="F2618" t="str">
            <v>C5</v>
          </cell>
          <cell r="G2618" t="str">
            <v>SP</v>
          </cell>
          <cell r="H2618" t="str">
            <v>DISTRIBUIÇÃO</v>
          </cell>
          <cell r="I2618" t="str">
            <v>FOOD SERVICE</v>
          </cell>
          <cell r="J2618" t="str">
            <v>FLAC 8</v>
          </cell>
          <cell r="K2618" t="str">
            <v>LACTALIS</v>
          </cell>
          <cell r="L2618" t="str">
            <v>RODRIGO</v>
          </cell>
          <cell r="M2618" t="str">
            <v>RAQUEL BARBOSA</v>
          </cell>
        </row>
        <row r="2619">
          <cell r="B2619">
            <v>5331617</v>
          </cell>
          <cell r="C2619" t="str">
            <v>BEATRIZ N PILLON VIZIOLLI 33371</v>
          </cell>
          <cell r="D2619" t="str">
            <v>7001</v>
          </cell>
          <cell r="E2619" t="str">
            <v>0749</v>
          </cell>
          <cell r="F2619" t="str">
            <v>C5</v>
          </cell>
          <cell r="G2619" t="str">
            <v>SP</v>
          </cell>
          <cell r="H2619" t="str">
            <v>DISTRIBUIÇÃO</v>
          </cell>
          <cell r="I2619" t="str">
            <v>FOOD SERVICE</v>
          </cell>
          <cell r="J2619" t="str">
            <v>FLAC 2</v>
          </cell>
          <cell r="K2619" t="str">
            <v>LACTALIS</v>
          </cell>
          <cell r="L2619" t="str">
            <v>RODRIGO</v>
          </cell>
          <cell r="M2619" t="str">
            <v>RAQUEL BARBOSA</v>
          </cell>
        </row>
        <row r="2620">
          <cell r="B2620">
            <v>5354650</v>
          </cell>
          <cell r="C2620" t="str">
            <v>ARMAZEM MATEUS SA</v>
          </cell>
          <cell r="D2620" t="str">
            <v>3001</v>
          </cell>
          <cell r="E2620" t="str">
            <v>0128</v>
          </cell>
          <cell r="F2620" t="str">
            <v>C1</v>
          </cell>
          <cell r="G2620" t="str">
            <v>MA</v>
          </cell>
          <cell r="H2620" t="str">
            <v>DISTRIBUIÇÃO</v>
          </cell>
          <cell r="I2620" t="str">
            <v>FOOD SERVICE</v>
          </cell>
          <cell r="J2620" t="str">
            <v>CLAUDIO JORGE</v>
          </cell>
          <cell r="K2620" t="str">
            <v>ITAMBÉ</v>
          </cell>
          <cell r="L2620" t="str">
            <v>RODRIGO</v>
          </cell>
          <cell r="M2620" t="str">
            <v>MARCO AURELIO</v>
          </cell>
        </row>
        <row r="2621">
          <cell r="B2621">
            <v>5358021</v>
          </cell>
          <cell r="C2621" t="str">
            <v>VAM REFEICOES E EVENTOS LTDA</v>
          </cell>
          <cell r="D2621" t="str">
            <v>7001</v>
          </cell>
          <cell r="E2621" t="str">
            <v>0749</v>
          </cell>
          <cell r="F2621" t="str">
            <v>C5</v>
          </cell>
          <cell r="G2621" t="str">
            <v>SP</v>
          </cell>
          <cell r="H2621" t="str">
            <v>DISTRIBUIÇÃO</v>
          </cell>
          <cell r="I2621" t="str">
            <v>FOOD SERVICE</v>
          </cell>
          <cell r="J2621" t="str">
            <v>FLAC 10</v>
          </cell>
          <cell r="K2621" t="str">
            <v>LACTALIS</v>
          </cell>
          <cell r="L2621" t="str">
            <v>RODRIGO</v>
          </cell>
          <cell r="M2621" t="str">
            <v>RAQUEL BARBOSA</v>
          </cell>
        </row>
        <row r="2622">
          <cell r="B2622">
            <v>5355052</v>
          </cell>
          <cell r="C2622" t="str">
            <v>MATEUS FOOD LTDA</v>
          </cell>
          <cell r="D2622" t="str">
            <v>3001</v>
          </cell>
          <cell r="E2622" t="str">
            <v>0128</v>
          </cell>
          <cell r="F2622" t="str">
            <v>C1</v>
          </cell>
          <cell r="G2622" t="str">
            <v>MA</v>
          </cell>
          <cell r="H2622" t="str">
            <v>DISTRIBUIÇÃO</v>
          </cell>
          <cell r="I2622" t="str">
            <v>FOOD SERVICE</v>
          </cell>
          <cell r="J2622" t="str">
            <v>CLAUDIO JORGE</v>
          </cell>
          <cell r="K2622" t="str">
            <v>ITAMBÉ</v>
          </cell>
          <cell r="L2622" t="str">
            <v>RODRIGO</v>
          </cell>
          <cell r="M2622" t="str">
            <v>MARCO AURELIO</v>
          </cell>
        </row>
        <row r="2623">
          <cell r="B2623">
            <v>5131510</v>
          </cell>
          <cell r="C2623" t="str">
            <v>A T OLIVEIRA E CIA LTDA ME</v>
          </cell>
          <cell r="D2623" t="str">
            <v>3001</v>
          </cell>
          <cell r="E2623" t="str">
            <v>0126</v>
          </cell>
          <cell r="F2623" t="str">
            <v>C1</v>
          </cell>
          <cell r="G2623" t="str">
            <v>PR</v>
          </cell>
          <cell r="H2623" t="str">
            <v>DISTRIBUIÇÃO</v>
          </cell>
          <cell r="I2623" t="str">
            <v>FOOD SERVICE</v>
          </cell>
          <cell r="J2623" t="str">
            <v>ANGELICA BATISTELA</v>
          </cell>
          <cell r="K2623" t="str">
            <v>ITAMBÉ</v>
          </cell>
          <cell r="L2623" t="str">
            <v>RODRIGO</v>
          </cell>
          <cell r="M2623" t="str">
            <v>ANGELICA BATISTELA</v>
          </cell>
        </row>
        <row r="2624">
          <cell r="B2624">
            <v>5190845</v>
          </cell>
          <cell r="C2624" t="str">
            <v>DENGO CHOCOLATES SA</v>
          </cell>
          <cell r="D2624" t="str">
            <v>6001</v>
          </cell>
          <cell r="E2624" t="str">
            <v>6028</v>
          </cell>
          <cell r="F2624" t="str">
            <v>C1</v>
          </cell>
          <cell r="G2624" t="str">
            <v>SP</v>
          </cell>
          <cell r="H2624" t="str">
            <v>INGREDIENTS</v>
          </cell>
          <cell r="I2624" t="str">
            <v>INGREDIENTS</v>
          </cell>
          <cell r="J2624" t="str">
            <v>HENRIQUE FERREIRA</v>
          </cell>
          <cell r="K2624" t="str">
            <v>ITAMBÉ</v>
          </cell>
          <cell r="L2624" t="str">
            <v>MAURICIO</v>
          </cell>
          <cell r="M2624" t="str">
            <v>JOEL</v>
          </cell>
        </row>
        <row r="2625">
          <cell r="B2625">
            <v>5232803</v>
          </cell>
          <cell r="C2625" t="str">
            <v>L GONZAGA MIX AMBIENTAL</v>
          </cell>
          <cell r="D2625" t="str">
            <v>4001</v>
          </cell>
          <cell r="E2625" t="str">
            <v>0437</v>
          </cell>
          <cell r="F2625" t="str">
            <v>C1</v>
          </cell>
          <cell r="G2625" t="str">
            <v>SP</v>
          </cell>
          <cell r="H2625" t="str">
            <v>INGREDIENTS</v>
          </cell>
          <cell r="I2625" t="str">
            <v>INGREDIENTS</v>
          </cell>
          <cell r="J2625" t="str">
            <v>HENRIQUE FERREIRA</v>
          </cell>
          <cell r="K2625" t="str">
            <v>LACTALIS</v>
          </cell>
          <cell r="L2625" t="str">
            <v>MAURICIO</v>
          </cell>
          <cell r="M2625" t="str">
            <v>JOEL</v>
          </cell>
        </row>
        <row r="2626">
          <cell r="B2626">
            <v>5358334</v>
          </cell>
          <cell r="C2626" t="str">
            <v>FMZ FABRICA DE PAES E DERIVADOS</v>
          </cell>
          <cell r="D2626" t="str">
            <v>7001</v>
          </cell>
          <cell r="E2626" t="str">
            <v>0749</v>
          </cell>
          <cell r="F2626" t="str">
            <v>C5</v>
          </cell>
          <cell r="G2626" t="str">
            <v>SP</v>
          </cell>
          <cell r="H2626" t="str">
            <v>DISTRIBUIÇÃO</v>
          </cell>
          <cell r="I2626" t="str">
            <v>FOOD SERVICE</v>
          </cell>
          <cell r="J2626" t="str">
            <v>FLAC 5</v>
          </cell>
          <cell r="K2626" t="str">
            <v>LACTALIS</v>
          </cell>
          <cell r="L2626" t="str">
            <v>RODRIGO</v>
          </cell>
          <cell r="M2626" t="str">
            <v>RAQUEL BARBOSA</v>
          </cell>
        </row>
        <row r="2627">
          <cell r="B2627">
            <v>5357510</v>
          </cell>
          <cell r="C2627" t="str">
            <v>29185590 JOAO CARLOS ALVES DE SALES</v>
          </cell>
          <cell r="D2627">
            <v>7001</v>
          </cell>
          <cell r="E2627" t="str">
            <v>0749</v>
          </cell>
          <cell r="F2627" t="str">
            <v>C5</v>
          </cell>
          <cell r="G2627" t="str">
            <v>SP</v>
          </cell>
          <cell r="H2627" t="str">
            <v>DISTRIBUIÇÃO</v>
          </cell>
          <cell r="I2627" t="str">
            <v>FOOD SERVICE</v>
          </cell>
          <cell r="J2627" t="str">
            <v>FLAC 10</v>
          </cell>
          <cell r="K2627" t="str">
            <v>LACTALIS</v>
          </cell>
          <cell r="L2627" t="str">
            <v>RODRIGO</v>
          </cell>
          <cell r="M2627" t="str">
            <v>RAQUEL BARBOSA</v>
          </cell>
        </row>
        <row r="2628">
          <cell r="B2628">
            <v>5259495</v>
          </cell>
          <cell r="C2628" t="str">
            <v>CESTAS SOFISTICADAS ALIM E PRESENT</v>
          </cell>
          <cell r="D2628">
            <v>7001</v>
          </cell>
          <cell r="E2628" t="str">
            <v>0749</v>
          </cell>
          <cell r="F2628" t="str">
            <v>C5</v>
          </cell>
          <cell r="G2628" t="str">
            <v>SP</v>
          </cell>
          <cell r="H2628" t="str">
            <v>DISTRIBUIÇÃO</v>
          </cell>
          <cell r="I2628" t="str">
            <v>FOOD SERVICE</v>
          </cell>
          <cell r="J2628" t="str">
            <v>FLAC 1</v>
          </cell>
          <cell r="K2628" t="str">
            <v>LACTALIS</v>
          </cell>
          <cell r="L2628" t="str">
            <v>RODRIGO</v>
          </cell>
          <cell r="M2628" t="str">
            <v>RAQUEL BARBOSA</v>
          </cell>
        </row>
        <row r="2629">
          <cell r="B2629">
            <v>5010911</v>
          </cell>
          <cell r="C2629" t="str">
            <v>VAPZA ALIMENTOS SA</v>
          </cell>
          <cell r="D2629" t="str">
            <v>4001</v>
          </cell>
          <cell r="E2629" t="str">
            <v>0455</v>
          </cell>
          <cell r="F2629" t="str">
            <v>C1</v>
          </cell>
          <cell r="G2629" t="str">
            <v>PR</v>
          </cell>
          <cell r="H2629" t="str">
            <v>INGREDIENTS</v>
          </cell>
          <cell r="I2629" t="str">
            <v>INGREDIENTS</v>
          </cell>
          <cell r="J2629" t="str">
            <v>MARCELO RODRIGUES</v>
          </cell>
          <cell r="K2629" t="str">
            <v>LACTALIS</v>
          </cell>
          <cell r="L2629" t="str">
            <v>MAURICIO</v>
          </cell>
          <cell r="M2629" t="str">
            <v>MARCELO</v>
          </cell>
        </row>
        <row r="2630">
          <cell r="B2630">
            <v>5069172</v>
          </cell>
          <cell r="C2630" t="str">
            <v>SANNA COMERCIO DE ALIMENTOS LTDA</v>
          </cell>
          <cell r="D2630" t="str">
            <v>7001</v>
          </cell>
          <cell r="E2630" t="str">
            <v>0749</v>
          </cell>
          <cell r="F2630" t="str">
            <v>C5</v>
          </cell>
          <cell r="G2630" t="str">
            <v>SP</v>
          </cell>
          <cell r="H2630" t="str">
            <v>DISTRIBUIÇÃO</v>
          </cell>
          <cell r="I2630" t="str">
            <v>FOOD SERVICE</v>
          </cell>
          <cell r="J2630" t="str">
            <v>FLAC 8</v>
          </cell>
          <cell r="K2630" t="str">
            <v>LACTALIS</v>
          </cell>
          <cell r="L2630" t="str">
            <v>RODRIGO</v>
          </cell>
          <cell r="M2630" t="str">
            <v>RAQUEL BARBOSA</v>
          </cell>
        </row>
        <row r="2631">
          <cell r="B2631">
            <v>5162170</v>
          </cell>
          <cell r="C2631" t="str">
            <v>DAN VIGOR IND E COM DE LATICINIOS L</v>
          </cell>
          <cell r="D2631" t="str">
            <v>3001</v>
          </cell>
          <cell r="E2631" t="str">
            <v>0028</v>
          </cell>
          <cell r="F2631" t="str">
            <v>C1</v>
          </cell>
          <cell r="G2631" t="str">
            <v>SP</v>
          </cell>
          <cell r="H2631" t="str">
            <v>INGREDIENTS</v>
          </cell>
          <cell r="I2631" t="str">
            <v>INGREDIENTS</v>
          </cell>
          <cell r="J2631" t="str">
            <v>JOEL ELEOTÉRIO</v>
          </cell>
          <cell r="K2631" t="str">
            <v>ITAMBÉ</v>
          </cell>
          <cell r="L2631" t="str">
            <v>MAURICIO</v>
          </cell>
          <cell r="M2631" t="str">
            <v>JOEL</v>
          </cell>
        </row>
        <row r="2632">
          <cell r="B2632">
            <v>5357700</v>
          </cell>
          <cell r="C2632" t="str">
            <v>NOVA ERA COMERCIAL DE ALIMEN LTDA</v>
          </cell>
          <cell r="D2632" t="str">
            <v>6001</v>
          </cell>
          <cell r="E2632" t="str">
            <v>6127</v>
          </cell>
          <cell r="F2632" t="str">
            <v>C1</v>
          </cell>
          <cell r="G2632" t="str">
            <v>BA</v>
          </cell>
          <cell r="H2632" t="str">
            <v>DISTRIBUIÇÃO</v>
          </cell>
          <cell r="I2632" t="str">
            <v>FOOD SERVICE</v>
          </cell>
          <cell r="J2632" t="str">
            <v>CLAUDIO JORGE/LUIZ</v>
          </cell>
          <cell r="K2632" t="str">
            <v>ITAMBÉ</v>
          </cell>
          <cell r="L2632" t="str">
            <v>RODRIGO</v>
          </cell>
          <cell r="M2632" t="str">
            <v>MARIA LOURDES</v>
          </cell>
        </row>
        <row r="2633">
          <cell r="B2633">
            <v>5358032</v>
          </cell>
          <cell r="C2633" t="str">
            <v>SPADER DISTRIBUIDORA DE ALIMENTOS L</v>
          </cell>
          <cell r="D2633" t="str">
            <v>4001</v>
          </cell>
          <cell r="E2633" t="str">
            <v>0546</v>
          </cell>
          <cell r="F2633" t="str">
            <v>C1</v>
          </cell>
          <cell r="G2633" t="str">
            <v>RS</v>
          </cell>
          <cell r="H2633" t="str">
            <v>DISTRIBUIÇÃO</v>
          </cell>
          <cell r="I2633" t="str">
            <v>FOOD SERVICE</v>
          </cell>
          <cell r="J2633" t="str">
            <v>ANGELICA BATISTELA</v>
          </cell>
          <cell r="K2633" t="str">
            <v>LACTALIS</v>
          </cell>
          <cell r="L2633" t="str">
            <v>RODRIGO</v>
          </cell>
          <cell r="M2633" t="str">
            <v>ANGELICA BATISTELA</v>
          </cell>
        </row>
        <row r="2634">
          <cell r="B2634">
            <v>5192483</v>
          </cell>
          <cell r="C2634" t="str">
            <v>REXPAR RESTAURANTES LTDA</v>
          </cell>
          <cell r="D2634" t="str">
            <v>7001</v>
          </cell>
          <cell r="E2634" t="str">
            <v>0722</v>
          </cell>
          <cell r="F2634" t="str">
            <v>C1</v>
          </cell>
          <cell r="G2634" t="str">
            <v>SP</v>
          </cell>
          <cell r="H2634" t="str">
            <v>QSR</v>
          </cell>
          <cell r="I2634" t="str">
            <v>FOOD SERVICE</v>
          </cell>
          <cell r="J2634" t="str">
            <v>ANA MENIQUETE</v>
          </cell>
          <cell r="K2634" t="str">
            <v>LACTALIS</v>
          </cell>
          <cell r="L2634" t="str">
            <v>PEDRO</v>
          </cell>
          <cell r="M2634" t="str">
            <v>ANA MENIQUETE</v>
          </cell>
        </row>
        <row r="2635">
          <cell r="B2635">
            <v>5147526</v>
          </cell>
          <cell r="C2635" t="str">
            <v>SAPORE SA</v>
          </cell>
          <cell r="D2635" t="str">
            <v>3001</v>
          </cell>
          <cell r="E2635" t="str">
            <v>0169</v>
          </cell>
          <cell r="F2635" t="str">
            <v>C1</v>
          </cell>
          <cell r="G2635" t="str">
            <v>RJ</v>
          </cell>
          <cell r="H2635" t="str">
            <v>QSR</v>
          </cell>
          <cell r="I2635" t="str">
            <v>FOOD SERVICE</v>
          </cell>
          <cell r="J2635" t="str">
            <v>NUTRI</v>
          </cell>
          <cell r="K2635" t="str">
            <v>ITAMBÉ</v>
          </cell>
          <cell r="L2635" t="str">
            <v>PEDRO</v>
          </cell>
          <cell r="M2635" t="str">
            <v>VAGO QSR</v>
          </cell>
        </row>
        <row r="2636">
          <cell r="B2636">
            <v>5283024</v>
          </cell>
          <cell r="C2636" t="str">
            <v>PAMFIS ALIMENTOS INDUSTRIA E CO</v>
          </cell>
          <cell r="D2636" t="str">
            <v>7001</v>
          </cell>
          <cell r="E2636" t="str">
            <v>0737</v>
          </cell>
          <cell r="F2636" t="str">
            <v>C1</v>
          </cell>
          <cell r="G2636" t="str">
            <v>SP</v>
          </cell>
          <cell r="H2636" t="str">
            <v>INGREDIENTS</v>
          </cell>
          <cell r="I2636" t="str">
            <v>INGREDIENTS</v>
          </cell>
          <cell r="J2636" t="str">
            <v>JOEL ELEOTÉRIO</v>
          </cell>
          <cell r="K2636" t="str">
            <v>LACTALIS</v>
          </cell>
          <cell r="L2636" t="str">
            <v>MAURICIO</v>
          </cell>
          <cell r="M2636" t="str">
            <v>JOEL</v>
          </cell>
        </row>
        <row r="2637">
          <cell r="B2637">
            <v>5348593</v>
          </cell>
          <cell r="C2637" t="str">
            <v>WINK BLINK BAKEHOUSE PAD ART LT</v>
          </cell>
          <cell r="D2637" t="str">
            <v>7001</v>
          </cell>
          <cell r="E2637" t="str">
            <v>0749</v>
          </cell>
          <cell r="F2637" t="str">
            <v>C5</v>
          </cell>
          <cell r="G2637" t="str">
            <v>SP</v>
          </cell>
          <cell r="H2637" t="str">
            <v>DISTRIBUIÇÃO</v>
          </cell>
          <cell r="I2637" t="str">
            <v>FOOD SERVICE</v>
          </cell>
          <cell r="J2637" t="str">
            <v>FLAC 2</v>
          </cell>
          <cell r="K2637" t="str">
            <v>LACTALIS</v>
          </cell>
          <cell r="L2637" t="str">
            <v>RODRIGO</v>
          </cell>
          <cell r="M2637" t="str">
            <v>RAQUEL BARBOSA</v>
          </cell>
        </row>
        <row r="2638">
          <cell r="B2638">
            <v>5358195</v>
          </cell>
          <cell r="C2638" t="str">
            <v>BELLA COMERCIO DE EMBALAGENS LT</v>
          </cell>
          <cell r="D2638" t="str">
            <v>6001</v>
          </cell>
          <cell r="E2638" t="str">
            <v>6169</v>
          </cell>
          <cell r="F2638" t="str">
            <v>C1</v>
          </cell>
          <cell r="G2638" t="str">
            <v>ES</v>
          </cell>
          <cell r="H2638" t="str">
            <v>DISTRIBUIÇÃO</v>
          </cell>
          <cell r="I2638" t="str">
            <v>FOOD SERVICE</v>
          </cell>
          <cell r="J2638" t="str">
            <v>MARCELO DUARTE</v>
          </cell>
          <cell r="K2638" t="str">
            <v>ITAMBÉ</v>
          </cell>
          <cell r="L2638" t="str">
            <v>RODRIGO</v>
          </cell>
          <cell r="M2638" t="str">
            <v>JESSICA</v>
          </cell>
        </row>
        <row r="2639">
          <cell r="B2639">
            <v>5358488</v>
          </cell>
          <cell r="C2639" t="str">
            <v>SB COMERCIO E DISTRIB DE PROD A</v>
          </cell>
          <cell r="D2639" t="str">
            <v>7001</v>
          </cell>
          <cell r="E2639" t="str">
            <v>0749</v>
          </cell>
          <cell r="F2639" t="str">
            <v>C5</v>
          </cell>
          <cell r="G2639" t="str">
            <v>SP</v>
          </cell>
          <cell r="H2639" t="str">
            <v>DISTRIBUIÇÃO</v>
          </cell>
          <cell r="I2639" t="str">
            <v>FOOD SERVICE</v>
          </cell>
          <cell r="J2639" t="str">
            <v>FLAC 5</v>
          </cell>
          <cell r="K2639" t="str">
            <v>LACTALIS</v>
          </cell>
          <cell r="L2639" t="str">
            <v>RODRIGO</v>
          </cell>
          <cell r="M2639" t="str">
            <v>RAQUEL BARBOSA</v>
          </cell>
        </row>
        <row r="2640">
          <cell r="B2640">
            <v>5259285</v>
          </cell>
          <cell r="C2640" t="str">
            <v>CBP COMERCIAL E DISTRIBUIDORA LTDA</v>
          </cell>
          <cell r="D2640" t="str">
            <v>7001</v>
          </cell>
          <cell r="E2640" t="str">
            <v>0749</v>
          </cell>
          <cell r="F2640" t="str">
            <v>C5</v>
          </cell>
          <cell r="G2640" t="str">
            <v>SP</v>
          </cell>
          <cell r="H2640" t="str">
            <v>DISTRIBUIÇÃO</v>
          </cell>
          <cell r="I2640" t="str">
            <v>FOOD SERVICE</v>
          </cell>
          <cell r="J2640" t="str">
            <v>FLAC 1</v>
          </cell>
          <cell r="K2640" t="str">
            <v>LACTALIS</v>
          </cell>
          <cell r="L2640" t="str">
            <v>RODRIGO</v>
          </cell>
          <cell r="M2640" t="str">
            <v>RAQUEL BARBOSA</v>
          </cell>
        </row>
        <row r="2641">
          <cell r="B2641">
            <v>5346742</v>
          </cell>
          <cell r="C2641" t="str">
            <v>ALTOKOP COMERCIO DE CHOCOLATES</v>
          </cell>
          <cell r="D2641" t="str">
            <v>7001</v>
          </cell>
          <cell r="E2641" t="str">
            <v>0749</v>
          </cell>
          <cell r="F2641" t="str">
            <v>C5</v>
          </cell>
          <cell r="G2641" t="str">
            <v>SP</v>
          </cell>
          <cell r="H2641" t="str">
            <v>DISTRIBUIÇÃO</v>
          </cell>
          <cell r="I2641" t="str">
            <v>FOOD SERVICE</v>
          </cell>
          <cell r="J2641" t="str">
            <v>FLAC 6</v>
          </cell>
          <cell r="K2641" t="str">
            <v>LACTALIS</v>
          </cell>
          <cell r="L2641" t="str">
            <v>RODRIGO</v>
          </cell>
          <cell r="M2641" t="str">
            <v>RAQUEL BARBOSA</v>
          </cell>
        </row>
        <row r="2642">
          <cell r="B2642">
            <v>5355473</v>
          </cell>
          <cell r="C2642" t="str">
            <v>CONDOMINIO EDIFICIO FLAT PAULIS</v>
          </cell>
          <cell r="D2642" t="str">
            <v>7001</v>
          </cell>
          <cell r="E2642" t="str">
            <v>0749</v>
          </cell>
          <cell r="F2642" t="str">
            <v>C5</v>
          </cell>
          <cell r="G2642" t="str">
            <v>SP</v>
          </cell>
          <cell r="H2642" t="str">
            <v>DISTRIBUIÇÃO</v>
          </cell>
          <cell r="I2642" t="str">
            <v>FOOD SERVICE</v>
          </cell>
          <cell r="J2642" t="str">
            <v>FLAC 2</v>
          </cell>
          <cell r="K2642" t="str">
            <v>LACTALIS</v>
          </cell>
          <cell r="L2642" t="str">
            <v>RODRIGO</v>
          </cell>
          <cell r="M2642" t="str">
            <v>RAQUEL BARBOSA</v>
          </cell>
        </row>
        <row r="2643">
          <cell r="B2643">
            <v>5358586</v>
          </cell>
          <cell r="C2643" t="str">
            <v>FERREIRA DIS COM DE PROD ALIM E</v>
          </cell>
          <cell r="D2643" t="str">
            <v>7001</v>
          </cell>
          <cell r="E2643" t="str">
            <v>0749</v>
          </cell>
          <cell r="F2643" t="str">
            <v>C5</v>
          </cell>
          <cell r="G2643" t="str">
            <v>SP</v>
          </cell>
          <cell r="H2643" t="str">
            <v>DISTRIBUIÇÃO</v>
          </cell>
          <cell r="I2643" t="str">
            <v>FOOD SERVICE</v>
          </cell>
          <cell r="J2643" t="str">
            <v>FLAC 2</v>
          </cell>
          <cell r="K2643" t="str">
            <v>LACTALIS</v>
          </cell>
          <cell r="L2643" t="str">
            <v>RODRIGO</v>
          </cell>
          <cell r="M2643" t="str">
            <v>RAQUEL BARBOSA</v>
          </cell>
        </row>
        <row r="2644">
          <cell r="B2644">
            <v>5358595</v>
          </cell>
          <cell r="C2644" t="str">
            <v>60658972 RAFAEL ARAUJO DE OLIVE</v>
          </cell>
          <cell r="D2644" t="str">
            <v>7001</v>
          </cell>
          <cell r="E2644" t="str">
            <v>0749</v>
          </cell>
          <cell r="F2644" t="str">
            <v>C5</v>
          </cell>
          <cell r="G2644" t="str">
            <v>SP</v>
          </cell>
          <cell r="H2644" t="str">
            <v>DISTRIBUIÇÃO</v>
          </cell>
          <cell r="I2644" t="str">
            <v>FOOD SERVICE</v>
          </cell>
          <cell r="J2644" t="str">
            <v>FLAC 2</v>
          </cell>
          <cell r="K2644" t="str">
            <v>LACTALIS</v>
          </cell>
          <cell r="L2644" t="str">
            <v>RODRIGO</v>
          </cell>
          <cell r="M2644" t="str">
            <v>RAQUEL BARBOSA</v>
          </cell>
        </row>
        <row r="2645">
          <cell r="B2645">
            <v>5353768</v>
          </cell>
          <cell r="C2645" t="str">
            <v>RESTAURANTE GRAND PEKIN LTDA</v>
          </cell>
          <cell r="D2645" t="str">
            <v>7001</v>
          </cell>
          <cell r="E2645" t="str">
            <v>0749</v>
          </cell>
          <cell r="F2645" t="str">
            <v>C5</v>
          </cell>
          <cell r="G2645" t="str">
            <v>SP</v>
          </cell>
          <cell r="H2645" t="str">
            <v>DISTRIBUIÇÃO</v>
          </cell>
          <cell r="I2645" t="str">
            <v>FOOD SERVICE</v>
          </cell>
          <cell r="J2645" t="str">
            <v>FLAC 3</v>
          </cell>
          <cell r="K2645" t="str">
            <v>LACTALIS</v>
          </cell>
          <cell r="L2645" t="str">
            <v>RODRIGO</v>
          </cell>
          <cell r="M2645" t="str">
            <v>RAQUEL BARBOSA</v>
          </cell>
        </row>
        <row r="2646">
          <cell r="B2646">
            <v>5063519</v>
          </cell>
          <cell r="C2646" t="str">
            <v>SAPORE SA</v>
          </cell>
          <cell r="D2646" t="str">
            <v>6001</v>
          </cell>
          <cell r="E2646" t="str">
            <v>6125</v>
          </cell>
          <cell r="F2646" t="str">
            <v>C1</v>
          </cell>
          <cell r="G2646" t="str">
            <v>SP</v>
          </cell>
          <cell r="H2646" t="str">
            <v>QSR</v>
          </cell>
          <cell r="I2646" t="str">
            <v>FOOD SERVICE</v>
          </cell>
          <cell r="J2646" t="str">
            <v>NUTRI</v>
          </cell>
          <cell r="K2646" t="str">
            <v>ITAMBÉ</v>
          </cell>
          <cell r="L2646" t="str">
            <v>PEDRO</v>
          </cell>
          <cell r="M2646" t="str">
            <v>VAGO QSR</v>
          </cell>
        </row>
        <row r="2647">
          <cell r="B2647">
            <v>5340377</v>
          </cell>
          <cell r="C2647" t="str">
            <v>ROST GUIMARAES DIST E TRANSPORT</v>
          </cell>
          <cell r="D2647" t="str">
            <v>7001</v>
          </cell>
          <cell r="E2647" t="str">
            <v>0749</v>
          </cell>
          <cell r="F2647" t="str">
            <v>C5</v>
          </cell>
          <cell r="G2647" t="str">
            <v>SP</v>
          </cell>
          <cell r="H2647" t="str">
            <v>DISTRIBUIÇÃO</v>
          </cell>
          <cell r="I2647" t="str">
            <v>FOOD SERVICE</v>
          </cell>
          <cell r="J2647" t="str">
            <v>FLAC 8</v>
          </cell>
          <cell r="K2647" t="str">
            <v>LACTALIS</v>
          </cell>
          <cell r="L2647" t="str">
            <v>RODRIGO</v>
          </cell>
          <cell r="M2647" t="str">
            <v>RAQUEL BARBOSA</v>
          </cell>
        </row>
        <row r="2648">
          <cell r="B2648">
            <v>5174117</v>
          </cell>
          <cell r="C2648" t="str">
            <v>MASSIMA ALIMENTACAO SA</v>
          </cell>
          <cell r="D2648" t="str">
            <v>6001</v>
          </cell>
          <cell r="E2648" t="str">
            <v>6028</v>
          </cell>
          <cell r="F2648" t="str">
            <v>C1</v>
          </cell>
          <cell r="G2648" t="str">
            <v>RJ</v>
          </cell>
          <cell r="H2648" t="str">
            <v>QSR</v>
          </cell>
          <cell r="I2648" t="str">
            <v>FOOD SERVICE</v>
          </cell>
          <cell r="J2648" t="str">
            <v>NUTRI</v>
          </cell>
          <cell r="K2648" t="str">
            <v>ITAMBÉ</v>
          </cell>
          <cell r="L2648" t="str">
            <v>PEDRO</v>
          </cell>
          <cell r="M2648" t="str">
            <v>VAGO QSR</v>
          </cell>
        </row>
        <row r="2649">
          <cell r="B2649">
            <v>5190845</v>
          </cell>
          <cell r="C2649" t="str">
            <v>DENGO CHOCOLATES SA</v>
          </cell>
          <cell r="D2649" t="str">
            <v>6001</v>
          </cell>
          <cell r="E2649" t="str">
            <v>6125</v>
          </cell>
          <cell r="F2649" t="str">
            <v>C1</v>
          </cell>
          <cell r="G2649" t="str">
            <v>SP</v>
          </cell>
          <cell r="H2649" t="str">
            <v>INGREDIENTS</v>
          </cell>
          <cell r="I2649" t="str">
            <v>INGREDIENTS</v>
          </cell>
          <cell r="J2649" t="str">
            <v>HENRIQUE FERREIRA</v>
          </cell>
          <cell r="K2649" t="str">
            <v>ITAMBÉ</v>
          </cell>
          <cell r="L2649" t="str">
            <v>MAURICIO</v>
          </cell>
          <cell r="M2649" t="str">
            <v>JOEL</v>
          </cell>
        </row>
        <row r="2650">
          <cell r="B2650">
            <v>5358864</v>
          </cell>
          <cell r="C2650" t="str">
            <v>MARCIO ROMANI DIAS</v>
          </cell>
          <cell r="D2650" t="str">
            <v>7001</v>
          </cell>
          <cell r="E2650" t="str">
            <v>0749</v>
          </cell>
          <cell r="F2650" t="str">
            <v>C5</v>
          </cell>
          <cell r="G2650" t="str">
            <v>SP</v>
          </cell>
          <cell r="H2650" t="str">
            <v>DISTRIBUIÇÃO</v>
          </cell>
          <cell r="I2650" t="str">
            <v>FOOD SERVICE</v>
          </cell>
          <cell r="J2650" t="str">
            <v>FLAC 2</v>
          </cell>
          <cell r="K2650" t="str">
            <v>LACTALIS</v>
          </cell>
          <cell r="L2650" t="str">
            <v>RODRIGO</v>
          </cell>
          <cell r="M2650" t="str">
            <v>RAQUEL BARBOSA</v>
          </cell>
        </row>
        <row r="2651">
          <cell r="B2651">
            <v>5033323</v>
          </cell>
          <cell r="C2651" t="str">
            <v>SORVESHOPES COMERCIAL LTDA</v>
          </cell>
          <cell r="D2651" t="str">
            <v>6001</v>
          </cell>
          <cell r="E2651" t="str">
            <v>6169</v>
          </cell>
          <cell r="F2651" t="str">
            <v>C1</v>
          </cell>
          <cell r="G2651" t="str">
            <v>ES</v>
          </cell>
          <cell r="H2651" t="str">
            <v>DISTRIBUIÇÃO</v>
          </cell>
          <cell r="I2651" t="str">
            <v>FOOD SERVICE</v>
          </cell>
          <cell r="J2651" t="str">
            <v>MARCELO DUARTE</v>
          </cell>
          <cell r="K2651" t="str">
            <v>ITAMBÉ</v>
          </cell>
          <cell r="L2651" t="str">
            <v>RODRIGO</v>
          </cell>
          <cell r="M2651" t="str">
            <v>JESSICA</v>
          </cell>
        </row>
        <row r="2652">
          <cell r="B2652">
            <v>5043976</v>
          </cell>
          <cell r="C2652" t="str">
            <v>UP DIST DE PRODS DESCARTAVEIS L</v>
          </cell>
          <cell r="D2652" t="str">
            <v>3001</v>
          </cell>
          <cell r="E2652" t="str">
            <v>0014</v>
          </cell>
          <cell r="F2652" t="str">
            <v>C1</v>
          </cell>
          <cell r="G2652" t="str">
            <v>AL</v>
          </cell>
          <cell r="H2652" t="str">
            <v>DISTRIBUIÇÃO</v>
          </cell>
          <cell r="I2652" t="str">
            <v>FOOD SERVICE</v>
          </cell>
          <cell r="J2652" t="str">
            <v>DIGMA REPR LTDA</v>
          </cell>
          <cell r="K2652" t="str">
            <v>ITAMBÉ</v>
          </cell>
          <cell r="L2652" t="str">
            <v>RODRIGO</v>
          </cell>
          <cell r="M2652" t="str">
            <v>MARIA LOURDES</v>
          </cell>
        </row>
        <row r="2653">
          <cell r="B2653">
            <v>5112607</v>
          </cell>
          <cell r="C2653" t="str">
            <v>REDE COMERCIO E DISTRIB DE ALIM</v>
          </cell>
          <cell r="D2653" t="str">
            <v>7001</v>
          </cell>
          <cell r="E2653" t="str">
            <v>0749</v>
          </cell>
          <cell r="F2653" t="str">
            <v>C5</v>
          </cell>
          <cell r="G2653" t="str">
            <v>SP</v>
          </cell>
          <cell r="H2653" t="str">
            <v>DISTRIBUIÇÃO</v>
          </cell>
          <cell r="I2653" t="str">
            <v>FOOD SERVICE</v>
          </cell>
          <cell r="J2653" t="str">
            <v>FLAC 1</v>
          </cell>
          <cell r="K2653" t="str">
            <v>LACTALIS</v>
          </cell>
          <cell r="L2653" t="str">
            <v>RODRIGO</v>
          </cell>
          <cell r="M2653" t="str">
            <v>RAQUEL BARBOSA</v>
          </cell>
        </row>
        <row r="2654">
          <cell r="B2654">
            <v>5008636</v>
          </cell>
          <cell r="C2654" t="str">
            <v>GR SERVICOS E ALIMENTACAO LTDA</v>
          </cell>
          <cell r="D2654" t="str">
            <v>6001</v>
          </cell>
          <cell r="E2654" t="str">
            <v>6169</v>
          </cell>
          <cell r="F2654" t="str">
            <v>C1</v>
          </cell>
          <cell r="G2654" t="str">
            <v>RJ</v>
          </cell>
          <cell r="H2654" t="str">
            <v>QSR</v>
          </cell>
          <cell r="I2654" t="str">
            <v>FOOD SERVICE</v>
          </cell>
          <cell r="J2654" t="str">
            <v>NUTRI</v>
          </cell>
          <cell r="K2654" t="str">
            <v>ITAMBÉ</v>
          </cell>
          <cell r="L2654" t="str">
            <v>PEDRO</v>
          </cell>
          <cell r="M2654" t="str">
            <v>VAGO QSR</v>
          </cell>
        </row>
        <row r="2655">
          <cell r="B2655">
            <v>5010931</v>
          </cell>
          <cell r="C2655" t="str">
            <v>SAO FRANCISCO IND DE ALIMENTOS</v>
          </cell>
          <cell r="D2655" t="str">
            <v>4001</v>
          </cell>
          <cell r="E2655" t="str">
            <v>0455</v>
          </cell>
          <cell r="F2655" t="str">
            <v>C1</v>
          </cell>
          <cell r="G2655" t="str">
            <v>PR</v>
          </cell>
          <cell r="H2655" t="str">
            <v>INGREDIENTS</v>
          </cell>
          <cell r="I2655" t="str">
            <v>INGREDIENTS</v>
          </cell>
          <cell r="J2655" t="str">
            <v>MARCELO RODRIGUES</v>
          </cell>
          <cell r="K2655" t="str">
            <v>LACTALIS</v>
          </cell>
          <cell r="L2655" t="str">
            <v>MAURICIO</v>
          </cell>
          <cell r="M2655" t="str">
            <v>MARCELO</v>
          </cell>
        </row>
        <row r="2656">
          <cell r="B2656">
            <v>5356861</v>
          </cell>
          <cell r="C2656" t="str">
            <v>INSTITUTO DAS IRMAS DA SANTA CR</v>
          </cell>
          <cell r="D2656" t="str">
            <v>7001</v>
          </cell>
          <cell r="E2656" t="str">
            <v>0749</v>
          </cell>
          <cell r="F2656" t="str">
            <v>C5</v>
          </cell>
          <cell r="G2656" t="str">
            <v>SP</v>
          </cell>
          <cell r="H2656" t="str">
            <v>DISTRIBUIÇÃO</v>
          </cell>
          <cell r="I2656" t="str">
            <v>FOOD SERVICE</v>
          </cell>
          <cell r="J2656" t="str">
            <v>FLAC 10</v>
          </cell>
          <cell r="K2656" t="str">
            <v>LACTALIS</v>
          </cell>
          <cell r="L2656" t="str">
            <v>RODRIGO</v>
          </cell>
          <cell r="M2656" t="str">
            <v>RAQUEL BARBOSA</v>
          </cell>
        </row>
        <row r="2657">
          <cell r="B2657">
            <v>5358671</v>
          </cell>
          <cell r="C2657" t="str">
            <v>CAFE PACIFICO SA</v>
          </cell>
          <cell r="D2657" t="str">
            <v>7001</v>
          </cell>
          <cell r="E2657" t="str">
            <v>0722</v>
          </cell>
          <cell r="F2657" t="str">
            <v>C1</v>
          </cell>
          <cell r="G2657" t="str">
            <v>SP</v>
          </cell>
          <cell r="H2657" t="str">
            <v>QSR</v>
          </cell>
          <cell r="I2657" t="str">
            <v>FOOD SERVICE</v>
          </cell>
          <cell r="J2657" t="str">
            <v>VAGO QSR</v>
          </cell>
          <cell r="K2657" t="str">
            <v>LACTALIS</v>
          </cell>
          <cell r="L2657" t="str">
            <v>PEDRO</v>
          </cell>
          <cell r="M2657" t="str">
            <v>VAGO QSR</v>
          </cell>
        </row>
        <row r="2658">
          <cell r="B2658">
            <v>5358974</v>
          </cell>
          <cell r="C2658" t="str">
            <v>FRATONI ALIMENTOS LTDA</v>
          </cell>
          <cell r="D2658" t="str">
            <v>3001</v>
          </cell>
          <cell r="E2658" t="str">
            <v>0028</v>
          </cell>
          <cell r="F2658" t="str">
            <v>C1</v>
          </cell>
          <cell r="G2658" t="str">
            <v>PR</v>
          </cell>
          <cell r="H2658" t="str">
            <v>INGREDIENTS</v>
          </cell>
          <cell r="I2658" t="str">
            <v>INGREDIENTS</v>
          </cell>
          <cell r="J2658" t="str">
            <v>MARCELO RODRIGUES</v>
          </cell>
          <cell r="K2658" t="str">
            <v>ITAMBÉ</v>
          </cell>
          <cell r="L2658" t="str">
            <v>MAURICIO</v>
          </cell>
          <cell r="M2658" t="str">
            <v>MARCELO</v>
          </cell>
        </row>
        <row r="2659">
          <cell r="B2659">
            <v>5228956</v>
          </cell>
          <cell r="C2659" t="str">
            <v>MARTINS E SILVA COMERCIO LTDA</v>
          </cell>
          <cell r="D2659" t="str">
            <v>3001</v>
          </cell>
          <cell r="E2659" t="str">
            <v>0128</v>
          </cell>
          <cell r="F2659" t="str">
            <v>C1</v>
          </cell>
          <cell r="G2659" t="str">
            <v>RR</v>
          </cell>
          <cell r="H2659" t="str">
            <v>DISTRIBUIÇÃO</v>
          </cell>
          <cell r="I2659" t="str">
            <v>FOOD SERVICE</v>
          </cell>
          <cell r="J2659" t="str">
            <v>CLAUDIO JORGE</v>
          </cell>
          <cell r="K2659" t="str">
            <v>ITAMBÉ</v>
          </cell>
          <cell r="L2659" t="str">
            <v>RODRIGO</v>
          </cell>
          <cell r="M2659" t="str">
            <v>MARCO AURELIO</v>
          </cell>
        </row>
        <row r="2660">
          <cell r="B2660">
            <v>5269686</v>
          </cell>
          <cell r="C2660" t="str">
            <v>BRUXELAS COMERCIO DE ALIMENTOS</v>
          </cell>
          <cell r="D2660">
            <v>4001</v>
          </cell>
          <cell r="E2660" t="str">
            <v>0437</v>
          </cell>
          <cell r="F2660" t="str">
            <v>C1</v>
          </cell>
          <cell r="G2660" t="str">
            <v>PR</v>
          </cell>
          <cell r="H2660" t="str">
            <v>INGREDIENTS</v>
          </cell>
          <cell r="I2660" t="str">
            <v>INGREDIENTS</v>
          </cell>
          <cell r="J2660" t="str">
            <v>HENRIQUE FERREIRA</v>
          </cell>
          <cell r="K2660" t="str">
            <v>LACTALIS</v>
          </cell>
          <cell r="L2660" t="str">
            <v>MAURICIO</v>
          </cell>
          <cell r="M2660" t="str">
            <v>JOEL</v>
          </cell>
        </row>
        <row r="2661">
          <cell r="B2661">
            <v>5172313</v>
          </cell>
          <cell r="C2661" t="str">
            <v>FRONERI BRASIL DIST DE SORV E CONG</v>
          </cell>
          <cell r="D2661" t="str">
            <v>4001</v>
          </cell>
          <cell r="E2661" t="str">
            <v>0437</v>
          </cell>
          <cell r="F2661" t="str">
            <v>C1</v>
          </cell>
          <cell r="G2661" t="str">
            <v>RJ</v>
          </cell>
          <cell r="H2661" t="str">
            <v>INGREDIENTS</v>
          </cell>
          <cell r="I2661" t="str">
            <v>INGREDIENTS</v>
          </cell>
          <cell r="J2661" t="str">
            <v>JOEL ELEOTÉRIO</v>
          </cell>
          <cell r="K2661" t="str">
            <v>LACTALIS</v>
          </cell>
          <cell r="L2661" t="str">
            <v>MAURICIO</v>
          </cell>
          <cell r="M2661" t="str">
            <v>JOEL</v>
          </cell>
        </row>
        <row r="2662">
          <cell r="B2662">
            <v>5358152</v>
          </cell>
          <cell r="C2662" t="str">
            <v>VOOOPT COMERCIO DE ALIMENTOS LTDA</v>
          </cell>
          <cell r="D2662" t="str">
            <v>7001</v>
          </cell>
          <cell r="E2662" t="str">
            <v>0737</v>
          </cell>
          <cell r="F2662" t="str">
            <v>C1</v>
          </cell>
          <cell r="G2662" t="str">
            <v>SP</v>
          </cell>
          <cell r="H2662" t="str">
            <v>INGREDIENTS</v>
          </cell>
          <cell r="I2662" t="str">
            <v>INGREDIENTS</v>
          </cell>
          <cell r="J2662" t="str">
            <v>TATIANA NITTA</v>
          </cell>
          <cell r="K2662" t="str">
            <v>LACTALIS</v>
          </cell>
          <cell r="L2662" t="str">
            <v>MAURICIO</v>
          </cell>
          <cell r="M2662" t="str">
            <v>TATIANA NITTA</v>
          </cell>
        </row>
        <row r="2663">
          <cell r="B2663">
            <v>5312073</v>
          </cell>
          <cell r="C2663" t="str">
            <v>ATOL CONFEITARIA LTDA</v>
          </cell>
          <cell r="D2663" t="str">
            <v>7001</v>
          </cell>
          <cell r="E2663" t="str">
            <v>0749</v>
          </cell>
          <cell r="F2663" t="str">
            <v>C5</v>
          </cell>
          <cell r="G2663" t="str">
            <v>SP</v>
          </cell>
          <cell r="H2663" t="str">
            <v>DISTRIBUIÇÃO</v>
          </cell>
          <cell r="I2663" t="str">
            <v>FOOD SERVICE</v>
          </cell>
          <cell r="J2663" t="str">
            <v>FLAC 6</v>
          </cell>
          <cell r="K2663" t="str">
            <v>LACTALIS</v>
          </cell>
          <cell r="L2663" t="str">
            <v>RODRIGO</v>
          </cell>
          <cell r="M2663" t="str">
            <v>RAQUEL BARBOSA</v>
          </cell>
        </row>
        <row r="2664">
          <cell r="B2664">
            <v>5225690</v>
          </cell>
          <cell r="C2664" t="str">
            <v>NEUGEBAUER ALIMENTOS SA</v>
          </cell>
          <cell r="D2664" t="str">
            <v>4001</v>
          </cell>
          <cell r="E2664" t="str">
            <v>0455</v>
          </cell>
          <cell r="F2664" t="str">
            <v>C1</v>
          </cell>
          <cell r="G2664" t="str">
            <v>RS</v>
          </cell>
          <cell r="H2664" t="str">
            <v>INGREDIENTS</v>
          </cell>
          <cell r="I2664" t="str">
            <v>INGREDIENTS</v>
          </cell>
          <cell r="J2664" t="str">
            <v>MARCELO RODRIGUES</v>
          </cell>
          <cell r="K2664" t="str">
            <v>LACTALIS</v>
          </cell>
          <cell r="L2664" t="str">
            <v>MAURICIO</v>
          </cell>
          <cell r="M2664" t="str">
            <v>MARCELO</v>
          </cell>
        </row>
        <row r="2665">
          <cell r="B2665">
            <v>5235133</v>
          </cell>
          <cell r="C2665" t="str">
            <v>CTTBRN ALIMENTOS E BEBIDAS LTDA</v>
          </cell>
          <cell r="D2665" t="str">
            <v>7001</v>
          </cell>
          <cell r="E2665" t="str">
            <v>0749</v>
          </cell>
          <cell r="F2665" t="str">
            <v>C5</v>
          </cell>
          <cell r="G2665" t="str">
            <v>SP</v>
          </cell>
          <cell r="H2665" t="str">
            <v>DISTRIBUIÇÃO</v>
          </cell>
          <cell r="I2665" t="str">
            <v>FOOD SERVICE</v>
          </cell>
          <cell r="J2665" t="str">
            <v>FLAC 4</v>
          </cell>
          <cell r="K2665" t="str">
            <v>LACTALIS</v>
          </cell>
          <cell r="L2665" t="str">
            <v>RODRIGO</v>
          </cell>
          <cell r="M2665" t="str">
            <v>RAQUEL BARBOSA</v>
          </cell>
        </row>
        <row r="2666">
          <cell r="B2666">
            <v>5356510</v>
          </cell>
          <cell r="C2666" t="str">
            <v>37048076 DAIANA ARAUJO DOURADO</v>
          </cell>
          <cell r="D2666" t="str">
            <v>7001</v>
          </cell>
          <cell r="E2666" t="str">
            <v>0749</v>
          </cell>
          <cell r="F2666" t="str">
            <v>C5</v>
          </cell>
          <cell r="G2666" t="str">
            <v>SP</v>
          </cell>
          <cell r="H2666" t="str">
            <v>DISTRIBUIÇÃO</v>
          </cell>
          <cell r="I2666" t="str">
            <v>FOOD SERVICE</v>
          </cell>
          <cell r="J2666" t="str">
            <v>FLAC 5</v>
          </cell>
          <cell r="K2666" t="str">
            <v>LACTALIS</v>
          </cell>
          <cell r="L2666" t="str">
            <v>RODRIGO</v>
          </cell>
          <cell r="M2666" t="str">
            <v>RAQUEL BARBOSA</v>
          </cell>
        </row>
        <row r="2667">
          <cell r="B2667">
            <v>5358749</v>
          </cell>
          <cell r="C2667" t="str">
            <v>A CASA DO LAGO RESTAURANTE LTDA</v>
          </cell>
          <cell r="D2667" t="str">
            <v>7001</v>
          </cell>
          <cell r="E2667" t="str">
            <v>0749</v>
          </cell>
          <cell r="F2667" t="str">
            <v>C5</v>
          </cell>
          <cell r="G2667" t="str">
            <v>SP</v>
          </cell>
          <cell r="H2667" t="str">
            <v>DISTRIBUIÇÃO</v>
          </cell>
          <cell r="I2667" t="str">
            <v>FOOD SERVICE</v>
          </cell>
          <cell r="J2667" t="str">
            <v>FLAC 7</v>
          </cell>
          <cell r="K2667" t="str">
            <v>LACTALIS</v>
          </cell>
          <cell r="L2667" t="str">
            <v>RODRIGO</v>
          </cell>
          <cell r="M2667" t="str">
            <v>RAQUEL BARBOSA</v>
          </cell>
        </row>
        <row r="2668">
          <cell r="B2668">
            <v>5230508</v>
          </cell>
          <cell r="C2668" t="str">
            <v>THIAGO MAGNO SILVERIO DA FONSEC</v>
          </cell>
          <cell r="D2668" t="str">
            <v>6001</v>
          </cell>
          <cell r="E2668" t="str">
            <v>6127</v>
          </cell>
          <cell r="F2668" t="str">
            <v>C1</v>
          </cell>
          <cell r="G2668" t="str">
            <v>CE</v>
          </cell>
          <cell r="H2668" t="str">
            <v>DISTRIBUIÇÃO</v>
          </cell>
          <cell r="I2668" t="str">
            <v>FOOD SERVICE</v>
          </cell>
          <cell r="J2668" t="str">
            <v>WH FOOD SERVICE CE</v>
          </cell>
          <cell r="K2668" t="str">
            <v>ITAMBÉ</v>
          </cell>
          <cell r="L2668" t="str">
            <v>RODRIGO</v>
          </cell>
          <cell r="M2668" t="str">
            <v>MARIA LOURDES</v>
          </cell>
        </row>
        <row r="2669">
          <cell r="B2669">
            <v>5280087</v>
          </cell>
          <cell r="C2669" t="str">
            <v>MADIA COM DE REFEICOES LTDA</v>
          </cell>
          <cell r="D2669" t="str">
            <v>7001</v>
          </cell>
          <cell r="E2669" t="str">
            <v>0749</v>
          </cell>
          <cell r="F2669" t="str">
            <v>C5</v>
          </cell>
          <cell r="G2669" t="str">
            <v>SP</v>
          </cell>
          <cell r="H2669" t="str">
            <v>DISTRIBUIÇÃO</v>
          </cell>
          <cell r="I2669" t="str">
            <v>FOOD SERVICE</v>
          </cell>
          <cell r="J2669" t="str">
            <v>FLAC 5</v>
          </cell>
          <cell r="K2669" t="str">
            <v>LACTALIS</v>
          </cell>
          <cell r="L2669" t="str">
            <v>RODRIGO</v>
          </cell>
          <cell r="M2669" t="str">
            <v>RAQUEL BARBOSA</v>
          </cell>
        </row>
        <row r="2670">
          <cell r="B2670">
            <v>5358596</v>
          </cell>
          <cell r="C2670" t="str">
            <v>AGAFEL RESTAURANTE LTDA</v>
          </cell>
          <cell r="D2670" t="str">
            <v>7001</v>
          </cell>
          <cell r="E2670" t="str">
            <v>0749</v>
          </cell>
          <cell r="F2670" t="str">
            <v>C5</v>
          </cell>
          <cell r="G2670" t="str">
            <v>SP</v>
          </cell>
          <cell r="H2670" t="str">
            <v>DISTRIBUIÇÃO</v>
          </cell>
          <cell r="I2670" t="str">
            <v>FOOD SERVICE</v>
          </cell>
          <cell r="J2670" t="str">
            <v>FLAC 2</v>
          </cell>
          <cell r="K2670" t="str">
            <v>LACTALIS</v>
          </cell>
          <cell r="L2670" t="str">
            <v>RODRIGO</v>
          </cell>
          <cell r="M2670" t="str">
            <v>RAQUEL BARBOSA</v>
          </cell>
        </row>
        <row r="2671">
          <cell r="B2671">
            <v>5359180</v>
          </cell>
          <cell r="C2671" t="str">
            <v>57073522 VIVIANA MARISOL SANCHE</v>
          </cell>
          <cell r="D2671" t="str">
            <v>7001</v>
          </cell>
          <cell r="E2671" t="str">
            <v>0749</v>
          </cell>
          <cell r="F2671" t="str">
            <v>C5</v>
          </cell>
          <cell r="G2671" t="str">
            <v>SP</v>
          </cell>
          <cell r="H2671" t="str">
            <v>DISTRIBUIÇÃO</v>
          </cell>
          <cell r="I2671" t="str">
            <v>FOOD SERVICE</v>
          </cell>
          <cell r="J2671" t="str">
            <v>FLAC 5</v>
          </cell>
          <cell r="K2671" t="str">
            <v>LACTALIS</v>
          </cell>
          <cell r="L2671" t="str">
            <v>RODRIGO</v>
          </cell>
          <cell r="M2671" t="str">
            <v>RAQUEL BARBOSA</v>
          </cell>
        </row>
        <row r="2672">
          <cell r="B2672">
            <v>5130557</v>
          </cell>
          <cell r="C2672" t="str">
            <v>HACHIMITSU ATELIER DE DELICIAS LTDA</v>
          </cell>
          <cell r="D2672" t="str">
            <v>4001</v>
          </cell>
          <cell r="E2672" t="str">
            <v>0455</v>
          </cell>
          <cell r="F2672" t="str">
            <v>C1</v>
          </cell>
          <cell r="G2672" t="str">
            <v>PR</v>
          </cell>
          <cell r="H2672" t="str">
            <v>INGREDIENTS</v>
          </cell>
          <cell r="I2672" t="str">
            <v>INGREDIENTS</v>
          </cell>
          <cell r="J2672" t="str">
            <v>MARCELO RODRIGUES</v>
          </cell>
          <cell r="K2672" t="str">
            <v>LACTALIS</v>
          </cell>
          <cell r="L2672" t="str">
            <v>MAURICIO</v>
          </cell>
          <cell r="M2672" t="str">
            <v>MARCELO</v>
          </cell>
        </row>
        <row r="2673">
          <cell r="B2673">
            <v>5194176</v>
          </cell>
          <cell r="C2673" t="str">
            <v>1001 UTILIDADES E DECORACOES LT</v>
          </cell>
          <cell r="D2673" t="str">
            <v>3001</v>
          </cell>
          <cell r="E2673" t="str">
            <v>0028</v>
          </cell>
          <cell r="F2673" t="str">
            <v>C1</v>
          </cell>
          <cell r="G2673" t="str">
            <v>MG</v>
          </cell>
          <cell r="H2673" t="str">
            <v>INGREDIENTS</v>
          </cell>
          <cell r="I2673" t="str">
            <v>INGREDIENTS</v>
          </cell>
          <cell r="J2673" t="str">
            <v>MG ITB FS HENRIQUE WAGNER</v>
          </cell>
          <cell r="K2673" t="str">
            <v>ITAMBÉ</v>
          </cell>
          <cell r="L2673" t="str">
            <v>MAURICIO</v>
          </cell>
          <cell r="M2673" t="str">
            <v>TATIANA NITTA</v>
          </cell>
        </row>
        <row r="2674">
          <cell r="B2674">
            <v>5260630</v>
          </cell>
          <cell r="C2674" t="str">
            <v>REVIV COM DE ALIM LTDA</v>
          </cell>
          <cell r="D2674" t="str">
            <v>7001</v>
          </cell>
          <cell r="E2674" t="str">
            <v>0749</v>
          </cell>
          <cell r="F2674" t="str">
            <v>C5</v>
          </cell>
          <cell r="G2674" t="str">
            <v>SP</v>
          </cell>
          <cell r="H2674" t="str">
            <v>DISTRIBUIÇÃO</v>
          </cell>
          <cell r="I2674" t="str">
            <v>FOOD SERVICE</v>
          </cell>
          <cell r="J2674" t="str">
            <v>FLAC 1</v>
          </cell>
          <cell r="K2674" t="str">
            <v>LACTALIS</v>
          </cell>
          <cell r="L2674" t="str">
            <v>RODRIGO</v>
          </cell>
          <cell r="M2674" t="str">
            <v>RAQUEL BARBOSA</v>
          </cell>
        </row>
        <row r="2675">
          <cell r="B2675">
            <v>5358913</v>
          </cell>
          <cell r="C2675" t="str">
            <v>55639593 LUIZ CLEYTON MACEDO AL</v>
          </cell>
          <cell r="D2675" t="str">
            <v>7001</v>
          </cell>
          <cell r="E2675" t="str">
            <v>0749</v>
          </cell>
          <cell r="F2675" t="str">
            <v>C5</v>
          </cell>
          <cell r="G2675" t="str">
            <v>SP</v>
          </cell>
          <cell r="H2675" t="str">
            <v>DISTRIBUIÇÃO</v>
          </cell>
          <cell r="I2675" t="str">
            <v>FOOD SERVICE</v>
          </cell>
          <cell r="J2675" t="str">
            <v>FLAC 2</v>
          </cell>
          <cell r="K2675" t="str">
            <v>LACTALIS</v>
          </cell>
          <cell r="L2675" t="str">
            <v>RODRIGO</v>
          </cell>
          <cell r="M2675" t="str">
            <v>RAQUEL BARBOSA</v>
          </cell>
        </row>
        <row r="2676">
          <cell r="B2676">
            <v>5359185</v>
          </cell>
          <cell r="C2676" t="str">
            <v>DISTRIBUIDORA DE AMIZADE LTDA</v>
          </cell>
          <cell r="D2676" t="str">
            <v>3001</v>
          </cell>
          <cell r="E2676" t="str">
            <v>0028</v>
          </cell>
          <cell r="F2676" t="str">
            <v>C1</v>
          </cell>
          <cell r="G2676" t="str">
            <v>MG</v>
          </cell>
          <cell r="H2676" t="str">
            <v>INGREDIENTS</v>
          </cell>
          <cell r="I2676" t="str">
            <v>INGREDIENTS</v>
          </cell>
          <cell r="J2676" t="str">
            <v>TATIANA NITTA</v>
          </cell>
          <cell r="K2676" t="str">
            <v>ITAMBÉ</v>
          </cell>
          <cell r="L2676" t="str">
            <v>MAURICIO</v>
          </cell>
          <cell r="M2676" t="str">
            <v>TATIANA NITTA</v>
          </cell>
        </row>
        <row r="2677">
          <cell r="B2677">
            <v>5359379</v>
          </cell>
          <cell r="C2677" t="str">
            <v>SUPERMERCADO BELLADORA LTDA</v>
          </cell>
          <cell r="D2677" t="str">
            <v>3001</v>
          </cell>
          <cell r="E2677" t="str">
            <v>0028</v>
          </cell>
          <cell r="F2677" t="str">
            <v>C1</v>
          </cell>
          <cell r="G2677" t="str">
            <v>SC</v>
          </cell>
          <cell r="H2677" t="str">
            <v>INGREDIENTS</v>
          </cell>
          <cell r="I2677" t="str">
            <v>INGREDIENTS</v>
          </cell>
          <cell r="J2677" t="str">
            <v>MARCELO RODRIGUES</v>
          </cell>
          <cell r="K2677" t="str">
            <v>ITAMBÉ</v>
          </cell>
          <cell r="L2677" t="str">
            <v>MAURICIO</v>
          </cell>
          <cell r="M2677" t="str">
            <v>MARCELO</v>
          </cell>
        </row>
        <row r="2678">
          <cell r="B2678">
            <v>5359245</v>
          </cell>
          <cell r="C2678" t="str">
            <v>BUFFET ESPACO RAFAH LTDA</v>
          </cell>
          <cell r="D2678" t="str">
            <v>7001</v>
          </cell>
          <cell r="E2678" t="str">
            <v>0749</v>
          </cell>
          <cell r="F2678" t="str">
            <v>C5</v>
          </cell>
          <cell r="G2678" t="str">
            <v>SP</v>
          </cell>
          <cell r="H2678" t="str">
            <v>DISTRIBUIÇÃO</v>
          </cell>
          <cell r="I2678" t="str">
            <v>FOOD SERVICE</v>
          </cell>
          <cell r="J2678" t="str">
            <v>FLAC 5</v>
          </cell>
          <cell r="K2678" t="str">
            <v>LACTALIS</v>
          </cell>
          <cell r="L2678" t="str">
            <v>RODRIGO</v>
          </cell>
          <cell r="M2678" t="str">
            <v>RAQUEL BARBOSA</v>
          </cell>
        </row>
        <row r="2679">
          <cell r="B2679">
            <v>5359323</v>
          </cell>
          <cell r="C2679" t="str">
            <v>PANEVINI PANIFICACAO ARTESANAL LTDA</v>
          </cell>
          <cell r="D2679" t="str">
            <v>7001</v>
          </cell>
          <cell r="E2679" t="str">
            <v>0749</v>
          </cell>
          <cell r="F2679" t="str">
            <v>C5</v>
          </cell>
          <cell r="G2679" t="str">
            <v>SP</v>
          </cell>
          <cell r="H2679" t="str">
            <v>DISTRIBUIÇÃO</v>
          </cell>
          <cell r="I2679" t="str">
            <v>FOOD SERVICE</v>
          </cell>
          <cell r="J2679" t="str">
            <v>FLAC 5</v>
          </cell>
          <cell r="K2679" t="str">
            <v>LACTALIS</v>
          </cell>
          <cell r="L2679" t="str">
            <v>RODRIGO</v>
          </cell>
          <cell r="M2679" t="str">
            <v>RAQUEL BARBOSA</v>
          </cell>
        </row>
        <row r="2680">
          <cell r="B2680">
            <v>5352083</v>
          </cell>
          <cell r="C2680" t="str">
            <v>DISTRIBUIDORA J V LTDA</v>
          </cell>
          <cell r="D2680" t="str">
            <v>3001</v>
          </cell>
          <cell r="E2680" t="str">
            <v>0122</v>
          </cell>
          <cell r="F2680" t="str">
            <v>C1</v>
          </cell>
          <cell r="G2680" t="str">
            <v>MG</v>
          </cell>
          <cell r="H2680" t="str">
            <v>DISTRIBUIÇÃO</v>
          </cell>
          <cell r="I2680" t="str">
            <v>FOOD SERVICE</v>
          </cell>
          <cell r="J2680" t="str">
            <v>MARCELO SILVA</v>
          </cell>
          <cell r="K2680" t="str">
            <v>ITAMBÉ</v>
          </cell>
          <cell r="L2680" t="str">
            <v>RODRIGO</v>
          </cell>
          <cell r="M2680" t="str">
            <v>CELIO MARTINS</v>
          </cell>
        </row>
        <row r="2681">
          <cell r="B2681">
            <v>5182318</v>
          </cell>
          <cell r="C2681" t="str">
            <v>MARQUISE EMPREENDIMENTOS SA</v>
          </cell>
          <cell r="D2681" t="str">
            <v>6001</v>
          </cell>
          <cell r="E2681" t="str">
            <v>6075</v>
          </cell>
          <cell r="F2681" t="str">
            <v>C1</v>
          </cell>
          <cell r="G2681" t="str">
            <v>CE</v>
          </cell>
          <cell r="H2681" t="str">
            <v>DISTRIBUIÇÃO</v>
          </cell>
          <cell r="I2681" t="str">
            <v>FOOD SERVICE</v>
          </cell>
          <cell r="J2681" t="str">
            <v>WH FOOD SERVICE CE</v>
          </cell>
          <cell r="K2681" t="str">
            <v>ITAMBÉ</v>
          </cell>
          <cell r="L2681" t="str">
            <v>RODRIGO</v>
          </cell>
          <cell r="M2681" t="str">
            <v>MARIA LOURDES</v>
          </cell>
        </row>
        <row r="2682">
          <cell r="B2682">
            <v>5273675</v>
          </cell>
          <cell r="C2682" t="str">
            <v>SM FERREIRA COMERCIO DE ALIMENT</v>
          </cell>
          <cell r="D2682" t="str">
            <v>7001</v>
          </cell>
          <cell r="E2682" t="str">
            <v>0749</v>
          </cell>
          <cell r="F2682" t="str">
            <v>C5</v>
          </cell>
          <cell r="G2682" t="str">
            <v>SP</v>
          </cell>
          <cell r="H2682" t="str">
            <v>DISTRIBUIÇÃO</v>
          </cell>
          <cell r="I2682" t="str">
            <v>FOOD SERVICE</v>
          </cell>
          <cell r="J2682" t="str">
            <v>FLAC 8</v>
          </cell>
          <cell r="K2682" t="str">
            <v>LACTALIS</v>
          </cell>
          <cell r="L2682" t="str">
            <v>RODRIGO</v>
          </cell>
          <cell r="M2682" t="str">
            <v>RAQUEL BARBOSA</v>
          </cell>
        </row>
        <row r="2683">
          <cell r="B2683">
            <v>5294986</v>
          </cell>
          <cell r="C2683" t="str">
            <v>NR FOODS INDUSTRIA E COMERCIO L</v>
          </cell>
          <cell r="D2683" t="str">
            <v>3001</v>
          </cell>
          <cell r="E2683" t="str">
            <v>0028</v>
          </cell>
          <cell r="F2683" t="str">
            <v>C1</v>
          </cell>
          <cell r="G2683" t="str">
            <v>RS</v>
          </cell>
          <cell r="H2683" t="str">
            <v>INGREDIENTS</v>
          </cell>
          <cell r="I2683" t="str">
            <v>INGREDIENTS</v>
          </cell>
          <cell r="J2683" t="str">
            <v>JOEL ELEOTÉRIO</v>
          </cell>
          <cell r="K2683" t="str">
            <v>ITAMBÉ</v>
          </cell>
          <cell r="L2683" t="str">
            <v>MAURICIO</v>
          </cell>
          <cell r="M2683" t="str">
            <v>JOEL</v>
          </cell>
        </row>
        <row r="2684">
          <cell r="B2684">
            <v>5337773</v>
          </cell>
          <cell r="C2684" t="str">
            <v>CAFE PACIFICO LTDA</v>
          </cell>
          <cell r="D2684" t="str">
            <v>6001</v>
          </cell>
          <cell r="E2684" t="str">
            <v>6125</v>
          </cell>
          <cell r="F2684" t="str">
            <v>C1</v>
          </cell>
          <cell r="G2684" t="str">
            <v>SP</v>
          </cell>
          <cell r="H2684" t="str">
            <v>QSR</v>
          </cell>
          <cell r="I2684" t="str">
            <v>FOOD SERVICE</v>
          </cell>
          <cell r="J2684" t="str">
            <v>VAGO QSR</v>
          </cell>
          <cell r="K2684" t="str">
            <v>ITAMBÉ</v>
          </cell>
          <cell r="L2684" t="str">
            <v>PEDRO</v>
          </cell>
          <cell r="M2684" t="str">
            <v>VAGO QSR</v>
          </cell>
        </row>
        <row r="2685">
          <cell r="B2685">
            <v>5359428</v>
          </cell>
          <cell r="C2685" t="str">
            <v>RUUU SORVETES E ACAI LTDA</v>
          </cell>
          <cell r="D2685" t="str">
            <v>3001</v>
          </cell>
          <cell r="E2685" t="str">
            <v>0028</v>
          </cell>
          <cell r="F2685" t="str">
            <v>C1</v>
          </cell>
          <cell r="G2685" t="str">
            <v>MG</v>
          </cell>
          <cell r="H2685" t="str">
            <v>INGREDIENTS</v>
          </cell>
          <cell r="I2685" t="str">
            <v>INGREDIENTS</v>
          </cell>
          <cell r="J2685" t="str">
            <v>MG ITB FS HENRIQUE WAGNER</v>
          </cell>
          <cell r="K2685" t="str">
            <v>ITAMBÉ</v>
          </cell>
          <cell r="L2685" t="str">
            <v>MAURICIO</v>
          </cell>
          <cell r="M2685" t="str">
            <v>TATIANA NITTA</v>
          </cell>
        </row>
        <row r="2686">
          <cell r="B2686">
            <v>5170033</v>
          </cell>
          <cell r="C2686" t="str">
            <v>SORVETERIA SANTIAGO LTDA</v>
          </cell>
          <cell r="D2686" t="str">
            <v>6001</v>
          </cell>
          <cell r="E2686" t="str">
            <v>6028</v>
          </cell>
          <cell r="F2686" t="str">
            <v>C1</v>
          </cell>
          <cell r="G2686" t="str">
            <v>BA</v>
          </cell>
          <cell r="H2686" t="str">
            <v>INGREDIENTS</v>
          </cell>
          <cell r="I2686" t="str">
            <v>INGREDIENTS</v>
          </cell>
          <cell r="J2686" t="str">
            <v>BA ITB FS ML FLAVORS</v>
          </cell>
          <cell r="K2686" t="str">
            <v>ITAMBÉ</v>
          </cell>
          <cell r="L2686" t="str">
            <v>MAURICIO</v>
          </cell>
          <cell r="M2686" t="str">
            <v>JOEL</v>
          </cell>
        </row>
        <row r="2687">
          <cell r="B2687">
            <v>5334876</v>
          </cell>
          <cell r="C2687" t="str">
            <v>52861029 ALINE RODRIGUES DA SIL</v>
          </cell>
          <cell r="D2687" t="str">
            <v>7001</v>
          </cell>
          <cell r="E2687" t="str">
            <v>0749</v>
          </cell>
          <cell r="F2687" t="str">
            <v>C5</v>
          </cell>
          <cell r="G2687" t="str">
            <v>SP</v>
          </cell>
          <cell r="H2687" t="str">
            <v>DISTRIBUIÇÃO</v>
          </cell>
          <cell r="I2687" t="str">
            <v>FOOD SERVICE</v>
          </cell>
          <cell r="J2687" t="str">
            <v>FLAC 5</v>
          </cell>
          <cell r="K2687" t="str">
            <v>LACTALIS</v>
          </cell>
          <cell r="L2687" t="str">
            <v>RODRIGO</v>
          </cell>
          <cell r="M2687" t="str">
            <v>RAQUEL BARBOSA</v>
          </cell>
        </row>
        <row r="2688">
          <cell r="B2688">
            <v>5358594</v>
          </cell>
          <cell r="C2688" t="str">
            <v>PADRISSIMO RESTAURANTE E BUFFET</v>
          </cell>
          <cell r="D2688" t="str">
            <v>7001</v>
          </cell>
          <cell r="E2688" t="str">
            <v>0749</v>
          </cell>
          <cell r="F2688" t="str">
            <v>C5</v>
          </cell>
          <cell r="G2688" t="str">
            <v>SP</v>
          </cell>
          <cell r="H2688" t="str">
            <v>DISTRIBUIÇÃO</v>
          </cell>
          <cell r="I2688" t="str">
            <v>FOOD SERVICE</v>
          </cell>
          <cell r="J2688" t="str">
            <v>FLAC 5</v>
          </cell>
          <cell r="K2688" t="str">
            <v>LACTALIS</v>
          </cell>
          <cell r="L2688" t="str">
            <v>RODRIGO</v>
          </cell>
          <cell r="M2688" t="str">
            <v>RAQUEL BARBOSA</v>
          </cell>
        </row>
        <row r="2689">
          <cell r="B2689">
            <v>5359647</v>
          </cell>
          <cell r="C2689" t="str">
            <v>AM COFFEE E CO LTDA</v>
          </cell>
          <cell r="D2689" t="str">
            <v>7001</v>
          </cell>
          <cell r="E2689" t="str">
            <v>0749</v>
          </cell>
          <cell r="F2689" t="str">
            <v>C5</v>
          </cell>
          <cell r="G2689" t="str">
            <v>SP</v>
          </cell>
          <cell r="H2689" t="str">
            <v>DISTRIBUIÇÃO</v>
          </cell>
          <cell r="I2689" t="str">
            <v>FOOD SERVICE</v>
          </cell>
          <cell r="J2689" t="str">
            <v>FLAC 3</v>
          </cell>
          <cell r="K2689" t="str">
            <v>LACTALIS</v>
          </cell>
          <cell r="L2689" t="str">
            <v>RODRIGO</v>
          </cell>
          <cell r="M2689" t="str">
            <v>RAQUEL BARBOSA</v>
          </cell>
        </row>
        <row r="2690">
          <cell r="B2690">
            <v>5146856</v>
          </cell>
          <cell r="C2690" t="str">
            <v>WD VENDING MACHINE LTDA</v>
          </cell>
          <cell r="D2690" t="str">
            <v>6001</v>
          </cell>
          <cell r="E2690" t="str">
            <v>6009</v>
          </cell>
          <cell r="F2690" t="str">
            <v>C1</v>
          </cell>
          <cell r="G2690" t="str">
            <v>BA</v>
          </cell>
          <cell r="H2690" t="str">
            <v>DISTRIBUIÇÃO</v>
          </cell>
          <cell r="I2690" t="str">
            <v>FOOD SERVICE</v>
          </cell>
          <cell r="J2690" t="str">
            <v>CLAUDIO JORGE/LUIZ</v>
          </cell>
          <cell r="K2690" t="str">
            <v>ITAMBÉ</v>
          </cell>
          <cell r="L2690" t="str">
            <v>RODRIGO</v>
          </cell>
          <cell r="M2690" t="str">
            <v>MARIA LOURDES</v>
          </cell>
        </row>
        <row r="2691">
          <cell r="B2691">
            <v>5206787</v>
          </cell>
          <cell r="C2691" t="str">
            <v>CS FABRICACAO DE ALIMENTOS</v>
          </cell>
          <cell r="D2691" t="str">
            <v>6001</v>
          </cell>
          <cell r="E2691" t="str">
            <v>6125</v>
          </cell>
          <cell r="F2691" t="str">
            <v>C1</v>
          </cell>
          <cell r="G2691" t="str">
            <v>SP</v>
          </cell>
          <cell r="H2691" t="str">
            <v>QSR</v>
          </cell>
          <cell r="I2691" t="str">
            <v>FOOD SERVICE</v>
          </cell>
          <cell r="J2691" t="str">
            <v>ANA MENIQUETE</v>
          </cell>
          <cell r="K2691" t="str">
            <v>ITAMBÉ</v>
          </cell>
          <cell r="L2691" t="str">
            <v>PEDRO</v>
          </cell>
          <cell r="M2691" t="str">
            <v>ANA MENIQUETE</v>
          </cell>
        </row>
        <row r="2692">
          <cell r="B2692">
            <v>5320070</v>
          </cell>
          <cell r="C2692" t="str">
            <v>MON CHOU COM IMPORTACAO E EXPOR</v>
          </cell>
          <cell r="D2692" t="str">
            <v>6001</v>
          </cell>
          <cell r="E2692" t="str">
            <v>6169</v>
          </cell>
          <cell r="F2692" t="str">
            <v>C1</v>
          </cell>
          <cell r="G2692" t="str">
            <v>RJ</v>
          </cell>
          <cell r="H2692" t="str">
            <v>DISTRIBUIÇÃO</v>
          </cell>
          <cell r="I2692" t="str">
            <v>FOOD SERVICE</v>
          </cell>
          <cell r="J2692" t="str">
            <v>LUCIANA MARTINS</v>
          </cell>
          <cell r="K2692" t="str">
            <v>ITAMBÉ</v>
          </cell>
          <cell r="L2692" t="str">
            <v>RODRIGO</v>
          </cell>
          <cell r="M2692" t="str">
            <v>JESSICA</v>
          </cell>
        </row>
        <row r="2693">
          <cell r="B2693">
            <v>5357392</v>
          </cell>
          <cell r="C2693" t="str">
            <v>CORA PATISSERIE LTDA</v>
          </cell>
          <cell r="D2693" t="str">
            <v>7001</v>
          </cell>
          <cell r="E2693" t="str">
            <v>0749</v>
          </cell>
          <cell r="F2693" t="str">
            <v>C5</v>
          </cell>
          <cell r="G2693" t="str">
            <v>SP</v>
          </cell>
          <cell r="H2693" t="str">
            <v>DISTRIBUIÇÃO</v>
          </cell>
          <cell r="I2693" t="str">
            <v>FOOD SERVICE</v>
          </cell>
          <cell r="J2693" t="str">
            <v>FLAC 5</v>
          </cell>
          <cell r="K2693" t="str">
            <v>LACTALIS</v>
          </cell>
          <cell r="L2693" t="str">
            <v>RODRIGO</v>
          </cell>
          <cell r="M2693" t="str">
            <v>RAQUEL BARBOSA</v>
          </cell>
        </row>
        <row r="2694">
          <cell r="B2694">
            <v>5359640</v>
          </cell>
          <cell r="C2694" t="str">
            <v>CHURRASCARIA JAGUARE 07 LTDA</v>
          </cell>
          <cell r="D2694" t="str">
            <v>7001</v>
          </cell>
          <cell r="E2694" t="str">
            <v>0749</v>
          </cell>
          <cell r="F2694" t="str">
            <v>C5</v>
          </cell>
          <cell r="G2694" t="str">
            <v>SP</v>
          </cell>
          <cell r="H2694" t="str">
            <v>DISTRIBUIÇÃO</v>
          </cell>
          <cell r="I2694" t="str">
            <v>FOOD SERVICE</v>
          </cell>
          <cell r="J2694" t="str">
            <v>FLAC 3</v>
          </cell>
          <cell r="K2694" t="str">
            <v>LACTALIS</v>
          </cell>
          <cell r="L2694" t="str">
            <v>RODRIGO</v>
          </cell>
          <cell r="M2694" t="str">
            <v>RAQUEL BARBOSA</v>
          </cell>
        </row>
        <row r="2695">
          <cell r="B2695">
            <v>5146856</v>
          </cell>
          <cell r="C2695" t="str">
            <v>WD VENDING MACHINE LTDA</v>
          </cell>
          <cell r="D2695" t="str">
            <v>6001</v>
          </cell>
          <cell r="E2695" t="str">
            <v>6127</v>
          </cell>
          <cell r="F2695" t="str">
            <v>C1</v>
          </cell>
          <cell r="G2695" t="str">
            <v>BA</v>
          </cell>
          <cell r="H2695" t="str">
            <v>DISTRIBUIÇÃO</v>
          </cell>
          <cell r="I2695" t="str">
            <v>FOOD SERVICE</v>
          </cell>
          <cell r="J2695" t="str">
            <v>CLAUDIO JORGE/LUIZ</v>
          </cell>
          <cell r="K2695" t="str">
            <v>ITAMBÉ</v>
          </cell>
          <cell r="L2695" t="str">
            <v>RODRIGO</v>
          </cell>
          <cell r="M2695" t="str">
            <v>MARIA LOURDES</v>
          </cell>
        </row>
        <row r="2696">
          <cell r="B2696">
            <v>5110662</v>
          </cell>
          <cell r="C2696" t="str">
            <v>CANELA E CIA RESTAURANTE LTDA</v>
          </cell>
          <cell r="D2696" t="str">
            <v>6001</v>
          </cell>
          <cell r="E2696" t="str">
            <v>6127</v>
          </cell>
          <cell r="F2696" t="str">
            <v>C1</v>
          </cell>
          <cell r="G2696" t="str">
            <v>BA</v>
          </cell>
          <cell r="H2696" t="str">
            <v>DISTRIBUIÇÃO</v>
          </cell>
          <cell r="I2696" t="str">
            <v>FOOD SERVICE</v>
          </cell>
          <cell r="J2696" t="str">
            <v>CLAUDIO JORGE/LUIZ</v>
          </cell>
          <cell r="K2696" t="str">
            <v>ITAMBÉ</v>
          </cell>
          <cell r="L2696" t="str">
            <v>RODRIGO</v>
          </cell>
          <cell r="M2696" t="str">
            <v>MARIA LOURDES</v>
          </cell>
        </row>
        <row r="2697">
          <cell r="B2697">
            <v>5359027</v>
          </cell>
          <cell r="C2697" t="str">
            <v>COM CIDADE DE SP BAR E TRATORIA</v>
          </cell>
          <cell r="D2697" t="str">
            <v>7001</v>
          </cell>
          <cell r="E2697" t="str">
            <v>0749</v>
          </cell>
          <cell r="F2697" t="str">
            <v>C5</v>
          </cell>
          <cell r="G2697" t="str">
            <v>SP</v>
          </cell>
          <cell r="H2697" t="str">
            <v>DISTRIBUIÇÃO</v>
          </cell>
          <cell r="I2697" t="str">
            <v>FOOD SERVICE</v>
          </cell>
          <cell r="J2697" t="str">
            <v>FLAC 4</v>
          </cell>
          <cell r="K2697" t="str">
            <v>LACTALIS</v>
          </cell>
          <cell r="L2697" t="str">
            <v>RODRIGO</v>
          </cell>
          <cell r="M2697" t="str">
            <v>RAQUEL BARBOSA</v>
          </cell>
        </row>
        <row r="2698">
          <cell r="B2698">
            <v>5203725</v>
          </cell>
          <cell r="C2698" t="str">
            <v>SORVEMEL SORVETES LTDA</v>
          </cell>
          <cell r="D2698" t="str">
            <v>6001</v>
          </cell>
          <cell r="E2698" t="str">
            <v>6028</v>
          </cell>
          <cell r="F2698" t="str">
            <v>C1</v>
          </cell>
          <cell r="G2698" t="str">
            <v>SP</v>
          </cell>
          <cell r="H2698" t="str">
            <v>INGREDIENTS</v>
          </cell>
          <cell r="I2698" t="str">
            <v>INGREDIENTS</v>
          </cell>
          <cell r="J2698" t="str">
            <v>DUAS RODAS</v>
          </cell>
          <cell r="K2698" t="str">
            <v>ITAMBÉ</v>
          </cell>
          <cell r="L2698" t="str">
            <v>MAURICIO</v>
          </cell>
          <cell r="M2698" t="str">
            <v>TATIANA NITTA</v>
          </cell>
        </row>
        <row r="2699">
          <cell r="B2699">
            <v>5217293</v>
          </cell>
          <cell r="C2699" t="str">
            <v>OESA COMERCIO E REPRESENTACOES SA</v>
          </cell>
          <cell r="D2699" t="str">
            <v>7001</v>
          </cell>
          <cell r="E2699" t="str">
            <v>0722</v>
          </cell>
          <cell r="F2699" t="str">
            <v>C1</v>
          </cell>
          <cell r="G2699" t="str">
            <v>SP</v>
          </cell>
          <cell r="H2699" t="str">
            <v>DISTRIBUIÇÃO</v>
          </cell>
          <cell r="I2699" t="str">
            <v>FOOD SERVICE</v>
          </cell>
          <cell r="J2699" t="str">
            <v>VAGO SP</v>
          </cell>
          <cell r="K2699" t="str">
            <v>LACTALIS</v>
          </cell>
          <cell r="L2699" t="str">
            <v>RODRIGO</v>
          </cell>
          <cell r="M2699" t="str">
            <v>RAQUEL BARBOSA</v>
          </cell>
        </row>
        <row r="2700">
          <cell r="B2700">
            <v>5350810</v>
          </cell>
          <cell r="C2700" t="str">
            <v>COMERCIO DE ALIM NOVA PITOKO LT</v>
          </cell>
          <cell r="D2700" t="str">
            <v>6001</v>
          </cell>
          <cell r="E2700" t="str">
            <v>6169</v>
          </cell>
          <cell r="F2700" t="str">
            <v>C1</v>
          </cell>
          <cell r="G2700" t="str">
            <v>RJ</v>
          </cell>
          <cell r="H2700" t="str">
            <v>DISTRIBUIÇÃO</v>
          </cell>
          <cell r="I2700" t="str">
            <v>FOOD SERVICE</v>
          </cell>
          <cell r="J2700" t="str">
            <v>JULIANA CORDEIRO</v>
          </cell>
          <cell r="K2700" t="str">
            <v>ITAMBÉ</v>
          </cell>
          <cell r="L2700" t="str">
            <v>RODRIGO</v>
          </cell>
          <cell r="M2700" t="str">
            <v>JESSICA</v>
          </cell>
        </row>
        <row r="2701">
          <cell r="B2701">
            <v>5357111</v>
          </cell>
          <cell r="C2701" t="str">
            <v>59100275 ALEXANDRE COLETE SILVA</v>
          </cell>
          <cell r="D2701" t="str">
            <v>7001</v>
          </cell>
          <cell r="E2701" t="str">
            <v>0749</v>
          </cell>
          <cell r="F2701" t="str">
            <v>C5</v>
          </cell>
          <cell r="G2701" t="str">
            <v>SP</v>
          </cell>
          <cell r="H2701" t="str">
            <v>DISTRIBUIÇÃO</v>
          </cell>
          <cell r="I2701" t="str">
            <v>FOOD SERVICE</v>
          </cell>
          <cell r="J2701" t="str">
            <v>FLAC 2</v>
          </cell>
          <cell r="K2701" t="str">
            <v>LACTALIS</v>
          </cell>
          <cell r="L2701" t="str">
            <v>RODRIGO</v>
          </cell>
          <cell r="M2701" t="str">
            <v>RAQUEL BARBOSA</v>
          </cell>
        </row>
        <row r="2702">
          <cell r="B2702">
            <v>5359750</v>
          </cell>
          <cell r="C2702" t="str">
            <v>61818384 MAYANNA VICTO DE OLIVE</v>
          </cell>
          <cell r="D2702" t="str">
            <v>7001</v>
          </cell>
          <cell r="E2702" t="str">
            <v>0749</v>
          </cell>
          <cell r="F2702" t="str">
            <v>C5</v>
          </cell>
          <cell r="G2702" t="str">
            <v>SP</v>
          </cell>
          <cell r="H2702" t="str">
            <v>DISTRIBUIÇÃO</v>
          </cell>
          <cell r="I2702" t="str">
            <v>FOOD SERVICE</v>
          </cell>
          <cell r="J2702" t="str">
            <v>FLAC 4</v>
          </cell>
          <cell r="K2702" t="str">
            <v>LACTALIS</v>
          </cell>
          <cell r="L2702" t="str">
            <v>RODRIGO</v>
          </cell>
          <cell r="M2702" t="str">
            <v>RAQUEL BARBOSA</v>
          </cell>
        </row>
        <row r="2703">
          <cell r="B2703">
            <v>5231829</v>
          </cell>
          <cell r="C2703" t="str">
            <v>SEM LIMITE DIST DE ALIMENTOS LT</v>
          </cell>
          <cell r="D2703" t="str">
            <v>4001</v>
          </cell>
          <cell r="E2703" t="str">
            <v>0458</v>
          </cell>
          <cell r="F2703" t="str">
            <v>C1</v>
          </cell>
          <cell r="G2703" t="str">
            <v>MG</v>
          </cell>
          <cell r="H2703" t="str">
            <v>DISTRIBUIÇÃO</v>
          </cell>
          <cell r="I2703" t="str">
            <v>FOOD SERVICE</v>
          </cell>
          <cell r="J2703" t="str">
            <v>MARCELO SILVA</v>
          </cell>
          <cell r="K2703" t="str">
            <v>LACTALIS</v>
          </cell>
          <cell r="L2703" t="str">
            <v>RODRIGO</v>
          </cell>
          <cell r="M2703" t="str">
            <v>CELIO MARTINS</v>
          </cell>
        </row>
        <row r="2704">
          <cell r="B2704">
            <v>5336689</v>
          </cell>
          <cell r="C2704" t="str">
            <v>RESTAURANTE NUNES CLEMENTINO LT</v>
          </cell>
          <cell r="D2704" t="str">
            <v>7001</v>
          </cell>
          <cell r="E2704" t="str">
            <v>0749</v>
          </cell>
          <cell r="F2704" t="str">
            <v>C5</v>
          </cell>
          <cell r="G2704" t="str">
            <v>SP</v>
          </cell>
          <cell r="H2704" t="str">
            <v>DISTRIBUIÇÃO</v>
          </cell>
          <cell r="I2704" t="str">
            <v>FOOD SERVICE</v>
          </cell>
          <cell r="J2704" t="str">
            <v>FLAC 6</v>
          </cell>
          <cell r="K2704" t="str">
            <v>LACTALIS</v>
          </cell>
          <cell r="L2704" t="str">
            <v>RODRIGO</v>
          </cell>
          <cell r="M2704" t="str">
            <v>RAQUEL BARBOSA</v>
          </cell>
        </row>
        <row r="2705">
          <cell r="B2705">
            <v>5359877</v>
          </cell>
          <cell r="C2705" t="str">
            <v>EUROPANE IND E COM DE PROD E PA</v>
          </cell>
          <cell r="D2705" t="str">
            <v>7001</v>
          </cell>
          <cell r="E2705" t="str">
            <v>0749</v>
          </cell>
          <cell r="F2705" t="str">
            <v>C5</v>
          </cell>
          <cell r="G2705" t="str">
            <v>SP</v>
          </cell>
          <cell r="H2705" t="str">
            <v>DISTRIBUIÇÃO</v>
          </cell>
          <cell r="I2705" t="str">
            <v>FOOD SERVICE</v>
          </cell>
          <cell r="J2705" t="str">
            <v>FLAC 4</v>
          </cell>
          <cell r="K2705" t="str">
            <v>LACTALIS</v>
          </cell>
          <cell r="L2705" t="str">
            <v>RODRIGO</v>
          </cell>
          <cell r="M2705" t="str">
            <v>RAQUEL BARBOSA</v>
          </cell>
        </row>
        <row r="2706">
          <cell r="B2706">
            <v>5226651</v>
          </cell>
          <cell r="C2706" t="str">
            <v>CARINO INGREDIENTES LTDA</v>
          </cell>
          <cell r="D2706" t="str">
            <v>6001</v>
          </cell>
          <cell r="E2706" t="str">
            <v>6125</v>
          </cell>
          <cell r="F2706" t="str">
            <v>C1</v>
          </cell>
          <cell r="G2706" t="str">
            <v>SP</v>
          </cell>
          <cell r="H2706" t="str">
            <v>INGREDIENTS</v>
          </cell>
          <cell r="I2706" t="str">
            <v>INGREDIENTS</v>
          </cell>
          <cell r="J2706" t="str">
            <v>MARCELO RODRIGUES</v>
          </cell>
          <cell r="K2706" t="str">
            <v>ITAMBÉ</v>
          </cell>
          <cell r="L2706" t="str">
            <v>MAURICIO</v>
          </cell>
          <cell r="M2706" t="str">
            <v>MARCELO</v>
          </cell>
        </row>
        <row r="2707">
          <cell r="B2707">
            <v>5234169</v>
          </cell>
          <cell r="C2707" t="str">
            <v>CLUBE ATLETICO MONTE LIBANO</v>
          </cell>
          <cell r="D2707" t="str">
            <v>7001</v>
          </cell>
          <cell r="E2707" t="str">
            <v>0749</v>
          </cell>
          <cell r="F2707" t="str">
            <v>C5</v>
          </cell>
          <cell r="G2707" t="str">
            <v>SP</v>
          </cell>
          <cell r="H2707" t="str">
            <v>DISTRIBUIÇÃO</v>
          </cell>
          <cell r="I2707" t="str">
            <v>FOOD SERVICE</v>
          </cell>
          <cell r="J2707" t="str">
            <v>FLAC 6</v>
          </cell>
          <cell r="K2707" t="str">
            <v>LACTALIS</v>
          </cell>
          <cell r="L2707" t="str">
            <v>RODRIGO</v>
          </cell>
          <cell r="M2707" t="str">
            <v>RAQUEL BARBOSA</v>
          </cell>
        </row>
        <row r="2708">
          <cell r="B2708">
            <v>5340507</v>
          </cell>
          <cell r="C2708" t="str">
            <v>SUAVE SABOR DOCERIA LTDA</v>
          </cell>
          <cell r="D2708" t="str">
            <v>6001</v>
          </cell>
          <cell r="E2708" t="str">
            <v>6028</v>
          </cell>
          <cell r="F2708" t="str">
            <v>C1</v>
          </cell>
          <cell r="G2708" t="str">
            <v>SP</v>
          </cell>
          <cell r="H2708" t="str">
            <v>INGREDIENTS</v>
          </cell>
          <cell r="I2708" t="str">
            <v>INGREDIENTS</v>
          </cell>
          <cell r="J2708" t="str">
            <v>TATIANA NITTA</v>
          </cell>
          <cell r="K2708" t="str">
            <v>ITAMBÉ</v>
          </cell>
          <cell r="L2708" t="str">
            <v>MAURICIO</v>
          </cell>
          <cell r="M2708" t="str">
            <v>TATIANA NITTA</v>
          </cell>
        </row>
        <row r="2709">
          <cell r="B2709">
            <v>5058881</v>
          </cell>
          <cell r="C2709" t="str">
            <v>GR SERVICOS E ALIMENTACAO LTDA</v>
          </cell>
          <cell r="D2709" t="str">
            <v>6001</v>
          </cell>
          <cell r="E2709" t="str">
            <v>6028</v>
          </cell>
          <cell r="F2709" t="str">
            <v>C1</v>
          </cell>
          <cell r="G2709" t="str">
            <v>SP</v>
          </cell>
          <cell r="H2709" t="str">
            <v>QSR</v>
          </cell>
          <cell r="I2709" t="str">
            <v>FOOD SERVICE</v>
          </cell>
          <cell r="J2709" t="str">
            <v>NUTRI</v>
          </cell>
          <cell r="K2709" t="str">
            <v>ITAMBÉ</v>
          </cell>
          <cell r="L2709" t="str">
            <v>PEDRO</v>
          </cell>
          <cell r="M2709" t="str">
            <v>VAGO QSR</v>
          </cell>
        </row>
        <row r="2710">
          <cell r="B2710">
            <v>5114387</v>
          </cell>
          <cell r="C2710" t="str">
            <v>JAQUELINI CARDOSO COSTA DA SILV</v>
          </cell>
          <cell r="D2710" t="str">
            <v>6001</v>
          </cell>
          <cell r="E2710" t="str">
            <v>6125</v>
          </cell>
          <cell r="F2710" t="str">
            <v>C1</v>
          </cell>
          <cell r="G2710" t="str">
            <v>SP</v>
          </cell>
          <cell r="H2710" t="str">
            <v>INGREDIENTS</v>
          </cell>
          <cell r="I2710" t="str">
            <v>INGREDIENTS</v>
          </cell>
          <cell r="J2710" t="str">
            <v>HENRIQUE FERREIRA</v>
          </cell>
          <cell r="K2710" t="str">
            <v>ITAMBÉ</v>
          </cell>
          <cell r="L2710" t="str">
            <v>MAURICIO</v>
          </cell>
          <cell r="M2710" t="str">
            <v>JOEL</v>
          </cell>
        </row>
        <row r="2711">
          <cell r="B2711">
            <v>5149780</v>
          </cell>
          <cell r="C2711" t="str">
            <v>MAX PAO LAS VEGAS PAES E DOCES</v>
          </cell>
          <cell r="D2711" t="str">
            <v>7001</v>
          </cell>
          <cell r="E2711" t="str">
            <v>0749</v>
          </cell>
          <cell r="F2711" t="str">
            <v>C5</v>
          </cell>
          <cell r="G2711" t="str">
            <v>SP</v>
          </cell>
          <cell r="H2711" t="str">
            <v>DISTRIBUIÇÃO</v>
          </cell>
          <cell r="I2711" t="str">
            <v>FOOD SERVICE</v>
          </cell>
          <cell r="J2711" t="str">
            <v>FLAC 10</v>
          </cell>
          <cell r="K2711" t="str">
            <v>LACTALIS</v>
          </cell>
          <cell r="L2711" t="str">
            <v>RODRIGO</v>
          </cell>
          <cell r="M2711" t="str">
            <v>RAQUEL BARBOSA</v>
          </cell>
        </row>
        <row r="2712">
          <cell r="B2712">
            <v>5172313</v>
          </cell>
          <cell r="C2712" t="str">
            <v>FRONERI BRASIL DIST DE SORV E C</v>
          </cell>
          <cell r="D2712" t="str">
            <v>7001</v>
          </cell>
          <cell r="E2712" t="str">
            <v>0739</v>
          </cell>
          <cell r="F2712" t="str">
            <v>C1</v>
          </cell>
          <cell r="G2712" t="str">
            <v>RJ</v>
          </cell>
          <cell r="H2712" t="str">
            <v>INGREDIENTS</v>
          </cell>
          <cell r="I2712" t="str">
            <v>INGREDIENTS</v>
          </cell>
          <cell r="J2712" t="str">
            <v>JOEL ELEOTÉRIO</v>
          </cell>
          <cell r="K2712" t="str">
            <v>LACTALIS</v>
          </cell>
          <cell r="L2712" t="str">
            <v>MAURICIO</v>
          </cell>
          <cell r="M2712" t="str">
            <v>JOEL</v>
          </cell>
        </row>
        <row r="2713">
          <cell r="B2713">
            <v>5211582</v>
          </cell>
          <cell r="C2713" t="str">
            <v>DAN VIGOR IND E COM LATICINIOS</v>
          </cell>
          <cell r="D2713" t="str">
            <v>4001</v>
          </cell>
          <cell r="E2713" t="str">
            <v>0423</v>
          </cell>
          <cell r="F2713" t="str">
            <v>C5</v>
          </cell>
          <cell r="G2713" t="str">
            <v>SP</v>
          </cell>
          <cell r="H2713" t="str">
            <v>INGREDIENTS</v>
          </cell>
          <cell r="I2713" t="str">
            <v>INGREDIENTS</v>
          </cell>
          <cell r="J2713" t="str">
            <v>JOEL ELEOTÉRIO</v>
          </cell>
          <cell r="K2713" t="str">
            <v>LACTALIS</v>
          </cell>
          <cell r="L2713" t="str">
            <v>MAURICIO</v>
          </cell>
          <cell r="M2713" t="str">
            <v>JOEL</v>
          </cell>
        </row>
        <row r="2714">
          <cell r="B2714">
            <v>5359895</v>
          </cell>
          <cell r="C2714" t="str">
            <v>LEILA RESTAURANTES LTDA</v>
          </cell>
          <cell r="D2714" t="str">
            <v>7001</v>
          </cell>
          <cell r="E2714" t="str">
            <v>0749</v>
          </cell>
          <cell r="F2714" t="str">
            <v>C5</v>
          </cell>
          <cell r="G2714" t="str">
            <v>SP</v>
          </cell>
          <cell r="H2714" t="str">
            <v>DISTRIBUIÇÃO</v>
          </cell>
          <cell r="I2714" t="str">
            <v>FOOD SERVICE</v>
          </cell>
          <cell r="J2714" t="str">
            <v>FLAC 5</v>
          </cell>
          <cell r="K2714" t="str">
            <v>LACTALIS</v>
          </cell>
          <cell r="L2714" t="str">
            <v>RODRIGO</v>
          </cell>
          <cell r="M2714" t="str">
            <v>RAQUEL BARBOSA</v>
          </cell>
        </row>
        <row r="2715">
          <cell r="B2715">
            <v>5360090</v>
          </cell>
          <cell r="C2715" t="str">
            <v>62497836 MARCELO CARNEIRO</v>
          </cell>
          <cell r="D2715" t="str">
            <v>7001</v>
          </cell>
          <cell r="E2715" t="str">
            <v>0749</v>
          </cell>
          <cell r="F2715" t="str">
            <v>C5</v>
          </cell>
          <cell r="G2715" t="str">
            <v>SP</v>
          </cell>
          <cell r="H2715" t="str">
            <v>DISTRIBUIÇÃO</v>
          </cell>
          <cell r="I2715" t="str">
            <v>FOOD SERVICE</v>
          </cell>
          <cell r="J2715" t="str">
            <v>FLAC 6</v>
          </cell>
          <cell r="K2715" t="str">
            <v>LACTALIS</v>
          </cell>
          <cell r="L2715" t="str">
            <v>RODRIGO</v>
          </cell>
          <cell r="M2715" t="str">
            <v>RAQUEL BARBOSA</v>
          </cell>
        </row>
        <row r="2716">
          <cell r="B2716">
            <v>5359869</v>
          </cell>
          <cell r="C2716" t="str">
            <v>BIG CHURROS KENNEDY LTDA</v>
          </cell>
          <cell r="D2716">
            <v>6001</v>
          </cell>
          <cell r="E2716">
            <v>6028</v>
          </cell>
          <cell r="F2716" t="str">
            <v>C1</v>
          </cell>
          <cell r="G2716" t="str">
            <v>SP</v>
          </cell>
          <cell r="H2716" t="str">
            <v>INGREDIENTS</v>
          </cell>
          <cell r="I2716" t="str">
            <v>INGREDIENTS</v>
          </cell>
          <cell r="J2716" t="str">
            <v>HENRIQUE FERREIRA</v>
          </cell>
          <cell r="K2716" t="str">
            <v>ITAMBÉ</v>
          </cell>
          <cell r="L2716" t="str">
            <v>MAURICIO</v>
          </cell>
          <cell r="M2716" t="str">
            <v>JOEL</v>
          </cell>
        </row>
        <row r="2717">
          <cell r="B2717">
            <v>5359749</v>
          </cell>
          <cell r="C2717" t="str">
            <v>BR NUTRI ADM DE REST E SERVICOS LTD</v>
          </cell>
          <cell r="D2717" t="str">
            <v>7001</v>
          </cell>
          <cell r="E2717" t="str">
            <v>0749</v>
          </cell>
          <cell r="F2717" t="str">
            <v>C5</v>
          </cell>
          <cell r="G2717" t="str">
            <v>SP</v>
          </cell>
          <cell r="H2717" t="str">
            <v>DISTRIBUIÇÃO</v>
          </cell>
          <cell r="I2717" t="str">
            <v>FOOD SERVICE</v>
          </cell>
          <cell r="J2717" t="str">
            <v>FLAC 3</v>
          </cell>
          <cell r="K2717" t="str">
            <v>LACTALIS</v>
          </cell>
          <cell r="L2717" t="str">
            <v>RODRIGO</v>
          </cell>
          <cell r="M2717" t="str">
            <v>RAQUEL BARBOSA</v>
          </cell>
        </row>
        <row r="2718">
          <cell r="B2718">
            <v>5360087</v>
          </cell>
          <cell r="C2718" t="str">
            <v>PITAYA EXPRESS SANTANA LTDA</v>
          </cell>
          <cell r="D2718" t="str">
            <v>7001</v>
          </cell>
          <cell r="E2718" t="str">
            <v>0749</v>
          </cell>
          <cell r="F2718" t="str">
            <v>C5</v>
          </cell>
          <cell r="G2718" t="str">
            <v>SP</v>
          </cell>
          <cell r="H2718" t="str">
            <v>DISTRIBUIÇÃO</v>
          </cell>
          <cell r="I2718" t="str">
            <v>FOOD SERVICE</v>
          </cell>
          <cell r="J2718" t="str">
            <v>FLAC 3</v>
          </cell>
          <cell r="K2718" t="str">
            <v>LACTALIS</v>
          </cell>
          <cell r="L2718" t="str">
            <v>RODRIGO</v>
          </cell>
          <cell r="M2718" t="str">
            <v>RAQUEL BARBOSA</v>
          </cell>
        </row>
        <row r="2719">
          <cell r="B2719">
            <v>5359018</v>
          </cell>
          <cell r="C2719" t="str">
            <v>LEO CAFE LTDA</v>
          </cell>
          <cell r="D2719" t="str">
            <v>7001</v>
          </cell>
          <cell r="E2719" t="str">
            <v>0749</v>
          </cell>
          <cell r="F2719" t="str">
            <v>C5</v>
          </cell>
          <cell r="G2719" t="str">
            <v>SP</v>
          </cell>
          <cell r="H2719" t="str">
            <v>DISTRIBUIÇÃO</v>
          </cell>
          <cell r="I2719" t="str">
            <v>FOOD SERVICE</v>
          </cell>
          <cell r="J2719" t="str">
            <v>FLAC 6</v>
          </cell>
          <cell r="K2719" t="str">
            <v>LACTALIS</v>
          </cell>
          <cell r="L2719" t="str">
            <v>RODRIGO</v>
          </cell>
          <cell r="M2719" t="str">
            <v>RAQUEL BARBOSA</v>
          </cell>
        </row>
        <row r="2720">
          <cell r="B2720">
            <v>5360029</v>
          </cell>
          <cell r="C2720" t="str">
            <v>WRAPPD ALIMENTO SAUDAVEL LTDA</v>
          </cell>
          <cell r="D2720" t="str">
            <v>7001</v>
          </cell>
          <cell r="E2720" t="str">
            <v>0749</v>
          </cell>
          <cell r="F2720" t="str">
            <v>C5</v>
          </cell>
          <cell r="G2720" t="str">
            <v>SP</v>
          </cell>
          <cell r="H2720" t="str">
            <v>DISTRIBUIÇÃO</v>
          </cell>
          <cell r="I2720" t="str">
            <v>FOOD SERVICE</v>
          </cell>
          <cell r="J2720" t="str">
            <v>FLAC 6</v>
          </cell>
          <cell r="K2720" t="str">
            <v>LACTALIS</v>
          </cell>
          <cell r="L2720" t="str">
            <v>RODRIGO</v>
          </cell>
          <cell r="M2720" t="str">
            <v>RAQUEL BARBOSA</v>
          </cell>
        </row>
        <row r="2721">
          <cell r="B2721">
            <v>5332942</v>
          </cell>
          <cell r="C2721" t="str">
            <v>LE MELLOW JAZZ BAR E RESTAURANT</v>
          </cell>
          <cell r="D2721" t="str">
            <v>7001</v>
          </cell>
          <cell r="E2721" t="str">
            <v>0749</v>
          </cell>
          <cell r="F2721" t="str">
            <v>C5</v>
          </cell>
          <cell r="G2721" t="str">
            <v>SP</v>
          </cell>
          <cell r="H2721" t="str">
            <v>DISTRIBUIÇÃO</v>
          </cell>
          <cell r="I2721" t="str">
            <v>FOOD SERVICE</v>
          </cell>
          <cell r="J2721" t="str">
            <v>FLAC 5</v>
          </cell>
          <cell r="K2721" t="str">
            <v>LACTALIS</v>
          </cell>
          <cell r="L2721" t="str">
            <v>RODRIGO</v>
          </cell>
          <cell r="M2721" t="str">
            <v>RAQUEL BARBOSA</v>
          </cell>
        </row>
        <row r="2722">
          <cell r="B2722">
            <v>5332949</v>
          </cell>
          <cell r="C2722" t="str">
            <v>LE JAZZ HIGIENOPOLIS BAR E REST</v>
          </cell>
          <cell r="D2722" t="str">
            <v>7001</v>
          </cell>
          <cell r="E2722" t="str">
            <v>0749</v>
          </cell>
          <cell r="F2722" t="str">
            <v>C5</v>
          </cell>
          <cell r="G2722" t="str">
            <v>SP</v>
          </cell>
          <cell r="H2722" t="str">
            <v>DISTRIBUIÇÃO</v>
          </cell>
          <cell r="I2722" t="str">
            <v>FOOD SERVICE</v>
          </cell>
          <cell r="J2722" t="str">
            <v>FLAC 5</v>
          </cell>
          <cell r="K2722" t="str">
            <v>LACTALIS</v>
          </cell>
          <cell r="L2722" t="str">
            <v>RODRIGO</v>
          </cell>
          <cell r="M2722" t="str">
            <v>RAQUEL BARBOSA</v>
          </cell>
        </row>
        <row r="2723">
          <cell r="B2723">
            <v>5182318</v>
          </cell>
          <cell r="C2723" t="str">
            <v>MARQUISE EMPREENDIMENTOS SA</v>
          </cell>
          <cell r="D2723" t="str">
            <v>6001</v>
          </cell>
          <cell r="E2723" t="str">
            <v>6127</v>
          </cell>
          <cell r="F2723" t="str">
            <v>C1</v>
          </cell>
          <cell r="G2723" t="str">
            <v>CE</v>
          </cell>
          <cell r="H2723" t="str">
            <v>DISTRIBUIÇÃO</v>
          </cell>
          <cell r="I2723" t="str">
            <v>FOOD SERVICE</v>
          </cell>
          <cell r="J2723" t="str">
            <v>WH FOOD SERVICE CE</v>
          </cell>
          <cell r="K2723" t="str">
            <v>ITAMBÉ</v>
          </cell>
          <cell r="L2723" t="str">
            <v>RODRIGO</v>
          </cell>
          <cell r="M2723" t="str">
            <v>MARIA LOURDES</v>
          </cell>
        </row>
        <row r="2724">
          <cell r="B2724">
            <v>5360185</v>
          </cell>
          <cell r="C2724" t="str">
            <v>LUCAS BON APPETIT COMERCIO LTDA</v>
          </cell>
          <cell r="D2724" t="str">
            <v>7001</v>
          </cell>
          <cell r="E2724" t="str">
            <v>0749</v>
          </cell>
          <cell r="F2724" t="str">
            <v>C5</v>
          </cell>
          <cell r="G2724" t="str">
            <v>SP</v>
          </cell>
          <cell r="H2724" t="str">
            <v>DISTRIBUIÇÃO</v>
          </cell>
          <cell r="I2724" t="str">
            <v>FOOD SERVICE</v>
          </cell>
          <cell r="J2724" t="str">
            <v>FLAC 4</v>
          </cell>
          <cell r="K2724" t="str">
            <v>LACTALIS</v>
          </cell>
          <cell r="L2724" t="str">
            <v>RODRIGO</v>
          </cell>
          <cell r="M2724" t="str">
            <v>RAQUEL BARBOSA</v>
          </cell>
        </row>
        <row r="2725">
          <cell r="B2725">
            <v>5360067</v>
          </cell>
          <cell r="C2725" t="str">
            <v>FERRARA CAFE LTDA</v>
          </cell>
          <cell r="D2725">
            <v>7001</v>
          </cell>
          <cell r="E2725" t="str">
            <v>0749</v>
          </cell>
          <cell r="F2725" t="str">
            <v>C5</v>
          </cell>
          <cell r="G2725" t="str">
            <v>SP</v>
          </cell>
          <cell r="H2725" t="str">
            <v>DISTRIBUIÇÃO</v>
          </cell>
          <cell r="I2725" t="str">
            <v>FOOD SERVICE</v>
          </cell>
          <cell r="J2725" t="str">
            <v>FLAC 3</v>
          </cell>
          <cell r="K2725" t="str">
            <v>LACTALIS</v>
          </cell>
          <cell r="L2725" t="str">
            <v>RODRIGO</v>
          </cell>
          <cell r="M2725" t="str">
            <v>RAQUEL BARBOSA</v>
          </cell>
        </row>
        <row r="2726">
          <cell r="B2726">
            <v>5360075</v>
          </cell>
          <cell r="C2726" t="str">
            <v>FERRARA CAFE LTDA</v>
          </cell>
          <cell r="D2726">
            <v>7001</v>
          </cell>
          <cell r="E2726" t="str">
            <v>0749</v>
          </cell>
          <cell r="F2726" t="str">
            <v>C5</v>
          </cell>
          <cell r="G2726" t="str">
            <v>SP</v>
          </cell>
          <cell r="H2726" t="str">
            <v>DISTRIBUIÇÃO</v>
          </cell>
          <cell r="I2726" t="str">
            <v>FOOD SERVICE</v>
          </cell>
          <cell r="J2726" t="str">
            <v>FLAC 3</v>
          </cell>
          <cell r="K2726" t="str">
            <v>LACTALIS</v>
          </cell>
          <cell r="L2726" t="str">
            <v>RODRIGO</v>
          </cell>
          <cell r="M2726" t="str">
            <v>RAQUEL BARBOSA</v>
          </cell>
        </row>
        <row r="2727">
          <cell r="B2727">
            <v>5157986</v>
          </cell>
          <cell r="C2727" t="str">
            <v>INDUSTRIA E COM DE PROD ALIM GELONI</v>
          </cell>
          <cell r="D2727" t="str">
            <v>3001</v>
          </cell>
          <cell r="E2727" t="str">
            <v>0126</v>
          </cell>
          <cell r="F2727" t="str">
            <v>C1</v>
          </cell>
          <cell r="G2727" t="str">
            <v>PR</v>
          </cell>
          <cell r="H2727" t="str">
            <v>INGREDIENTS</v>
          </cell>
          <cell r="I2727" t="str">
            <v>INGREDIENTS</v>
          </cell>
          <cell r="J2727" t="str">
            <v>JOEL ELEOTÉRIO</v>
          </cell>
          <cell r="K2727" t="str">
            <v>ITAMBÉ</v>
          </cell>
          <cell r="L2727" t="str">
            <v>MAURICIO</v>
          </cell>
          <cell r="M2727" t="str">
            <v>JOEL</v>
          </cell>
        </row>
        <row r="2728">
          <cell r="B2728">
            <v>5360437</v>
          </cell>
          <cell r="C2728" t="str">
            <v>BEZERRA COMER DE PRODU ALIMEN E</v>
          </cell>
          <cell r="D2728" t="str">
            <v>7001</v>
          </cell>
          <cell r="E2728" t="str">
            <v>0749</v>
          </cell>
          <cell r="F2728" t="str">
            <v>C5</v>
          </cell>
          <cell r="G2728" t="str">
            <v>SP</v>
          </cell>
          <cell r="H2728" t="str">
            <v>DISTRIBUIÇÃO</v>
          </cell>
          <cell r="I2728" t="str">
            <v>FOOD SERVICE</v>
          </cell>
          <cell r="J2728" t="str">
            <v>FLAC 4</v>
          </cell>
          <cell r="K2728" t="str">
            <v>LACTALIS</v>
          </cell>
          <cell r="L2728" t="str">
            <v>RODRIGO</v>
          </cell>
          <cell r="M2728" t="str">
            <v>RAQUEL BARBOSA</v>
          </cell>
        </row>
        <row r="2729">
          <cell r="B2729">
            <v>5360547</v>
          </cell>
          <cell r="C2729" t="str">
            <v>ATRIO HOTEIS S A</v>
          </cell>
          <cell r="D2729" t="str">
            <v>7001</v>
          </cell>
          <cell r="E2729" t="str">
            <v>0749</v>
          </cell>
          <cell r="F2729" t="str">
            <v>C5</v>
          </cell>
          <cell r="G2729" t="str">
            <v>SP</v>
          </cell>
          <cell r="H2729" t="str">
            <v>DISTRIBUIÇÃO</v>
          </cell>
          <cell r="I2729" t="str">
            <v>FOOD SERVICE</v>
          </cell>
          <cell r="J2729" t="str">
            <v>FLAC 5</v>
          </cell>
          <cell r="K2729" t="str">
            <v>LACTALIS</v>
          </cell>
          <cell r="L2729" t="str">
            <v>RODRIGO</v>
          </cell>
          <cell r="M2729" t="str">
            <v>RAQUEL BARBOSA</v>
          </cell>
        </row>
        <row r="2730">
          <cell r="B2730">
            <v>5198276</v>
          </cell>
          <cell r="C2730" t="str">
            <v>GABRIEL SECCHIM DA SILVA SORV E DIS</v>
          </cell>
          <cell r="D2730" t="str">
            <v>6001</v>
          </cell>
          <cell r="E2730" t="str">
            <v>6169</v>
          </cell>
          <cell r="F2730" t="str">
            <v>C1</v>
          </cell>
          <cell r="G2730" t="str">
            <v>ES</v>
          </cell>
          <cell r="H2730" t="str">
            <v>DISTRIBUIÇÃO</v>
          </cell>
          <cell r="I2730" t="str">
            <v>FOOD SERVICE</v>
          </cell>
          <cell r="J2730" t="str">
            <v>MARCELO DUARTE</v>
          </cell>
          <cell r="K2730" t="str">
            <v>ITAMBÉ</v>
          </cell>
          <cell r="L2730" t="str">
            <v>RODRIGO</v>
          </cell>
          <cell r="M2730" t="str">
            <v>JESSICA</v>
          </cell>
        </row>
        <row r="2731">
          <cell r="B2731">
            <v>5357980</v>
          </cell>
          <cell r="C2731" t="str">
            <v>PADARIA ARTESANAL PAN DINIZ LTDA</v>
          </cell>
          <cell r="D2731" t="str">
            <v>7001</v>
          </cell>
          <cell r="E2731" t="str">
            <v>0749</v>
          </cell>
          <cell r="F2731" t="str">
            <v>C5</v>
          </cell>
          <cell r="G2731" t="str">
            <v>SP</v>
          </cell>
          <cell r="H2731" t="str">
            <v>DISTRIBUIÇÃO</v>
          </cell>
          <cell r="I2731" t="str">
            <v>FOOD SERVICE</v>
          </cell>
          <cell r="J2731" t="str">
            <v>FLAC 2</v>
          </cell>
          <cell r="K2731" t="str">
            <v>LACTALIS</v>
          </cell>
          <cell r="L2731" t="str">
            <v>RODRIGO</v>
          </cell>
          <cell r="M2731" t="str">
            <v>RAQUEL BARBOSA</v>
          </cell>
        </row>
        <row r="2732">
          <cell r="B2732">
            <v>5359623</v>
          </cell>
          <cell r="C2732" t="str">
            <v>BLUX AMERICA DO SUL COM DIST E IMP</v>
          </cell>
          <cell r="D2732">
            <v>3001</v>
          </cell>
          <cell r="E2732" t="str">
            <v>0123</v>
          </cell>
          <cell r="F2732" t="str">
            <v>C1</v>
          </cell>
          <cell r="G2732" t="str">
            <v>GO</v>
          </cell>
          <cell r="H2732" t="str">
            <v>DISTRIBUIÇÃO</v>
          </cell>
          <cell r="I2732" t="str">
            <v>FOOD SERVICE</v>
          </cell>
          <cell r="J2732" t="str">
            <v>CLAUDIO JORGE</v>
          </cell>
          <cell r="K2732" t="str">
            <v>ITAMBÉ</v>
          </cell>
          <cell r="L2732" t="str">
            <v>RODRIGO</v>
          </cell>
          <cell r="M2732" t="str">
            <v>MARCO AURELIO</v>
          </cell>
        </row>
        <row r="2733">
          <cell r="B2733">
            <v>5011045</v>
          </cell>
          <cell r="C2733" t="str">
            <v>AGRICOLA HORIZONTE LTDA</v>
          </cell>
          <cell r="D2733" t="str">
            <v>4001</v>
          </cell>
          <cell r="E2733" t="str">
            <v>0455</v>
          </cell>
          <cell r="F2733" t="str">
            <v>C1</v>
          </cell>
          <cell r="G2733" t="str">
            <v>PR</v>
          </cell>
          <cell r="H2733" t="str">
            <v>INGREDIENTS</v>
          </cell>
          <cell r="I2733" t="str">
            <v>INGREDIENTS</v>
          </cell>
          <cell r="J2733" t="str">
            <v>MARCELO RODRIGUES</v>
          </cell>
          <cell r="K2733" t="str">
            <v>LACTALIS</v>
          </cell>
          <cell r="L2733" t="str">
            <v>MAURICIO</v>
          </cell>
          <cell r="M2733" t="str">
            <v>MARCELO</v>
          </cell>
        </row>
        <row r="2734">
          <cell r="B2734">
            <v>5284751</v>
          </cell>
          <cell r="C2734" t="str">
            <v>LATICINIO MARIANNA LTDA</v>
          </cell>
          <cell r="D2734" t="str">
            <v>4001</v>
          </cell>
          <cell r="E2734" t="str">
            <v>0423</v>
          </cell>
          <cell r="F2734" t="str">
            <v>C5</v>
          </cell>
          <cell r="G2734" t="str">
            <v>BA</v>
          </cell>
          <cell r="H2734" t="str">
            <v>INGREDIENTS</v>
          </cell>
          <cell r="I2734" t="str">
            <v>INGREDIENTS</v>
          </cell>
          <cell r="J2734" t="str">
            <v>DLUM</v>
          </cell>
          <cell r="K2734" t="str">
            <v>LACTALIS</v>
          </cell>
          <cell r="L2734" t="str">
            <v>MAURICIO</v>
          </cell>
          <cell r="M2734" t="str">
            <v>JOEL</v>
          </cell>
        </row>
        <row r="2735">
          <cell r="B2735">
            <v>5320058</v>
          </cell>
          <cell r="C2735" t="str">
            <v>51078089 ANA CLAUDIA MERCADO LEBRAO</v>
          </cell>
          <cell r="D2735" t="str">
            <v>7001</v>
          </cell>
          <cell r="E2735" t="str">
            <v>0749</v>
          </cell>
          <cell r="F2735" t="str">
            <v>C5</v>
          </cell>
          <cell r="G2735" t="str">
            <v>SP</v>
          </cell>
          <cell r="H2735" t="str">
            <v>DISTRIBUIÇÃO</v>
          </cell>
          <cell r="I2735" t="str">
            <v>FOOD SERVICE</v>
          </cell>
          <cell r="J2735" t="str">
            <v>FLAC 4</v>
          </cell>
          <cell r="K2735" t="str">
            <v>LACTALIS</v>
          </cell>
          <cell r="L2735" t="str">
            <v>RODRIGO</v>
          </cell>
          <cell r="M2735" t="str">
            <v>RAQUEL BARBOSA</v>
          </cell>
        </row>
        <row r="2736">
          <cell r="B2736">
            <v>5360740</v>
          </cell>
          <cell r="C2736" t="str">
            <v>SUPERLAC INDUSTRIA E COME DE ALIMEN</v>
          </cell>
          <cell r="D2736" t="str">
            <v>4001</v>
          </cell>
          <cell r="E2736" t="str">
            <v>0437</v>
          </cell>
          <cell r="F2736" t="str">
            <v>C1</v>
          </cell>
          <cell r="G2736" t="str">
            <v>RN</v>
          </cell>
          <cell r="H2736" t="str">
            <v>INGREDIENTS</v>
          </cell>
          <cell r="I2736" t="str">
            <v>INGREDIENTS</v>
          </cell>
          <cell r="J2736" t="str">
            <v>JOEL ELEOTÉRIO</v>
          </cell>
          <cell r="K2736" t="str">
            <v>LACTALIS</v>
          </cell>
          <cell r="L2736" t="str">
            <v>MAURICIO</v>
          </cell>
          <cell r="M2736" t="str">
            <v>JOEL</v>
          </cell>
        </row>
        <row r="2737">
          <cell r="B2737">
            <v>5217104</v>
          </cell>
          <cell r="C2737" t="str">
            <v>CAKE SWEET AND SUGAR ATELIE DE DOC</v>
          </cell>
          <cell r="D2737" t="str">
            <v>7001</v>
          </cell>
          <cell r="E2737" t="str">
            <v>0749</v>
          </cell>
          <cell r="F2737" t="str">
            <v>C5</v>
          </cell>
          <cell r="G2737" t="str">
            <v>SP</v>
          </cell>
          <cell r="H2737" t="str">
            <v>DISTRIBUIÇÃO</v>
          </cell>
          <cell r="I2737" t="str">
            <v>FOOD SERVICE</v>
          </cell>
          <cell r="J2737" t="str">
            <v>FLAC 5</v>
          </cell>
          <cell r="K2737" t="str">
            <v>LACTALIS</v>
          </cell>
          <cell r="L2737" t="str">
            <v>RODRIGO</v>
          </cell>
          <cell r="M2737" t="str">
            <v>RAQUEL BARBOSA</v>
          </cell>
        </row>
        <row r="2738">
          <cell r="B2738">
            <v>5360779</v>
          </cell>
          <cell r="C2738" t="str">
            <v>SALT E PEPE RESTAURANTE LTDA</v>
          </cell>
          <cell r="D2738" t="str">
            <v>7001</v>
          </cell>
          <cell r="E2738" t="str">
            <v>0749</v>
          </cell>
          <cell r="F2738" t="str">
            <v>C5</v>
          </cell>
          <cell r="G2738" t="str">
            <v>SP</v>
          </cell>
          <cell r="H2738" t="str">
            <v>DISTRIBUIÇÃO</v>
          </cell>
          <cell r="I2738" t="str">
            <v>FOOD SERVICE</v>
          </cell>
          <cell r="J2738" t="str">
            <v>FLAC 2</v>
          </cell>
          <cell r="K2738" t="str">
            <v>LACTALIS</v>
          </cell>
          <cell r="L2738" t="str">
            <v>RODRIGO</v>
          </cell>
          <cell r="M2738" t="str">
            <v>RAQUEL BARBOSA</v>
          </cell>
        </row>
        <row r="2739">
          <cell r="B2739">
            <v>5169659</v>
          </cell>
          <cell r="C2739" t="str">
            <v>DELICIOUS EVENTOS LTDA</v>
          </cell>
          <cell r="D2739">
            <v>7001</v>
          </cell>
          <cell r="E2739" t="str">
            <v>0749</v>
          </cell>
          <cell r="F2739" t="str">
            <v>C5</v>
          </cell>
          <cell r="G2739" t="str">
            <v>SP</v>
          </cell>
          <cell r="H2739" t="str">
            <v>DISTRIBUIÇÃO</v>
          </cell>
          <cell r="I2739" t="str">
            <v>FOOD SERVICE</v>
          </cell>
          <cell r="J2739" t="str">
            <v>FLAC 3</v>
          </cell>
          <cell r="K2739" t="str">
            <v>LACTALIS</v>
          </cell>
          <cell r="L2739" t="str">
            <v>RODRIGO</v>
          </cell>
          <cell r="M2739" t="str">
            <v>RAQUEL BARBOSA</v>
          </cell>
        </row>
        <row r="2740">
          <cell r="B2740">
            <v>5360457</v>
          </cell>
          <cell r="C2740" t="str">
            <v>BELLAS MASSAS COMERCIO DE ALIMENTOS</v>
          </cell>
          <cell r="D2740">
            <v>7001</v>
          </cell>
          <cell r="E2740" t="str">
            <v>0749</v>
          </cell>
          <cell r="F2740" t="str">
            <v>C5</v>
          </cell>
          <cell r="G2740" t="str">
            <v>SP</v>
          </cell>
          <cell r="H2740" t="str">
            <v>DISTRIBUIÇÃO</v>
          </cell>
          <cell r="I2740" t="str">
            <v>FOOD SERVICE</v>
          </cell>
          <cell r="J2740" t="str">
            <v>FLAC 3</v>
          </cell>
          <cell r="K2740" t="str">
            <v>LACTALIS</v>
          </cell>
          <cell r="L2740" t="str">
            <v>RODRIGO</v>
          </cell>
          <cell r="M2740" t="str">
            <v>RAQUEL BARBOSA</v>
          </cell>
        </row>
        <row r="2741">
          <cell r="B2741">
            <v>5360682</v>
          </cell>
          <cell r="C2741" t="str">
            <v>HFW INFORMATICA TECNOLOGIA LTDA</v>
          </cell>
          <cell r="D2741">
            <v>7001</v>
          </cell>
          <cell r="E2741" t="str">
            <v>0749</v>
          </cell>
          <cell r="F2741" t="str">
            <v>C5</v>
          </cell>
          <cell r="G2741" t="str">
            <v>SP</v>
          </cell>
          <cell r="H2741" t="str">
            <v>DISTRIBUIÇÃO</v>
          </cell>
          <cell r="I2741" t="str">
            <v>FOOD SERVICE</v>
          </cell>
          <cell r="J2741" t="str">
            <v>FLAC 2</v>
          </cell>
          <cell r="K2741" t="str">
            <v>LACTALIS</v>
          </cell>
          <cell r="L2741" t="str">
            <v>RODRIGO</v>
          </cell>
          <cell r="M2741" t="str">
            <v>RAQUEL BARBOSA</v>
          </cell>
        </row>
        <row r="2742">
          <cell r="B2742">
            <v>5347235</v>
          </cell>
          <cell r="C2742" t="str">
            <v>34318363 CLAUDETE SILVA DE OLIVEIRA</v>
          </cell>
          <cell r="D2742">
            <v>6001</v>
          </cell>
          <cell r="E2742">
            <v>6028</v>
          </cell>
          <cell r="F2742" t="str">
            <v>C1</v>
          </cell>
          <cell r="G2742" t="str">
            <v>SP</v>
          </cell>
          <cell r="H2742" t="str">
            <v>INGREDIENTS</v>
          </cell>
          <cell r="I2742" t="str">
            <v>INGREDIENTS</v>
          </cell>
          <cell r="J2742" t="str">
            <v>SP ITB FS LUIZ PEREIRA</v>
          </cell>
          <cell r="K2742" t="str">
            <v>ITAMBÉ</v>
          </cell>
          <cell r="L2742" t="str">
            <v>MAURICIO</v>
          </cell>
          <cell r="M2742" t="str">
            <v>TATIANA NITTA</v>
          </cell>
        </row>
        <row r="2743">
          <cell r="B2743">
            <v>5225860</v>
          </cell>
          <cell r="C2743" t="str">
            <v>DISPAN DISTRIBUIDORA DE ALIMENTOS</v>
          </cell>
          <cell r="D2743" t="str">
            <v>6001</v>
          </cell>
          <cell r="E2743" t="str">
            <v>0127</v>
          </cell>
          <cell r="F2743" t="str">
            <v>C1</v>
          </cell>
          <cell r="G2743" t="str">
            <v>PE</v>
          </cell>
          <cell r="H2743" t="str">
            <v>DISTRIBUIÇÃO</v>
          </cell>
          <cell r="I2743" t="str">
            <v>FOOD SERVICE</v>
          </cell>
          <cell r="J2743" t="str">
            <v>CLAUDIO JORGE/AMANDA SANDS</v>
          </cell>
          <cell r="K2743" t="str">
            <v>ITAMBÉ</v>
          </cell>
          <cell r="L2743" t="str">
            <v>RODRIGO</v>
          </cell>
          <cell r="M2743" t="str">
            <v>MARIA LOURDES</v>
          </cell>
        </row>
        <row r="2744">
          <cell r="B2744">
            <v>5360679</v>
          </cell>
          <cell r="C2744" t="str">
            <v>TRASTEVERI RESTAURANTE LTDA</v>
          </cell>
          <cell r="D2744" t="str">
            <v>7001</v>
          </cell>
          <cell r="E2744" t="str">
            <v>0749</v>
          </cell>
          <cell r="F2744" t="str">
            <v>C5</v>
          </cell>
          <cell r="G2744" t="str">
            <v>SP</v>
          </cell>
          <cell r="H2744" t="str">
            <v>DISTRIBUIÇÃO</v>
          </cell>
          <cell r="I2744" t="str">
            <v>FOOD SERVICE</v>
          </cell>
          <cell r="J2744" t="str">
            <v>FLAC 6</v>
          </cell>
          <cell r="K2744" t="str">
            <v>LACTALIS</v>
          </cell>
          <cell r="L2744" t="str">
            <v>RODRIGO</v>
          </cell>
          <cell r="M2744" t="str">
            <v>RAQUEL BARBOSA</v>
          </cell>
        </row>
        <row r="2745">
          <cell r="B2745">
            <v>5278288</v>
          </cell>
          <cell r="C2745" t="str">
            <v>FAZENDA DOS PAES CONVENIENCIAS LTDA</v>
          </cell>
          <cell r="D2745" t="str">
            <v>7001</v>
          </cell>
          <cell r="E2745" t="str">
            <v>0749</v>
          </cell>
          <cell r="F2745" t="str">
            <v>C5</v>
          </cell>
          <cell r="G2745" t="str">
            <v>SP</v>
          </cell>
          <cell r="H2745" t="str">
            <v>DISTRIBUIÇÃO</v>
          </cell>
          <cell r="I2745" t="str">
            <v>FOOD SERVICE</v>
          </cell>
          <cell r="J2745" t="str">
            <v>FLAC 10</v>
          </cell>
          <cell r="K2745" t="str">
            <v>LACTALIS</v>
          </cell>
          <cell r="L2745" t="str">
            <v>RODRIGO</v>
          </cell>
          <cell r="M2745" t="str">
            <v>RAQUEL BARBOSA</v>
          </cell>
        </row>
        <row r="2746">
          <cell r="B2746">
            <v>5323712</v>
          </cell>
          <cell r="C2746" t="str">
            <v>LATICINIOS REZENDE LTDA</v>
          </cell>
          <cell r="D2746" t="str">
            <v>3001</v>
          </cell>
          <cell r="E2746" t="str">
            <v>0028</v>
          </cell>
          <cell r="F2746" t="str">
            <v>C1</v>
          </cell>
          <cell r="G2746" t="str">
            <v>SE</v>
          </cell>
          <cell r="H2746" t="str">
            <v>INGREDIENTS</v>
          </cell>
          <cell r="I2746" t="str">
            <v>INGREDIENTS</v>
          </cell>
          <cell r="J2746" t="str">
            <v>JOEL ELEOTÉRIO</v>
          </cell>
          <cell r="K2746" t="str">
            <v>ITAMBÉ</v>
          </cell>
          <cell r="L2746" t="str">
            <v>MAURICIO</v>
          </cell>
          <cell r="M2746" t="str">
            <v>JOEL</v>
          </cell>
        </row>
        <row r="2747">
          <cell r="B2747">
            <v>5345440</v>
          </cell>
          <cell r="C2747" t="str">
            <v>FORMENTON ATACADISTA DE FRIOS L</v>
          </cell>
          <cell r="D2747" t="str">
            <v>7001</v>
          </cell>
          <cell r="E2747" t="str">
            <v>0722</v>
          </cell>
          <cell r="F2747" t="str">
            <v>C1</v>
          </cell>
          <cell r="G2747" t="str">
            <v>SP</v>
          </cell>
          <cell r="H2747" t="str">
            <v>DISTRIBUIÇÃO</v>
          </cell>
          <cell r="I2747" t="str">
            <v>FOOD SERVICE</v>
          </cell>
          <cell r="J2747" t="str">
            <v>ALEXANDRE BONANI</v>
          </cell>
          <cell r="K2747" t="str">
            <v>LACTALIS</v>
          </cell>
          <cell r="L2747" t="str">
            <v>RODRIGO</v>
          </cell>
          <cell r="M2747" t="str">
            <v>ALEXANDRE BONANI</v>
          </cell>
        </row>
        <row r="2748">
          <cell r="B2748">
            <v>5348489</v>
          </cell>
          <cell r="C2748" t="str">
            <v>TREVI RESTAURANTE LTDA</v>
          </cell>
          <cell r="D2748" t="str">
            <v>7001</v>
          </cell>
          <cell r="E2748" t="str">
            <v>0749</v>
          </cell>
          <cell r="F2748" t="str">
            <v>C5</v>
          </cell>
          <cell r="G2748" t="str">
            <v>SP</v>
          </cell>
          <cell r="H2748" t="str">
            <v>DISTRIBUIÇÃO</v>
          </cell>
          <cell r="I2748" t="str">
            <v>FOOD SERVICE</v>
          </cell>
          <cell r="J2748" t="str">
            <v>FLAC 6</v>
          </cell>
          <cell r="K2748" t="str">
            <v>LACTALIS</v>
          </cell>
          <cell r="L2748" t="str">
            <v>RODRIGO</v>
          </cell>
          <cell r="M2748" t="str">
            <v>RAQUEL BARBOSA</v>
          </cell>
        </row>
        <row r="2749">
          <cell r="B2749">
            <v>5360073</v>
          </cell>
          <cell r="C2749" t="str">
            <v>BASE ALIMENTOS BRASIL LTDA</v>
          </cell>
          <cell r="D2749" t="str">
            <v>4001</v>
          </cell>
          <cell r="E2749" t="str">
            <v>0423</v>
          </cell>
          <cell r="F2749" t="str">
            <v>C5</v>
          </cell>
          <cell r="G2749" t="str">
            <v>MG</v>
          </cell>
          <cell r="H2749" t="str">
            <v>INGREDIENTS</v>
          </cell>
          <cell r="I2749" t="str">
            <v>INGREDIENTS</v>
          </cell>
          <cell r="J2749" t="str">
            <v>DLUM</v>
          </cell>
          <cell r="K2749" t="str">
            <v>LACTALIS</v>
          </cell>
          <cell r="L2749" t="str">
            <v>MAURICIO</v>
          </cell>
          <cell r="M2749" t="str">
            <v>JOEL</v>
          </cell>
        </row>
        <row r="2750">
          <cell r="B2750">
            <v>5360546</v>
          </cell>
          <cell r="C2750" t="str">
            <v>PATRICIA ARONI 39560531840</v>
          </cell>
          <cell r="D2750" t="str">
            <v>7001</v>
          </cell>
          <cell r="E2750" t="str">
            <v>0749</v>
          </cell>
          <cell r="F2750" t="str">
            <v>C5</v>
          </cell>
          <cell r="G2750" t="str">
            <v>SP</v>
          </cell>
          <cell r="H2750" t="str">
            <v>DISTRIBUIÇÃO</v>
          </cell>
          <cell r="I2750" t="str">
            <v>FOOD SERVICE</v>
          </cell>
          <cell r="J2750" t="str">
            <v>FLAC 5</v>
          </cell>
          <cell r="K2750" t="str">
            <v>LACTALIS</v>
          </cell>
          <cell r="L2750" t="str">
            <v>RODRIGO</v>
          </cell>
          <cell r="M2750" t="str">
            <v>RAQUEL BARBOSA</v>
          </cell>
        </row>
        <row r="2751">
          <cell r="B2751">
            <v>5360902</v>
          </cell>
          <cell r="C2751" t="str">
            <v>K2 EVENTOS E PRODUCOES LTDA</v>
          </cell>
          <cell r="D2751" t="str">
            <v>7001</v>
          </cell>
          <cell r="E2751" t="str">
            <v>0749</v>
          </cell>
          <cell r="F2751" t="str">
            <v>C5</v>
          </cell>
          <cell r="G2751" t="str">
            <v>SP</v>
          </cell>
          <cell r="H2751" t="str">
            <v>DISTRIBUIÇÃO</v>
          </cell>
          <cell r="I2751" t="str">
            <v>FOOD SERVICE</v>
          </cell>
          <cell r="J2751" t="str">
            <v>FLAC 2</v>
          </cell>
          <cell r="K2751" t="str">
            <v>LACTALIS</v>
          </cell>
          <cell r="L2751" t="str">
            <v>RODRIGO</v>
          </cell>
          <cell r="M2751" t="str">
            <v>RAQUEL BARBOSA</v>
          </cell>
        </row>
        <row r="2752">
          <cell r="B2752">
            <v>5360955</v>
          </cell>
          <cell r="C2752" t="str">
            <v>LANCHONETE BIL BURGER LTDA</v>
          </cell>
          <cell r="D2752">
            <v>7001</v>
          </cell>
          <cell r="E2752" t="str">
            <v>0749</v>
          </cell>
          <cell r="F2752" t="str">
            <v>C5</v>
          </cell>
          <cell r="G2752" t="str">
            <v>SP</v>
          </cell>
          <cell r="H2752" t="str">
            <v>DISTRIBUIÇÃO</v>
          </cell>
          <cell r="I2752" t="str">
            <v>FOOD SERVICE</v>
          </cell>
          <cell r="J2752" t="str">
            <v>FLAC 4</v>
          </cell>
          <cell r="K2752" t="str">
            <v>LACTALIS</v>
          </cell>
          <cell r="L2752" t="str">
            <v>RODRIGO</v>
          </cell>
          <cell r="M2752" t="str">
            <v>RAQUEL BARBOSA</v>
          </cell>
        </row>
        <row r="2753">
          <cell r="B2753">
            <v>5360961</v>
          </cell>
          <cell r="C2753" t="str">
            <v>60193602 ANGELA MARIA SILVA DOS SAN</v>
          </cell>
          <cell r="D2753">
            <v>7001</v>
          </cell>
          <cell r="E2753" t="str">
            <v>0749</v>
          </cell>
          <cell r="F2753" t="str">
            <v>C5</v>
          </cell>
          <cell r="G2753" t="str">
            <v>SP</v>
          </cell>
          <cell r="H2753" t="str">
            <v>DISTRIBUIÇÃO</v>
          </cell>
          <cell r="I2753" t="str">
            <v>FOOD SERVICE</v>
          </cell>
          <cell r="J2753" t="str">
            <v>FLAC 5</v>
          </cell>
          <cell r="K2753" t="str">
            <v>LACTALIS</v>
          </cell>
          <cell r="L2753" t="str">
            <v>RODRIGO</v>
          </cell>
          <cell r="M2753" t="str">
            <v>RAQUEL BARBOSA</v>
          </cell>
        </row>
        <row r="2754">
          <cell r="B2754">
            <v>5360488</v>
          </cell>
          <cell r="C2754" t="str">
            <v>PAES E DOCES SENNA DE G LTDA</v>
          </cell>
          <cell r="D2754">
            <v>7001</v>
          </cell>
          <cell r="E2754" t="str">
            <v>0749</v>
          </cell>
          <cell r="F2754" t="str">
            <v>C5</v>
          </cell>
          <cell r="G2754" t="str">
            <v>SP</v>
          </cell>
          <cell r="H2754" t="str">
            <v>DISTRIBUIÇÃO</v>
          </cell>
          <cell r="I2754" t="str">
            <v>FOOD SERVICE</v>
          </cell>
          <cell r="J2754" t="str">
            <v>FLAC 4</v>
          </cell>
          <cell r="K2754" t="str">
            <v>LACTALIS</v>
          </cell>
          <cell r="L2754" t="str">
            <v>RODRIGO</v>
          </cell>
          <cell r="M2754" t="str">
            <v>RAQUEL BARBOSA</v>
          </cell>
        </row>
        <row r="2755">
          <cell r="B2755">
            <v>5357819</v>
          </cell>
          <cell r="C2755" t="str">
            <v>RICH DO BRASIL LTDA</v>
          </cell>
          <cell r="D2755">
            <v>4001</v>
          </cell>
          <cell r="E2755" t="str">
            <v>0437</v>
          </cell>
          <cell r="F2755" t="str">
            <v>C1</v>
          </cell>
          <cell r="G2755" t="str">
            <v>SP</v>
          </cell>
          <cell r="H2755" t="str">
            <v>INGREDIENTS</v>
          </cell>
          <cell r="I2755" t="str">
            <v>INGREDIENTS</v>
          </cell>
          <cell r="J2755" t="str">
            <v>MARCELO RODRIGUES</v>
          </cell>
          <cell r="K2755" t="str">
            <v>LACTALIS</v>
          </cell>
          <cell r="L2755" t="str">
            <v>MAURICIO</v>
          </cell>
          <cell r="M2755" t="str">
            <v>MARCELO</v>
          </cell>
        </row>
        <row r="2756">
          <cell r="B2756">
            <v>5157839</v>
          </cell>
          <cell r="C2756" t="str">
            <v>SAPORE SA</v>
          </cell>
          <cell r="D2756">
            <v>7001</v>
          </cell>
          <cell r="E2756" t="str">
            <v>0749</v>
          </cell>
          <cell r="F2756" t="str">
            <v>C1</v>
          </cell>
          <cell r="G2756" t="str">
            <v>SP</v>
          </cell>
          <cell r="H2756" t="str">
            <v>QSR</v>
          </cell>
          <cell r="I2756" t="str">
            <v>FOOD SERVICE</v>
          </cell>
          <cell r="J2756" t="str">
            <v>NUTRI</v>
          </cell>
          <cell r="K2756" t="str">
            <v>LACTALIS</v>
          </cell>
          <cell r="L2756" t="str">
            <v>PEDRO</v>
          </cell>
          <cell r="M2756" t="str">
            <v>VAGO QSR</v>
          </cell>
        </row>
        <row r="2757">
          <cell r="B2757">
            <v>5015298</v>
          </cell>
          <cell r="C2757" t="str">
            <v>CASA DA PANI COM DE PROD PARA P</v>
          </cell>
          <cell r="D2757" t="str">
            <v>7001</v>
          </cell>
          <cell r="E2757" t="str">
            <v>0737</v>
          </cell>
          <cell r="F2757" t="str">
            <v>C1</v>
          </cell>
          <cell r="G2757" t="str">
            <v>SC</v>
          </cell>
          <cell r="H2757" t="str">
            <v>DISTRIBUIÇÃO</v>
          </cell>
          <cell r="I2757" t="str">
            <v>FOOD SERVICE</v>
          </cell>
          <cell r="J2757" t="str">
            <v>ANGELICA BATISTELA</v>
          </cell>
          <cell r="K2757" t="str">
            <v>LACTALIS</v>
          </cell>
          <cell r="L2757" t="str">
            <v>RODRIGO</v>
          </cell>
          <cell r="M2757" t="str">
            <v>ANGELICA BATISTELA</v>
          </cell>
        </row>
        <row r="2758">
          <cell r="B2758">
            <v>5157839</v>
          </cell>
          <cell r="C2758" t="str">
            <v>SAPORE SA</v>
          </cell>
          <cell r="D2758" t="str">
            <v>7001</v>
          </cell>
          <cell r="E2758" t="str">
            <v>0749</v>
          </cell>
          <cell r="F2758" t="str">
            <v>C5</v>
          </cell>
          <cell r="G2758" t="str">
            <v>SP</v>
          </cell>
          <cell r="H2758" t="str">
            <v>QSR</v>
          </cell>
          <cell r="I2758" t="str">
            <v>FOOD SERVICE</v>
          </cell>
          <cell r="J2758" t="str">
            <v>NUTRI</v>
          </cell>
          <cell r="K2758" t="str">
            <v>LACTALIS</v>
          </cell>
          <cell r="L2758" t="str">
            <v>PEDRO</v>
          </cell>
          <cell r="M2758" t="str">
            <v>VAGO QSR</v>
          </cell>
        </row>
        <row r="2759">
          <cell r="B2759">
            <v>5167344</v>
          </cell>
          <cell r="C2759" t="str">
            <v>RIO BRANCO ALIMENTOS SA</v>
          </cell>
          <cell r="D2759" t="str">
            <v>4001</v>
          </cell>
          <cell r="E2759" t="str">
            <v>0458</v>
          </cell>
          <cell r="F2759" t="str">
            <v>C1</v>
          </cell>
          <cell r="G2759" t="str">
            <v>MG</v>
          </cell>
          <cell r="H2759" t="str">
            <v>INGREDIENTS</v>
          </cell>
          <cell r="I2759" t="str">
            <v>INGREDIENTS</v>
          </cell>
          <cell r="J2759" t="str">
            <v>JOEL ELEOTÉRIO</v>
          </cell>
          <cell r="K2759" t="str">
            <v>LACTALIS</v>
          </cell>
          <cell r="L2759" t="str">
            <v>MAURICIO</v>
          </cell>
          <cell r="M2759" t="str">
            <v>JOEL</v>
          </cell>
        </row>
        <row r="2760">
          <cell r="B2760">
            <v>5226350</v>
          </cell>
          <cell r="C2760" t="str">
            <v>SOS ALIMENTOS E TRANSPORTES LTD</v>
          </cell>
          <cell r="D2760" t="str">
            <v>7001</v>
          </cell>
          <cell r="E2760" t="str">
            <v>0737</v>
          </cell>
          <cell r="F2760" t="str">
            <v>C1</v>
          </cell>
          <cell r="G2760" t="str">
            <v>SC</v>
          </cell>
          <cell r="H2760" t="str">
            <v>DISTRIBUIÇÃO</v>
          </cell>
          <cell r="I2760" t="str">
            <v>FOOD SERVICE</v>
          </cell>
          <cell r="J2760" t="str">
            <v>ANGELICA BATISTELA</v>
          </cell>
          <cell r="K2760" t="str">
            <v>LACTALIS</v>
          </cell>
          <cell r="L2760" t="str">
            <v>RODRIGO</v>
          </cell>
          <cell r="M2760" t="str">
            <v>ANGELICA BATISTELA</v>
          </cell>
        </row>
        <row r="2761">
          <cell r="B2761">
            <v>5278586</v>
          </cell>
          <cell r="C2761" t="str">
            <v>ALGARVE PAES DOCES</v>
          </cell>
          <cell r="D2761" t="str">
            <v>7001</v>
          </cell>
          <cell r="E2761" t="str">
            <v>0749</v>
          </cell>
          <cell r="F2761" t="str">
            <v>C5</v>
          </cell>
          <cell r="G2761" t="str">
            <v>SP</v>
          </cell>
          <cell r="H2761" t="str">
            <v>DISTRIBUIÇÃO</v>
          </cell>
          <cell r="I2761" t="str">
            <v>FOOD SERVICE</v>
          </cell>
          <cell r="J2761" t="str">
            <v>FLAC 10</v>
          </cell>
          <cell r="K2761" t="str">
            <v>LACTALIS</v>
          </cell>
          <cell r="L2761" t="str">
            <v>RODRIGO</v>
          </cell>
          <cell r="M2761" t="str">
            <v>RAQUEL BARBOSA</v>
          </cell>
        </row>
        <row r="2762">
          <cell r="B2762">
            <v>5332943</v>
          </cell>
          <cell r="C2762" t="str">
            <v>LE JAZZ BOULEVARD BAR E RESTAUR</v>
          </cell>
          <cell r="D2762" t="str">
            <v>7001</v>
          </cell>
          <cell r="E2762" t="str">
            <v>0749</v>
          </cell>
          <cell r="F2762" t="str">
            <v>C5</v>
          </cell>
          <cell r="G2762" t="str">
            <v>SP</v>
          </cell>
          <cell r="H2762" t="str">
            <v>DISTRIBUIÇÃO</v>
          </cell>
          <cell r="I2762" t="str">
            <v>FOOD SERVICE</v>
          </cell>
          <cell r="J2762" t="str">
            <v>FLAC 5</v>
          </cell>
          <cell r="K2762" t="str">
            <v>LACTALIS</v>
          </cell>
          <cell r="L2762" t="str">
            <v>RODRIGO</v>
          </cell>
          <cell r="M2762" t="str">
            <v>RAQUEL BARBOSA</v>
          </cell>
        </row>
        <row r="2763">
          <cell r="B2763">
            <v>5360393</v>
          </cell>
          <cell r="C2763" t="str">
            <v>MADALE RIO PRETO COM DE GEL E D</v>
          </cell>
          <cell r="D2763" t="str">
            <v>7001</v>
          </cell>
          <cell r="E2763" t="str">
            <v>0722</v>
          </cell>
          <cell r="F2763" t="str">
            <v>C1</v>
          </cell>
          <cell r="G2763" t="str">
            <v>SP</v>
          </cell>
          <cell r="H2763" t="str">
            <v>QSR</v>
          </cell>
          <cell r="I2763" t="str">
            <v>FOOD SERVICE</v>
          </cell>
          <cell r="J2763" t="str">
            <v>VAGO QSR</v>
          </cell>
          <cell r="K2763" t="str">
            <v>LACTALIS</v>
          </cell>
          <cell r="L2763" t="str">
            <v>PEDRO</v>
          </cell>
          <cell r="M2763" t="str">
            <v>VAGO QSR</v>
          </cell>
        </row>
        <row r="2764">
          <cell r="B2764">
            <v>5360926</v>
          </cell>
          <cell r="C2764" t="str">
            <v>MISTER DISTRIBUIDORA LTDA</v>
          </cell>
          <cell r="D2764" t="str">
            <v>3001</v>
          </cell>
          <cell r="E2764" t="str">
            <v>0028</v>
          </cell>
          <cell r="F2764" t="str">
            <v>C1</v>
          </cell>
          <cell r="G2764" t="str">
            <v>MA</v>
          </cell>
          <cell r="H2764" t="str">
            <v>INGREDIENTS</v>
          </cell>
          <cell r="I2764" t="str">
            <v>INGREDIENTS</v>
          </cell>
          <cell r="J2764" t="str">
            <v>HENRIQUE FERREIRA</v>
          </cell>
          <cell r="K2764" t="str">
            <v>ITAMBÉ</v>
          </cell>
          <cell r="L2764" t="str">
            <v>MAURICIO</v>
          </cell>
          <cell r="M2764" t="str">
            <v>JOEL</v>
          </cell>
        </row>
        <row r="2765">
          <cell r="B2765">
            <v>5361023</v>
          </cell>
          <cell r="C2765" t="str">
            <v>40027537 DANIELE FERNANDA MARTINS PIZA</v>
          </cell>
          <cell r="D2765" t="str">
            <v>6001</v>
          </cell>
          <cell r="E2765" t="str">
            <v>6028</v>
          </cell>
          <cell r="F2765" t="str">
            <v>C1</v>
          </cell>
          <cell r="G2765" t="str">
            <v>SP</v>
          </cell>
          <cell r="H2765" t="str">
            <v>INGREDIENTS</v>
          </cell>
          <cell r="I2765" t="str">
            <v>INGREDIENTS</v>
          </cell>
          <cell r="J2765" t="str">
            <v>TATIANA NITTA</v>
          </cell>
          <cell r="K2765" t="str">
            <v>ITAMBÉ</v>
          </cell>
          <cell r="L2765" t="str">
            <v>MAURICIO</v>
          </cell>
          <cell r="M2765" t="str">
            <v>TATIANA NITTA</v>
          </cell>
        </row>
        <row r="2766">
          <cell r="B2766">
            <v>5347474</v>
          </cell>
          <cell r="C2766" t="str">
            <v>COM DE ALIM TOP PRECOS DE DIA L</v>
          </cell>
          <cell r="D2766" t="str">
            <v>7001</v>
          </cell>
          <cell r="E2766" t="str">
            <v>0749</v>
          </cell>
          <cell r="F2766" t="str">
            <v>C5</v>
          </cell>
          <cell r="G2766" t="str">
            <v>SP</v>
          </cell>
          <cell r="H2766" t="str">
            <v>DISTRIBUIÇÃO</v>
          </cell>
          <cell r="I2766" t="str">
            <v>FOOD SERVICE</v>
          </cell>
          <cell r="J2766" t="str">
            <v>FLAC 2</v>
          </cell>
          <cell r="K2766" t="str">
            <v>LACTALIS</v>
          </cell>
          <cell r="L2766" t="str">
            <v>RODRIGO</v>
          </cell>
          <cell r="M2766" t="str">
            <v>RAQUEL BARBOSA</v>
          </cell>
        </row>
        <row r="2767">
          <cell r="B2767">
            <v>5360872</v>
          </cell>
          <cell r="C2767" t="str">
            <v>LIVIA CARVALHO PRESTES 52969530</v>
          </cell>
          <cell r="D2767" t="str">
            <v>7001</v>
          </cell>
          <cell r="E2767" t="str">
            <v>0749</v>
          </cell>
          <cell r="F2767" t="str">
            <v>C5</v>
          </cell>
          <cell r="G2767" t="str">
            <v>SP</v>
          </cell>
          <cell r="H2767" t="str">
            <v>DISTRIBUIÇÃO</v>
          </cell>
          <cell r="I2767" t="str">
            <v>FOOD SERVICE</v>
          </cell>
          <cell r="J2767" t="str">
            <v>FLAC 2</v>
          </cell>
          <cell r="K2767" t="str">
            <v>LACTALIS</v>
          </cell>
          <cell r="L2767" t="str">
            <v>RODRIGO</v>
          </cell>
          <cell r="M2767" t="str">
            <v>RAQUEL BARBOSA</v>
          </cell>
        </row>
        <row r="2768">
          <cell r="B2768">
            <v>5361107</v>
          </cell>
          <cell r="C2768" t="str">
            <v>MOINHO PETINHO INDUSTRIA E COME</v>
          </cell>
          <cell r="D2768" t="str">
            <v>4001</v>
          </cell>
          <cell r="E2768" t="str">
            <v>0423</v>
          </cell>
          <cell r="F2768" t="str">
            <v>C5</v>
          </cell>
          <cell r="G2768" t="str">
            <v>PE</v>
          </cell>
          <cell r="H2768" t="str">
            <v>INGREDIENTS</v>
          </cell>
          <cell r="I2768" t="str">
            <v>INGREDIENTS</v>
          </cell>
          <cell r="J2768" t="str">
            <v>DLUM</v>
          </cell>
          <cell r="K2768" t="str">
            <v>LACTALIS</v>
          </cell>
          <cell r="L2768" t="str">
            <v>MAURICIO</v>
          </cell>
          <cell r="M2768" t="str">
            <v>JOEL</v>
          </cell>
        </row>
        <row r="2769">
          <cell r="B2769">
            <v>5078445</v>
          </cell>
          <cell r="C2769" t="str">
            <v>EMPORIO MAIS PAES LTDA</v>
          </cell>
          <cell r="D2769" t="str">
            <v>6001</v>
          </cell>
          <cell r="E2769" t="str">
            <v>6127</v>
          </cell>
          <cell r="F2769" t="str">
            <v>C1</v>
          </cell>
          <cell r="G2769" t="str">
            <v>CE</v>
          </cell>
          <cell r="H2769" t="str">
            <v>DISTRIBUIÇÃO</v>
          </cell>
          <cell r="I2769" t="str">
            <v>FOOD SERVICE</v>
          </cell>
          <cell r="J2769" t="str">
            <v>WH FOOD SERVICE CE</v>
          </cell>
          <cell r="K2769" t="str">
            <v>ITAMBÉ</v>
          </cell>
          <cell r="L2769" t="str">
            <v>RODRIGO</v>
          </cell>
          <cell r="M2769" t="str">
            <v>MARIA LOURDES</v>
          </cell>
        </row>
        <row r="2770">
          <cell r="B2770">
            <v>5181253</v>
          </cell>
          <cell r="C2770" t="str">
            <v>T F RESTAURANTE LTDA</v>
          </cell>
          <cell r="D2770" t="str">
            <v>7001</v>
          </cell>
          <cell r="E2770" t="str">
            <v>0749</v>
          </cell>
          <cell r="F2770" t="str">
            <v>C5</v>
          </cell>
          <cell r="G2770" t="str">
            <v>SP</v>
          </cell>
          <cell r="H2770" t="str">
            <v>DISTRIBUIÇÃO</v>
          </cell>
          <cell r="I2770" t="str">
            <v>FOOD SERVICE</v>
          </cell>
          <cell r="J2770" t="str">
            <v>FLAC 3</v>
          </cell>
          <cell r="K2770" t="str">
            <v>LACTALIS</v>
          </cell>
          <cell r="L2770" t="str">
            <v>RODRIGO</v>
          </cell>
          <cell r="M2770" t="str">
            <v>RAQUEL BARBOSA</v>
          </cell>
        </row>
        <row r="2771">
          <cell r="B2771">
            <v>5355119</v>
          </cell>
          <cell r="C2771" t="str">
            <v>MARCOS NUNES DOS SANTOS ITU</v>
          </cell>
          <cell r="D2771" t="str">
            <v>7001</v>
          </cell>
          <cell r="E2771" t="str">
            <v>0749</v>
          </cell>
          <cell r="F2771" t="str">
            <v>C5</v>
          </cell>
          <cell r="G2771" t="str">
            <v>SP</v>
          </cell>
          <cell r="H2771" t="str">
            <v>DISTRIBUIÇÃO</v>
          </cell>
          <cell r="I2771" t="str">
            <v>FOOD SERVICE</v>
          </cell>
          <cell r="J2771" t="str">
            <v>FLAC 7</v>
          </cell>
          <cell r="K2771" t="str">
            <v>LACTALIS</v>
          </cell>
          <cell r="L2771" t="str">
            <v>RODRIGO</v>
          </cell>
          <cell r="M2771" t="str">
            <v>RAQUEL BARBOSA</v>
          </cell>
        </row>
        <row r="2772">
          <cell r="B2772">
            <v>5360958</v>
          </cell>
          <cell r="C2772" t="str">
            <v>17358842 VITOR SILVA PARANHOS</v>
          </cell>
          <cell r="D2772" t="str">
            <v>7001</v>
          </cell>
          <cell r="E2772" t="str">
            <v>0749</v>
          </cell>
          <cell r="F2772" t="str">
            <v>C5</v>
          </cell>
          <cell r="G2772" t="str">
            <v>SP</v>
          </cell>
          <cell r="H2772" t="str">
            <v>DISTRIBUIÇÃO</v>
          </cell>
          <cell r="I2772" t="str">
            <v>FOOD SERVICE</v>
          </cell>
          <cell r="J2772" t="str">
            <v>FLAC 2</v>
          </cell>
          <cell r="K2772" t="str">
            <v>LACTALIS</v>
          </cell>
          <cell r="L2772" t="str">
            <v>RODRIGO</v>
          </cell>
          <cell r="M2772" t="str">
            <v>RAQUEL BARBOSA</v>
          </cell>
        </row>
        <row r="2773">
          <cell r="B2773">
            <v>5361020</v>
          </cell>
          <cell r="C2773" t="str">
            <v>CASA DO SORVETEIRO LTDA</v>
          </cell>
          <cell r="D2773" t="str">
            <v>6001</v>
          </cell>
          <cell r="E2773" t="str">
            <v>6169</v>
          </cell>
          <cell r="F2773" t="str">
            <v>C1</v>
          </cell>
          <cell r="G2773" t="str">
            <v>ES</v>
          </cell>
          <cell r="H2773" t="str">
            <v>DISTRIBUIÇÃO</v>
          </cell>
          <cell r="I2773" t="str">
            <v>FOOD SERVICE</v>
          </cell>
          <cell r="J2773" t="str">
            <v>MARCELO DUARTE</v>
          </cell>
          <cell r="K2773" t="str">
            <v>ITAMBÉ</v>
          </cell>
          <cell r="L2773" t="str">
            <v>RODRIGO</v>
          </cell>
          <cell r="M2773" t="str">
            <v>JESSICA</v>
          </cell>
        </row>
        <row r="2774">
          <cell r="B2774">
            <v>5361087</v>
          </cell>
          <cell r="C2774" t="str">
            <v>63428871 ISMAEL FERREIRA DOS SA</v>
          </cell>
          <cell r="D2774" t="str">
            <v>7001</v>
          </cell>
          <cell r="E2774" t="str">
            <v>0749</v>
          </cell>
          <cell r="F2774" t="str">
            <v>C5</v>
          </cell>
          <cell r="G2774" t="str">
            <v>SP</v>
          </cell>
          <cell r="H2774" t="str">
            <v>DISTRIBUIÇÃO</v>
          </cell>
          <cell r="I2774" t="str">
            <v>FOOD SERVICE</v>
          </cell>
          <cell r="J2774" t="str">
            <v>FLAC 10</v>
          </cell>
          <cell r="K2774" t="str">
            <v>LACTALIS</v>
          </cell>
          <cell r="L2774" t="str">
            <v>RODRIGO</v>
          </cell>
          <cell r="M2774" t="str">
            <v>RAQUEL BARBOSA</v>
          </cell>
        </row>
        <row r="2775">
          <cell r="B2775">
            <v>5361094</v>
          </cell>
          <cell r="C2775" t="str">
            <v>RENAL PLUS SA</v>
          </cell>
          <cell r="D2775" t="str">
            <v>7001</v>
          </cell>
          <cell r="E2775" t="str">
            <v>0749</v>
          </cell>
          <cell r="F2775" t="str">
            <v>C5</v>
          </cell>
          <cell r="G2775" t="str">
            <v>SP</v>
          </cell>
          <cell r="H2775" t="str">
            <v>DISTRIBUIÇÃO</v>
          </cell>
          <cell r="I2775" t="str">
            <v>FOOD SERVICE</v>
          </cell>
          <cell r="J2775" t="str">
            <v>FLAC 10</v>
          </cell>
          <cell r="K2775" t="str">
            <v>LACTALIS</v>
          </cell>
          <cell r="L2775" t="str">
            <v>RODRIGO</v>
          </cell>
          <cell r="M2775" t="str">
            <v>RAQUEL BARBOSA</v>
          </cell>
        </row>
        <row r="2776">
          <cell r="B2776">
            <v>5359707</v>
          </cell>
          <cell r="C2776" t="str">
            <v>GF4 PARTICIPACOES LTDA</v>
          </cell>
          <cell r="D2776" t="str">
            <v>7001</v>
          </cell>
          <cell r="E2776" t="str">
            <v>0749</v>
          </cell>
          <cell r="F2776" t="str">
            <v>C5</v>
          </cell>
          <cell r="G2776" t="str">
            <v>SP</v>
          </cell>
          <cell r="H2776" t="str">
            <v>DISTRIBUIÇÃO</v>
          </cell>
          <cell r="I2776" t="str">
            <v>FOOD SERVICE</v>
          </cell>
          <cell r="J2776" t="str">
            <v>FLAC 10</v>
          </cell>
          <cell r="K2776" t="str">
            <v>LACTALIS</v>
          </cell>
          <cell r="L2776" t="str">
            <v>RODRIGO</v>
          </cell>
          <cell r="M2776" t="str">
            <v>RAQUEL BARBOSA</v>
          </cell>
        </row>
        <row r="2777">
          <cell r="B2777">
            <v>5360416</v>
          </cell>
          <cell r="C2777" t="str">
            <v>SANTU ITAIM PANIFICACAO LTDA</v>
          </cell>
          <cell r="D2777" t="str">
            <v>7001</v>
          </cell>
          <cell r="E2777" t="str">
            <v>0749</v>
          </cell>
          <cell r="F2777" t="str">
            <v>C5</v>
          </cell>
          <cell r="G2777" t="str">
            <v>SP</v>
          </cell>
          <cell r="H2777" t="str">
            <v>DISTRIBUIÇÃO</v>
          </cell>
          <cell r="I2777" t="str">
            <v>FOOD SERVICE</v>
          </cell>
          <cell r="J2777" t="str">
            <v>FLAC 2</v>
          </cell>
          <cell r="K2777" t="str">
            <v>LACTALIS</v>
          </cell>
          <cell r="L2777" t="str">
            <v>RODRIGO</v>
          </cell>
          <cell r="M2777" t="str">
            <v>RAQUEL BARBOSA</v>
          </cell>
        </row>
        <row r="2778">
          <cell r="B2778">
            <v>5252392</v>
          </cell>
          <cell r="C2778" t="str">
            <v>AGRILAC IND COM LATICINIOS LTDA</v>
          </cell>
          <cell r="D2778">
            <v>4001</v>
          </cell>
          <cell r="E2778" t="str">
            <v>0423</v>
          </cell>
          <cell r="F2778" t="str">
            <v>C5</v>
          </cell>
          <cell r="G2778" t="str">
            <v>MA</v>
          </cell>
          <cell r="H2778" t="str">
            <v>INGREDIENTS</v>
          </cell>
          <cell r="I2778" t="str">
            <v>INGREDIENTS</v>
          </cell>
          <cell r="J2778" t="str">
            <v>DLUM</v>
          </cell>
          <cell r="K2778" t="str">
            <v>LACTALIS</v>
          </cell>
          <cell r="L2778" t="str">
            <v>MAURICIO</v>
          </cell>
          <cell r="M2778" t="str">
            <v>JOEL</v>
          </cell>
        </row>
        <row r="2779">
          <cell r="B2779">
            <v>5361155</v>
          </cell>
          <cell r="C2779" t="str">
            <v>CONFEAT INDUSTRIA E COMERCIO DE ALI</v>
          </cell>
          <cell r="D2779">
            <v>7001</v>
          </cell>
          <cell r="E2779" t="str">
            <v>0749</v>
          </cell>
          <cell r="F2779" t="str">
            <v>C5</v>
          </cell>
          <cell r="G2779" t="str">
            <v>SP</v>
          </cell>
          <cell r="H2779" t="str">
            <v>DISTRIBUIÇÃO</v>
          </cell>
          <cell r="I2779" t="str">
            <v>FOOD SERVICE</v>
          </cell>
          <cell r="J2779" t="str">
            <v>FLAC 6</v>
          </cell>
          <cell r="K2779" t="str">
            <v>LACTALIS</v>
          </cell>
          <cell r="L2779" t="str">
            <v>RODRIGO</v>
          </cell>
          <cell r="M2779" t="str">
            <v>RAQUEL BARBOSA</v>
          </cell>
        </row>
        <row r="2780">
          <cell r="B2780">
            <v>5278224</v>
          </cell>
          <cell r="C2780" t="str">
            <v>LATICINIOS SAO CARLOS LTDA</v>
          </cell>
          <cell r="D2780" t="str">
            <v>7001</v>
          </cell>
          <cell r="E2780" t="str">
            <v>0749</v>
          </cell>
          <cell r="F2780" t="str">
            <v>C5</v>
          </cell>
          <cell r="G2780" t="str">
            <v>SP</v>
          </cell>
          <cell r="H2780" t="str">
            <v>DISTRIBUIÇÃO</v>
          </cell>
          <cell r="I2780" t="str">
            <v>FOOD SERVICE</v>
          </cell>
          <cell r="J2780" t="str">
            <v>FLAC 1</v>
          </cell>
          <cell r="K2780" t="str">
            <v>LACTALIS</v>
          </cell>
          <cell r="L2780" t="str">
            <v>RODRIGO</v>
          </cell>
          <cell r="M2780" t="str">
            <v>RAQUEL BARBOSA</v>
          </cell>
        </row>
        <row r="2781">
          <cell r="B2781">
            <v>5359805</v>
          </cell>
          <cell r="C2781" t="str">
            <v>COMERCIAL DE ALIMENTOS VIVA NOV</v>
          </cell>
          <cell r="D2781" t="str">
            <v>7001</v>
          </cell>
          <cell r="E2781" t="str">
            <v>0722</v>
          </cell>
          <cell r="F2781" t="str">
            <v>C1</v>
          </cell>
          <cell r="G2781" t="str">
            <v>SP</v>
          </cell>
          <cell r="H2781" t="str">
            <v>DISTRIBUIÇÃO</v>
          </cell>
          <cell r="I2781" t="str">
            <v>FOOD SERVICE</v>
          </cell>
          <cell r="J2781" t="str">
            <v>VAGO SP</v>
          </cell>
          <cell r="K2781" t="str">
            <v>LACTALIS</v>
          </cell>
          <cell r="L2781" t="str">
            <v>RODRIGO</v>
          </cell>
          <cell r="M2781" t="str">
            <v>RAQUEL BARBOSA</v>
          </cell>
        </row>
        <row r="2782">
          <cell r="B2782">
            <v>5360771</v>
          </cell>
          <cell r="C2782" t="str">
            <v>MARCOS E LUIS PIZZARIA LTDA</v>
          </cell>
          <cell r="D2782" t="str">
            <v>7001</v>
          </cell>
          <cell r="E2782" t="str">
            <v>0749</v>
          </cell>
          <cell r="F2782" t="str">
            <v>C5</v>
          </cell>
          <cell r="G2782" t="str">
            <v>SP</v>
          </cell>
          <cell r="H2782" t="str">
            <v>DISTRIBUIÇÃO</v>
          </cell>
          <cell r="I2782" t="str">
            <v>FOOD SERVICE</v>
          </cell>
          <cell r="J2782" t="str">
            <v>FLAC 4</v>
          </cell>
          <cell r="K2782" t="str">
            <v>LACTALIS</v>
          </cell>
          <cell r="L2782" t="str">
            <v>RODRIGO</v>
          </cell>
          <cell r="M2782" t="str">
            <v>RAQUEL BARBOSA</v>
          </cell>
        </row>
        <row r="2783">
          <cell r="B2783">
            <v>5014011</v>
          </cell>
          <cell r="C2783" t="str">
            <v>AGRO COMERCIAL DA VARGEM LTDA</v>
          </cell>
          <cell r="D2783" t="str">
            <v>7001</v>
          </cell>
          <cell r="E2783" t="str">
            <v>0749</v>
          </cell>
          <cell r="F2783" t="str">
            <v>C5</v>
          </cell>
          <cell r="G2783" t="str">
            <v>SP</v>
          </cell>
          <cell r="H2783" t="str">
            <v>DISTRIBUIÇÃO</v>
          </cell>
          <cell r="I2783" t="str">
            <v>FOOD SERVICE</v>
          </cell>
          <cell r="J2783" t="str">
            <v>FLAC 1</v>
          </cell>
          <cell r="K2783" t="str">
            <v>LACTALIS</v>
          </cell>
          <cell r="L2783" t="str">
            <v>RODRIGO</v>
          </cell>
          <cell r="M2783" t="str">
            <v>RAQUEL BARBOSA</v>
          </cell>
        </row>
        <row r="2784">
          <cell r="B2784">
            <v>5183645</v>
          </cell>
          <cell r="C2784" t="str">
            <v>LIGA COMERCIO DE PRODUTOS PARA</v>
          </cell>
          <cell r="D2784" t="str">
            <v>7001</v>
          </cell>
          <cell r="E2784" t="str">
            <v>0749</v>
          </cell>
          <cell r="F2784" t="str">
            <v>C5</v>
          </cell>
          <cell r="G2784" t="str">
            <v>SP</v>
          </cell>
          <cell r="H2784" t="str">
            <v>DISTRIBUIÇÃO</v>
          </cell>
          <cell r="I2784" t="str">
            <v>FOOD SERVICE</v>
          </cell>
          <cell r="J2784" t="str">
            <v>GUILHERME NASCIMENTO</v>
          </cell>
          <cell r="K2784" t="str">
            <v>LACTALIS</v>
          </cell>
          <cell r="L2784" t="str">
            <v>RODRIGO</v>
          </cell>
          <cell r="M2784" t="str">
            <v>ALEXANDRO</v>
          </cell>
        </row>
        <row r="2785">
          <cell r="B2785">
            <v>5360393</v>
          </cell>
          <cell r="C2785" t="str">
            <v>MADALE RIO PRETO COM DE GEL E D</v>
          </cell>
          <cell r="D2785" t="str">
            <v>6001</v>
          </cell>
          <cell r="E2785" t="str">
            <v>6125</v>
          </cell>
          <cell r="F2785" t="str">
            <v>C1</v>
          </cell>
          <cell r="G2785" t="str">
            <v>SP</v>
          </cell>
          <cell r="H2785" t="str">
            <v>QSR</v>
          </cell>
          <cell r="I2785" t="str">
            <v>FOOD SERVICE</v>
          </cell>
          <cell r="J2785" t="str">
            <v>VAGO QSR</v>
          </cell>
          <cell r="K2785" t="str">
            <v>ITAMBÉ</v>
          </cell>
          <cell r="L2785" t="str">
            <v>PEDRO</v>
          </cell>
          <cell r="M2785" t="str">
            <v>VAGO QSR</v>
          </cell>
        </row>
        <row r="2786">
          <cell r="B2786">
            <v>5361285</v>
          </cell>
          <cell r="C2786" t="str">
            <v>RESTAURANTE E BUFFET PONTO GAST</v>
          </cell>
          <cell r="D2786" t="str">
            <v>7001</v>
          </cell>
          <cell r="E2786" t="str">
            <v>0749</v>
          </cell>
          <cell r="F2786" t="str">
            <v>C5</v>
          </cell>
          <cell r="G2786" t="str">
            <v>SP</v>
          </cell>
          <cell r="H2786" t="str">
            <v>DISTRIBUIÇÃO</v>
          </cell>
          <cell r="I2786" t="str">
            <v>FOOD SERVICE</v>
          </cell>
          <cell r="J2786" t="str">
            <v>FLAC 5</v>
          </cell>
          <cell r="K2786" t="str">
            <v>LACTALIS</v>
          </cell>
          <cell r="L2786" t="str">
            <v>RODRIGO</v>
          </cell>
          <cell r="M2786" t="str">
            <v>RAQUEL BARBOSA</v>
          </cell>
        </row>
        <row r="2787">
          <cell r="B2787">
            <v>5133664</v>
          </cell>
          <cell r="C2787" t="str">
            <v>PADEIRAO COMERCIO PROD PARA PANI LT</v>
          </cell>
          <cell r="D2787" t="str">
            <v>4001</v>
          </cell>
          <cell r="E2787" t="str">
            <v>0454</v>
          </cell>
          <cell r="F2787" t="str">
            <v>C1</v>
          </cell>
          <cell r="G2787" t="str">
            <v>PE</v>
          </cell>
          <cell r="H2787" t="str">
            <v>DISTRIBUIÇÃO</v>
          </cell>
          <cell r="I2787" t="str">
            <v>FOOD SERVICE</v>
          </cell>
          <cell r="J2787" t="str">
            <v>CLAUDIO JORGE/AMANDA SANDS</v>
          </cell>
          <cell r="K2787" t="str">
            <v>LACTALIS</v>
          </cell>
          <cell r="L2787" t="str">
            <v>RODRIGO</v>
          </cell>
          <cell r="M2787" t="str">
            <v>MARIA LOURDES</v>
          </cell>
        </row>
        <row r="2788">
          <cell r="B2788">
            <v>5138371</v>
          </cell>
          <cell r="C2788" t="str">
            <v>MADERO INDUSTRIA E COMERCIO SA</v>
          </cell>
          <cell r="D2788" t="str">
            <v>4001</v>
          </cell>
          <cell r="E2788" t="str">
            <v>0455</v>
          </cell>
          <cell r="F2788" t="str">
            <v>C1</v>
          </cell>
          <cell r="G2788" t="str">
            <v>PR</v>
          </cell>
          <cell r="H2788" t="str">
            <v>QSR</v>
          </cell>
          <cell r="I2788" t="str">
            <v>FOOD SERVICE</v>
          </cell>
          <cell r="J2788" t="str">
            <v>VAGO QSR</v>
          </cell>
          <cell r="K2788" t="str">
            <v>LACTALIS</v>
          </cell>
          <cell r="L2788" t="str">
            <v>PEDRO</v>
          </cell>
          <cell r="M2788" t="str">
            <v>VAGO QSR</v>
          </cell>
        </row>
        <row r="2789">
          <cell r="B2789">
            <v>5340614</v>
          </cell>
          <cell r="C2789" t="str">
            <v>TAVERNA DE MINAS D E ENG DE BEB</v>
          </cell>
          <cell r="D2789" t="str">
            <v>3001</v>
          </cell>
          <cell r="E2789" t="str">
            <v>0028</v>
          </cell>
          <cell r="F2789" t="str">
            <v>C1</v>
          </cell>
          <cell r="G2789" t="str">
            <v>MG</v>
          </cell>
          <cell r="H2789" t="str">
            <v>INGREDIENTS</v>
          </cell>
          <cell r="I2789" t="str">
            <v>INGREDIENTS</v>
          </cell>
          <cell r="J2789" t="str">
            <v>HENRIQUE FERREIRA</v>
          </cell>
          <cell r="K2789" t="str">
            <v>ITAMBÉ</v>
          </cell>
          <cell r="L2789" t="str">
            <v>MAURICIO</v>
          </cell>
          <cell r="M2789" t="str">
            <v>JOEL</v>
          </cell>
        </row>
        <row r="2790">
          <cell r="B2790">
            <v>5348161</v>
          </cell>
          <cell r="C2790" t="str">
            <v>MARIAS RESTAURANTE LTDA</v>
          </cell>
          <cell r="D2790" t="str">
            <v>7001</v>
          </cell>
          <cell r="E2790" t="str">
            <v>0749</v>
          </cell>
          <cell r="F2790" t="str">
            <v>C5</v>
          </cell>
          <cell r="G2790" t="str">
            <v>SP</v>
          </cell>
          <cell r="H2790" t="str">
            <v>DISTRIBUIÇÃO</v>
          </cell>
          <cell r="I2790" t="str">
            <v>FOOD SERVICE</v>
          </cell>
          <cell r="J2790" t="str">
            <v>FLAC 6</v>
          </cell>
          <cell r="K2790" t="str">
            <v>LACTALIS</v>
          </cell>
          <cell r="L2790" t="str">
            <v>RODRIGO</v>
          </cell>
          <cell r="M2790" t="str">
            <v>RAQUEL BARBOSA</v>
          </cell>
        </row>
        <row r="2791">
          <cell r="B2791">
            <v>5361496</v>
          </cell>
          <cell r="C2791" t="str">
            <v>30488312 PAULA PEREIRA COQUEIRO</v>
          </cell>
          <cell r="D2791" t="str">
            <v>7001</v>
          </cell>
          <cell r="E2791" t="str">
            <v>0749</v>
          </cell>
          <cell r="F2791" t="str">
            <v>C5</v>
          </cell>
          <cell r="G2791" t="str">
            <v>SP</v>
          </cell>
          <cell r="H2791" t="str">
            <v>DISTRIBUIÇÃO</v>
          </cell>
          <cell r="I2791" t="str">
            <v>FOOD SERVICE</v>
          </cell>
          <cell r="J2791" t="str">
            <v>FLAC 4</v>
          </cell>
          <cell r="K2791" t="str">
            <v>LACTALIS</v>
          </cell>
          <cell r="L2791" t="str">
            <v>RODRIGO</v>
          </cell>
          <cell r="M2791" t="str">
            <v>RAQUEL BARBOSA</v>
          </cell>
        </row>
        <row r="2792">
          <cell r="B2792">
            <v>5275476</v>
          </cell>
          <cell r="C2792" t="str">
            <v>MON CHOU COM IMP E EXP LTDA</v>
          </cell>
          <cell r="D2792" t="str">
            <v>6001</v>
          </cell>
          <cell r="E2792" t="str">
            <v>6125</v>
          </cell>
          <cell r="F2792" t="str">
            <v>C1</v>
          </cell>
          <cell r="G2792" t="str">
            <v>SP</v>
          </cell>
          <cell r="H2792" t="str">
            <v>DISTRIBUIÇÃO</v>
          </cell>
          <cell r="I2792" t="str">
            <v>FOOD SERVICE</v>
          </cell>
          <cell r="J2792" t="str">
            <v>LUCIANA MARTINS</v>
          </cell>
          <cell r="K2792" t="str">
            <v>ITAMBÉ</v>
          </cell>
          <cell r="L2792" t="str">
            <v>RODRIGO</v>
          </cell>
          <cell r="M2792" t="str">
            <v>JESSICA</v>
          </cell>
        </row>
        <row r="2793">
          <cell r="B2793">
            <v>5361431</v>
          </cell>
          <cell r="C2793" t="str">
            <v>ICELON INDUSTRIA E COMERCIO DE</v>
          </cell>
          <cell r="D2793" t="str">
            <v>4001</v>
          </cell>
          <cell r="E2793" t="str">
            <v>0455</v>
          </cell>
          <cell r="F2793" t="str">
            <v>C1</v>
          </cell>
          <cell r="G2793" t="str">
            <v>PR</v>
          </cell>
          <cell r="H2793" t="str">
            <v>INGREDIENTS</v>
          </cell>
          <cell r="I2793" t="str">
            <v>INGREDIENTS</v>
          </cell>
          <cell r="J2793" t="str">
            <v>MARCELO RODRIGUES</v>
          </cell>
          <cell r="K2793" t="str">
            <v>LACTALIS</v>
          </cell>
          <cell r="L2793" t="str">
            <v>MAURICIO</v>
          </cell>
          <cell r="M2793" t="str">
            <v>MARCELO</v>
          </cell>
        </row>
        <row r="2794">
          <cell r="B2794">
            <v>5361616</v>
          </cell>
          <cell r="C2794" t="str">
            <v>PAOCITO PAES ARTESANAIS LTDA</v>
          </cell>
          <cell r="D2794" t="str">
            <v>7001</v>
          </cell>
          <cell r="E2794" t="str">
            <v>0749</v>
          </cell>
          <cell r="F2794" t="str">
            <v>C5</v>
          </cell>
          <cell r="G2794" t="str">
            <v>SP</v>
          </cell>
          <cell r="H2794" t="str">
            <v>DISTRIBUIÇÃO</v>
          </cell>
          <cell r="I2794" t="str">
            <v>FOOD SERVICE</v>
          </cell>
          <cell r="J2794" t="str">
            <v>FLAC 2</v>
          </cell>
          <cell r="K2794" t="str">
            <v>LACTALIS</v>
          </cell>
          <cell r="L2794" t="str">
            <v>RODRIGO</v>
          </cell>
          <cell r="M2794" t="str">
            <v>RAQUEL BARBOSA</v>
          </cell>
        </row>
        <row r="2795">
          <cell r="B2795">
            <v>5107538</v>
          </cell>
          <cell r="C2795" t="str">
            <v>GELATERIA ANTARTICA LTDA</v>
          </cell>
          <cell r="D2795" t="str">
            <v>3001</v>
          </cell>
          <cell r="E2795" t="str">
            <v>0028</v>
          </cell>
          <cell r="F2795" t="str">
            <v>C1</v>
          </cell>
          <cell r="G2795" t="str">
            <v>MG</v>
          </cell>
          <cell r="H2795" t="str">
            <v>INGREDIENTS</v>
          </cell>
          <cell r="I2795" t="str">
            <v>INGREDIENTS</v>
          </cell>
          <cell r="J2795" t="str">
            <v>HENRIQUE FERREIRA</v>
          </cell>
          <cell r="K2795" t="str">
            <v>ITAMBÉ</v>
          </cell>
          <cell r="L2795" t="str">
            <v>MAURICIO</v>
          </cell>
          <cell r="M2795" t="str">
            <v>JOEL</v>
          </cell>
        </row>
        <row r="2796">
          <cell r="B2796">
            <v>5182536</v>
          </cell>
          <cell r="C2796" t="str">
            <v>CONCORDIA FRIOS E LATICINIOS LT</v>
          </cell>
          <cell r="D2796" t="str">
            <v>7001</v>
          </cell>
          <cell r="E2796" t="str">
            <v>0739</v>
          </cell>
          <cell r="F2796" t="str">
            <v>C1</v>
          </cell>
          <cell r="G2796" t="str">
            <v>RJ</v>
          </cell>
          <cell r="H2796" t="str">
            <v>DISTRIBUIÇÃO</v>
          </cell>
          <cell r="I2796" t="str">
            <v>FOOD SERVICE</v>
          </cell>
          <cell r="J2796" t="str">
            <v>JESSICA CARLA</v>
          </cell>
          <cell r="K2796" t="str">
            <v>LACTALIS</v>
          </cell>
          <cell r="L2796" t="str">
            <v>RODRIGO</v>
          </cell>
          <cell r="M2796" t="str">
            <v>JESSICA</v>
          </cell>
        </row>
        <row r="2797">
          <cell r="B2797">
            <v>5359414</v>
          </cell>
          <cell r="C2797" t="str">
            <v>MEL INDUSTRIA ALIMENTICIA DE DO</v>
          </cell>
          <cell r="D2797" t="str">
            <v>3001</v>
          </cell>
          <cell r="E2797" t="str">
            <v>0122</v>
          </cell>
          <cell r="F2797" t="str">
            <v>C1</v>
          </cell>
          <cell r="G2797" t="str">
            <v>MG</v>
          </cell>
          <cell r="H2797" t="str">
            <v>DISTRIBUIÇÃO</v>
          </cell>
          <cell r="I2797" t="str">
            <v>FOOD SERVICE</v>
          </cell>
          <cell r="J2797" t="str">
            <v>MARCELO SILVA</v>
          </cell>
          <cell r="K2797" t="str">
            <v>ITAMBÉ</v>
          </cell>
          <cell r="L2797" t="str">
            <v>RODRIGO</v>
          </cell>
          <cell r="M2797" t="str">
            <v>CELIO MARTINS</v>
          </cell>
        </row>
        <row r="2798">
          <cell r="B2798">
            <v>5361518</v>
          </cell>
          <cell r="C2798" t="str">
            <v>NIPOTE GASTROBAR LTDA</v>
          </cell>
          <cell r="D2798" t="str">
            <v>7001</v>
          </cell>
          <cell r="E2798" t="str">
            <v>0749</v>
          </cell>
          <cell r="F2798" t="str">
            <v>C5</v>
          </cell>
          <cell r="G2798" t="str">
            <v>SP</v>
          </cell>
          <cell r="H2798" t="str">
            <v>DISTRIBUIÇÃO</v>
          </cell>
          <cell r="I2798" t="str">
            <v>FOOD SERVICE</v>
          </cell>
          <cell r="J2798" t="str">
            <v>FLAC 5</v>
          </cell>
          <cell r="K2798" t="str">
            <v>LACTALIS</v>
          </cell>
          <cell r="L2798" t="str">
            <v>RODRIGO</v>
          </cell>
          <cell r="M2798" t="str">
            <v>RAQUEL BARBOSA</v>
          </cell>
        </row>
        <row r="2799">
          <cell r="B2799">
            <v>5360703</v>
          </cell>
          <cell r="C2799" t="str">
            <v>FP4 PRODUTOS DE PANIFICACAO LTD</v>
          </cell>
          <cell r="D2799" t="str">
            <v>7001</v>
          </cell>
          <cell r="E2799" t="str">
            <v>0749</v>
          </cell>
          <cell r="F2799" t="str">
            <v>C5</v>
          </cell>
          <cell r="G2799" t="str">
            <v>SP</v>
          </cell>
          <cell r="H2799" t="str">
            <v>DISTRIBUIÇÃO</v>
          </cell>
          <cell r="I2799" t="str">
            <v>FOOD SERVICE</v>
          </cell>
          <cell r="J2799" t="str">
            <v>FLAC 2</v>
          </cell>
          <cell r="K2799" t="str">
            <v>LACTALIS</v>
          </cell>
          <cell r="L2799" t="str">
            <v>RODRIGO</v>
          </cell>
          <cell r="M2799" t="str">
            <v>RAQUEL BARBOSA</v>
          </cell>
        </row>
        <row r="2800">
          <cell r="B2800">
            <v>5188800</v>
          </cell>
          <cell r="C2800" t="str">
            <v>DIEGO CESAR GOMES DA SILVA</v>
          </cell>
          <cell r="D2800" t="str">
            <v>6001</v>
          </cell>
          <cell r="E2800" t="str">
            <v>6028</v>
          </cell>
          <cell r="F2800" t="str">
            <v>C1</v>
          </cell>
          <cell r="G2800" t="str">
            <v>SP</v>
          </cell>
          <cell r="H2800" t="str">
            <v>INGREDIENTS</v>
          </cell>
          <cell r="I2800" t="str">
            <v>INGREDIENTS</v>
          </cell>
          <cell r="J2800" t="str">
            <v>HENRIQUE FERREIRA</v>
          </cell>
          <cell r="K2800" t="str">
            <v>ITAMBÉ</v>
          </cell>
          <cell r="L2800" t="str">
            <v>MAURICIO</v>
          </cell>
          <cell r="M2800" t="str">
            <v>JOEL</v>
          </cell>
        </row>
        <row r="2801">
          <cell r="B2801">
            <v>5194511</v>
          </cell>
          <cell r="C2801" t="str">
            <v>DOCEMEL ALIMENTOS</v>
          </cell>
          <cell r="D2801" t="str">
            <v>6001</v>
          </cell>
          <cell r="E2801" t="str">
            <v>6028</v>
          </cell>
          <cell r="F2801" t="str">
            <v>C1</v>
          </cell>
          <cell r="G2801" t="str">
            <v>MS</v>
          </cell>
          <cell r="H2801" t="str">
            <v>INGREDIENTS</v>
          </cell>
          <cell r="I2801" t="str">
            <v>INGREDIENTS</v>
          </cell>
          <cell r="J2801" t="str">
            <v>DUAS RODAS</v>
          </cell>
          <cell r="K2801" t="str">
            <v>ITAMBÉ</v>
          </cell>
          <cell r="L2801" t="str">
            <v>MAURICIO</v>
          </cell>
          <cell r="M2801" t="str">
            <v>MARCELO</v>
          </cell>
        </row>
        <row r="2802">
          <cell r="B2802">
            <v>5207523</v>
          </cell>
          <cell r="C2802" t="str">
            <v>ANGELICA CORREA DE SOUZA</v>
          </cell>
          <cell r="D2802" t="str">
            <v>3001</v>
          </cell>
          <cell r="E2802" t="str">
            <v>0122</v>
          </cell>
          <cell r="F2802" t="str">
            <v>C1</v>
          </cell>
          <cell r="G2802" t="str">
            <v>MG</v>
          </cell>
          <cell r="H2802" t="str">
            <v>DISTRIBUIÇÃO</v>
          </cell>
          <cell r="I2802" t="str">
            <v>FOOD SERVICE</v>
          </cell>
          <cell r="J2802" t="str">
            <v>MARCELO SILVA</v>
          </cell>
          <cell r="K2802" t="str">
            <v>ITAMBÉ</v>
          </cell>
          <cell r="L2802" t="str">
            <v>RODRIGO</v>
          </cell>
          <cell r="M2802" t="str">
            <v>CELIO MARTINS</v>
          </cell>
        </row>
        <row r="2803">
          <cell r="B2803">
            <v>5361803</v>
          </cell>
          <cell r="C2803" t="str">
            <v>SORVETERIA SOL DE LEOPOLDINA LT</v>
          </cell>
          <cell r="D2803" t="str">
            <v>7001</v>
          </cell>
          <cell r="E2803" t="str">
            <v>0749</v>
          </cell>
          <cell r="F2803" t="str">
            <v>C5</v>
          </cell>
          <cell r="G2803" t="str">
            <v>SP</v>
          </cell>
          <cell r="H2803" t="str">
            <v>DISTRIBUIÇÃO</v>
          </cell>
          <cell r="I2803" t="str">
            <v>FOOD SERVICE</v>
          </cell>
          <cell r="J2803" t="str">
            <v>FLAC 3</v>
          </cell>
          <cell r="K2803" t="str">
            <v>LACTALIS</v>
          </cell>
          <cell r="L2803" t="str">
            <v>RODRIGO</v>
          </cell>
          <cell r="M2803" t="str">
            <v>RAQUEL BARBOSA</v>
          </cell>
        </row>
        <row r="2804">
          <cell r="B2804">
            <v>5274693</v>
          </cell>
          <cell r="C2804" t="str">
            <v>PEP COMERCIO LTDA</v>
          </cell>
          <cell r="D2804" t="str">
            <v>7001</v>
          </cell>
          <cell r="E2804" t="str">
            <v>0749</v>
          </cell>
          <cell r="F2804" t="str">
            <v>C5</v>
          </cell>
          <cell r="G2804" t="str">
            <v>SP</v>
          </cell>
          <cell r="H2804" t="str">
            <v>DISTRIBUIÇÃO</v>
          </cell>
          <cell r="I2804" t="str">
            <v>FOOD SERVICE</v>
          </cell>
          <cell r="J2804" t="str">
            <v>FLAC 3</v>
          </cell>
          <cell r="K2804" t="str">
            <v>LACTALIS</v>
          </cell>
          <cell r="L2804" t="str">
            <v>RODRIGO</v>
          </cell>
          <cell r="M2804" t="str">
            <v>RAQUEL BARBOSA</v>
          </cell>
        </row>
        <row r="2805">
          <cell r="B2805">
            <v>5361872</v>
          </cell>
          <cell r="C2805" t="str">
            <v>VITAMINA D LANCHONETE LTDA</v>
          </cell>
          <cell r="D2805" t="str">
            <v>7001</v>
          </cell>
          <cell r="E2805" t="str">
            <v>0749</v>
          </cell>
          <cell r="F2805" t="str">
            <v>C5</v>
          </cell>
          <cell r="G2805" t="str">
            <v>SP</v>
          </cell>
          <cell r="H2805" t="str">
            <v>DISTRIBUIÇÃO</v>
          </cell>
          <cell r="I2805" t="str">
            <v>FOOD SERVICE</v>
          </cell>
          <cell r="J2805" t="str">
            <v>FLAC 5</v>
          </cell>
          <cell r="K2805" t="str">
            <v>LACTALIS</v>
          </cell>
          <cell r="L2805" t="str">
            <v>RODRIGO</v>
          </cell>
          <cell r="M2805" t="str">
            <v>RAQUEL BARBOSA</v>
          </cell>
        </row>
        <row r="2806">
          <cell r="B2806">
            <v>5249198</v>
          </cell>
          <cell r="C2806" t="str">
            <v>EDSON BATISTA DA SILVA GUARULHOS</v>
          </cell>
          <cell r="D2806" t="str">
            <v>7001</v>
          </cell>
          <cell r="E2806" t="str">
            <v>0749</v>
          </cell>
          <cell r="F2806" t="str">
            <v>C5</v>
          </cell>
          <cell r="G2806" t="str">
            <v>SP</v>
          </cell>
          <cell r="H2806" t="str">
            <v>DISTRIBUIÇÃO</v>
          </cell>
          <cell r="I2806" t="str">
            <v>FOOD SERVICE</v>
          </cell>
          <cell r="J2806" t="str">
            <v>FLAC 1</v>
          </cell>
          <cell r="K2806" t="str">
            <v>LACTALIS</v>
          </cell>
          <cell r="L2806" t="str">
            <v>RODRIGO</v>
          </cell>
          <cell r="M2806" t="str">
            <v>RAQUEL BARBOSA</v>
          </cell>
        </row>
        <row r="2807">
          <cell r="B2807">
            <v>5275620</v>
          </cell>
          <cell r="C2807" t="str">
            <v>HARUS INDUSTRIA E COM DE ALIM L</v>
          </cell>
          <cell r="D2807" t="str">
            <v>7001</v>
          </cell>
          <cell r="E2807" t="str">
            <v>0722</v>
          </cell>
          <cell r="F2807" t="str">
            <v>C1</v>
          </cell>
          <cell r="G2807" t="str">
            <v>SP</v>
          </cell>
          <cell r="H2807" t="str">
            <v>DISTRIBUIÇÃO</v>
          </cell>
          <cell r="I2807" t="str">
            <v>FOOD SERVICE</v>
          </cell>
          <cell r="J2807" t="str">
            <v>ALEXANDRE BONANI</v>
          </cell>
          <cell r="K2807" t="str">
            <v>LACTALIS</v>
          </cell>
          <cell r="L2807" t="str">
            <v>RODRIGO</v>
          </cell>
          <cell r="M2807" t="str">
            <v>ALEXANDRE BONANI</v>
          </cell>
        </row>
        <row r="2808">
          <cell r="B2808">
            <v>5332247</v>
          </cell>
          <cell r="C2808" t="str">
            <v>AMIV COMERCIO DE PRODUTOS</v>
          </cell>
          <cell r="D2808" t="str">
            <v>6001</v>
          </cell>
          <cell r="E2808" t="str">
            <v>6127</v>
          </cell>
          <cell r="F2808" t="str">
            <v>C1</v>
          </cell>
          <cell r="G2808" t="str">
            <v>CE</v>
          </cell>
          <cell r="H2808" t="str">
            <v>DISTRIBUIÇÃO</v>
          </cell>
          <cell r="I2808" t="str">
            <v>FOOD SERVICE</v>
          </cell>
          <cell r="J2808" t="str">
            <v>WH FOOD SERVICE CE</v>
          </cell>
          <cell r="K2808" t="str">
            <v>ITAMBÉ</v>
          </cell>
          <cell r="L2808" t="str">
            <v>RODRIGO</v>
          </cell>
          <cell r="M2808" t="str">
            <v>MARIA LOURDES</v>
          </cell>
        </row>
        <row r="2809">
          <cell r="B2809">
            <v>5361938</v>
          </cell>
          <cell r="C2809" t="str">
            <v>DISTRIBUID NORDEST DE CONFE E P</v>
          </cell>
          <cell r="D2809" t="str">
            <v>3001</v>
          </cell>
          <cell r="E2809" t="str">
            <v>0127</v>
          </cell>
          <cell r="F2809" t="str">
            <v>C1</v>
          </cell>
          <cell r="G2809" t="str">
            <v>PE</v>
          </cell>
          <cell r="H2809" t="str">
            <v>DISTRIBUIÇÃO</v>
          </cell>
          <cell r="I2809" t="str">
            <v>FOOD SERVICE</v>
          </cell>
          <cell r="J2809" t="str">
            <v>CLAUDIO JORGE</v>
          </cell>
          <cell r="K2809" t="str">
            <v>ITAMBÉ</v>
          </cell>
          <cell r="L2809" t="str">
            <v>RODRIGO</v>
          </cell>
          <cell r="M2809" t="str">
            <v>MARIA LOURDES</v>
          </cell>
        </row>
        <row r="2810">
          <cell r="B2810">
            <v>5292313</v>
          </cell>
          <cell r="C2810" t="str">
            <v>L GUEIROS LOMEU LATICINIOS LTDA</v>
          </cell>
          <cell r="D2810" t="str">
            <v>4001</v>
          </cell>
          <cell r="E2810" t="str">
            <v>0437</v>
          </cell>
          <cell r="F2810" t="str">
            <v>C1</v>
          </cell>
          <cell r="G2810" t="str">
            <v>MG</v>
          </cell>
          <cell r="H2810" t="str">
            <v>INGREDIENTS</v>
          </cell>
          <cell r="I2810" t="str">
            <v>INGREDIENTS</v>
          </cell>
          <cell r="J2810" t="str">
            <v>HENRIQUE FERREIRA</v>
          </cell>
          <cell r="K2810" t="str">
            <v>LACTALIS</v>
          </cell>
          <cell r="L2810" t="str">
            <v>MAURICIO</v>
          </cell>
          <cell r="M2810" t="str">
            <v>JOEL</v>
          </cell>
        </row>
        <row r="2811">
          <cell r="B2811">
            <v>5357531</v>
          </cell>
          <cell r="C2811" t="str">
            <v>FORNERIA BIGLIA PANIFIC E CONFE</v>
          </cell>
          <cell r="D2811" t="str">
            <v>7001</v>
          </cell>
          <cell r="E2811" t="str">
            <v>0722</v>
          </cell>
          <cell r="F2811" t="str">
            <v>C1</v>
          </cell>
          <cell r="G2811" t="str">
            <v>SP</v>
          </cell>
          <cell r="H2811" t="str">
            <v>DISTRIBUIÇÃO</v>
          </cell>
          <cell r="I2811" t="str">
            <v>FOOD SERVICE</v>
          </cell>
          <cell r="J2811" t="str">
            <v>SP ITB FS FLAC REP.E COMERCIO</v>
          </cell>
          <cell r="K2811" t="str">
            <v>LACTALIS</v>
          </cell>
          <cell r="L2811" t="str">
            <v>RODRIGO</v>
          </cell>
          <cell r="M2811" t="str">
            <v>RAQUEL BARBOSA</v>
          </cell>
        </row>
        <row r="2812">
          <cell r="B2812">
            <v>5361873</v>
          </cell>
          <cell r="C2812" t="str">
            <v>54202034 KETLEN CRISTINA JACINT</v>
          </cell>
          <cell r="D2812" t="str">
            <v>7001</v>
          </cell>
          <cell r="E2812" t="str">
            <v>0749</v>
          </cell>
          <cell r="F2812" t="str">
            <v>C5</v>
          </cell>
          <cell r="G2812" t="str">
            <v>SP</v>
          </cell>
          <cell r="H2812" t="str">
            <v>DISTRIBUIÇÃO</v>
          </cell>
          <cell r="I2812" t="str">
            <v>FOOD SERVICE</v>
          </cell>
          <cell r="J2812" t="str">
            <v>FLAC 2</v>
          </cell>
          <cell r="K2812" t="str">
            <v>LACTALIS</v>
          </cell>
          <cell r="L2812" t="str">
            <v>RODRIGO</v>
          </cell>
          <cell r="M2812" t="str">
            <v>RAQUEL BARBOSA</v>
          </cell>
        </row>
        <row r="2813">
          <cell r="B2813">
            <v>5361874</v>
          </cell>
          <cell r="C2813" t="str">
            <v>COFFEE BREAK MANDU LTDA</v>
          </cell>
          <cell r="D2813" t="str">
            <v>7001</v>
          </cell>
          <cell r="E2813" t="str">
            <v>0749</v>
          </cell>
          <cell r="F2813" t="str">
            <v>C5</v>
          </cell>
          <cell r="G2813" t="str">
            <v>SP</v>
          </cell>
          <cell r="H2813" t="str">
            <v>DISTRIBUIÇÃO</v>
          </cell>
          <cell r="I2813" t="str">
            <v>FOOD SERVICE</v>
          </cell>
          <cell r="J2813" t="str">
            <v>FLAC 3</v>
          </cell>
          <cell r="K2813" t="str">
            <v>LACTALIS</v>
          </cell>
          <cell r="L2813" t="str">
            <v>RODRIGO</v>
          </cell>
          <cell r="M2813" t="str">
            <v>RAQUEL BARBOSA</v>
          </cell>
        </row>
        <row r="2814">
          <cell r="B2814">
            <v>5114387</v>
          </cell>
          <cell r="C2814" t="str">
            <v>JAQUELINI CARDOSO COSTA DA SILVA</v>
          </cell>
          <cell r="D2814" t="str">
            <v>6001</v>
          </cell>
          <cell r="E2814" t="str">
            <v>6028</v>
          </cell>
          <cell r="F2814" t="str">
            <v>C1</v>
          </cell>
          <cell r="G2814" t="str">
            <v>SP</v>
          </cell>
          <cell r="H2814" t="str">
            <v>INGREDIENTS</v>
          </cell>
          <cell r="I2814" t="str">
            <v>INGREDIENTS</v>
          </cell>
          <cell r="J2814" t="str">
            <v>HENRIQUE FERREIRA</v>
          </cell>
          <cell r="K2814" t="str">
            <v>ITAMBÉ</v>
          </cell>
          <cell r="L2814" t="str">
            <v>MAURICIO</v>
          </cell>
          <cell r="M2814" t="str">
            <v>JOEL</v>
          </cell>
        </row>
        <row r="2815">
          <cell r="B2815">
            <v>5362139</v>
          </cell>
          <cell r="C2815" t="str">
            <v>GERSON HILARIO ANDRUCHO</v>
          </cell>
          <cell r="D2815" t="str">
            <v>3001</v>
          </cell>
          <cell r="E2815" t="str">
            <v>0028</v>
          </cell>
          <cell r="F2815" t="str">
            <v>C1</v>
          </cell>
          <cell r="G2815" t="str">
            <v>SC</v>
          </cell>
          <cell r="H2815" t="str">
            <v>INGREDIENTS</v>
          </cell>
          <cell r="I2815" t="str">
            <v>INGREDIENTS</v>
          </cell>
          <cell r="J2815" t="str">
            <v>MARCELO RODRIGUES</v>
          </cell>
          <cell r="K2815" t="str">
            <v>ITAMBÉ</v>
          </cell>
          <cell r="L2815" t="str">
            <v>MAURICIO</v>
          </cell>
          <cell r="M2815" t="str">
            <v>MARCELO</v>
          </cell>
        </row>
        <row r="2816">
          <cell r="B2816">
            <v>5362013</v>
          </cell>
          <cell r="C2816" t="str">
            <v>VILLA ITALIA ROTISSERIA LTDA</v>
          </cell>
          <cell r="D2816">
            <v>7001</v>
          </cell>
          <cell r="E2816" t="str">
            <v>0749</v>
          </cell>
          <cell r="F2816" t="str">
            <v>C5</v>
          </cell>
          <cell r="G2816" t="str">
            <v>SP</v>
          </cell>
          <cell r="H2816" t="str">
            <v>DISTRIBUIÇÃO</v>
          </cell>
          <cell r="I2816" t="str">
            <v>FOOD SERVICE</v>
          </cell>
          <cell r="J2816" t="str">
            <v>FLAC 4</v>
          </cell>
          <cell r="K2816" t="str">
            <v>LACTALIS</v>
          </cell>
          <cell r="L2816" t="str">
            <v>RODRIGO</v>
          </cell>
          <cell r="M2816" t="str">
            <v>RAQUEL BARBOSA</v>
          </cell>
        </row>
        <row r="2817">
          <cell r="B2817">
            <v>5361885</v>
          </cell>
          <cell r="C2817" t="str">
            <v>CAMARA TRADE NEG INTERNACIONAIS LTD</v>
          </cell>
          <cell r="D2817" t="str">
            <v>3001</v>
          </cell>
          <cell r="E2817" t="str">
            <v>0028</v>
          </cell>
          <cell r="F2817" t="str">
            <v>C1</v>
          </cell>
          <cell r="G2817" t="str">
            <v>PR</v>
          </cell>
          <cell r="H2817" t="str">
            <v>INGREDIENTS</v>
          </cell>
          <cell r="I2817" t="str">
            <v>INGREDIENTS</v>
          </cell>
          <cell r="J2817" t="str">
            <v>JOEL ELEOTÉRIO</v>
          </cell>
          <cell r="K2817" t="str">
            <v>ITAMBÉ</v>
          </cell>
          <cell r="L2817" t="str">
            <v>MAURICIO</v>
          </cell>
          <cell r="M2817" t="str">
            <v>JOEL</v>
          </cell>
        </row>
        <row r="2818">
          <cell r="B2818">
            <v>5104129</v>
          </cell>
          <cell r="C2818" t="str">
            <v>FROSTY PRODUTOS ALIMENTICIOS LTDA</v>
          </cell>
          <cell r="D2818" t="str">
            <v>3001</v>
          </cell>
          <cell r="E2818" t="str">
            <v>0028</v>
          </cell>
          <cell r="F2818" t="str">
            <v>C1</v>
          </cell>
          <cell r="G2818" t="str">
            <v>CE</v>
          </cell>
          <cell r="H2818" t="str">
            <v>INGREDIENTS</v>
          </cell>
          <cell r="I2818" t="str">
            <v>INGREDIENTS</v>
          </cell>
          <cell r="J2818" t="str">
            <v>JOEL ELEOTÉRIO</v>
          </cell>
          <cell r="K2818" t="str">
            <v>ITAMBÉ</v>
          </cell>
          <cell r="L2818" t="str">
            <v>MAURICIO</v>
          </cell>
          <cell r="M2818" t="str">
            <v>JOEL</v>
          </cell>
        </row>
        <row r="2819">
          <cell r="B2819">
            <v>5361277</v>
          </cell>
          <cell r="C2819" t="str">
            <v>PIERRE DISTRIBUICAO LTDA</v>
          </cell>
          <cell r="D2819" t="str">
            <v>3001</v>
          </cell>
          <cell r="E2819" t="str">
            <v>0122</v>
          </cell>
          <cell r="F2819" t="str">
            <v>C1</v>
          </cell>
          <cell r="G2819" t="str">
            <v>MG</v>
          </cell>
          <cell r="H2819" t="str">
            <v>DISTRIBUIÇÃO</v>
          </cell>
          <cell r="I2819" t="str">
            <v>FOOD SERVICE</v>
          </cell>
          <cell r="J2819" t="str">
            <v>MARCELO SILVA</v>
          </cell>
          <cell r="K2819" t="str">
            <v>ITAMBÉ</v>
          </cell>
          <cell r="L2819" t="str">
            <v>RODRIGO</v>
          </cell>
          <cell r="M2819" t="str">
            <v>CELIO MARTINS</v>
          </cell>
        </row>
        <row r="2820">
          <cell r="B2820">
            <v>5361618</v>
          </cell>
          <cell r="C2820" t="str">
            <v>OSNIR HAMBURGER LTDA</v>
          </cell>
          <cell r="D2820">
            <v>7001</v>
          </cell>
          <cell r="E2820" t="str">
            <v>0749</v>
          </cell>
          <cell r="F2820" t="str">
            <v>C5</v>
          </cell>
          <cell r="G2820" t="str">
            <v>SP</v>
          </cell>
          <cell r="H2820" t="str">
            <v>DISTRIBUIÇÃO</v>
          </cell>
          <cell r="I2820" t="str">
            <v>FOOD SERVICE</v>
          </cell>
          <cell r="J2820" t="str">
            <v>FLAC 4</v>
          </cell>
          <cell r="K2820" t="str">
            <v>LACTALIS</v>
          </cell>
          <cell r="L2820" t="str">
            <v>RODRIGO</v>
          </cell>
          <cell r="M2820" t="str">
            <v>RAQUEL BARBOSA</v>
          </cell>
        </row>
        <row r="2821">
          <cell r="B2821">
            <v>5361542</v>
          </cell>
          <cell r="C2821" t="str">
            <v>BISA COME VAREJ DE CAFE E UTILI DOM</v>
          </cell>
          <cell r="D2821" t="str">
            <v>7001</v>
          </cell>
          <cell r="E2821" t="str">
            <v>0749</v>
          </cell>
          <cell r="F2821" t="str">
            <v>C5</v>
          </cell>
          <cell r="G2821" t="str">
            <v>SP</v>
          </cell>
          <cell r="H2821" t="str">
            <v>DISTRIBUIÇÃO</v>
          </cell>
          <cell r="I2821" t="str">
            <v>FOOD SERVICE</v>
          </cell>
          <cell r="J2821" t="str">
            <v>FLAC 10</v>
          </cell>
          <cell r="K2821" t="str">
            <v>LACTALIS</v>
          </cell>
          <cell r="L2821" t="str">
            <v>RODRIGO</v>
          </cell>
          <cell r="M2821" t="str">
            <v>RAQUEL BARBOSA</v>
          </cell>
        </row>
        <row r="2822">
          <cell r="B2822">
            <v>5360992</v>
          </cell>
          <cell r="C2822" t="str">
            <v>VRT CERVEJARIA LTDA</v>
          </cell>
          <cell r="D2822" t="str">
            <v>7001</v>
          </cell>
          <cell r="E2822" t="str">
            <v>0749</v>
          </cell>
          <cell r="F2822" t="str">
            <v>C5</v>
          </cell>
          <cell r="G2822" t="str">
            <v>SP</v>
          </cell>
          <cell r="H2822" t="str">
            <v>DISTRIBUIÇÃO</v>
          </cell>
          <cell r="I2822" t="str">
            <v>FOOD SERVICE</v>
          </cell>
          <cell r="J2822" t="str">
            <v>FLAC 2</v>
          </cell>
          <cell r="K2822" t="str">
            <v>LACTALIS</v>
          </cell>
          <cell r="L2822" t="str">
            <v>RODRIGO</v>
          </cell>
          <cell r="M2822" t="str">
            <v>RAQUEL BARBOSA</v>
          </cell>
        </row>
        <row r="2823">
          <cell r="B2823">
            <v>5262248</v>
          </cell>
          <cell r="C2823" t="str">
            <v>COMERCIAL DE ALIMENTOS FINESSE LTDA</v>
          </cell>
          <cell r="D2823">
            <v>7001</v>
          </cell>
          <cell r="E2823" t="str">
            <v>0749</v>
          </cell>
          <cell r="F2823" t="str">
            <v>C5</v>
          </cell>
          <cell r="G2823" t="str">
            <v>SP</v>
          </cell>
          <cell r="H2823" t="str">
            <v>DISTRIBUIÇÃO</v>
          </cell>
          <cell r="I2823" t="str">
            <v>FOOD SERVICE</v>
          </cell>
          <cell r="J2823" t="str">
            <v>FLAC 6</v>
          </cell>
          <cell r="K2823" t="str">
            <v>LACTALIS</v>
          </cell>
          <cell r="L2823" t="str">
            <v>RODRIGO</v>
          </cell>
          <cell r="M2823" t="str">
            <v>RAQUEL BARBOSA</v>
          </cell>
        </row>
        <row r="2824">
          <cell r="B2824">
            <v>5184917</v>
          </cell>
          <cell r="C2824" t="str">
            <v>BARONIN IND E COM DE SORVETES LTDA</v>
          </cell>
          <cell r="D2824" t="str">
            <v>6001</v>
          </cell>
          <cell r="E2824" t="str">
            <v>6028</v>
          </cell>
          <cell r="F2824" t="str">
            <v>C1</v>
          </cell>
          <cell r="G2824" t="str">
            <v>SP</v>
          </cell>
          <cell r="H2824" t="str">
            <v>INGREDIENTS</v>
          </cell>
          <cell r="I2824" t="str">
            <v>INGREDIENTS</v>
          </cell>
          <cell r="J2824" t="str">
            <v>DUAS RODAS</v>
          </cell>
          <cell r="K2824" t="str">
            <v>ITAMBÉ</v>
          </cell>
          <cell r="L2824" t="str">
            <v>MAURICIO</v>
          </cell>
          <cell r="M2824" t="str">
            <v>MARCELO</v>
          </cell>
        </row>
        <row r="2825">
          <cell r="B2825">
            <v>5361815</v>
          </cell>
          <cell r="C2825" t="str">
            <v>LGS DISTRIBUIDORA LTDA</v>
          </cell>
          <cell r="D2825" t="str">
            <v>6001</v>
          </cell>
          <cell r="E2825" t="str">
            <v>6125</v>
          </cell>
          <cell r="F2825" t="str">
            <v>C1</v>
          </cell>
          <cell r="G2825" t="str">
            <v>SP</v>
          </cell>
          <cell r="H2825" t="str">
            <v>DISTRIBUIÇÃO</v>
          </cell>
          <cell r="I2825" t="str">
            <v>FOOD SERVICE</v>
          </cell>
          <cell r="J2825" t="str">
            <v>VAGO SP</v>
          </cell>
          <cell r="K2825" t="str">
            <v>ITAMBÉ</v>
          </cell>
          <cell r="L2825" t="str">
            <v>RODRIGO</v>
          </cell>
          <cell r="M2825" t="str">
            <v>RAQUEL BARBOSA</v>
          </cell>
        </row>
        <row r="2826">
          <cell r="B2826">
            <v>5361875</v>
          </cell>
          <cell r="C2826" t="str">
            <v>ATRIO HOTEIS SA</v>
          </cell>
          <cell r="D2826" t="str">
            <v>7001</v>
          </cell>
          <cell r="E2826" t="str">
            <v>0749</v>
          </cell>
          <cell r="F2826" t="str">
            <v>C5</v>
          </cell>
          <cell r="G2826" t="str">
            <v>SP</v>
          </cell>
          <cell r="H2826" t="str">
            <v>DISTRIBUIÇÃO</v>
          </cell>
          <cell r="I2826" t="str">
            <v>FOOD SERVICE</v>
          </cell>
          <cell r="J2826" t="str">
            <v>FLAC 3</v>
          </cell>
          <cell r="K2826" t="str">
            <v>LACTALIS</v>
          </cell>
          <cell r="L2826" t="str">
            <v>RODRIGO</v>
          </cell>
          <cell r="M2826" t="str">
            <v>RAQUEL BARBOSA</v>
          </cell>
        </row>
        <row r="2827">
          <cell r="B2827">
            <v>5362255</v>
          </cell>
          <cell r="C2827" t="str">
            <v>SPUMEL SORVETERIA LTDA</v>
          </cell>
          <cell r="D2827" t="str">
            <v>3001</v>
          </cell>
          <cell r="E2827" t="str">
            <v>0028</v>
          </cell>
          <cell r="F2827" t="str">
            <v>C1</v>
          </cell>
          <cell r="G2827" t="str">
            <v>MG</v>
          </cell>
          <cell r="H2827" t="str">
            <v>INGREDIENTS</v>
          </cell>
          <cell r="I2827" t="str">
            <v>INGREDIENTS</v>
          </cell>
          <cell r="J2827" t="str">
            <v>TATIANA NITTA</v>
          </cell>
          <cell r="K2827" t="str">
            <v>ITAMBÉ</v>
          </cell>
          <cell r="L2827" t="str">
            <v>MAURICIO</v>
          </cell>
          <cell r="M2827" t="str">
            <v>TATIANA NITTA</v>
          </cell>
        </row>
        <row r="2828">
          <cell r="B2828">
            <v>5173852</v>
          </cell>
          <cell r="C2828" t="str">
            <v>REDE EXATA SUPERMERCADOS LTDA</v>
          </cell>
          <cell r="D2828" t="str">
            <v>6001</v>
          </cell>
          <cell r="E2828" t="str">
            <v>6127</v>
          </cell>
          <cell r="F2828" t="str">
            <v>C1</v>
          </cell>
          <cell r="G2828" t="str">
            <v>CE</v>
          </cell>
          <cell r="H2828" t="str">
            <v>DISTRIBUIÇÃO</v>
          </cell>
          <cell r="I2828" t="str">
            <v>FOOD SERVICE</v>
          </cell>
          <cell r="J2828" t="str">
            <v>WH FOOD SERVICE CE</v>
          </cell>
          <cell r="K2828" t="str">
            <v>ITAMBÉ</v>
          </cell>
          <cell r="L2828" t="str">
            <v>RODRIGO</v>
          </cell>
          <cell r="M2828" t="str">
            <v>MARIA LOURDES</v>
          </cell>
        </row>
        <row r="2829">
          <cell r="B2829">
            <v>5357700</v>
          </cell>
          <cell r="C2829" t="str">
            <v>NOVA ERA COMERCIAL DE ALIMEN LT</v>
          </cell>
          <cell r="D2829" t="str">
            <v>7001</v>
          </cell>
          <cell r="E2829" t="str">
            <v>0558</v>
          </cell>
          <cell r="F2829" t="str">
            <v>C5</v>
          </cell>
          <cell r="G2829" t="str">
            <v>BA</v>
          </cell>
          <cell r="H2829" t="str">
            <v>DISTRIBUIÇÃO</v>
          </cell>
          <cell r="I2829" t="str">
            <v>FOOD SERVICE</v>
          </cell>
          <cell r="J2829" t="str">
            <v>CLAUDIO JORGE</v>
          </cell>
          <cell r="K2829" t="str">
            <v>LACTALIS</v>
          </cell>
          <cell r="L2829" t="str">
            <v>RODRIGO</v>
          </cell>
          <cell r="M2829" t="str">
            <v>MARIA LOURDES</v>
          </cell>
        </row>
        <row r="2830">
          <cell r="B2830">
            <v>5362248</v>
          </cell>
          <cell r="C2830" t="str">
            <v>33152550 ALINE DOS SANTOS SCHAM</v>
          </cell>
          <cell r="D2830" t="str">
            <v>7001</v>
          </cell>
          <cell r="E2830" t="str">
            <v>0749</v>
          </cell>
          <cell r="F2830" t="str">
            <v>C5</v>
          </cell>
          <cell r="G2830" t="str">
            <v>SP</v>
          </cell>
          <cell r="H2830" t="str">
            <v>DISTRIBUIÇÃO</v>
          </cell>
          <cell r="I2830" t="str">
            <v>FOOD SERVICE</v>
          </cell>
          <cell r="J2830" t="str">
            <v>FLAC 10</v>
          </cell>
          <cell r="K2830" t="str">
            <v>LACTALIS</v>
          </cell>
          <cell r="L2830" t="str">
            <v>RODRIGO</v>
          </cell>
          <cell r="M2830" t="str">
            <v>RAQUEL BARBOSA</v>
          </cell>
        </row>
        <row r="2831">
          <cell r="B2831">
            <v>5027623</v>
          </cell>
          <cell r="C2831" t="str">
            <v>H E A COM DE PRODUTOS LTDA</v>
          </cell>
          <cell r="D2831">
            <v>6001</v>
          </cell>
          <cell r="E2831">
            <v>6028</v>
          </cell>
          <cell r="F2831" t="str">
            <v>C1</v>
          </cell>
          <cell r="G2831" t="str">
            <v>ES</v>
          </cell>
          <cell r="H2831" t="str">
            <v>INGREDIENTS</v>
          </cell>
          <cell r="I2831" t="str">
            <v>INGREDIENTS</v>
          </cell>
          <cell r="J2831" t="str">
            <v>DUAS RODAS</v>
          </cell>
          <cell r="K2831" t="str">
            <v>ITAMBÉ</v>
          </cell>
          <cell r="L2831" t="str">
            <v>MAURICIO</v>
          </cell>
          <cell r="M2831" t="str">
            <v>TATIANA NITTA</v>
          </cell>
        </row>
        <row r="2832">
          <cell r="B2832">
            <v>5142874</v>
          </cell>
          <cell r="C2832" t="str">
            <v>REDE INTEGRADA COM DE PROD ALIM LTD</v>
          </cell>
          <cell r="D2832" t="str">
            <v>6001</v>
          </cell>
          <cell r="E2832" t="str">
            <v>6127</v>
          </cell>
          <cell r="F2832" t="str">
            <v>C1</v>
          </cell>
          <cell r="G2832" t="str">
            <v>CE</v>
          </cell>
          <cell r="H2832" t="str">
            <v>DISTRIBUIÇÃO</v>
          </cell>
          <cell r="I2832" t="str">
            <v>FOOD SERVICE</v>
          </cell>
          <cell r="J2832" t="str">
            <v>WH FOOD SERVICE CE</v>
          </cell>
          <cell r="K2832" t="str">
            <v>ITAMBÉ</v>
          </cell>
          <cell r="L2832" t="str">
            <v>RODRIGO</v>
          </cell>
          <cell r="M2832" t="str">
            <v>MARIA LOURDES</v>
          </cell>
        </row>
        <row r="2833">
          <cell r="B2833">
            <v>5232803</v>
          </cell>
          <cell r="C2833" t="str">
            <v>L GONZAGA MIX AMBIENTAL</v>
          </cell>
          <cell r="D2833" t="str">
            <v>6001</v>
          </cell>
          <cell r="E2833" t="str">
            <v>6028</v>
          </cell>
          <cell r="F2833" t="str">
            <v>C1</v>
          </cell>
          <cell r="G2833" t="str">
            <v>SP</v>
          </cell>
          <cell r="H2833" t="str">
            <v>INGREDIENTS</v>
          </cell>
          <cell r="I2833" t="str">
            <v>INGREDIENTS</v>
          </cell>
          <cell r="J2833" t="str">
            <v>HENRIQUE FERREIRA</v>
          </cell>
          <cell r="K2833" t="str">
            <v>ITAMBÉ</v>
          </cell>
          <cell r="L2833" t="str">
            <v>MAURICIO</v>
          </cell>
          <cell r="M2833" t="str">
            <v>JOEL</v>
          </cell>
        </row>
        <row r="2834">
          <cell r="B2834">
            <v>5318526</v>
          </cell>
          <cell r="C2834" t="str">
            <v>SUNNY INTERNATIONAL FOOD COMERCIO A</v>
          </cell>
          <cell r="D2834">
            <v>3001</v>
          </cell>
          <cell r="E2834" t="str">
            <v>0028</v>
          </cell>
          <cell r="F2834" t="str">
            <v>C1</v>
          </cell>
          <cell r="G2834" t="str">
            <v>SC</v>
          </cell>
          <cell r="H2834" t="str">
            <v>INGREDIENTS</v>
          </cell>
          <cell r="I2834" t="str">
            <v>INGREDIENTS</v>
          </cell>
          <cell r="J2834" t="str">
            <v>TATIANA NITTA</v>
          </cell>
          <cell r="K2834" t="str">
            <v>ITAMBÉ</v>
          </cell>
          <cell r="L2834" t="str">
            <v>MAURICIO</v>
          </cell>
          <cell r="M2834" t="str">
            <v>TATIANA NITTA</v>
          </cell>
        </row>
        <row r="2835">
          <cell r="B2835">
            <v>5271259</v>
          </cell>
          <cell r="C2835" t="str">
            <v>A BRANDI POUSADA LTDALI</v>
          </cell>
          <cell r="D2835" t="str">
            <v>7001</v>
          </cell>
          <cell r="E2835" t="str">
            <v>0749</v>
          </cell>
          <cell r="F2835" t="str">
            <v>C5</v>
          </cell>
          <cell r="G2835" t="str">
            <v>SP</v>
          </cell>
          <cell r="H2835" t="str">
            <v>DISTRIBUIÇÃO</v>
          </cell>
          <cell r="I2835" t="str">
            <v>FOOD SERVICE</v>
          </cell>
          <cell r="J2835" t="str">
            <v>FLAC 10</v>
          </cell>
          <cell r="K2835" t="str">
            <v>LACTALIS</v>
          </cell>
          <cell r="L2835" t="str">
            <v>RODRIGO</v>
          </cell>
          <cell r="M2835" t="str">
            <v>RAQUEL BARBOSA</v>
          </cell>
        </row>
        <row r="2836">
          <cell r="B2836">
            <v>5355546</v>
          </cell>
          <cell r="C2836" t="str">
            <v>ATACADAO NORTE MIX LTDA</v>
          </cell>
          <cell r="D2836" t="str">
            <v>3001</v>
          </cell>
          <cell r="E2836" t="str">
            <v>0028</v>
          </cell>
          <cell r="F2836" t="str">
            <v>C1</v>
          </cell>
          <cell r="G2836" t="str">
            <v>AM</v>
          </cell>
          <cell r="H2836" t="str">
            <v>INGREDIENTS</v>
          </cell>
          <cell r="I2836" t="str">
            <v>INGREDIENTS</v>
          </cell>
          <cell r="J2836" t="str">
            <v>AM ITB FS I DA SILVA SANTOS</v>
          </cell>
          <cell r="K2836" t="str">
            <v>ITAMBÉ</v>
          </cell>
          <cell r="L2836" t="str">
            <v>MAURICIO</v>
          </cell>
          <cell r="M2836" t="str">
            <v>JOEL</v>
          </cell>
        </row>
        <row r="2837">
          <cell r="B2837">
            <v>5362145</v>
          </cell>
          <cell r="C2837" t="str">
            <v>MARIA ELENI MOCIM MONDINI LTDA</v>
          </cell>
          <cell r="D2837" t="str">
            <v>7001</v>
          </cell>
          <cell r="E2837" t="str">
            <v>0749</v>
          </cell>
          <cell r="F2837" t="str">
            <v>C5</v>
          </cell>
          <cell r="G2837" t="str">
            <v>SP</v>
          </cell>
          <cell r="H2837" t="str">
            <v>DISTRIBUIÇÃO</v>
          </cell>
          <cell r="I2837" t="str">
            <v>FOOD SERVICE</v>
          </cell>
          <cell r="J2837" t="str">
            <v>FLAC 2</v>
          </cell>
          <cell r="K2837" t="str">
            <v>LACTALIS</v>
          </cell>
          <cell r="L2837" t="str">
            <v>RODRIGO</v>
          </cell>
          <cell r="M2837" t="str">
            <v>RAQUEL BARBOSA</v>
          </cell>
        </row>
        <row r="2838">
          <cell r="B2838">
            <v>5233736</v>
          </cell>
          <cell r="C2838" t="str">
            <v>ARGELIO ADELINO FARIA LTDA</v>
          </cell>
          <cell r="D2838" t="str">
            <v>4001</v>
          </cell>
          <cell r="E2838" t="str">
            <v>0458</v>
          </cell>
          <cell r="F2838" t="str">
            <v>C1</v>
          </cell>
          <cell r="G2838" t="str">
            <v>MG</v>
          </cell>
          <cell r="H2838" t="str">
            <v>INGREDIENTS</v>
          </cell>
          <cell r="I2838" t="str">
            <v>INGREDIENTS</v>
          </cell>
          <cell r="J2838" t="str">
            <v>JOEL ELEOTÉRIO</v>
          </cell>
          <cell r="K2838" t="str">
            <v>LACTALIS</v>
          </cell>
          <cell r="L2838" t="str">
            <v>MAURICIO</v>
          </cell>
          <cell r="M2838" t="str">
            <v>JOEL</v>
          </cell>
        </row>
        <row r="2839">
          <cell r="B2839">
            <v>5341743</v>
          </cell>
          <cell r="C2839" t="str">
            <v>MAURO SIQUEIRA DE MOURA JUNIOR</v>
          </cell>
          <cell r="D2839" t="str">
            <v>3001</v>
          </cell>
          <cell r="E2839" t="str">
            <v>0028</v>
          </cell>
          <cell r="F2839" t="str">
            <v>C1</v>
          </cell>
          <cell r="G2839" t="str">
            <v>SP</v>
          </cell>
          <cell r="H2839" t="str">
            <v>INGREDIENTS</v>
          </cell>
          <cell r="I2839" t="str">
            <v>INGREDIENTS</v>
          </cell>
          <cell r="J2839" t="str">
            <v>JOEL ELEOTÉRIO</v>
          </cell>
          <cell r="K2839" t="str">
            <v>ITAMBÉ</v>
          </cell>
          <cell r="L2839" t="str">
            <v>MAURICIO</v>
          </cell>
          <cell r="M2839" t="str">
            <v>JOEL</v>
          </cell>
        </row>
        <row r="2840">
          <cell r="B2840">
            <v>5181766</v>
          </cell>
          <cell r="C2840" t="str">
            <v>BRASIL NUTRI AMBIENTAL LTDA</v>
          </cell>
          <cell r="D2840" t="str">
            <v>7001</v>
          </cell>
          <cell r="E2840" t="str">
            <v>0550</v>
          </cell>
          <cell r="F2840" t="str">
            <v>C1</v>
          </cell>
          <cell r="G2840" t="str">
            <v>BA</v>
          </cell>
          <cell r="H2840" t="str">
            <v>INGREDIENTS</v>
          </cell>
          <cell r="I2840" t="str">
            <v>INGREDIENTS</v>
          </cell>
          <cell r="J2840" t="str">
            <v>HENRIQUE FERREIRA</v>
          </cell>
          <cell r="K2840" t="str">
            <v>LACTALIS</v>
          </cell>
          <cell r="L2840" t="str">
            <v>MAURICIO</v>
          </cell>
          <cell r="M2840" t="str">
            <v>JOEL</v>
          </cell>
        </row>
        <row r="2841">
          <cell r="B2841">
            <v>5324442</v>
          </cell>
          <cell r="C2841" t="str">
            <v>MAIROCA ALIMENTACAO LTDA</v>
          </cell>
          <cell r="D2841" t="str">
            <v>6001</v>
          </cell>
          <cell r="E2841" t="str">
            <v>6127</v>
          </cell>
          <cell r="F2841" t="str">
            <v>C1</v>
          </cell>
          <cell r="G2841" t="str">
            <v>BA</v>
          </cell>
          <cell r="H2841" t="str">
            <v>DISTRIBUIÇÃO</v>
          </cell>
          <cell r="I2841" t="str">
            <v>FOOD SERVICE</v>
          </cell>
          <cell r="J2841" t="str">
            <v>CLAUDIO JORGE/LUIZ</v>
          </cell>
          <cell r="K2841" t="str">
            <v>ITAMBÉ</v>
          </cell>
          <cell r="L2841" t="str">
            <v>RODRIGO</v>
          </cell>
          <cell r="M2841" t="str">
            <v>MARIA LOURDES</v>
          </cell>
        </row>
        <row r="2842">
          <cell r="B2842">
            <v>5331503</v>
          </cell>
          <cell r="C2842" t="str">
            <v>HELIOS REFEICOES LTDA</v>
          </cell>
          <cell r="D2842" t="str">
            <v>7001</v>
          </cell>
          <cell r="E2842" t="str">
            <v>0749</v>
          </cell>
          <cell r="F2842" t="str">
            <v>C5</v>
          </cell>
          <cell r="G2842" t="str">
            <v>SP</v>
          </cell>
          <cell r="H2842" t="str">
            <v>DISTRIBUIÇÃO</v>
          </cell>
          <cell r="I2842" t="str">
            <v>FOOD SERVICE</v>
          </cell>
          <cell r="J2842" t="str">
            <v>FLAC 10</v>
          </cell>
          <cell r="K2842" t="str">
            <v>LACTALIS</v>
          </cell>
          <cell r="L2842" t="str">
            <v>RODRIGO</v>
          </cell>
          <cell r="M2842" t="str">
            <v>RAQUEL BARBOSA</v>
          </cell>
        </row>
        <row r="2843">
          <cell r="B2843">
            <v>5357324</v>
          </cell>
          <cell r="C2843" t="str">
            <v>OESA COMERCIO E REPRESENTACOES S A</v>
          </cell>
          <cell r="D2843" t="str">
            <v>6001</v>
          </cell>
          <cell r="E2843" t="str">
            <v>6123</v>
          </cell>
          <cell r="F2843" t="str">
            <v>C1</v>
          </cell>
          <cell r="G2843" t="str">
            <v>MT</v>
          </cell>
          <cell r="H2843" t="str">
            <v>DISTRIBUIÇÃO</v>
          </cell>
          <cell r="I2843" t="str">
            <v>FOOD SERVICE</v>
          </cell>
          <cell r="J2843" t="str">
            <v>CLAUDIO JORGE</v>
          </cell>
          <cell r="K2843" t="str">
            <v>ITAMBÉ</v>
          </cell>
          <cell r="L2843" t="str">
            <v>RODRIGO</v>
          </cell>
          <cell r="M2843" t="str">
            <v>MARCO AURELIO</v>
          </cell>
        </row>
        <row r="2844">
          <cell r="B2844">
            <v>5361575</v>
          </cell>
          <cell r="C2844" t="str">
            <v>CAMILLOZZI DISTRIBUIÇÃO</v>
          </cell>
          <cell r="D2844" t="str">
            <v>3001</v>
          </cell>
          <cell r="E2844" t="str">
            <v>0122</v>
          </cell>
          <cell r="F2844" t="str">
            <v>C1</v>
          </cell>
          <cell r="G2844" t="str">
            <v>MG</v>
          </cell>
          <cell r="H2844" t="str">
            <v>DISTRIBUIÇÃO</v>
          </cell>
          <cell r="I2844" t="str">
            <v>FOOD SERVICE</v>
          </cell>
          <cell r="J2844" t="str">
            <v>MARCELO SILVA</v>
          </cell>
          <cell r="K2844" t="str">
            <v>ITAMBÉ</v>
          </cell>
          <cell r="L2844" t="str">
            <v>RODRIGO</v>
          </cell>
          <cell r="M2844" t="str">
            <v>CELIO MARTINS</v>
          </cell>
        </row>
        <row r="2845">
          <cell r="B2845">
            <v>5324082</v>
          </cell>
          <cell r="C2845" t="str">
            <v>HOTEL VILLAGIO EMBU LTDA</v>
          </cell>
          <cell r="D2845" t="str">
            <v>7001</v>
          </cell>
          <cell r="E2845" t="str">
            <v>0749</v>
          </cell>
          <cell r="F2845" t="str">
            <v>C5</v>
          </cell>
          <cell r="G2845" t="str">
            <v>SP</v>
          </cell>
          <cell r="H2845" t="str">
            <v>DISTRIBUIÇÃO</v>
          </cell>
          <cell r="I2845" t="str">
            <v>FOOD SERVICE</v>
          </cell>
          <cell r="J2845" t="str">
            <v>FLAC 4</v>
          </cell>
          <cell r="K2845" t="str">
            <v>LACTALIS</v>
          </cell>
          <cell r="L2845" t="str">
            <v>RODRIGO</v>
          </cell>
          <cell r="M2845" t="str">
            <v>RAQUEL BARBOSA</v>
          </cell>
        </row>
        <row r="2846">
          <cell r="B2846">
            <v>5361484</v>
          </cell>
          <cell r="C2846" t="str">
            <v>SD BOLOS E DOCES LTDA</v>
          </cell>
          <cell r="D2846" t="str">
            <v>7001</v>
          </cell>
          <cell r="E2846" t="str">
            <v>0749</v>
          </cell>
          <cell r="F2846" t="str">
            <v>C5</v>
          </cell>
          <cell r="G2846" t="str">
            <v>SP</v>
          </cell>
          <cell r="H2846" t="str">
            <v>DISTRIBUIÇÃO</v>
          </cell>
          <cell r="I2846" t="str">
            <v>FOOD SERVICE</v>
          </cell>
          <cell r="J2846" t="str">
            <v>FLAC 4</v>
          </cell>
          <cell r="K2846" t="str">
            <v>LACTALIS</v>
          </cell>
          <cell r="L2846" t="str">
            <v>RODRIGO</v>
          </cell>
          <cell r="M2846" t="str">
            <v>RAQUEL BARBOSA</v>
          </cell>
        </row>
        <row r="2847">
          <cell r="B2847">
            <v>5183340</v>
          </cell>
          <cell r="C2847" t="str">
            <v>CASA DA OMA IND E COM DE ALIM LTDA</v>
          </cell>
          <cell r="D2847" t="str">
            <v>3001</v>
          </cell>
          <cell r="E2847" t="str">
            <v>0126</v>
          </cell>
          <cell r="F2847" t="str">
            <v>C1</v>
          </cell>
          <cell r="G2847" t="str">
            <v>SC</v>
          </cell>
          <cell r="H2847" t="str">
            <v>INGREDIENTS</v>
          </cell>
          <cell r="I2847" t="str">
            <v>INGREDIENTS</v>
          </cell>
          <cell r="J2847" t="str">
            <v>MARCELO RODRIGUES</v>
          </cell>
          <cell r="K2847" t="str">
            <v>ITAMBÉ</v>
          </cell>
          <cell r="L2847" t="str">
            <v>MAURICIO</v>
          </cell>
          <cell r="M2847" t="str">
            <v>MARCELO</v>
          </cell>
        </row>
        <row r="2848">
          <cell r="B2848">
            <v>5338667</v>
          </cell>
          <cell r="C2848" t="str">
            <v>IBAE IND BRASILEIRA DE ALI ESP</v>
          </cell>
          <cell r="D2848" t="str">
            <v>6001</v>
          </cell>
          <cell r="E2848" t="str">
            <v>0028</v>
          </cell>
          <cell r="F2848" t="str">
            <v>C1</v>
          </cell>
          <cell r="G2848" t="str">
            <v>ES</v>
          </cell>
          <cell r="H2848" t="str">
            <v>INGREDIENTS</v>
          </cell>
          <cell r="I2848" t="str">
            <v>INGREDIENTS</v>
          </cell>
          <cell r="J2848" t="str">
            <v>TATIANA NITTA</v>
          </cell>
          <cell r="K2848" t="str">
            <v>ITAMBÉ</v>
          </cell>
          <cell r="L2848" t="str">
            <v>MAURICIO</v>
          </cell>
          <cell r="M2848" t="str">
            <v>TATIANA NITTA</v>
          </cell>
        </row>
        <row r="2849">
          <cell r="B2849">
            <v>5220504</v>
          </cell>
          <cell r="C2849" t="str">
            <v>BONATTI IND E COM DE SORVETES LTDA</v>
          </cell>
          <cell r="D2849" t="str">
            <v>3001</v>
          </cell>
          <cell r="E2849" t="str">
            <v>0126</v>
          </cell>
          <cell r="F2849" t="str">
            <v>C1</v>
          </cell>
          <cell r="G2849" t="str">
            <v>SC</v>
          </cell>
          <cell r="H2849" t="str">
            <v>QSR</v>
          </cell>
          <cell r="I2849" t="str">
            <v>FOOD SERVICE</v>
          </cell>
          <cell r="J2849" t="str">
            <v>NUTRI</v>
          </cell>
          <cell r="K2849" t="str">
            <v>ITAMBÉ</v>
          </cell>
          <cell r="L2849" t="str">
            <v>PEDRO</v>
          </cell>
          <cell r="M2849" t="str">
            <v>VAGO QSR</v>
          </cell>
        </row>
        <row r="2850">
          <cell r="B2850">
            <v>5234752</v>
          </cell>
          <cell r="C2850" t="str">
            <v>DAMAY CAFE E CONFEITARIA LTDA</v>
          </cell>
          <cell r="D2850" t="str">
            <v>3001</v>
          </cell>
          <cell r="E2850" t="str">
            <v>0028</v>
          </cell>
          <cell r="F2850" t="str">
            <v>C1</v>
          </cell>
          <cell r="G2850" t="str">
            <v>SC</v>
          </cell>
          <cell r="H2850" t="str">
            <v>INGREDIENTS</v>
          </cell>
          <cell r="I2850" t="str">
            <v>INGREDIENTS</v>
          </cell>
          <cell r="J2850" t="str">
            <v>HENRIQUE FERREIRA</v>
          </cell>
          <cell r="K2850" t="str">
            <v>ITAMBÉ</v>
          </cell>
          <cell r="L2850" t="str">
            <v>MAURICIO</v>
          </cell>
          <cell r="M2850" t="str">
            <v>JOEL</v>
          </cell>
        </row>
        <row r="2851">
          <cell r="B2851">
            <v>5362684</v>
          </cell>
          <cell r="C2851" t="str">
            <v>JOSE ZITO DA SILVEIRA CONVENIEN</v>
          </cell>
          <cell r="D2851" t="str">
            <v>7001</v>
          </cell>
          <cell r="E2851" t="str">
            <v>0749</v>
          </cell>
          <cell r="F2851" t="str">
            <v>C5</v>
          </cell>
          <cell r="G2851" t="str">
            <v>SP</v>
          </cell>
          <cell r="H2851" t="str">
            <v>DISTRIBUIÇÃO</v>
          </cell>
          <cell r="I2851" t="str">
            <v>FOOD SERVICE</v>
          </cell>
          <cell r="J2851" t="str">
            <v>FLAC 10</v>
          </cell>
          <cell r="K2851" t="str">
            <v>LACTALIS</v>
          </cell>
          <cell r="L2851" t="str">
            <v>RODRIGO</v>
          </cell>
          <cell r="M2851" t="str">
            <v>RAQUEL BARBOSA</v>
          </cell>
        </row>
        <row r="2852">
          <cell r="B2852">
            <v>5347103</v>
          </cell>
          <cell r="C2852" t="str">
            <v>DUBALY INDUSTRIA E COMERCIO</v>
          </cell>
          <cell r="D2852" t="str">
            <v>3001</v>
          </cell>
          <cell r="E2852" t="str">
            <v>0122</v>
          </cell>
          <cell r="F2852" t="str">
            <v>C1</v>
          </cell>
          <cell r="G2852" t="str">
            <v>MG</v>
          </cell>
          <cell r="H2852" t="str">
            <v>INGREDIENTS</v>
          </cell>
          <cell r="I2852" t="str">
            <v>INGREDIENTS</v>
          </cell>
          <cell r="J2852" t="str">
            <v>MARCELO RODRIGUES</v>
          </cell>
          <cell r="K2852" t="str">
            <v>ITAMBÉ</v>
          </cell>
          <cell r="L2852" t="str">
            <v>MAURICIO</v>
          </cell>
          <cell r="M2852" t="str">
            <v>MARCELO</v>
          </cell>
        </row>
        <row r="2853">
          <cell r="B2853">
            <v>5359916</v>
          </cell>
          <cell r="C2853" t="str">
            <v>JANETI PIZZATO BARNABE COM E SE</v>
          </cell>
          <cell r="D2853" t="str">
            <v>7001</v>
          </cell>
          <cell r="E2853" t="str">
            <v>0749</v>
          </cell>
          <cell r="F2853" t="str">
            <v>C5</v>
          </cell>
          <cell r="G2853" t="str">
            <v>SP</v>
          </cell>
          <cell r="H2853" t="str">
            <v>DISTRIBUIÇÃO</v>
          </cell>
          <cell r="I2853" t="str">
            <v>FOOD SERVICE</v>
          </cell>
          <cell r="J2853" t="str">
            <v>FLAC 3</v>
          </cell>
          <cell r="K2853" t="str">
            <v>LACTALIS</v>
          </cell>
          <cell r="L2853" t="str">
            <v>RODRIGO</v>
          </cell>
          <cell r="M2853" t="str">
            <v>RAQUEL BARBOSA</v>
          </cell>
        </row>
        <row r="2854">
          <cell r="B2854">
            <v>5359917</v>
          </cell>
          <cell r="C2854" t="str">
            <v>CORTESIA SERVICOS DE CONCRETAGE</v>
          </cell>
          <cell r="D2854" t="str">
            <v>7001</v>
          </cell>
          <cell r="E2854" t="str">
            <v>0749</v>
          </cell>
          <cell r="F2854" t="str">
            <v>C5</v>
          </cell>
          <cell r="G2854" t="str">
            <v>SP</v>
          </cell>
          <cell r="H2854" t="str">
            <v>DISTRIBUIÇÃO</v>
          </cell>
          <cell r="I2854" t="str">
            <v>FOOD SERVICE</v>
          </cell>
          <cell r="J2854" t="str">
            <v>FLAC 3</v>
          </cell>
          <cell r="K2854" t="str">
            <v>LACTALIS</v>
          </cell>
          <cell r="L2854" t="str">
            <v>RODRIGO</v>
          </cell>
          <cell r="M2854" t="str">
            <v>RAQUEL BARBOSA</v>
          </cell>
        </row>
        <row r="2855">
          <cell r="B2855">
            <v>5359924</v>
          </cell>
          <cell r="C2855" t="str">
            <v>CORTESIA SERVICOS DE CONCRETAGE</v>
          </cell>
          <cell r="D2855" t="str">
            <v>7001</v>
          </cell>
          <cell r="E2855" t="str">
            <v>0749</v>
          </cell>
          <cell r="F2855" t="str">
            <v>C5</v>
          </cell>
          <cell r="G2855" t="str">
            <v>SP</v>
          </cell>
          <cell r="H2855" t="str">
            <v>DISTRIBUIÇÃO</v>
          </cell>
          <cell r="I2855" t="str">
            <v>FOOD SERVICE</v>
          </cell>
          <cell r="J2855" t="str">
            <v>FLAC 4</v>
          </cell>
          <cell r="K2855" t="str">
            <v>LACTALIS</v>
          </cell>
          <cell r="L2855" t="str">
            <v>RODRIGO</v>
          </cell>
          <cell r="M2855" t="str">
            <v>RAQUEL BARBOSA</v>
          </cell>
        </row>
        <row r="2856">
          <cell r="B2856">
            <v>5362010</v>
          </cell>
          <cell r="C2856" t="str">
            <v>RESTAURANTE E PIZZARIA BERLIM L</v>
          </cell>
          <cell r="D2856" t="str">
            <v>7001</v>
          </cell>
          <cell r="E2856" t="str">
            <v>0749</v>
          </cell>
          <cell r="F2856" t="str">
            <v>C5</v>
          </cell>
          <cell r="G2856" t="str">
            <v>SP</v>
          </cell>
          <cell r="H2856" t="str">
            <v>DISTRIBUIÇÃO</v>
          </cell>
          <cell r="I2856" t="str">
            <v>FOOD SERVICE</v>
          </cell>
          <cell r="J2856" t="str">
            <v>FLAC 4</v>
          </cell>
          <cell r="K2856" t="str">
            <v>LACTALIS</v>
          </cell>
          <cell r="L2856" t="str">
            <v>RODRIGO</v>
          </cell>
          <cell r="M2856" t="str">
            <v>RAQUEL BARBOSA</v>
          </cell>
        </row>
        <row r="2857">
          <cell r="B2857">
            <v>5362800</v>
          </cell>
          <cell r="C2857" t="str">
            <v>VAM REFEICOES E EVENTOS LTDA</v>
          </cell>
          <cell r="D2857" t="str">
            <v>7001</v>
          </cell>
          <cell r="E2857" t="str">
            <v>0749</v>
          </cell>
          <cell r="F2857" t="str">
            <v>C5</v>
          </cell>
          <cell r="G2857" t="str">
            <v>SP</v>
          </cell>
          <cell r="H2857" t="str">
            <v>DISTRIBUIÇÃO</v>
          </cell>
          <cell r="I2857" t="str">
            <v>FOOD SERVICE</v>
          </cell>
          <cell r="J2857" t="str">
            <v>FLAC 10</v>
          </cell>
          <cell r="K2857" t="str">
            <v>LACTALIS</v>
          </cell>
          <cell r="L2857" t="str">
            <v>RODRIGO</v>
          </cell>
          <cell r="M2857" t="str">
            <v>RAQUEL BARBOSA</v>
          </cell>
        </row>
        <row r="2858">
          <cell r="B2858">
            <v>5349218</v>
          </cell>
          <cell r="C2858" t="str">
            <v>ANNA E DALVA PRODUTOS ALIMENTICIOS</v>
          </cell>
          <cell r="D2858" t="str">
            <v>7001</v>
          </cell>
          <cell r="E2858" t="str">
            <v>0749</v>
          </cell>
          <cell r="F2858" t="str">
            <v>C5</v>
          </cell>
          <cell r="G2858" t="str">
            <v>SP</v>
          </cell>
          <cell r="H2858" t="str">
            <v>DISTRIBUIÇÃO</v>
          </cell>
          <cell r="I2858" t="str">
            <v>FOOD SERVICE</v>
          </cell>
          <cell r="J2858" t="str">
            <v>FLAC 2</v>
          </cell>
          <cell r="K2858" t="str">
            <v>LACTALIS</v>
          </cell>
          <cell r="L2858" t="str">
            <v>RODRIGO</v>
          </cell>
          <cell r="M2858" t="str">
            <v>RAQUEL BARBOSA</v>
          </cell>
        </row>
        <row r="2859">
          <cell r="B2859">
            <v>5045012</v>
          </cell>
          <cell r="C2859" t="str">
            <v>BEBIDAS NOVA ENGENHOCA EILERI</v>
          </cell>
          <cell r="D2859" t="str">
            <v>6001</v>
          </cell>
          <cell r="E2859" t="str">
            <v>6028</v>
          </cell>
          <cell r="F2859" t="str">
            <v>C1</v>
          </cell>
          <cell r="G2859" t="str">
            <v>SP</v>
          </cell>
          <cell r="H2859" t="str">
            <v>INGREDIENTS</v>
          </cell>
          <cell r="I2859" t="str">
            <v>INGREDIENTS</v>
          </cell>
          <cell r="J2859" t="str">
            <v>TATIANA NITTA</v>
          </cell>
          <cell r="K2859" t="str">
            <v>ITAMBÉ</v>
          </cell>
          <cell r="L2859" t="str">
            <v>MAURICIO</v>
          </cell>
          <cell r="M2859" t="str">
            <v>TATIANA NITTA</v>
          </cell>
        </row>
        <row r="2860">
          <cell r="B2860">
            <v>5363035</v>
          </cell>
          <cell r="C2860" t="str">
            <v>SCARABEUS OPERACOES GASTRONOMIC</v>
          </cell>
          <cell r="D2860" t="str">
            <v>7001</v>
          </cell>
          <cell r="E2860" t="str">
            <v>0749</v>
          </cell>
          <cell r="F2860" t="str">
            <v>C5</v>
          </cell>
          <cell r="G2860" t="str">
            <v>SP</v>
          </cell>
          <cell r="H2860" t="str">
            <v>DISTRIBUIÇÃO</v>
          </cell>
          <cell r="I2860" t="str">
            <v>FOOD SERVICE</v>
          </cell>
          <cell r="J2860" t="str">
            <v>FLAC 6</v>
          </cell>
          <cell r="K2860" t="str">
            <v>LACTALIS</v>
          </cell>
          <cell r="L2860" t="str">
            <v>RODRIGO</v>
          </cell>
          <cell r="M2860" t="str">
            <v>RAQUEL BARBOSA</v>
          </cell>
        </row>
        <row r="2861">
          <cell r="B2861">
            <v>5194644</v>
          </cell>
          <cell r="C2861" t="str">
            <v>L F S COM E IMP DE ALIM LTDA</v>
          </cell>
          <cell r="D2861" t="str">
            <v>6001</v>
          </cell>
          <cell r="E2861" t="str">
            <v>6127</v>
          </cell>
          <cell r="F2861" t="str">
            <v>C1</v>
          </cell>
          <cell r="G2861" t="str">
            <v>CE</v>
          </cell>
          <cell r="H2861" t="str">
            <v>QSR</v>
          </cell>
          <cell r="I2861" t="str">
            <v>FOOD SERVICE</v>
          </cell>
          <cell r="J2861" t="str">
            <v>NUTRI</v>
          </cell>
          <cell r="K2861" t="str">
            <v>ITAMBÉ</v>
          </cell>
          <cell r="L2861" t="str">
            <v>PEDRO</v>
          </cell>
          <cell r="M2861" t="str">
            <v>VAGO QSR</v>
          </cell>
        </row>
        <row r="2862">
          <cell r="B2862">
            <v>5363061</v>
          </cell>
          <cell r="C2862" t="str">
            <v>FC BOLOS E DOCES LTDA</v>
          </cell>
          <cell r="D2862" t="str">
            <v>7001</v>
          </cell>
          <cell r="E2862" t="str">
            <v>0749</v>
          </cell>
          <cell r="F2862" t="str">
            <v>C5</v>
          </cell>
          <cell r="G2862" t="str">
            <v>SP</v>
          </cell>
          <cell r="H2862" t="str">
            <v>DISTRIBUIÇÃO</v>
          </cell>
          <cell r="I2862" t="str">
            <v>FOOD SERVICE</v>
          </cell>
          <cell r="J2862" t="str">
            <v>FLAC 4</v>
          </cell>
          <cell r="K2862" t="str">
            <v>LACTALIS</v>
          </cell>
          <cell r="L2862" t="str">
            <v>RODRIGO</v>
          </cell>
          <cell r="M2862" t="str">
            <v>RAQUEL BARBOSA</v>
          </cell>
        </row>
        <row r="2863">
          <cell r="B2863">
            <v>5362926</v>
          </cell>
          <cell r="C2863" t="str">
            <v>51978652 NEISILANE RODRIGUES DA</v>
          </cell>
          <cell r="D2863">
            <v>7001</v>
          </cell>
          <cell r="E2863" t="str">
            <v>0749</v>
          </cell>
          <cell r="F2863" t="str">
            <v>C5</v>
          </cell>
          <cell r="G2863" t="str">
            <v>SP</v>
          </cell>
          <cell r="H2863" t="str">
            <v>DISTRIBUIÇÃO</v>
          </cell>
          <cell r="I2863" t="str">
            <v>FOOD SERVICE</v>
          </cell>
          <cell r="J2863" t="str">
            <v>FLAC 2</v>
          </cell>
          <cell r="K2863" t="str">
            <v>LACTALIS</v>
          </cell>
          <cell r="L2863" t="str">
            <v>RODRIGO</v>
          </cell>
          <cell r="M2863" t="str">
            <v>RAQUEL BARBOSA</v>
          </cell>
        </row>
        <row r="2864">
          <cell r="B2864">
            <v>5205744</v>
          </cell>
          <cell r="C2864" t="str">
            <v>RS DISTRIBUIDORA LTDA</v>
          </cell>
          <cell r="D2864" t="str">
            <v>4001</v>
          </cell>
          <cell r="E2864" t="str">
            <v>0455</v>
          </cell>
          <cell r="F2864" t="str">
            <v>C1</v>
          </cell>
          <cell r="G2864" t="str">
            <v>SP</v>
          </cell>
          <cell r="H2864" t="str">
            <v>INGREDIENTS</v>
          </cell>
          <cell r="I2864" t="str">
            <v>INGREDIENTS</v>
          </cell>
          <cell r="J2864" t="str">
            <v>MARCELO RODRIGUES</v>
          </cell>
          <cell r="K2864" t="str">
            <v>LACTALIS</v>
          </cell>
          <cell r="L2864" t="str">
            <v>MAURICIO</v>
          </cell>
          <cell r="M2864" t="str">
            <v>MARCELO</v>
          </cell>
        </row>
        <row r="2865">
          <cell r="B2865">
            <v>5362375</v>
          </cell>
          <cell r="C2865" t="str">
            <v>STANQUINI COMERCIO E SERVICOS L</v>
          </cell>
          <cell r="D2865" t="str">
            <v>7001</v>
          </cell>
          <cell r="E2865" t="str">
            <v>0749</v>
          </cell>
          <cell r="F2865" t="str">
            <v>C5</v>
          </cell>
          <cell r="G2865" t="str">
            <v>SP</v>
          </cell>
          <cell r="H2865" t="str">
            <v>DISTRIBUIÇÃO</v>
          </cell>
          <cell r="I2865" t="str">
            <v>FOOD SERVICE</v>
          </cell>
          <cell r="J2865" t="str">
            <v>FLAC 2</v>
          </cell>
          <cell r="K2865" t="str">
            <v>LACTALIS</v>
          </cell>
          <cell r="L2865" t="str">
            <v>RODRIGO</v>
          </cell>
          <cell r="M2865" t="str">
            <v>RAQUEL BARBOSA</v>
          </cell>
        </row>
        <row r="2866">
          <cell r="B2866">
            <v>5362922</v>
          </cell>
          <cell r="C2866" t="str">
            <v>BENAS PADARIA ARTESANAL LTDA</v>
          </cell>
          <cell r="D2866" t="str">
            <v>7001</v>
          </cell>
          <cell r="E2866" t="str">
            <v>0749</v>
          </cell>
          <cell r="F2866" t="str">
            <v>C5</v>
          </cell>
          <cell r="G2866" t="str">
            <v>SP</v>
          </cell>
          <cell r="H2866" t="str">
            <v>DISTRIBUIÇÃO</v>
          </cell>
          <cell r="I2866" t="str">
            <v>FOOD SERVICE</v>
          </cell>
          <cell r="J2866" t="str">
            <v>FLAC 5</v>
          </cell>
          <cell r="K2866" t="str">
            <v>LACTALIS</v>
          </cell>
          <cell r="L2866" t="str">
            <v>RODRIGO</v>
          </cell>
          <cell r="M2866" t="str">
            <v>RAQUEL BARBOSA</v>
          </cell>
        </row>
        <row r="2867">
          <cell r="B2867">
            <v>5363157</v>
          </cell>
          <cell r="C2867" t="str">
            <v>44589456 JOSE FRANCISCO DE MELO</v>
          </cell>
          <cell r="D2867" t="str">
            <v>6001</v>
          </cell>
          <cell r="E2867" t="str">
            <v>6028</v>
          </cell>
          <cell r="F2867" t="str">
            <v>C1</v>
          </cell>
          <cell r="G2867" t="str">
            <v>SP</v>
          </cell>
          <cell r="H2867" t="str">
            <v>INGREDIENTS</v>
          </cell>
          <cell r="I2867" t="str">
            <v>INGREDIENTS</v>
          </cell>
          <cell r="J2867" t="str">
            <v>SP ITB FS LUIZ PEREIRA</v>
          </cell>
          <cell r="K2867" t="str">
            <v>ITAMBÉ</v>
          </cell>
          <cell r="L2867" t="str">
            <v>MAURICIO</v>
          </cell>
          <cell r="M2867" t="str">
            <v>TATIANA NITTA</v>
          </cell>
        </row>
        <row r="2868">
          <cell r="B2868">
            <v>5363352</v>
          </cell>
          <cell r="C2868" t="str">
            <v>BELLA MARIE BISTRO LTDA</v>
          </cell>
          <cell r="D2868" t="str">
            <v>7001</v>
          </cell>
          <cell r="E2868" t="str">
            <v>0749</v>
          </cell>
          <cell r="F2868" t="str">
            <v>C5</v>
          </cell>
          <cell r="G2868" t="str">
            <v>SP</v>
          </cell>
          <cell r="H2868" t="str">
            <v>DISTRIBUIÇÃO</v>
          </cell>
          <cell r="I2868" t="str">
            <v>FOOD SERVICE</v>
          </cell>
          <cell r="J2868" t="str">
            <v>FLAC 5</v>
          </cell>
          <cell r="K2868" t="str">
            <v>LACTALIS</v>
          </cell>
          <cell r="L2868" t="str">
            <v>RODRIGO</v>
          </cell>
          <cell r="M2868" t="str">
            <v>RAQUEL BARBOSA</v>
          </cell>
        </row>
        <row r="2869">
          <cell r="B2869">
            <v>5359925</v>
          </cell>
          <cell r="C2869" t="str">
            <v>CORTESIA SERVICOS DE CONCRETAGE</v>
          </cell>
          <cell r="D2869" t="str">
            <v>7001</v>
          </cell>
          <cell r="E2869" t="str">
            <v>0749</v>
          </cell>
          <cell r="F2869" t="str">
            <v>C5</v>
          </cell>
          <cell r="G2869" t="str">
            <v>SP</v>
          </cell>
          <cell r="H2869" t="str">
            <v>DISTRIBUIÇÃO</v>
          </cell>
          <cell r="I2869" t="str">
            <v>FOOD SERVICE</v>
          </cell>
          <cell r="J2869" t="str">
            <v>FLAC 4</v>
          </cell>
          <cell r="K2869" t="str">
            <v>LACTALIS</v>
          </cell>
          <cell r="L2869" t="str">
            <v>RODRIGO</v>
          </cell>
          <cell r="M2869" t="str">
            <v>RAQUEL BARBOSA</v>
          </cell>
        </row>
        <row r="2870">
          <cell r="B2870">
            <v>5359926</v>
          </cell>
          <cell r="C2870" t="str">
            <v>MARY LUCI PIZZATO ANGI COM E SE</v>
          </cell>
          <cell r="D2870" t="str">
            <v>7001</v>
          </cell>
          <cell r="E2870" t="str">
            <v>0749</v>
          </cell>
          <cell r="F2870" t="str">
            <v>C5</v>
          </cell>
          <cell r="G2870" t="str">
            <v>SP</v>
          </cell>
          <cell r="H2870" t="str">
            <v>DISTRIBUIÇÃO</v>
          </cell>
          <cell r="I2870" t="str">
            <v>FOOD SERVICE</v>
          </cell>
          <cell r="J2870" t="str">
            <v>FLAC 3</v>
          </cell>
          <cell r="K2870" t="str">
            <v>LACTALIS</v>
          </cell>
          <cell r="L2870" t="str">
            <v>RODRIGO</v>
          </cell>
          <cell r="M2870" t="str">
            <v>RAQUEL BARBOSA</v>
          </cell>
        </row>
        <row r="2871">
          <cell r="B2871">
            <v>5361822</v>
          </cell>
          <cell r="C2871" t="str">
            <v>ACPEN COMERCIO DE PRODUTOS ALIM</v>
          </cell>
          <cell r="D2871" t="str">
            <v>7001</v>
          </cell>
          <cell r="E2871" t="str">
            <v>0749</v>
          </cell>
          <cell r="F2871" t="str">
            <v>C5</v>
          </cell>
          <cell r="G2871" t="str">
            <v>SP</v>
          </cell>
          <cell r="H2871" t="str">
            <v>DISTRIBUIÇÃO</v>
          </cell>
          <cell r="I2871" t="str">
            <v>FOOD SERVICE</v>
          </cell>
          <cell r="J2871" t="str">
            <v>FLAC 3</v>
          </cell>
          <cell r="K2871" t="str">
            <v>LACTALIS</v>
          </cell>
          <cell r="L2871" t="str">
            <v>RODRIGO</v>
          </cell>
          <cell r="M2871" t="str">
            <v>RAQUEL BARBOSA</v>
          </cell>
        </row>
        <row r="2872">
          <cell r="B2872">
            <v>5363252</v>
          </cell>
          <cell r="C2872" t="str">
            <v>MIMADA RESTAURANTE LTDA</v>
          </cell>
          <cell r="D2872" t="str">
            <v>7001</v>
          </cell>
          <cell r="E2872" t="str">
            <v>0749</v>
          </cell>
          <cell r="F2872" t="str">
            <v>C5</v>
          </cell>
          <cell r="G2872" t="str">
            <v>SP</v>
          </cell>
          <cell r="H2872" t="str">
            <v>DISTRIBUIÇÃO</v>
          </cell>
          <cell r="I2872" t="str">
            <v>FOOD SERVICE</v>
          </cell>
          <cell r="J2872" t="str">
            <v>FLAC 2</v>
          </cell>
          <cell r="K2872" t="str">
            <v>LACTALIS</v>
          </cell>
          <cell r="L2872" t="str">
            <v>RODRIGO</v>
          </cell>
          <cell r="M2872" t="str">
            <v>RAQUEL BARBOSA</v>
          </cell>
        </row>
        <row r="2873">
          <cell r="B2873">
            <v>5363410</v>
          </cell>
          <cell r="C2873" t="str">
            <v>63303709 MARIA DO CARMO ROZENDO</v>
          </cell>
          <cell r="D2873" t="str">
            <v>7001</v>
          </cell>
          <cell r="E2873" t="str">
            <v>0749</v>
          </cell>
          <cell r="F2873" t="str">
            <v>C5</v>
          </cell>
          <cell r="G2873" t="str">
            <v>SP</v>
          </cell>
          <cell r="H2873" t="str">
            <v>DISTRIBUIÇÃO</v>
          </cell>
          <cell r="I2873" t="str">
            <v>FOOD SERVICE</v>
          </cell>
          <cell r="J2873" t="str">
            <v>FLAC 2</v>
          </cell>
          <cell r="K2873" t="str">
            <v>LACTALIS</v>
          </cell>
          <cell r="L2873" t="str">
            <v>RODRIGO</v>
          </cell>
          <cell r="M2873" t="str">
            <v>RAQUEL BARBOSA</v>
          </cell>
        </row>
        <row r="2874">
          <cell r="B2874">
            <v>5127102</v>
          </cell>
          <cell r="C2874" t="str">
            <v>FORTALEZA SERVICOS DE BORDO LTDA</v>
          </cell>
          <cell r="D2874">
            <v>6001</v>
          </cell>
          <cell r="E2874">
            <v>6127</v>
          </cell>
          <cell r="F2874" t="str">
            <v>C1</v>
          </cell>
          <cell r="G2874" t="str">
            <v>CE</v>
          </cell>
          <cell r="H2874" t="str">
            <v>QSR</v>
          </cell>
          <cell r="I2874" t="str">
            <v>FOOD SERVICE</v>
          </cell>
          <cell r="J2874" t="str">
            <v>ANA MENIQUETE</v>
          </cell>
          <cell r="K2874" t="str">
            <v>ITAMBÉ</v>
          </cell>
          <cell r="L2874" t="str">
            <v>PEDRO</v>
          </cell>
          <cell r="M2874" t="str">
            <v>ANA MENIQUETE</v>
          </cell>
        </row>
        <row r="2875">
          <cell r="B2875">
            <v>5363330</v>
          </cell>
          <cell r="C2875" t="str">
            <v>RODRIGO COELHO 33292675855</v>
          </cell>
          <cell r="D2875">
            <v>3001</v>
          </cell>
          <cell r="E2875" t="str">
            <v>0028</v>
          </cell>
          <cell r="F2875" t="str">
            <v>C1</v>
          </cell>
          <cell r="G2875" t="str">
            <v>MG</v>
          </cell>
          <cell r="H2875" t="str">
            <v>INGREDIENTS</v>
          </cell>
          <cell r="I2875" t="str">
            <v>INGREDIENTS</v>
          </cell>
          <cell r="J2875" t="str">
            <v>MG ITB FS HENRIQUE WAGNER</v>
          </cell>
          <cell r="K2875" t="str">
            <v>ITAMBÉ</v>
          </cell>
          <cell r="L2875" t="str">
            <v>MAURICIO</v>
          </cell>
          <cell r="M2875" t="str">
            <v>TATIANA NITTA</v>
          </cell>
        </row>
        <row r="2876">
          <cell r="B2876">
            <v>5030629</v>
          </cell>
          <cell r="C2876" t="str">
            <v>CRISTINA ZUNTINI SANTOS</v>
          </cell>
          <cell r="D2876" t="str">
            <v>6001</v>
          </cell>
          <cell r="E2876" t="str">
            <v>6125</v>
          </cell>
          <cell r="F2876" t="str">
            <v>C1</v>
          </cell>
          <cell r="G2876" t="str">
            <v>SP</v>
          </cell>
          <cell r="H2876" t="str">
            <v>DISTRIBUIÇÃO</v>
          </cell>
          <cell r="I2876" t="str">
            <v>FOOD SERVICE</v>
          </cell>
          <cell r="J2876" t="str">
            <v>SP ITB FS FLAC REP.E COMERCIO</v>
          </cell>
          <cell r="K2876" t="str">
            <v>ITAMBÉ</v>
          </cell>
          <cell r="L2876" t="str">
            <v>RODRIGO</v>
          </cell>
          <cell r="M2876" t="str">
            <v>RAQUEL BARBOSA</v>
          </cell>
        </row>
        <row r="2877">
          <cell r="B2877">
            <v>5112934</v>
          </cell>
          <cell r="C2877" t="str">
            <v>COMERCIAL REAL DE ALIMENTOS LTD</v>
          </cell>
          <cell r="D2877" t="str">
            <v>3001</v>
          </cell>
          <cell r="E2877" t="str">
            <v>0122</v>
          </cell>
          <cell r="F2877" t="str">
            <v>C1</v>
          </cell>
          <cell r="G2877" t="str">
            <v>MG</v>
          </cell>
          <cell r="H2877" t="str">
            <v>DISTRIBUIÇÃO</v>
          </cell>
          <cell r="I2877" t="str">
            <v>FOOD SERVICE</v>
          </cell>
          <cell r="J2877" t="str">
            <v>MARCELO SILVA</v>
          </cell>
          <cell r="K2877" t="str">
            <v>ITAMBÉ</v>
          </cell>
          <cell r="L2877" t="str">
            <v>RODRIGO</v>
          </cell>
          <cell r="M2877" t="str">
            <v>CELIO MARTINS</v>
          </cell>
        </row>
        <row r="2878">
          <cell r="B2878">
            <v>5227433</v>
          </cell>
          <cell r="C2878" t="str">
            <v>NAILDSOM VIEIRA MAIA</v>
          </cell>
          <cell r="D2878" t="str">
            <v>7001</v>
          </cell>
          <cell r="E2878" t="str">
            <v>0749</v>
          </cell>
          <cell r="F2878" t="str">
            <v>C5</v>
          </cell>
          <cell r="G2878" t="str">
            <v>SP</v>
          </cell>
          <cell r="H2878" t="str">
            <v>DISTRIBUIÇÃO</v>
          </cell>
          <cell r="I2878" t="str">
            <v>FOOD SERVICE</v>
          </cell>
          <cell r="J2878" t="str">
            <v>FLAC 2</v>
          </cell>
          <cell r="K2878" t="str">
            <v>LACTALIS</v>
          </cell>
          <cell r="L2878" t="str">
            <v>RODRIGO</v>
          </cell>
          <cell r="M2878" t="str">
            <v>RAQUEL BARBOSA</v>
          </cell>
        </row>
        <row r="2879">
          <cell r="B2879">
            <v>5291816</v>
          </cell>
          <cell r="C2879" t="str">
            <v>VANDERLEY P LEANDRO 30991388860</v>
          </cell>
          <cell r="D2879" t="str">
            <v>7001</v>
          </cell>
          <cell r="E2879" t="str">
            <v>0749</v>
          </cell>
          <cell r="F2879" t="str">
            <v>C5</v>
          </cell>
          <cell r="G2879" t="str">
            <v>SP</v>
          </cell>
          <cell r="H2879" t="str">
            <v>DISTRIBUIÇÃO</v>
          </cell>
          <cell r="I2879" t="str">
            <v>FOOD SERVICE</v>
          </cell>
          <cell r="J2879" t="str">
            <v>FLAC 2</v>
          </cell>
          <cell r="K2879" t="str">
            <v>LACTALIS</v>
          </cell>
          <cell r="L2879" t="str">
            <v>RODRIGO</v>
          </cell>
          <cell r="M2879" t="str">
            <v>RAQUEL BARBOSA</v>
          </cell>
        </row>
        <row r="2880">
          <cell r="B2880">
            <v>5348324</v>
          </cell>
          <cell r="C2880" t="str">
            <v>DIST NORD DE CONFEIT E PANIF LT</v>
          </cell>
          <cell r="D2880" t="str">
            <v>6001</v>
          </cell>
          <cell r="E2880" t="str">
            <v>6127</v>
          </cell>
          <cell r="F2880" t="str">
            <v>C1</v>
          </cell>
          <cell r="G2880" t="str">
            <v>BA</v>
          </cell>
          <cell r="H2880" t="str">
            <v>DISTRIBUIÇÃO</v>
          </cell>
          <cell r="I2880" t="str">
            <v>FOOD SERVICE</v>
          </cell>
          <cell r="J2880" t="str">
            <v>CLAUDIO JORGE</v>
          </cell>
          <cell r="K2880" t="str">
            <v>ITAMBÉ</v>
          </cell>
          <cell r="L2880" t="str">
            <v>RODRIGO</v>
          </cell>
          <cell r="M2880" t="str">
            <v>MARIA LOURDES</v>
          </cell>
        </row>
        <row r="2881">
          <cell r="B2881">
            <v>5363509</v>
          </cell>
          <cell r="C2881" t="str">
            <v>SORVETERIA BOLA DE PRATA LTDA</v>
          </cell>
          <cell r="D2881" t="str">
            <v>6001</v>
          </cell>
          <cell r="E2881" t="str">
            <v>6028</v>
          </cell>
          <cell r="F2881" t="str">
            <v>C1</v>
          </cell>
          <cell r="G2881" t="str">
            <v>SP</v>
          </cell>
          <cell r="H2881" t="str">
            <v>INGREDIENTS</v>
          </cell>
          <cell r="I2881" t="str">
            <v>INGREDIENTS</v>
          </cell>
          <cell r="J2881" t="str">
            <v>SP ITB FS LUIZ PEREIRA</v>
          </cell>
          <cell r="K2881" t="str">
            <v>ITAMBÉ</v>
          </cell>
          <cell r="L2881" t="str">
            <v>MAURICIO</v>
          </cell>
          <cell r="M2881" t="str">
            <v>TATIANA NITTA</v>
          </cell>
        </row>
        <row r="2882">
          <cell r="B2882">
            <v>5168877</v>
          </cell>
          <cell r="C2882" t="str">
            <v>GILSON PIMENTEL DA SILVA SORVETERIA</v>
          </cell>
          <cell r="D2882" t="str">
            <v>6001</v>
          </cell>
          <cell r="E2882" t="str">
            <v>6028</v>
          </cell>
          <cell r="F2882" t="str">
            <v>C1</v>
          </cell>
          <cell r="G2882" t="str">
            <v>RJ</v>
          </cell>
          <cell r="H2882" t="str">
            <v>INGREDIENTS</v>
          </cell>
          <cell r="I2882" t="str">
            <v>INGREDIENTS</v>
          </cell>
          <cell r="J2882" t="str">
            <v>RJ ITB FS L T MARTINS</v>
          </cell>
          <cell r="K2882" t="str">
            <v>ITAMBÉ</v>
          </cell>
          <cell r="L2882" t="str">
            <v>MAURICIO</v>
          </cell>
          <cell r="M2882" t="str">
            <v>TATIANA NITTA</v>
          </cell>
        </row>
        <row r="2883">
          <cell r="B2883">
            <v>5181547</v>
          </cell>
          <cell r="C2883" t="str">
            <v>CB BH COMERCIO DE ALIMENTOS LTD</v>
          </cell>
          <cell r="D2883" t="str">
            <v>3001</v>
          </cell>
          <cell r="E2883" t="str">
            <v>0122</v>
          </cell>
          <cell r="F2883" t="str">
            <v>C1</v>
          </cell>
          <cell r="G2883" t="str">
            <v>MG</v>
          </cell>
          <cell r="H2883" t="str">
            <v>QSR</v>
          </cell>
          <cell r="I2883" t="str">
            <v>FOOD SERVICE</v>
          </cell>
          <cell r="J2883" t="str">
            <v>VAGO QSR</v>
          </cell>
          <cell r="K2883" t="str">
            <v>ITAMBÉ</v>
          </cell>
          <cell r="L2883" t="str">
            <v>PEDRO</v>
          </cell>
          <cell r="M2883" t="str">
            <v>VAGO QSR</v>
          </cell>
        </row>
        <row r="2884">
          <cell r="B2884">
            <v>5183340</v>
          </cell>
          <cell r="C2884" t="str">
            <v>CASA DA OMA IND E COM DE ALIM L</v>
          </cell>
          <cell r="D2884" t="str">
            <v>3001</v>
          </cell>
          <cell r="E2884" t="str">
            <v>0028</v>
          </cell>
          <cell r="F2884" t="str">
            <v>C1</v>
          </cell>
          <cell r="G2884" t="str">
            <v>SC</v>
          </cell>
          <cell r="H2884" t="str">
            <v>INGREDIENTS</v>
          </cell>
          <cell r="I2884" t="str">
            <v>INGREDIENTS</v>
          </cell>
          <cell r="J2884" t="str">
            <v>MARCELO RODRIGUES</v>
          </cell>
          <cell r="K2884" t="str">
            <v>ITAMBÉ</v>
          </cell>
          <cell r="L2884" t="str">
            <v>MAURICIO</v>
          </cell>
          <cell r="M2884" t="str">
            <v>MARCELO</v>
          </cell>
        </row>
        <row r="2885">
          <cell r="B2885">
            <v>5210973</v>
          </cell>
          <cell r="C2885" t="str">
            <v>CB PORTO ALEGRE COMERCIO DE ALI</v>
          </cell>
          <cell r="D2885" t="str">
            <v>3001</v>
          </cell>
          <cell r="E2885" t="str">
            <v>0126</v>
          </cell>
          <cell r="F2885" t="str">
            <v>C1</v>
          </cell>
          <cell r="G2885" t="str">
            <v>RS</v>
          </cell>
          <cell r="H2885" t="str">
            <v>QSR</v>
          </cell>
          <cell r="I2885" t="str">
            <v>FOOD SERVICE</v>
          </cell>
          <cell r="J2885" t="str">
            <v>VAGO QSR</v>
          </cell>
          <cell r="K2885" t="str">
            <v>ITAMBÉ</v>
          </cell>
          <cell r="L2885" t="str">
            <v>PEDRO</v>
          </cell>
          <cell r="M2885" t="str">
            <v>VAGO QSR</v>
          </cell>
        </row>
        <row r="2886">
          <cell r="B2886">
            <v>5227266</v>
          </cell>
          <cell r="C2886" t="str">
            <v>CB IGUATEMI FORTALEZA COM DE AL</v>
          </cell>
          <cell r="D2886" t="str">
            <v>6001</v>
          </cell>
          <cell r="E2886" t="str">
            <v>6127</v>
          </cell>
          <cell r="F2886" t="str">
            <v>C1</v>
          </cell>
          <cell r="G2886" t="str">
            <v>CE</v>
          </cell>
          <cell r="H2886" t="str">
            <v>QSR</v>
          </cell>
          <cell r="I2886" t="str">
            <v>FOOD SERVICE</v>
          </cell>
          <cell r="J2886" t="str">
            <v>VAGO QSR</v>
          </cell>
          <cell r="K2886" t="str">
            <v>ITAMBÉ</v>
          </cell>
          <cell r="L2886" t="str">
            <v>PEDRO</v>
          </cell>
          <cell r="M2886" t="str">
            <v>VAGO QSR</v>
          </cell>
        </row>
        <row r="2887">
          <cell r="B2887">
            <v>5294395</v>
          </cell>
          <cell r="C2887" t="str">
            <v>CB PORTO ALEGRE COM DE ALIMENT</v>
          </cell>
          <cell r="D2887" t="str">
            <v>3001</v>
          </cell>
          <cell r="E2887" t="str">
            <v>0126</v>
          </cell>
          <cell r="F2887" t="str">
            <v>C1</v>
          </cell>
          <cell r="G2887" t="str">
            <v>RS</v>
          </cell>
          <cell r="H2887" t="str">
            <v>QSR</v>
          </cell>
          <cell r="I2887" t="str">
            <v>FOOD SERVICE</v>
          </cell>
          <cell r="J2887" t="str">
            <v>VAGO QSR</v>
          </cell>
          <cell r="K2887" t="str">
            <v>ITAMBÉ</v>
          </cell>
          <cell r="L2887" t="str">
            <v>PEDRO</v>
          </cell>
          <cell r="M2887" t="str">
            <v>VAGO QSR</v>
          </cell>
        </row>
        <row r="2888">
          <cell r="B2888">
            <v>5342592</v>
          </cell>
          <cell r="C2888" t="str">
            <v>CB LONDRINA COM DE ALIMENTOS LT</v>
          </cell>
          <cell r="D2888" t="str">
            <v>3001</v>
          </cell>
          <cell r="E2888" t="str">
            <v>0126</v>
          </cell>
          <cell r="F2888" t="str">
            <v>C1</v>
          </cell>
          <cell r="G2888" t="str">
            <v>PR</v>
          </cell>
          <cell r="H2888" t="str">
            <v>QSR</v>
          </cell>
          <cell r="I2888" t="str">
            <v>FOOD SERVICE</v>
          </cell>
          <cell r="J2888" t="str">
            <v>VAGO QSR</v>
          </cell>
          <cell r="K2888" t="str">
            <v>ITAMBÉ</v>
          </cell>
          <cell r="L2888" t="str">
            <v>PEDRO</v>
          </cell>
          <cell r="M2888" t="str">
            <v>VAGO QSR</v>
          </cell>
        </row>
        <row r="2889">
          <cell r="B2889">
            <v>5350655</v>
          </cell>
          <cell r="C2889" t="str">
            <v>CB CAMPINAS COM DE ALIMEN LTDA</v>
          </cell>
          <cell r="D2889" t="str">
            <v>6001</v>
          </cell>
          <cell r="E2889" t="str">
            <v>6125</v>
          </cell>
          <cell r="F2889" t="str">
            <v>C1</v>
          </cell>
          <cell r="G2889" t="str">
            <v>SP</v>
          </cell>
          <cell r="H2889" t="str">
            <v>QSR</v>
          </cell>
          <cell r="I2889" t="str">
            <v>FOOD SERVICE</v>
          </cell>
          <cell r="J2889" t="str">
            <v>VAGO QSR</v>
          </cell>
          <cell r="K2889" t="str">
            <v>ITAMBÉ</v>
          </cell>
          <cell r="L2889" t="str">
            <v>PEDRO</v>
          </cell>
          <cell r="M2889" t="str">
            <v>VAGO QSR</v>
          </cell>
        </row>
        <row r="2890">
          <cell r="B2890">
            <v>5350677</v>
          </cell>
          <cell r="C2890" t="str">
            <v>CB GUARULHOS COMER DE ALIMEN LT</v>
          </cell>
          <cell r="D2890" t="str">
            <v>6001</v>
          </cell>
          <cell r="E2890" t="str">
            <v>6125</v>
          </cell>
          <cell r="F2890" t="str">
            <v>C1</v>
          </cell>
          <cell r="G2890" t="str">
            <v>SP</v>
          </cell>
          <cell r="H2890" t="str">
            <v>QSR</v>
          </cell>
          <cell r="I2890" t="str">
            <v>FOOD SERVICE</v>
          </cell>
          <cell r="J2890" t="str">
            <v>VAGO QSR</v>
          </cell>
          <cell r="K2890" t="str">
            <v>ITAMBÉ</v>
          </cell>
          <cell r="L2890" t="str">
            <v>PEDRO</v>
          </cell>
          <cell r="M2890" t="str">
            <v>VAGO QSR</v>
          </cell>
        </row>
        <row r="2891">
          <cell r="B2891">
            <v>5350695</v>
          </cell>
          <cell r="C2891" t="str">
            <v>CB JUNDIAI COMERCIO DE ALIMEN L</v>
          </cell>
          <cell r="D2891" t="str">
            <v>6001</v>
          </cell>
          <cell r="E2891" t="str">
            <v>6125</v>
          </cell>
          <cell r="F2891" t="str">
            <v>C1</v>
          </cell>
          <cell r="G2891" t="str">
            <v>SP</v>
          </cell>
          <cell r="H2891" t="str">
            <v>QSR</v>
          </cell>
          <cell r="I2891" t="str">
            <v>FOOD SERVICE</v>
          </cell>
          <cell r="J2891" t="str">
            <v>VAGO QSR</v>
          </cell>
          <cell r="K2891" t="str">
            <v>ITAMBÉ</v>
          </cell>
          <cell r="L2891" t="str">
            <v>PEDRO</v>
          </cell>
          <cell r="M2891" t="str">
            <v>VAGO QSR</v>
          </cell>
        </row>
        <row r="2892">
          <cell r="B2892">
            <v>5350696</v>
          </cell>
          <cell r="C2892" t="str">
            <v>CB JUNDIAI COMERCIO DE ALIMEN L</v>
          </cell>
          <cell r="D2892" t="str">
            <v>6001</v>
          </cell>
          <cell r="E2892" t="str">
            <v>6125</v>
          </cell>
          <cell r="F2892" t="str">
            <v>C1</v>
          </cell>
          <cell r="G2892" t="str">
            <v>SP</v>
          </cell>
          <cell r="H2892" t="str">
            <v>QSR</v>
          </cell>
          <cell r="I2892" t="str">
            <v>FOOD SERVICE</v>
          </cell>
          <cell r="J2892" t="str">
            <v>VAGO QSR</v>
          </cell>
          <cell r="K2892" t="str">
            <v>ITAMBÉ</v>
          </cell>
          <cell r="L2892" t="str">
            <v>PEDRO</v>
          </cell>
          <cell r="M2892" t="str">
            <v>VAGO QSR</v>
          </cell>
        </row>
        <row r="2893">
          <cell r="B2893">
            <v>5350699</v>
          </cell>
          <cell r="C2893" t="str">
            <v>CB OSASCO COMERCIO DE ALIMENTOS</v>
          </cell>
          <cell r="D2893" t="str">
            <v>6001</v>
          </cell>
          <cell r="E2893" t="str">
            <v>6125</v>
          </cell>
          <cell r="F2893" t="str">
            <v>C1</v>
          </cell>
          <cell r="G2893" t="str">
            <v>SP</v>
          </cell>
          <cell r="H2893" t="str">
            <v>QSR</v>
          </cell>
          <cell r="I2893" t="str">
            <v>FOOD SERVICE</v>
          </cell>
          <cell r="J2893" t="str">
            <v>VAGO QSR</v>
          </cell>
          <cell r="K2893" t="str">
            <v>ITAMBÉ</v>
          </cell>
          <cell r="L2893" t="str">
            <v>PEDRO</v>
          </cell>
          <cell r="M2893" t="str">
            <v>VAGO QSR</v>
          </cell>
        </row>
        <row r="2894">
          <cell r="B2894">
            <v>5350704</v>
          </cell>
          <cell r="C2894" t="str">
            <v>CB SOROCABA COMERCIO DE ALIMENT</v>
          </cell>
          <cell r="D2894" t="str">
            <v>6001</v>
          </cell>
          <cell r="E2894" t="str">
            <v>6125</v>
          </cell>
          <cell r="F2894" t="str">
            <v>C1</v>
          </cell>
          <cell r="G2894" t="str">
            <v>SP</v>
          </cell>
          <cell r="H2894" t="str">
            <v>QSR</v>
          </cell>
          <cell r="I2894" t="str">
            <v>FOOD SERVICE</v>
          </cell>
          <cell r="J2894" t="str">
            <v>VAGO QSR</v>
          </cell>
          <cell r="K2894" t="str">
            <v>ITAMBÉ</v>
          </cell>
          <cell r="L2894" t="str">
            <v>PEDRO</v>
          </cell>
          <cell r="M2894" t="str">
            <v>VAGO QSR</v>
          </cell>
        </row>
        <row r="2895">
          <cell r="B2895">
            <v>5351861</v>
          </cell>
          <cell r="C2895" t="str">
            <v>CB CONCEITO BH COM DE ALIM LTDA</v>
          </cell>
          <cell r="D2895" t="str">
            <v>3001</v>
          </cell>
          <cell r="E2895" t="str">
            <v>0122</v>
          </cell>
          <cell r="F2895" t="str">
            <v>C1</v>
          </cell>
          <cell r="G2895" t="str">
            <v>SP</v>
          </cell>
          <cell r="H2895" t="str">
            <v>QSR</v>
          </cell>
          <cell r="I2895" t="str">
            <v>FOOD SERVICE</v>
          </cell>
          <cell r="J2895" t="str">
            <v>VAGO QSR</v>
          </cell>
          <cell r="K2895" t="str">
            <v>ITAMBÉ</v>
          </cell>
          <cell r="L2895" t="str">
            <v>PEDRO</v>
          </cell>
          <cell r="M2895" t="str">
            <v>VAGO QSR</v>
          </cell>
        </row>
        <row r="2896">
          <cell r="B2896">
            <v>5351894</v>
          </cell>
          <cell r="C2896" t="str">
            <v>CB RIO NITEROI COMER DE ALIM LT</v>
          </cell>
          <cell r="D2896" t="str">
            <v>6001</v>
          </cell>
          <cell r="E2896" t="str">
            <v>6169</v>
          </cell>
          <cell r="F2896" t="str">
            <v>C1</v>
          </cell>
          <cell r="G2896" t="str">
            <v>RJ</v>
          </cell>
          <cell r="H2896" t="str">
            <v>QSR</v>
          </cell>
          <cell r="I2896" t="str">
            <v>FOOD SERVICE</v>
          </cell>
          <cell r="J2896" t="str">
            <v>VAGO QSR</v>
          </cell>
          <cell r="K2896" t="str">
            <v>ITAMBÉ</v>
          </cell>
          <cell r="L2896" t="str">
            <v>PEDRO</v>
          </cell>
          <cell r="M2896" t="str">
            <v>VAGO QSR</v>
          </cell>
        </row>
        <row r="2897">
          <cell r="B2897">
            <v>5352111</v>
          </cell>
          <cell r="C2897" t="str">
            <v>COCO BAMBU PIZZARIA LTDA</v>
          </cell>
          <cell r="D2897" t="str">
            <v>6001</v>
          </cell>
          <cell r="E2897" t="str">
            <v>6127</v>
          </cell>
          <cell r="F2897" t="str">
            <v>C1</v>
          </cell>
          <cell r="G2897" t="str">
            <v>CE</v>
          </cell>
          <cell r="H2897" t="str">
            <v>QSR</v>
          </cell>
          <cell r="I2897" t="str">
            <v>FOOD SERVICE</v>
          </cell>
          <cell r="J2897" t="str">
            <v>VAGO QSR</v>
          </cell>
          <cell r="K2897" t="str">
            <v>ITAMBÉ</v>
          </cell>
          <cell r="L2897" t="str">
            <v>PEDRO</v>
          </cell>
          <cell r="M2897" t="str">
            <v>VAGO QSR</v>
          </cell>
        </row>
        <row r="2898">
          <cell r="B2898">
            <v>5352254</v>
          </cell>
          <cell r="C2898" t="str">
            <v>COCO BAMBU SUL PIZZARIA LTDA</v>
          </cell>
          <cell r="D2898" t="str">
            <v>6001</v>
          </cell>
          <cell r="E2898" t="str">
            <v>6127</v>
          </cell>
          <cell r="F2898" t="str">
            <v>C1</v>
          </cell>
          <cell r="G2898" t="str">
            <v>CE</v>
          </cell>
          <cell r="H2898" t="str">
            <v>QSR</v>
          </cell>
          <cell r="I2898" t="str">
            <v>FOOD SERVICE</v>
          </cell>
          <cell r="J2898" t="str">
            <v>VAGO QSR</v>
          </cell>
          <cell r="K2898" t="str">
            <v>ITAMBÉ</v>
          </cell>
          <cell r="L2898" t="str">
            <v>PEDRO</v>
          </cell>
          <cell r="M2898" t="str">
            <v>VAGO QSR</v>
          </cell>
        </row>
        <row r="2899">
          <cell r="B2899">
            <v>5352264</v>
          </cell>
          <cell r="C2899" t="str">
            <v>DOM PASTEL ALIMENTOS LTDA</v>
          </cell>
          <cell r="D2899" t="str">
            <v>6001</v>
          </cell>
          <cell r="E2899" t="str">
            <v>6127</v>
          </cell>
          <cell r="F2899" t="str">
            <v>C1</v>
          </cell>
          <cell r="G2899" t="str">
            <v>CE</v>
          </cell>
          <cell r="H2899" t="str">
            <v>QSR</v>
          </cell>
          <cell r="I2899" t="str">
            <v>FOOD SERVICE</v>
          </cell>
          <cell r="J2899" t="str">
            <v>VAGO QSR</v>
          </cell>
          <cell r="K2899" t="str">
            <v>ITAMBÉ</v>
          </cell>
          <cell r="L2899" t="str">
            <v>PEDRO</v>
          </cell>
          <cell r="M2899" t="str">
            <v>VAGO QSR</v>
          </cell>
        </row>
        <row r="2900">
          <cell r="B2900">
            <v>5352364</v>
          </cell>
          <cell r="C2900" t="str">
            <v>COCO BAMBU TERESINA LTDA</v>
          </cell>
          <cell r="D2900" t="str">
            <v>3001</v>
          </cell>
          <cell r="E2900" t="str">
            <v>0128</v>
          </cell>
          <cell r="F2900" t="str">
            <v>C1</v>
          </cell>
          <cell r="G2900" t="str">
            <v>PI</v>
          </cell>
          <cell r="H2900" t="str">
            <v>QSR</v>
          </cell>
          <cell r="I2900" t="str">
            <v>FOOD SERVICE</v>
          </cell>
          <cell r="J2900" t="str">
            <v>VAGO QSR</v>
          </cell>
          <cell r="K2900" t="str">
            <v>ITAMBÉ</v>
          </cell>
          <cell r="L2900" t="str">
            <v>PEDRO</v>
          </cell>
          <cell r="M2900" t="str">
            <v>VAGO QSR</v>
          </cell>
        </row>
        <row r="2901">
          <cell r="B2901">
            <v>5353734</v>
          </cell>
          <cell r="C2901" t="str">
            <v>CB ANAPOLIS COMER DE ALIME LTDA</v>
          </cell>
          <cell r="D2901" t="str">
            <v>3001</v>
          </cell>
          <cell r="E2901" t="str">
            <v>0123</v>
          </cell>
          <cell r="F2901" t="str">
            <v>C1</v>
          </cell>
          <cell r="G2901" t="str">
            <v>GO</v>
          </cell>
          <cell r="H2901" t="str">
            <v>QSR</v>
          </cell>
          <cell r="I2901" t="str">
            <v>FOOD SERVICE</v>
          </cell>
          <cell r="J2901" t="str">
            <v>VAGO QSR</v>
          </cell>
          <cell r="K2901" t="str">
            <v>ITAMBÉ</v>
          </cell>
          <cell r="L2901" t="str">
            <v>PEDRO</v>
          </cell>
          <cell r="M2901" t="str">
            <v>VAGO QSR</v>
          </cell>
        </row>
        <row r="2902">
          <cell r="B2902">
            <v>5363097</v>
          </cell>
          <cell r="C2902" t="str">
            <v>PDO ALIMENTOS E COME SOCIE EMPR</v>
          </cell>
          <cell r="D2902" t="str">
            <v>7001</v>
          </cell>
          <cell r="E2902" t="str">
            <v>0749</v>
          </cell>
          <cell r="F2902" t="str">
            <v>C5</v>
          </cell>
          <cell r="G2902" t="str">
            <v>SP</v>
          </cell>
          <cell r="H2902" t="str">
            <v>DISTRIBUIÇÃO</v>
          </cell>
          <cell r="I2902" t="str">
            <v>FOOD SERVICE</v>
          </cell>
          <cell r="J2902" t="str">
            <v>FLAC 5</v>
          </cell>
          <cell r="K2902" t="str">
            <v>LACTALIS</v>
          </cell>
          <cell r="L2902" t="str">
            <v>RODRIGO</v>
          </cell>
          <cell r="M2902" t="str">
            <v>RAQUEL BARBOSA</v>
          </cell>
        </row>
        <row r="2903">
          <cell r="B2903">
            <v>5363421</v>
          </cell>
          <cell r="C2903" t="str">
            <v>KATIA DOS SANTOS SILVA</v>
          </cell>
          <cell r="D2903" t="str">
            <v>3001</v>
          </cell>
          <cell r="E2903" t="str">
            <v>0028</v>
          </cell>
          <cell r="F2903" t="str">
            <v>C1</v>
          </cell>
          <cell r="G2903" t="str">
            <v>SC</v>
          </cell>
          <cell r="H2903" t="str">
            <v>INGREDIENTS</v>
          </cell>
          <cell r="I2903" t="str">
            <v>INGREDIENTS</v>
          </cell>
          <cell r="J2903" t="str">
            <v>MARCELO RODRIGUES</v>
          </cell>
          <cell r="K2903" t="str">
            <v>ITAMBÉ</v>
          </cell>
          <cell r="L2903" t="str">
            <v>MAURICIO</v>
          </cell>
          <cell r="M2903" t="str">
            <v>MARCELO</v>
          </cell>
        </row>
        <row r="2904">
          <cell r="B2904">
            <v>5181223</v>
          </cell>
          <cell r="C2904" t="str">
            <v>TAUA HOTEL E CONVNTION ATIBAIA</v>
          </cell>
          <cell r="D2904" t="str">
            <v>7001</v>
          </cell>
          <cell r="E2904" t="str">
            <v>0722</v>
          </cell>
          <cell r="F2904" t="str">
            <v>C1</v>
          </cell>
          <cell r="G2904" t="str">
            <v>SP</v>
          </cell>
          <cell r="H2904" t="str">
            <v>QSR</v>
          </cell>
          <cell r="I2904" t="str">
            <v>FOOD SERVICE</v>
          </cell>
          <cell r="J2904" t="str">
            <v>ANA MENIQUETE</v>
          </cell>
          <cell r="K2904" t="str">
            <v>LACTALIS</v>
          </cell>
          <cell r="L2904" t="str">
            <v>PEDRO</v>
          </cell>
          <cell r="M2904" t="str">
            <v>ANA MENIQUETE</v>
          </cell>
        </row>
        <row r="2905">
          <cell r="B2905">
            <v>5315925</v>
          </cell>
          <cell r="C2905" t="str">
            <v>CB VITORIA COMERCIO DE ALIMENTO</v>
          </cell>
          <cell r="D2905" t="str">
            <v>6001</v>
          </cell>
          <cell r="E2905" t="str">
            <v>6169</v>
          </cell>
          <cell r="F2905" t="str">
            <v>C1</v>
          </cell>
          <cell r="G2905" t="str">
            <v>ES</v>
          </cell>
          <cell r="H2905" t="str">
            <v>QSR</v>
          </cell>
          <cell r="I2905" t="str">
            <v>FOOD SERVICE</v>
          </cell>
          <cell r="J2905" t="str">
            <v>VAGO QSR</v>
          </cell>
          <cell r="K2905" t="str">
            <v>ITAMBÉ</v>
          </cell>
          <cell r="L2905" t="str">
            <v>PEDRO</v>
          </cell>
          <cell r="M2905" t="str">
            <v>VAGO QSR</v>
          </cell>
        </row>
        <row r="2906">
          <cell r="B2906">
            <v>5041289</v>
          </cell>
          <cell r="C2906" t="str">
            <v>C B BRASILIA COM DE ALIMENTOS LTDA</v>
          </cell>
          <cell r="D2906" t="str">
            <v>6001</v>
          </cell>
          <cell r="E2906" t="str">
            <v>6123</v>
          </cell>
          <cell r="F2906" t="str">
            <v>C1</v>
          </cell>
          <cell r="G2906" t="str">
            <v>DF</v>
          </cell>
          <cell r="H2906" t="str">
            <v>QSR</v>
          </cell>
          <cell r="I2906" t="str">
            <v>FOOD SERVICE</v>
          </cell>
          <cell r="J2906" t="str">
            <v>VAGO QSR</v>
          </cell>
          <cell r="K2906" t="str">
            <v>ITAMBÉ</v>
          </cell>
          <cell r="L2906" t="str">
            <v>PEDRO</v>
          </cell>
          <cell r="M2906" t="str">
            <v>VAGO QSR</v>
          </cell>
        </row>
        <row r="2907">
          <cell r="B2907">
            <v>5148812</v>
          </cell>
          <cell r="C2907" t="str">
            <v>CB VILA VELHA COM ALIMENTOS LTD</v>
          </cell>
          <cell r="D2907" t="str">
            <v>6001</v>
          </cell>
          <cell r="E2907" t="str">
            <v>6169</v>
          </cell>
          <cell r="F2907" t="str">
            <v>C1</v>
          </cell>
          <cell r="G2907" t="str">
            <v>ES</v>
          </cell>
          <cell r="H2907" t="str">
            <v>QSR</v>
          </cell>
          <cell r="I2907" t="str">
            <v>FOOD SERVICE</v>
          </cell>
          <cell r="J2907" t="str">
            <v>VAGO QSR</v>
          </cell>
          <cell r="K2907" t="str">
            <v>ITAMBÉ</v>
          </cell>
          <cell r="L2907" t="str">
            <v>PEDRO</v>
          </cell>
          <cell r="M2907" t="str">
            <v>VAGO QSR</v>
          </cell>
        </row>
        <row r="2908">
          <cell r="B2908">
            <v>5182612</v>
          </cell>
          <cell r="C2908" t="str">
            <v>CB UBERLANDIA COMERCIO DE ALIME</v>
          </cell>
          <cell r="D2908" t="str">
            <v>3001</v>
          </cell>
          <cell r="E2908" t="str">
            <v>0122</v>
          </cell>
          <cell r="F2908" t="str">
            <v>C1</v>
          </cell>
          <cell r="G2908" t="str">
            <v>MG</v>
          </cell>
          <cell r="H2908" t="str">
            <v>QSR</v>
          </cell>
          <cell r="I2908" t="str">
            <v>FOOD SERVICE</v>
          </cell>
          <cell r="J2908" t="str">
            <v>VAGO QSR</v>
          </cell>
          <cell r="K2908" t="str">
            <v>ITAMBÉ</v>
          </cell>
          <cell r="L2908" t="str">
            <v>PEDRO</v>
          </cell>
          <cell r="M2908" t="str">
            <v>VAGO QSR</v>
          </cell>
        </row>
        <row r="2909">
          <cell r="B2909">
            <v>5223622</v>
          </cell>
          <cell r="C2909" t="str">
            <v>CBX CG COMERCIO DE ALIMENTOS LT</v>
          </cell>
          <cell r="D2909" t="str">
            <v>6001</v>
          </cell>
          <cell r="E2909" t="str">
            <v>6123</v>
          </cell>
          <cell r="F2909" t="str">
            <v>C1</v>
          </cell>
          <cell r="G2909" t="str">
            <v>MS</v>
          </cell>
          <cell r="H2909" t="str">
            <v>QSR</v>
          </cell>
          <cell r="I2909" t="str">
            <v>FOOD SERVICE</v>
          </cell>
          <cell r="J2909" t="str">
            <v>VAGO QSR</v>
          </cell>
          <cell r="K2909" t="str">
            <v>ITAMBÉ</v>
          </cell>
          <cell r="L2909" t="str">
            <v>PEDRO</v>
          </cell>
          <cell r="M2909" t="str">
            <v>VAGO QSR</v>
          </cell>
        </row>
        <row r="2910">
          <cell r="B2910">
            <v>5352345</v>
          </cell>
          <cell r="C2910" t="str">
            <v>CB CUIABA COMERCIO DE ALIMENT L</v>
          </cell>
          <cell r="D2910" t="str">
            <v>6001</v>
          </cell>
          <cell r="E2910" t="str">
            <v>6123</v>
          </cell>
          <cell r="F2910" t="str">
            <v>C1</v>
          </cell>
          <cell r="G2910" t="str">
            <v>MT</v>
          </cell>
          <cell r="H2910" t="str">
            <v>QSR</v>
          </cell>
          <cell r="I2910" t="str">
            <v>FOOD SERVICE</v>
          </cell>
          <cell r="J2910" t="str">
            <v>VAGO QSR</v>
          </cell>
          <cell r="K2910" t="str">
            <v>ITAMBÉ</v>
          </cell>
          <cell r="L2910" t="str">
            <v>PEDRO</v>
          </cell>
          <cell r="M2910" t="str">
            <v>VAGO QSR</v>
          </cell>
        </row>
        <row r="2911">
          <cell r="B2911">
            <v>5352346</v>
          </cell>
          <cell r="C2911" t="str">
            <v>FGF ALIMENTOS LTDA</v>
          </cell>
          <cell r="D2911" t="str">
            <v>6001</v>
          </cell>
          <cell r="E2911" t="str">
            <v>6127</v>
          </cell>
          <cell r="F2911" t="str">
            <v>C1</v>
          </cell>
          <cell r="G2911" t="str">
            <v>BA</v>
          </cell>
          <cell r="H2911" t="str">
            <v>QSR</v>
          </cell>
          <cell r="I2911" t="str">
            <v>FOOD SERVICE</v>
          </cell>
          <cell r="J2911" t="str">
            <v>VAGO QSR</v>
          </cell>
          <cell r="K2911" t="str">
            <v>ITAMBÉ</v>
          </cell>
          <cell r="L2911" t="str">
            <v>PEDRO</v>
          </cell>
          <cell r="M2911" t="str">
            <v>VAGO QSR</v>
          </cell>
        </row>
        <row r="2912">
          <cell r="B2912">
            <v>5352421</v>
          </cell>
          <cell r="C2912" t="str">
            <v>CB AGUAS CLARAS COM DE ALIMENTO</v>
          </cell>
          <cell r="D2912" t="str">
            <v>6001</v>
          </cell>
          <cell r="E2912" t="str">
            <v>6123</v>
          </cell>
          <cell r="F2912" t="str">
            <v>C1</v>
          </cell>
          <cell r="G2912" t="str">
            <v>DF</v>
          </cell>
          <cell r="H2912" t="str">
            <v>QSR</v>
          </cell>
          <cell r="I2912" t="str">
            <v>FOOD SERVICE</v>
          </cell>
          <cell r="J2912" t="str">
            <v>VAGO QSR</v>
          </cell>
          <cell r="K2912" t="str">
            <v>ITAMBÉ</v>
          </cell>
          <cell r="L2912" t="str">
            <v>PEDRO</v>
          </cell>
          <cell r="M2912" t="str">
            <v>VAGO QSR</v>
          </cell>
        </row>
        <row r="2913">
          <cell r="B2913">
            <v>5352423</v>
          </cell>
          <cell r="C2913" t="str">
            <v>CB LAGO SUL COMERCIO DE ALIMEN</v>
          </cell>
          <cell r="D2913" t="str">
            <v>6001</v>
          </cell>
          <cell r="E2913" t="str">
            <v>6123</v>
          </cell>
          <cell r="F2913" t="str">
            <v>C1</v>
          </cell>
          <cell r="G2913" t="str">
            <v>DF</v>
          </cell>
          <cell r="H2913" t="str">
            <v>QSR</v>
          </cell>
          <cell r="I2913" t="str">
            <v>FOOD SERVICE</v>
          </cell>
          <cell r="J2913" t="str">
            <v>VAGO QSR</v>
          </cell>
          <cell r="K2913" t="str">
            <v>ITAMBÉ</v>
          </cell>
          <cell r="L2913" t="str">
            <v>PEDRO</v>
          </cell>
          <cell r="M2913" t="str">
            <v>VAGO QSR</v>
          </cell>
        </row>
        <row r="2914">
          <cell r="B2914">
            <v>5352459</v>
          </cell>
          <cell r="C2914" t="str">
            <v>CB PARK SHOPPING COMER DE ALIM</v>
          </cell>
          <cell r="D2914" t="str">
            <v>6001</v>
          </cell>
          <cell r="E2914" t="str">
            <v>6123</v>
          </cell>
          <cell r="F2914" t="str">
            <v>C1</v>
          </cell>
          <cell r="G2914" t="str">
            <v>DF</v>
          </cell>
          <cell r="H2914" t="str">
            <v>QSR</v>
          </cell>
          <cell r="I2914" t="str">
            <v>FOOD SERVICE</v>
          </cell>
          <cell r="J2914" t="str">
            <v>VAGO QSR</v>
          </cell>
          <cell r="K2914" t="str">
            <v>ITAMBÉ</v>
          </cell>
          <cell r="L2914" t="str">
            <v>PEDRO</v>
          </cell>
          <cell r="M2914" t="str">
            <v>VAGO QSR</v>
          </cell>
        </row>
        <row r="2915">
          <cell r="B2915">
            <v>5352420</v>
          </cell>
          <cell r="C2915" t="str">
            <v>CB AGUAS CLARAS COM DE ALIM LTDA</v>
          </cell>
          <cell r="D2915">
            <v>6001</v>
          </cell>
          <cell r="E2915" t="str">
            <v>6123</v>
          </cell>
          <cell r="F2915" t="str">
            <v>C1</v>
          </cell>
          <cell r="G2915" t="str">
            <v>DF</v>
          </cell>
          <cell r="H2915" t="str">
            <v>QSR</v>
          </cell>
          <cell r="I2915" t="str">
            <v>FOOD SERVICE</v>
          </cell>
          <cell r="J2915" t="str">
            <v>VAGO QSR</v>
          </cell>
          <cell r="K2915" t="str">
            <v>ITAMBÉ</v>
          </cell>
          <cell r="L2915" t="str">
            <v>PEDRO</v>
          </cell>
          <cell r="M2915" t="str">
            <v>VAGO QSR</v>
          </cell>
        </row>
        <row r="2916">
          <cell r="B2916">
            <v>5336832</v>
          </cell>
          <cell r="C2916" t="str">
            <v>COLORADO COMERCIO DE SORVETES LTDA</v>
          </cell>
          <cell r="D2916">
            <v>6001</v>
          </cell>
          <cell r="E2916" t="str">
            <v>6125</v>
          </cell>
          <cell r="F2916" t="str">
            <v>C1</v>
          </cell>
          <cell r="G2916" t="str">
            <v>SP</v>
          </cell>
          <cell r="H2916" t="str">
            <v>QSR</v>
          </cell>
          <cell r="I2916" t="str">
            <v>FOOD SERVICE</v>
          </cell>
          <cell r="J2916" t="str">
            <v>NUTRI</v>
          </cell>
          <cell r="K2916" t="str">
            <v>ITAMBÉ</v>
          </cell>
          <cell r="L2916" t="str">
            <v>PEDRO</v>
          </cell>
          <cell r="M2916" t="str">
            <v>VAGO QSR</v>
          </cell>
        </row>
        <row r="2917">
          <cell r="B2917">
            <v>5151341</v>
          </cell>
          <cell r="C2917" t="str">
            <v>FORMAGGIO DISTRIBUICAO ALIMENTOS LT</v>
          </cell>
          <cell r="D2917" t="str">
            <v>7001</v>
          </cell>
          <cell r="E2917" t="str">
            <v>0559</v>
          </cell>
          <cell r="F2917" t="str">
            <v>C5</v>
          </cell>
          <cell r="G2917" t="str">
            <v>PE</v>
          </cell>
          <cell r="H2917" t="str">
            <v>DISTRIBUIÇÃO</v>
          </cell>
          <cell r="I2917" t="str">
            <v>FOOD SERVICE</v>
          </cell>
          <cell r="J2917" t="str">
            <v>CLAUDIO JORGE</v>
          </cell>
          <cell r="K2917" t="str">
            <v>LACTALIS</v>
          </cell>
          <cell r="L2917" t="str">
            <v>RODRIGO</v>
          </cell>
          <cell r="M2917" t="str">
            <v>MARIA LOURDES</v>
          </cell>
        </row>
        <row r="2918">
          <cell r="B2918">
            <v>5359928</v>
          </cell>
          <cell r="C2918" t="str">
            <v>V BARNABE COMERCIO E SERVICOS DE AL</v>
          </cell>
          <cell r="D2918" t="str">
            <v>7001</v>
          </cell>
          <cell r="E2918" t="str">
            <v>0749</v>
          </cell>
          <cell r="F2918" t="str">
            <v>C5</v>
          </cell>
          <cell r="G2918" t="str">
            <v>SP</v>
          </cell>
          <cell r="H2918" t="str">
            <v>DISTRIBUIÇÃO</v>
          </cell>
          <cell r="I2918" t="str">
            <v>FOOD SERVICE</v>
          </cell>
          <cell r="J2918" t="str">
            <v>FLAC 3</v>
          </cell>
          <cell r="K2918" t="str">
            <v>LACTALIS</v>
          </cell>
          <cell r="L2918" t="str">
            <v>RODRIGO</v>
          </cell>
          <cell r="M2918" t="str">
            <v>RAQUEL BARBOSA</v>
          </cell>
        </row>
        <row r="2919">
          <cell r="B2919">
            <v>5362876</v>
          </cell>
          <cell r="C2919" t="str">
            <v>SERIDOPLAST ATACADISTA LTDA</v>
          </cell>
          <cell r="D2919" t="str">
            <v>3001</v>
          </cell>
          <cell r="E2919" t="str">
            <v>0028</v>
          </cell>
          <cell r="F2919" t="str">
            <v>C1</v>
          </cell>
          <cell r="G2919" t="str">
            <v>RN</v>
          </cell>
          <cell r="H2919" t="str">
            <v>INGREDIENTS</v>
          </cell>
          <cell r="I2919" t="str">
            <v>INGREDIENTS</v>
          </cell>
          <cell r="J2919" t="str">
            <v>JOEL ELEOTÉRIO</v>
          </cell>
          <cell r="K2919" t="str">
            <v>ITAMBÉ</v>
          </cell>
          <cell r="L2919" t="str">
            <v>MAURICIO</v>
          </cell>
          <cell r="M2919" t="str">
            <v>JOEL</v>
          </cell>
        </row>
        <row r="2920">
          <cell r="B2920">
            <v>5345440</v>
          </cell>
          <cell r="C2920" t="str">
            <v>FORMENTON ATACADISTA DE FRIOS LTDA</v>
          </cell>
          <cell r="D2920" t="str">
            <v>6001</v>
          </cell>
          <cell r="E2920" t="str">
            <v>6125</v>
          </cell>
          <cell r="F2920" t="str">
            <v>C1</v>
          </cell>
          <cell r="G2920" t="str">
            <v>SP</v>
          </cell>
          <cell r="H2920" t="str">
            <v>DISTRIBUIÇÃO</v>
          </cell>
          <cell r="I2920" t="str">
            <v>FOOD SERVICE</v>
          </cell>
          <cell r="J2920" t="str">
            <v>ALEXANDRE BONANI</v>
          </cell>
          <cell r="K2920" t="str">
            <v>ITAMBÉ</v>
          </cell>
          <cell r="L2920" t="str">
            <v>RODRIGO</v>
          </cell>
          <cell r="M2920" t="str">
            <v>ALEXANDRE BONANI</v>
          </cell>
        </row>
        <row r="2921">
          <cell r="B2921">
            <v>5363684</v>
          </cell>
          <cell r="C2921" t="str">
            <v>BAKERY AND MUSIC BOUTIQUE DE PAES L</v>
          </cell>
          <cell r="D2921" t="str">
            <v>7001</v>
          </cell>
          <cell r="E2921" t="str">
            <v>0749</v>
          </cell>
          <cell r="F2921" t="str">
            <v>C5</v>
          </cell>
          <cell r="G2921" t="str">
            <v>SP</v>
          </cell>
          <cell r="H2921" t="str">
            <v>DISTRIBUIÇÃO</v>
          </cell>
          <cell r="I2921" t="str">
            <v>FOOD SERVICE</v>
          </cell>
          <cell r="J2921" t="str">
            <v>FLAC 2</v>
          </cell>
          <cell r="K2921" t="str">
            <v>LACTALIS</v>
          </cell>
          <cell r="L2921" t="str">
            <v>RODRIGO</v>
          </cell>
          <cell r="M2921" t="str">
            <v>RAQUEL BARBOSA</v>
          </cell>
        </row>
        <row r="2922">
          <cell r="B2922">
            <v>5363801</v>
          </cell>
          <cell r="C2922" t="str">
            <v>LOVE SUITES LTDA</v>
          </cell>
          <cell r="D2922" t="str">
            <v>7001</v>
          </cell>
          <cell r="E2922" t="str">
            <v>0749</v>
          </cell>
          <cell r="F2922" t="str">
            <v>C5</v>
          </cell>
          <cell r="G2922" t="str">
            <v>SP</v>
          </cell>
          <cell r="H2922" t="str">
            <v>DISTRIBUIÇÃO</v>
          </cell>
          <cell r="I2922" t="str">
            <v>FOOD SERVICE</v>
          </cell>
          <cell r="J2922" t="str">
            <v>FLAC 6</v>
          </cell>
          <cell r="K2922" t="str">
            <v>LACTALIS</v>
          </cell>
          <cell r="L2922" t="str">
            <v>RODRIGO</v>
          </cell>
          <cell r="M2922" t="str">
            <v>RAQUEL BARBOSA</v>
          </cell>
        </row>
        <row r="2923">
          <cell r="B2923">
            <v>5105392</v>
          </cell>
          <cell r="C2923" t="str">
            <v>PEC COM DE DOCES E ORG DE FESTAS LT</v>
          </cell>
          <cell r="D2923" t="str">
            <v>6001</v>
          </cell>
          <cell r="E2923" t="str">
            <v>6125</v>
          </cell>
          <cell r="F2923" t="str">
            <v>C1</v>
          </cell>
          <cell r="G2923" t="str">
            <v>SP</v>
          </cell>
          <cell r="H2923" t="str">
            <v>DISTRIBUIÇÃO</v>
          </cell>
          <cell r="I2923" t="str">
            <v>FOOD SERVICE</v>
          </cell>
          <cell r="J2923" t="str">
            <v>SP ITB FS FLAC REP.E COMERCIO</v>
          </cell>
          <cell r="K2923" t="str">
            <v>ITAMBÉ</v>
          </cell>
          <cell r="L2923" t="str">
            <v>RODRIGO</v>
          </cell>
          <cell r="M2923" t="str">
            <v>RAQUEL BARBOSA</v>
          </cell>
        </row>
        <row r="2924">
          <cell r="B2924">
            <v>5226511</v>
          </cell>
          <cell r="C2924" t="str">
            <v>CHOCOLATES GAROTO LTDA</v>
          </cell>
          <cell r="D2924" t="str">
            <v>3001</v>
          </cell>
          <cell r="E2924" t="str">
            <v>0028</v>
          </cell>
          <cell r="F2924" t="str">
            <v>C1</v>
          </cell>
          <cell r="G2924" t="str">
            <v>ES</v>
          </cell>
          <cell r="H2924" t="str">
            <v>INGREDIENTS</v>
          </cell>
          <cell r="I2924" t="str">
            <v>INGREDIENTS</v>
          </cell>
          <cell r="J2924" t="str">
            <v>MARCELO RODRIGUES</v>
          </cell>
          <cell r="K2924" t="str">
            <v>ITAMBÉ</v>
          </cell>
          <cell r="L2924" t="str">
            <v>MAURICIO</v>
          </cell>
          <cell r="M2924" t="str">
            <v>MARCELO</v>
          </cell>
        </row>
        <row r="2925">
          <cell r="B2925">
            <v>5233735</v>
          </cell>
          <cell r="C2925" t="str">
            <v>IND MATSUBARA DE PROD ALIMENTIC</v>
          </cell>
          <cell r="D2925" t="str">
            <v>4001</v>
          </cell>
          <cell r="E2925" t="str">
            <v>0437</v>
          </cell>
          <cell r="F2925" t="str">
            <v>C1</v>
          </cell>
          <cell r="G2925" t="str">
            <v>AL</v>
          </cell>
          <cell r="H2925" t="str">
            <v>INGREDIENTS</v>
          </cell>
          <cell r="I2925" t="str">
            <v>INGREDIENTS</v>
          </cell>
          <cell r="J2925" t="str">
            <v>JOEL ELEOTÉRIO</v>
          </cell>
          <cell r="K2925" t="str">
            <v>LACTALIS</v>
          </cell>
          <cell r="L2925" t="str">
            <v>MAURICIO</v>
          </cell>
          <cell r="M2925" t="str">
            <v>JOEL</v>
          </cell>
        </row>
        <row r="2926">
          <cell r="B2926">
            <v>5337960</v>
          </cell>
          <cell r="C2926" t="str">
            <v>ULTRASUCAR LTDA</v>
          </cell>
          <cell r="D2926" t="str">
            <v>4001</v>
          </cell>
          <cell r="E2926" t="str">
            <v>0437</v>
          </cell>
          <cell r="F2926" t="str">
            <v>C1</v>
          </cell>
          <cell r="G2926" t="str">
            <v>SP</v>
          </cell>
          <cell r="H2926" t="str">
            <v>INGREDIENTS</v>
          </cell>
          <cell r="I2926" t="str">
            <v>INGREDIENTS</v>
          </cell>
          <cell r="J2926" t="str">
            <v>MARCELO RODRIGUES</v>
          </cell>
          <cell r="K2926" t="str">
            <v>LACTALIS</v>
          </cell>
          <cell r="L2926" t="str">
            <v>MAURICIO</v>
          </cell>
          <cell r="M2926" t="str">
            <v>MARCELO</v>
          </cell>
        </row>
        <row r="2927">
          <cell r="B2927">
            <v>5347103</v>
          </cell>
          <cell r="C2927" t="str">
            <v>DUBALY INDUSTRIA E COMERCIO</v>
          </cell>
          <cell r="D2927" t="str">
            <v>4001</v>
          </cell>
          <cell r="E2927" t="str">
            <v>0458</v>
          </cell>
          <cell r="F2927" t="str">
            <v>C1</v>
          </cell>
          <cell r="G2927" t="str">
            <v>MG</v>
          </cell>
          <cell r="H2927" t="str">
            <v>INGREDIENTS</v>
          </cell>
          <cell r="I2927" t="str">
            <v>INGREDIENTS</v>
          </cell>
          <cell r="J2927" t="str">
            <v>MARCELO RODRIGUES</v>
          </cell>
          <cell r="K2927" t="str">
            <v>LACTALIS</v>
          </cell>
          <cell r="L2927" t="str">
            <v>MAURICIO</v>
          </cell>
          <cell r="M2927" t="str">
            <v>MARCELO</v>
          </cell>
        </row>
        <row r="2928">
          <cell r="B2928">
            <v>5002549</v>
          </cell>
          <cell r="C2928" t="str">
            <v>SERVCATER INTERNACIONAL LTDA</v>
          </cell>
          <cell r="D2928" t="str">
            <v>3001</v>
          </cell>
          <cell r="E2928" t="str">
            <v>0028</v>
          </cell>
          <cell r="F2928" t="str">
            <v>C1</v>
          </cell>
          <cell r="G2928" t="str">
            <v>SP</v>
          </cell>
          <cell r="H2928" t="str">
            <v>QSR</v>
          </cell>
          <cell r="I2928" t="str">
            <v>FOOD SERVICE</v>
          </cell>
          <cell r="J2928" t="str">
            <v>ANA MENIQUETE</v>
          </cell>
          <cell r="K2928" t="str">
            <v>ITAMBÉ</v>
          </cell>
          <cell r="L2928" t="str">
            <v>PEDRO</v>
          </cell>
          <cell r="M2928" t="str">
            <v>ANA MENIQUETE</v>
          </cell>
        </row>
        <row r="2929">
          <cell r="B2929">
            <v>5006419</v>
          </cell>
          <cell r="C2929" t="str">
            <v>NUTRIFAZ CESTA LTDA EPP</v>
          </cell>
          <cell r="D2929" t="str">
            <v>6001</v>
          </cell>
          <cell r="E2929" t="str">
            <v>0122</v>
          </cell>
          <cell r="F2929" t="str">
            <v>C1</v>
          </cell>
          <cell r="G2929" t="str">
            <v>MG</v>
          </cell>
          <cell r="H2929" t="str">
            <v>DISTRIBUIÇÃO</v>
          </cell>
          <cell r="I2929" t="str">
            <v>FOOD SERVICE</v>
          </cell>
          <cell r="J2929" t="str">
            <v>MARCELO SILVA</v>
          </cell>
          <cell r="K2929" t="str">
            <v>ITAMBÉ</v>
          </cell>
          <cell r="L2929" t="str">
            <v>RODRIGO</v>
          </cell>
          <cell r="M2929" t="str">
            <v>CELIO MARTINS</v>
          </cell>
        </row>
        <row r="2930">
          <cell r="B2930">
            <v>5006978</v>
          </cell>
          <cell r="C2930" t="str">
            <v>DISTRIBUIDORA E IMP IRMAOS AVELINO</v>
          </cell>
          <cell r="D2930" t="str">
            <v>3001</v>
          </cell>
          <cell r="E2930" t="str">
            <v>6125</v>
          </cell>
          <cell r="F2930" t="str">
            <v>C1</v>
          </cell>
          <cell r="G2930" t="str">
            <v>SP</v>
          </cell>
          <cell r="H2930" t="str">
            <v>DISTRIBUIÇÃO</v>
          </cell>
          <cell r="I2930" t="str">
            <v>FOOD SERVICE</v>
          </cell>
          <cell r="J2930" t="str">
            <v>RAQUEL BARBOSA</v>
          </cell>
          <cell r="K2930" t="str">
            <v>ITAMBÉ</v>
          </cell>
          <cell r="L2930" t="str">
            <v>RODRIGO</v>
          </cell>
          <cell r="M2930" t="str">
            <v>RAQUEL BARBOSA</v>
          </cell>
        </row>
        <row r="2931">
          <cell r="B2931">
            <v>5009122</v>
          </cell>
          <cell r="C2931" t="str">
            <v>ROTTA DISTRI DE ALIMENTOS LTDA</v>
          </cell>
          <cell r="D2931" t="str">
            <v>6001</v>
          </cell>
          <cell r="E2931" t="str">
            <v>0126</v>
          </cell>
          <cell r="F2931" t="str">
            <v>C1</v>
          </cell>
          <cell r="G2931" t="str">
            <v>PR</v>
          </cell>
          <cell r="H2931" t="str">
            <v>DISTRIBUIÇÃO</v>
          </cell>
          <cell r="I2931" t="str">
            <v>FOOD SERVICE</v>
          </cell>
          <cell r="J2931" t="str">
            <v>ANGELICA BATISTELA</v>
          </cell>
          <cell r="K2931" t="str">
            <v>ITAMBÉ</v>
          </cell>
          <cell r="L2931" t="str">
            <v>RODRIGO</v>
          </cell>
          <cell r="M2931" t="str">
            <v>ANGELICA BATISTELA</v>
          </cell>
        </row>
        <row r="2932">
          <cell r="B2932">
            <v>5009420</v>
          </cell>
          <cell r="C2932" t="str">
            <v>BASF SA</v>
          </cell>
          <cell r="D2932" t="str">
            <v>3001</v>
          </cell>
          <cell r="E2932" t="str">
            <v>6028</v>
          </cell>
          <cell r="F2932" t="str">
            <v>C1</v>
          </cell>
          <cell r="G2932" t="str">
            <v>SP</v>
          </cell>
          <cell r="H2932" t="str">
            <v>INGREDIENTS</v>
          </cell>
          <cell r="I2932" t="str">
            <v>INGREDIENTS</v>
          </cell>
          <cell r="J2932" t="str">
            <v>HENRIQUE FERREIRA</v>
          </cell>
          <cell r="K2932" t="str">
            <v>ITAMBÉ</v>
          </cell>
          <cell r="L2932" t="str">
            <v>MAURICIO</v>
          </cell>
          <cell r="M2932" t="str">
            <v>JOEL</v>
          </cell>
        </row>
        <row r="2933">
          <cell r="B2933">
            <v>5011709</v>
          </cell>
          <cell r="C2933" t="str">
            <v>COM E REPRESENTACOES CECOTI LTDA</v>
          </cell>
          <cell r="D2933" t="str">
            <v>6001</v>
          </cell>
          <cell r="E2933" t="str">
            <v>0122</v>
          </cell>
          <cell r="F2933" t="str">
            <v>C1</v>
          </cell>
          <cell r="G2933" t="str">
            <v>MG</v>
          </cell>
          <cell r="H2933" t="str">
            <v>DISTRIBUIÇÃO</v>
          </cell>
          <cell r="I2933" t="str">
            <v>FOOD SERVICE</v>
          </cell>
          <cell r="J2933" t="str">
            <v>CELIO MARTINS</v>
          </cell>
          <cell r="K2933" t="str">
            <v>ITAMBÉ</v>
          </cell>
          <cell r="L2933" t="str">
            <v>RODRIGO</v>
          </cell>
          <cell r="M2933" t="str">
            <v>CELIO MARTINS</v>
          </cell>
        </row>
        <row r="2934">
          <cell r="B2934">
            <v>5012641</v>
          </cell>
          <cell r="C2934" t="str">
            <v>COM LOURO DE FRIOS E SALGADOS LTDA</v>
          </cell>
          <cell r="D2934" t="str">
            <v>3001</v>
          </cell>
          <cell r="E2934" t="str">
            <v>6125</v>
          </cell>
          <cell r="F2934" t="str">
            <v>C1</v>
          </cell>
          <cell r="G2934" t="str">
            <v>SP</v>
          </cell>
          <cell r="H2934" t="str">
            <v>DISTRIBUIÇÃO</v>
          </cell>
          <cell r="I2934" t="str">
            <v>FOOD SERVICE</v>
          </cell>
          <cell r="J2934" t="str">
            <v>GUILHERME NASCIMENTO</v>
          </cell>
          <cell r="K2934" t="str">
            <v>ITAMBÉ</v>
          </cell>
          <cell r="L2934" t="str">
            <v>RODRIGO</v>
          </cell>
          <cell r="M2934" t="str">
            <v>ALEXANDRO</v>
          </cell>
        </row>
        <row r="2935">
          <cell r="B2935">
            <v>5013871</v>
          </cell>
          <cell r="C2935" t="str">
            <v>DESCARTEL DISTRIBUIDORA LTDA ME</v>
          </cell>
          <cell r="D2935" t="str">
            <v>6001</v>
          </cell>
          <cell r="E2935" t="str">
            <v>0122</v>
          </cell>
          <cell r="F2935" t="str">
            <v>C1</v>
          </cell>
          <cell r="G2935" t="str">
            <v>MG</v>
          </cell>
          <cell r="H2935" t="str">
            <v>DISTRIBUIÇÃO</v>
          </cell>
          <cell r="I2935" t="str">
            <v>FOOD SERVICE</v>
          </cell>
          <cell r="J2935" t="str">
            <v>MARCELO SILVA</v>
          </cell>
          <cell r="K2935" t="str">
            <v>ITAMBÉ</v>
          </cell>
          <cell r="L2935" t="str">
            <v>RODRIGO</v>
          </cell>
          <cell r="M2935" t="str">
            <v>CELIO MARTINS</v>
          </cell>
        </row>
        <row r="2936">
          <cell r="B2936">
            <v>5014910</v>
          </cell>
          <cell r="C2936" t="str">
            <v>ESTORIL SOL FESTAS E DOCES LTDA</v>
          </cell>
          <cell r="D2936" t="str">
            <v>3001</v>
          </cell>
          <cell r="E2936" t="str">
            <v>6125</v>
          </cell>
          <cell r="F2936" t="str">
            <v>C1</v>
          </cell>
          <cell r="G2936" t="str">
            <v>SP</v>
          </cell>
          <cell r="H2936" t="str">
            <v>DISTRIBUIÇÃO</v>
          </cell>
          <cell r="I2936" t="str">
            <v>FOOD SERVICE</v>
          </cell>
          <cell r="J2936" t="str">
            <v>SP ITB FS FLAC REP.E COMERCIO</v>
          </cell>
          <cell r="K2936" t="str">
            <v>ITAMBÉ</v>
          </cell>
          <cell r="L2936" t="str">
            <v>RODRIGO</v>
          </cell>
          <cell r="M2936" t="str">
            <v>RAQUEL BARBOSA</v>
          </cell>
        </row>
        <row r="2937">
          <cell r="B2937">
            <v>5015262</v>
          </cell>
          <cell r="C2937" t="str">
            <v>CENTRO COMERCIAL DE ALIMENTOS LTDA</v>
          </cell>
          <cell r="D2937" t="str">
            <v>6001</v>
          </cell>
          <cell r="E2937" t="str">
            <v>0126</v>
          </cell>
          <cell r="F2937" t="str">
            <v>C1</v>
          </cell>
          <cell r="G2937" t="str">
            <v>SC</v>
          </cell>
          <cell r="H2937" t="str">
            <v>DISTRIBUIÇÃO</v>
          </cell>
          <cell r="I2937" t="str">
            <v>FOOD SERVICE</v>
          </cell>
          <cell r="J2937" t="str">
            <v>ANGELICA BATISTELA</v>
          </cell>
          <cell r="K2937" t="str">
            <v>ITAMBÉ</v>
          </cell>
          <cell r="L2937" t="str">
            <v>RODRIGO</v>
          </cell>
          <cell r="M2937" t="str">
            <v>ANGELICA BATISTELA</v>
          </cell>
        </row>
        <row r="2938">
          <cell r="B2938">
            <v>5017576</v>
          </cell>
          <cell r="C2938" t="str">
            <v>COMERCIAL DISKPAN LTDA</v>
          </cell>
          <cell r="D2938" t="str">
            <v>3001</v>
          </cell>
          <cell r="E2938" t="str">
            <v>6169</v>
          </cell>
          <cell r="F2938" t="str">
            <v>C1</v>
          </cell>
          <cell r="G2938" t="str">
            <v>ES</v>
          </cell>
          <cell r="H2938" t="str">
            <v>DISTRIBUIÇÃO</v>
          </cell>
          <cell r="I2938" t="str">
            <v>FOOD SERVICE</v>
          </cell>
          <cell r="J2938" t="str">
            <v>MARCELO DUARTE</v>
          </cell>
          <cell r="K2938" t="str">
            <v>ITAMBÉ</v>
          </cell>
          <cell r="L2938" t="str">
            <v>RODRIGO</v>
          </cell>
          <cell r="M2938" t="str">
            <v>JESSICA</v>
          </cell>
        </row>
        <row r="2939">
          <cell r="B2939">
            <v>5019640</v>
          </cell>
          <cell r="C2939" t="str">
            <v>BIG CHURROS DE PIRACICABA LTDA</v>
          </cell>
          <cell r="D2939" t="str">
            <v>3001</v>
          </cell>
          <cell r="E2939" t="str">
            <v>6028</v>
          </cell>
          <cell r="F2939" t="str">
            <v>C1</v>
          </cell>
          <cell r="G2939" t="str">
            <v>SP</v>
          </cell>
          <cell r="H2939" t="str">
            <v>INGREDIENTS</v>
          </cell>
          <cell r="I2939" t="str">
            <v>INGREDIENTS</v>
          </cell>
          <cell r="J2939" t="str">
            <v>HENRIQUE FERREIRA</v>
          </cell>
          <cell r="K2939" t="str">
            <v>ITAMBÉ</v>
          </cell>
          <cell r="L2939" t="str">
            <v>MAURICIO</v>
          </cell>
          <cell r="M2939" t="str">
            <v>JOEL</v>
          </cell>
        </row>
        <row r="2940">
          <cell r="B2940">
            <v>5021079</v>
          </cell>
          <cell r="C2940" t="str">
            <v>MARIANGELA BUFFET LTDA</v>
          </cell>
          <cell r="D2940" t="str">
            <v>6001</v>
          </cell>
          <cell r="E2940" t="str">
            <v>0122</v>
          </cell>
          <cell r="F2940" t="str">
            <v>C1</v>
          </cell>
          <cell r="G2940" t="str">
            <v>MG</v>
          </cell>
          <cell r="H2940" t="str">
            <v>QSR</v>
          </cell>
          <cell r="I2940" t="str">
            <v>FOOD SERVICE</v>
          </cell>
          <cell r="J2940" t="str">
            <v>NUTRI</v>
          </cell>
          <cell r="K2940" t="str">
            <v>ITAMBÉ</v>
          </cell>
          <cell r="L2940" t="str">
            <v>PEDRO</v>
          </cell>
          <cell r="M2940" t="str">
            <v>VAGO QSR</v>
          </cell>
        </row>
        <row r="2941">
          <cell r="B2941">
            <v>5022847</v>
          </cell>
          <cell r="C2941" t="str">
            <v>CHOCOLIDER COM EMBALAGENS LTDA EPP</v>
          </cell>
          <cell r="D2941" t="str">
            <v>3001</v>
          </cell>
          <cell r="E2941" t="str">
            <v>6125</v>
          </cell>
          <cell r="F2941" t="str">
            <v>C1</v>
          </cell>
          <cell r="G2941" t="str">
            <v>SP</v>
          </cell>
          <cell r="H2941" t="str">
            <v>DISTRIBUIÇÃO</v>
          </cell>
          <cell r="I2941" t="str">
            <v>FOOD SERVICE</v>
          </cell>
          <cell r="J2941" t="str">
            <v>SP ITB FS FLAC REP.E COMERCIO</v>
          </cell>
          <cell r="K2941" t="str">
            <v>ITAMBÉ</v>
          </cell>
          <cell r="L2941" t="str">
            <v>RODRIGO</v>
          </cell>
          <cell r="M2941" t="str">
            <v>RAQUEL BARBOSA</v>
          </cell>
        </row>
        <row r="2942">
          <cell r="B2942">
            <v>5023870</v>
          </cell>
          <cell r="C2942" t="str">
            <v>GOLD INDUSTRIA E COMERCIO LTDA</v>
          </cell>
          <cell r="D2942" t="str">
            <v>6001</v>
          </cell>
          <cell r="E2942" t="str">
            <v>0126</v>
          </cell>
          <cell r="F2942" t="str">
            <v>C1</v>
          </cell>
          <cell r="G2942" t="str">
            <v>PR</v>
          </cell>
          <cell r="H2942" t="str">
            <v>DISTRIBUIÇÃO</v>
          </cell>
          <cell r="I2942" t="str">
            <v>FOOD SERVICE</v>
          </cell>
          <cell r="J2942" t="str">
            <v>ANGELICA BATISTELA</v>
          </cell>
          <cell r="K2942" t="str">
            <v>ITAMBÉ</v>
          </cell>
          <cell r="L2942" t="str">
            <v>RODRIGO</v>
          </cell>
          <cell r="M2942" t="str">
            <v>ANGELICA BATISTELA</v>
          </cell>
        </row>
        <row r="2943">
          <cell r="B2943">
            <v>5024011</v>
          </cell>
          <cell r="C2943" t="str">
            <v>M C MORAES ME</v>
          </cell>
          <cell r="D2943" t="str">
            <v>3001</v>
          </cell>
          <cell r="E2943" t="str">
            <v>6169</v>
          </cell>
          <cell r="F2943" t="str">
            <v>C1</v>
          </cell>
          <cell r="G2943" t="str">
            <v>ES</v>
          </cell>
          <cell r="H2943" t="str">
            <v>DISTRIBUIÇÃO</v>
          </cell>
          <cell r="I2943" t="str">
            <v>FOOD SERVICE</v>
          </cell>
          <cell r="J2943" t="str">
            <v>MARCELO DUARTE</v>
          </cell>
          <cell r="K2943" t="str">
            <v>ITAMBÉ</v>
          </cell>
          <cell r="L2943" t="str">
            <v>RODRIGO</v>
          </cell>
          <cell r="M2943" t="str">
            <v>JESSICA</v>
          </cell>
        </row>
        <row r="2944">
          <cell r="B2944">
            <v>5024950</v>
          </cell>
          <cell r="C2944" t="str">
            <v>DUAS RODAS INDUSTRIAL LTDA</v>
          </cell>
          <cell r="D2944" t="str">
            <v>6001</v>
          </cell>
          <cell r="E2944" t="str">
            <v>0126</v>
          </cell>
          <cell r="F2944" t="str">
            <v>C1</v>
          </cell>
          <cell r="G2944" t="str">
            <v>SC</v>
          </cell>
          <cell r="H2944" t="str">
            <v>INGREDIENTS</v>
          </cell>
          <cell r="I2944" t="str">
            <v>INGREDIENTS</v>
          </cell>
          <cell r="J2944" t="str">
            <v>MARCELO RODRIGUES</v>
          </cell>
          <cell r="K2944" t="str">
            <v>ITAMBÉ</v>
          </cell>
          <cell r="L2944" t="str">
            <v>MAURICIO</v>
          </cell>
          <cell r="M2944" t="str">
            <v>MARCELO</v>
          </cell>
        </row>
        <row r="2945">
          <cell r="B2945">
            <v>5026400</v>
          </cell>
          <cell r="C2945" t="str">
            <v>FERMISUL FERMENTOSE PROD PARA PANIF</v>
          </cell>
          <cell r="D2945" t="str">
            <v>6001</v>
          </cell>
          <cell r="E2945" t="str">
            <v>0126</v>
          </cell>
          <cell r="F2945" t="str">
            <v>C1</v>
          </cell>
          <cell r="G2945" t="str">
            <v>PR</v>
          </cell>
          <cell r="H2945" t="str">
            <v>DISTRIBUIÇÃO</v>
          </cell>
          <cell r="I2945" t="str">
            <v>FOOD SERVICE</v>
          </cell>
          <cell r="J2945" t="str">
            <v>ANGELICA BATISTELA</v>
          </cell>
          <cell r="K2945" t="str">
            <v>ITAMBÉ</v>
          </cell>
          <cell r="L2945" t="str">
            <v>RODRIGO</v>
          </cell>
          <cell r="M2945" t="str">
            <v>ANGELICA BATISTELA</v>
          </cell>
        </row>
        <row r="2946">
          <cell r="B2946">
            <v>5026768</v>
          </cell>
          <cell r="C2946" t="str">
            <v>FORTALI DIST DE ALIMENTOS LTDA</v>
          </cell>
          <cell r="D2946" t="str">
            <v>3001</v>
          </cell>
          <cell r="E2946" t="str">
            <v>6127</v>
          </cell>
          <cell r="F2946" t="str">
            <v>C1</v>
          </cell>
          <cell r="G2946" t="str">
            <v>CE</v>
          </cell>
          <cell r="H2946" t="str">
            <v>DISTRIBUIÇÃO</v>
          </cell>
          <cell r="I2946" t="str">
            <v>FOOD SERVICE</v>
          </cell>
          <cell r="J2946" t="str">
            <v>WH FOOD SERVICE CE</v>
          </cell>
          <cell r="K2946" t="str">
            <v>ITAMBÉ</v>
          </cell>
          <cell r="L2946" t="str">
            <v>RODRIGO</v>
          </cell>
          <cell r="M2946" t="str">
            <v>MARIA LOURDES</v>
          </cell>
        </row>
        <row r="2947">
          <cell r="B2947">
            <v>5026855</v>
          </cell>
          <cell r="C2947" t="str">
            <v>SIBELE ALIMENTOS LTDA</v>
          </cell>
          <cell r="D2947" t="str">
            <v>6001</v>
          </cell>
          <cell r="E2947" t="str">
            <v>0028</v>
          </cell>
          <cell r="F2947" t="str">
            <v>C1</v>
          </cell>
          <cell r="G2947" t="str">
            <v>MG</v>
          </cell>
          <cell r="H2947" t="str">
            <v>INGREDIENTS</v>
          </cell>
          <cell r="I2947" t="str">
            <v>INGREDIENTS</v>
          </cell>
          <cell r="J2947" t="str">
            <v>HENRIQUE FERREIRA</v>
          </cell>
          <cell r="K2947" t="str">
            <v>ITAMBÉ</v>
          </cell>
          <cell r="L2947" t="str">
            <v>MAURICIO</v>
          </cell>
          <cell r="M2947" t="str">
            <v>JOEL</v>
          </cell>
        </row>
        <row r="2948">
          <cell r="B2948">
            <v>5027769</v>
          </cell>
          <cell r="C2948" t="str">
            <v>TAPIOCARIA DE ITAPUA LTDA ME</v>
          </cell>
          <cell r="D2948" t="str">
            <v>3001</v>
          </cell>
          <cell r="E2948" t="str">
            <v>6127</v>
          </cell>
          <cell r="F2948" t="str">
            <v>C1</v>
          </cell>
          <cell r="G2948" t="str">
            <v>BA</v>
          </cell>
          <cell r="H2948" t="str">
            <v>DISTRIBUIÇÃO</v>
          </cell>
          <cell r="I2948" t="str">
            <v>FOOD SERVICE</v>
          </cell>
          <cell r="J2948" t="str">
            <v>CLAUDIO JORGE/LUIZ</v>
          </cell>
          <cell r="K2948" t="str">
            <v>ITAMBÉ</v>
          </cell>
          <cell r="L2948" t="str">
            <v>RODRIGO</v>
          </cell>
          <cell r="M2948" t="str">
            <v>MARIA LOURDES</v>
          </cell>
        </row>
        <row r="2949">
          <cell r="B2949">
            <v>5041698</v>
          </cell>
          <cell r="C2949" t="str">
            <v>REFFEL PRODUTOS ALIMENTICIOS LT</v>
          </cell>
          <cell r="D2949" t="str">
            <v>3001</v>
          </cell>
          <cell r="E2949" t="str">
            <v>0125</v>
          </cell>
          <cell r="F2949" t="str">
            <v>C1</v>
          </cell>
          <cell r="G2949" t="str">
            <v>SP</v>
          </cell>
          <cell r="H2949" t="str">
            <v>INGREDIENTS</v>
          </cell>
          <cell r="I2949" t="str">
            <v>INGREDIENTS</v>
          </cell>
          <cell r="J2949" t="str">
            <v>HENRIQUE FERREIRA</v>
          </cell>
          <cell r="K2949" t="str">
            <v>ITAMBÉ</v>
          </cell>
          <cell r="L2949" t="str">
            <v>MAURICIO</v>
          </cell>
          <cell r="M2949" t="str">
            <v>JOEL</v>
          </cell>
        </row>
        <row r="2950">
          <cell r="B2950">
            <v>5043271</v>
          </cell>
          <cell r="C2950" t="str">
            <v>DOCES RICCO LTDA</v>
          </cell>
          <cell r="D2950" t="str">
            <v>6001</v>
          </cell>
          <cell r="E2950" t="str">
            <v>0028</v>
          </cell>
          <cell r="F2950" t="str">
            <v>C1</v>
          </cell>
          <cell r="G2950" t="str">
            <v>MG</v>
          </cell>
          <cell r="H2950" t="str">
            <v>INGREDIENTS</v>
          </cell>
          <cell r="I2950" t="str">
            <v>INGREDIENTS</v>
          </cell>
          <cell r="J2950" t="str">
            <v>JOEL ELEOTÉRIO</v>
          </cell>
          <cell r="K2950" t="str">
            <v>ITAMBÉ</v>
          </cell>
          <cell r="L2950" t="str">
            <v>MAURICIO</v>
          </cell>
          <cell r="M2950" t="str">
            <v>JOEL</v>
          </cell>
        </row>
        <row r="2951">
          <cell r="B2951">
            <v>5044784</v>
          </cell>
          <cell r="C2951" t="str">
            <v>BOZZETTI COMERCIO DE DOCES LTDA</v>
          </cell>
          <cell r="D2951" t="str">
            <v>3001</v>
          </cell>
          <cell r="E2951" t="str">
            <v>0169</v>
          </cell>
          <cell r="F2951" t="str">
            <v>C1</v>
          </cell>
          <cell r="G2951" t="str">
            <v>ES</v>
          </cell>
          <cell r="H2951" t="str">
            <v>DISTRIBUIÇÃO</v>
          </cell>
          <cell r="I2951" t="str">
            <v>FOOD SERVICE</v>
          </cell>
          <cell r="J2951" t="str">
            <v>MARCELO DUARTE</v>
          </cell>
          <cell r="K2951" t="str">
            <v>ITAMBÉ</v>
          </cell>
          <cell r="L2951" t="str">
            <v>RODRIGO</v>
          </cell>
          <cell r="M2951" t="str">
            <v>JESSICA</v>
          </cell>
        </row>
        <row r="2952">
          <cell r="B2952">
            <v>5051163</v>
          </cell>
          <cell r="C2952" t="str">
            <v>COOK EMPREENDIMENTOS EM ALIM COLETI</v>
          </cell>
          <cell r="D2952" t="str">
            <v>6001</v>
          </cell>
          <cell r="E2952" t="str">
            <v>0122</v>
          </cell>
          <cell r="F2952" t="str">
            <v>C1</v>
          </cell>
          <cell r="G2952" t="str">
            <v>MG</v>
          </cell>
          <cell r="H2952" t="str">
            <v>DISTRIBUIÇÃO</v>
          </cell>
          <cell r="I2952" t="str">
            <v>FOOD SERVICE</v>
          </cell>
          <cell r="J2952" t="str">
            <v>MARCELO SILVA</v>
          </cell>
          <cell r="K2952" t="str">
            <v>ITAMBÉ</v>
          </cell>
          <cell r="L2952" t="str">
            <v>RODRIGO</v>
          </cell>
          <cell r="M2952" t="str">
            <v>CELIO MARTINS</v>
          </cell>
        </row>
        <row r="2953">
          <cell r="B2953">
            <v>5059971</v>
          </cell>
          <cell r="C2953" t="str">
            <v>GATE GOURMET LT</v>
          </cell>
          <cell r="D2953" t="str">
            <v>3001</v>
          </cell>
          <cell r="E2953" t="str">
            <v>6125</v>
          </cell>
          <cell r="F2953" t="str">
            <v>C1</v>
          </cell>
          <cell r="G2953" t="str">
            <v>SP</v>
          </cell>
          <cell r="H2953" t="str">
            <v>QSR</v>
          </cell>
          <cell r="I2953" t="str">
            <v>FOOD SERVICE</v>
          </cell>
          <cell r="J2953" t="str">
            <v>ANA MENIQUETE</v>
          </cell>
          <cell r="K2953" t="str">
            <v>ITAMBÉ</v>
          </cell>
          <cell r="L2953" t="str">
            <v>PEDRO</v>
          </cell>
          <cell r="M2953" t="str">
            <v>ANA MENIQUETE</v>
          </cell>
        </row>
        <row r="2954">
          <cell r="B2954">
            <v>5068894</v>
          </cell>
          <cell r="C2954" t="str">
            <v>ESDEL COM PRODUTOS ALIMENTARES</v>
          </cell>
          <cell r="D2954" t="str">
            <v>6001</v>
          </cell>
          <cell r="E2954" t="str">
            <v>0028</v>
          </cell>
          <cell r="F2954" t="str">
            <v>C1</v>
          </cell>
          <cell r="G2954" t="str">
            <v>PR</v>
          </cell>
          <cell r="H2954" t="str">
            <v>INGREDIENTS</v>
          </cell>
          <cell r="I2954" t="str">
            <v>INGREDIENTS</v>
          </cell>
          <cell r="J2954" t="str">
            <v>MARCELO RODRIGUES</v>
          </cell>
          <cell r="K2954" t="str">
            <v>ITAMBÉ</v>
          </cell>
          <cell r="L2954" t="str">
            <v>MAURICIO</v>
          </cell>
          <cell r="M2954" t="str">
            <v>MARCELO</v>
          </cell>
        </row>
        <row r="2955">
          <cell r="B2955">
            <v>5070522</v>
          </cell>
          <cell r="C2955" t="str">
            <v>WEA COM DE PROD DE PANIF LTDA</v>
          </cell>
          <cell r="D2955" t="str">
            <v>3001</v>
          </cell>
          <cell r="E2955" t="str">
            <v>6125</v>
          </cell>
          <cell r="F2955" t="str">
            <v>C1</v>
          </cell>
          <cell r="G2955" t="str">
            <v>SP</v>
          </cell>
          <cell r="H2955" t="str">
            <v>DISTRIBUIÇÃO</v>
          </cell>
          <cell r="I2955" t="str">
            <v>FOOD SERVICE</v>
          </cell>
          <cell r="J2955" t="str">
            <v>GUILHERME NASCIMENTO</v>
          </cell>
          <cell r="K2955" t="str">
            <v>ITAMBÉ</v>
          </cell>
          <cell r="L2955" t="str">
            <v>RODRIGO</v>
          </cell>
          <cell r="M2955" t="str">
            <v>ALEXANDRO</v>
          </cell>
        </row>
        <row r="2956">
          <cell r="B2956">
            <v>5084421</v>
          </cell>
          <cell r="C2956" t="str">
            <v>BONOTTO E COSTA COM ALIMENTOS L</v>
          </cell>
          <cell r="D2956" t="str">
            <v>6001</v>
          </cell>
          <cell r="E2956" t="str">
            <v>0126</v>
          </cell>
          <cell r="F2956" t="str">
            <v>C1</v>
          </cell>
          <cell r="G2956" t="str">
            <v>RS</v>
          </cell>
          <cell r="H2956" t="str">
            <v>DISTRIBUIÇÃO</v>
          </cell>
          <cell r="I2956" t="str">
            <v>FOOD SERVICE</v>
          </cell>
          <cell r="J2956" t="str">
            <v>ANGELICA BATISTELA</v>
          </cell>
          <cell r="K2956" t="str">
            <v>ITAMBÉ</v>
          </cell>
          <cell r="L2956" t="str">
            <v>RODRIGO</v>
          </cell>
          <cell r="M2956" t="str">
            <v>ANGELICA BATISTELA</v>
          </cell>
        </row>
        <row r="2957">
          <cell r="B2957">
            <v>5086953</v>
          </cell>
          <cell r="C2957" t="str">
            <v>MABE ALIMENTOS LTDA</v>
          </cell>
          <cell r="D2957" t="str">
            <v>3001</v>
          </cell>
          <cell r="E2957" t="str">
            <v>6028</v>
          </cell>
          <cell r="F2957" t="str">
            <v>C1</v>
          </cell>
          <cell r="G2957" t="str">
            <v>SP</v>
          </cell>
          <cell r="H2957" t="str">
            <v>INGREDIENTS</v>
          </cell>
          <cell r="I2957" t="str">
            <v>INGREDIENTS</v>
          </cell>
          <cell r="J2957" t="str">
            <v>JOEL ELEOTÉRIO</v>
          </cell>
          <cell r="K2957" t="str">
            <v>ITAMBÉ</v>
          </cell>
          <cell r="L2957" t="str">
            <v>MAURICIO</v>
          </cell>
          <cell r="M2957" t="str">
            <v>JOEL</v>
          </cell>
        </row>
        <row r="2958">
          <cell r="B2958">
            <v>5115814</v>
          </cell>
          <cell r="C2958" t="str">
            <v>HAND BAKER DIST DE PROD P PANIF EIR</v>
          </cell>
          <cell r="D2958" t="str">
            <v>3001</v>
          </cell>
          <cell r="E2958" t="str">
            <v>6169</v>
          </cell>
          <cell r="F2958" t="str">
            <v>C1</v>
          </cell>
          <cell r="G2958" t="str">
            <v>RJ</v>
          </cell>
          <cell r="H2958" t="str">
            <v>DISTRIBUIÇÃO</v>
          </cell>
          <cell r="I2958" t="str">
            <v>FOOD SERVICE</v>
          </cell>
          <cell r="J2958" t="str">
            <v>JULIANA CORDEIRO</v>
          </cell>
          <cell r="K2958" t="str">
            <v>ITAMBÉ</v>
          </cell>
          <cell r="L2958" t="str">
            <v>RODRIGO</v>
          </cell>
          <cell r="M2958" t="str">
            <v>JESSICA</v>
          </cell>
        </row>
        <row r="2959">
          <cell r="B2959">
            <v>5119520</v>
          </cell>
          <cell r="C2959" t="str">
            <v>CIA BEAL DE ALIMENTOS</v>
          </cell>
          <cell r="D2959" t="str">
            <v>6001</v>
          </cell>
          <cell r="E2959" t="str">
            <v>0126</v>
          </cell>
          <cell r="F2959" t="str">
            <v>C1</v>
          </cell>
          <cell r="G2959" t="str">
            <v>PR</v>
          </cell>
          <cell r="H2959" t="str">
            <v>QSR</v>
          </cell>
          <cell r="I2959" t="str">
            <v>FOOD SERVICE</v>
          </cell>
          <cell r="J2959" t="str">
            <v>VAGO QSR</v>
          </cell>
          <cell r="K2959" t="str">
            <v>ITAMBÉ</v>
          </cell>
          <cell r="L2959" t="str">
            <v>PEDRO</v>
          </cell>
          <cell r="M2959" t="str">
            <v>VAGO QSR</v>
          </cell>
        </row>
        <row r="2960">
          <cell r="B2960">
            <v>5127549</v>
          </cell>
          <cell r="C2960" t="str">
            <v>SECOMANDI IND E COM DE SORVETES LTD</v>
          </cell>
          <cell r="D2960" t="str">
            <v>3001</v>
          </cell>
          <cell r="E2960" t="str">
            <v>6028</v>
          </cell>
          <cell r="F2960" t="str">
            <v>C1</v>
          </cell>
          <cell r="G2960" t="str">
            <v>ES</v>
          </cell>
          <cell r="H2960" t="str">
            <v>INGREDIENTS</v>
          </cell>
          <cell r="I2960" t="str">
            <v>INGREDIENTS</v>
          </cell>
          <cell r="J2960" t="str">
            <v>HENRIQUE FERREIRA</v>
          </cell>
          <cell r="K2960" t="str">
            <v>ITAMBÉ</v>
          </cell>
          <cell r="L2960" t="str">
            <v>MAURICIO</v>
          </cell>
          <cell r="M2960" t="str">
            <v>JOEL</v>
          </cell>
        </row>
        <row r="2961">
          <cell r="B2961">
            <v>5131228</v>
          </cell>
          <cell r="C2961" t="str">
            <v>POLENGHI INDUSTRIAS ALIMS LTDA</v>
          </cell>
          <cell r="D2961" t="str">
            <v>6001</v>
          </cell>
          <cell r="E2961" t="str">
            <v>0028</v>
          </cell>
          <cell r="F2961" t="str">
            <v>C1</v>
          </cell>
          <cell r="G2961" t="str">
            <v>GO</v>
          </cell>
          <cell r="H2961" t="str">
            <v>INGREDIENTS</v>
          </cell>
          <cell r="I2961" t="str">
            <v>INGREDIENTS</v>
          </cell>
          <cell r="J2961" t="str">
            <v>TATIANA NITTA</v>
          </cell>
          <cell r="K2961" t="str">
            <v>ITAMBÉ</v>
          </cell>
          <cell r="L2961" t="str">
            <v>MAURICIO</v>
          </cell>
          <cell r="M2961" t="str">
            <v>TATIANA NITTA</v>
          </cell>
        </row>
        <row r="2962">
          <cell r="B2962">
            <v>5134556</v>
          </cell>
          <cell r="C2962" t="str">
            <v>S P PRODUTOS LTDA</v>
          </cell>
          <cell r="D2962" t="str">
            <v>3001</v>
          </cell>
          <cell r="E2962" t="str">
            <v>6169</v>
          </cell>
          <cell r="F2962" t="str">
            <v>C1</v>
          </cell>
          <cell r="G2962" t="str">
            <v>ES</v>
          </cell>
          <cell r="H2962" t="str">
            <v>DISTRIBUIÇÃO</v>
          </cell>
          <cell r="I2962" t="str">
            <v>FOOD SERVICE</v>
          </cell>
          <cell r="J2962" t="str">
            <v>MARCELO DUARTE</v>
          </cell>
          <cell r="K2962" t="str">
            <v>ITAMBÉ</v>
          </cell>
          <cell r="L2962" t="str">
            <v>RODRIGO</v>
          </cell>
          <cell r="M2962" t="str">
            <v>JESSICA</v>
          </cell>
        </row>
        <row r="2963">
          <cell r="B2963">
            <v>5136048</v>
          </cell>
          <cell r="C2963" t="str">
            <v>TARGUZ COMERCIO LTDA</v>
          </cell>
          <cell r="D2963" t="str">
            <v>6001</v>
          </cell>
          <cell r="E2963" t="str">
            <v>0127</v>
          </cell>
          <cell r="F2963" t="str">
            <v>C1</v>
          </cell>
          <cell r="G2963" t="str">
            <v>AL</v>
          </cell>
          <cell r="H2963" t="str">
            <v>DISTRIBUIÇÃO</v>
          </cell>
          <cell r="I2963" t="str">
            <v>FOOD SERVICE</v>
          </cell>
          <cell r="J2963" t="str">
            <v>DIGMA REPR LTDA</v>
          </cell>
          <cell r="K2963" t="str">
            <v>ITAMBÉ</v>
          </cell>
          <cell r="L2963" t="str">
            <v>RODRIGO</v>
          </cell>
          <cell r="M2963" t="str">
            <v>MARIA LOURDES</v>
          </cell>
        </row>
        <row r="2964">
          <cell r="B2964">
            <v>5138561</v>
          </cell>
          <cell r="C2964" t="str">
            <v>M J SAIA E CIA LTDA ME</v>
          </cell>
          <cell r="D2964" t="str">
            <v>3001</v>
          </cell>
          <cell r="E2964" t="str">
            <v>6028</v>
          </cell>
          <cell r="F2964" t="str">
            <v>C1</v>
          </cell>
          <cell r="G2964" t="str">
            <v>SP</v>
          </cell>
          <cell r="H2964" t="str">
            <v>INGREDIENTS</v>
          </cell>
          <cell r="I2964" t="str">
            <v>INGREDIENTS</v>
          </cell>
          <cell r="J2964" t="str">
            <v>HENRIQUE FERREIRA</v>
          </cell>
          <cell r="K2964" t="str">
            <v>ITAMBÉ</v>
          </cell>
          <cell r="L2964" t="str">
            <v>MAURICIO</v>
          </cell>
          <cell r="M2964" t="str">
            <v>JOEL</v>
          </cell>
        </row>
        <row r="2965">
          <cell r="B2965">
            <v>5139714</v>
          </cell>
          <cell r="C2965" t="str">
            <v>COLORE INDUSTRIA E COMERCIO LTD</v>
          </cell>
          <cell r="D2965" t="str">
            <v>6001</v>
          </cell>
          <cell r="E2965" t="str">
            <v>0028</v>
          </cell>
          <cell r="F2965" t="str">
            <v>C1</v>
          </cell>
          <cell r="G2965" t="str">
            <v>MG</v>
          </cell>
          <cell r="H2965" t="str">
            <v>INGREDIENTS</v>
          </cell>
          <cell r="I2965" t="str">
            <v>INGREDIENTS</v>
          </cell>
          <cell r="J2965" t="str">
            <v>HENRIQUE FERREIRA</v>
          </cell>
          <cell r="K2965" t="str">
            <v>ITAMBÉ</v>
          </cell>
          <cell r="L2965" t="str">
            <v>MAURICIO</v>
          </cell>
          <cell r="M2965" t="str">
            <v>JOEL</v>
          </cell>
        </row>
        <row r="2966">
          <cell r="B2966">
            <v>5141420</v>
          </cell>
          <cell r="C2966" t="str">
            <v>UNIPAN COMERCIO DE PROD ALIM LT</v>
          </cell>
          <cell r="D2966" t="str">
            <v>3001</v>
          </cell>
          <cell r="E2966" t="str">
            <v>6123</v>
          </cell>
          <cell r="F2966" t="str">
            <v>C1</v>
          </cell>
          <cell r="G2966" t="str">
            <v>DF</v>
          </cell>
          <cell r="H2966" t="str">
            <v>DISTRIBUIÇÃO</v>
          </cell>
          <cell r="I2966" t="str">
            <v>FOOD SERVICE</v>
          </cell>
          <cell r="J2966" t="str">
            <v>CLAUDIO JORGE</v>
          </cell>
          <cell r="K2966" t="str">
            <v>ITAMBÉ</v>
          </cell>
          <cell r="L2966" t="str">
            <v>RODRIGO</v>
          </cell>
          <cell r="M2966" t="str">
            <v>MARCO AURELIO</v>
          </cell>
        </row>
        <row r="2967">
          <cell r="B2967">
            <v>5142828</v>
          </cell>
          <cell r="C2967" t="str">
            <v>JACOMASSO COMERCIO DE BOLOS LTDA</v>
          </cell>
          <cell r="D2967" t="str">
            <v>6001</v>
          </cell>
          <cell r="E2967" t="str">
            <v>0126</v>
          </cell>
          <cell r="F2967" t="str">
            <v>C1</v>
          </cell>
          <cell r="G2967" t="str">
            <v>PR</v>
          </cell>
          <cell r="H2967" t="str">
            <v>DISTRIBUIÇÃO</v>
          </cell>
          <cell r="I2967" t="str">
            <v>FOOD SERVICE</v>
          </cell>
          <cell r="J2967" t="str">
            <v>ANGELICA BATISTELA</v>
          </cell>
          <cell r="K2967" t="str">
            <v>ITAMBÉ</v>
          </cell>
          <cell r="L2967" t="str">
            <v>RODRIGO</v>
          </cell>
          <cell r="M2967" t="str">
            <v>ANGELICA BATISTELA</v>
          </cell>
        </row>
        <row r="2968">
          <cell r="B2968">
            <v>5144654</v>
          </cell>
          <cell r="C2968" t="str">
            <v>SAUIPE SA</v>
          </cell>
          <cell r="D2968" t="str">
            <v>3001</v>
          </cell>
          <cell r="E2968" t="str">
            <v>6127</v>
          </cell>
          <cell r="F2968" t="str">
            <v>C1</v>
          </cell>
          <cell r="G2968" t="str">
            <v>BA</v>
          </cell>
          <cell r="H2968" t="str">
            <v>DISTRIBUIÇÃO</v>
          </cell>
          <cell r="I2968" t="str">
            <v>FOOD SERVICE</v>
          </cell>
          <cell r="J2968" t="str">
            <v>CLAUDIO JORGE/LUIZ</v>
          </cell>
          <cell r="K2968" t="str">
            <v>ITAMBÉ</v>
          </cell>
          <cell r="L2968" t="str">
            <v>RODRIGO</v>
          </cell>
          <cell r="M2968" t="str">
            <v>MARIA LOURDES</v>
          </cell>
        </row>
        <row r="2969">
          <cell r="B2969">
            <v>5145924</v>
          </cell>
          <cell r="C2969" t="str">
            <v>CAFE TRES CORACOES SA</v>
          </cell>
          <cell r="D2969" t="str">
            <v>6001</v>
          </cell>
          <cell r="E2969" t="str">
            <v>0028</v>
          </cell>
          <cell r="F2969" t="str">
            <v>C1</v>
          </cell>
          <cell r="G2969" t="str">
            <v>MG</v>
          </cell>
          <cell r="H2969" t="str">
            <v>INGREDIENTS</v>
          </cell>
          <cell r="I2969" t="str">
            <v>INGREDIENTS</v>
          </cell>
          <cell r="J2969" t="str">
            <v>JOEL ELEOTÉRIO</v>
          </cell>
          <cell r="K2969" t="str">
            <v>ITAMBÉ</v>
          </cell>
          <cell r="L2969" t="str">
            <v>MAURICIO</v>
          </cell>
          <cell r="M2969" t="str">
            <v>JOEL</v>
          </cell>
        </row>
        <row r="2970">
          <cell r="B2970">
            <v>5147526</v>
          </cell>
          <cell r="C2970" t="str">
            <v>SAPORE SA</v>
          </cell>
          <cell r="D2970" t="str">
            <v>3001</v>
          </cell>
          <cell r="E2970" t="str">
            <v>6028</v>
          </cell>
          <cell r="F2970" t="str">
            <v>C1</v>
          </cell>
          <cell r="G2970" t="str">
            <v>RJ</v>
          </cell>
          <cell r="H2970" t="str">
            <v>QSR</v>
          </cell>
          <cell r="I2970" t="str">
            <v>FOOD SERVICE</v>
          </cell>
          <cell r="J2970" t="str">
            <v>NUTRI</v>
          </cell>
          <cell r="K2970" t="str">
            <v>ITAMBÉ</v>
          </cell>
          <cell r="L2970" t="str">
            <v>PEDRO</v>
          </cell>
          <cell r="M2970" t="str">
            <v>VAGO QSR</v>
          </cell>
        </row>
        <row r="2971">
          <cell r="B2971">
            <v>5151341</v>
          </cell>
          <cell r="C2971" t="str">
            <v>FORMAGGIO DISTRIBUICAO AL</v>
          </cell>
          <cell r="D2971" t="str">
            <v>6001</v>
          </cell>
          <cell r="E2971" t="str">
            <v>0127</v>
          </cell>
          <cell r="F2971" t="str">
            <v>C1</v>
          </cell>
          <cell r="G2971" t="str">
            <v>PE</v>
          </cell>
          <cell r="H2971" t="str">
            <v>DISTRIBUIÇÃO</v>
          </cell>
          <cell r="I2971" t="str">
            <v>FOOD SERVICE</v>
          </cell>
          <cell r="J2971" t="str">
            <v>CLAUDIO JORGE</v>
          </cell>
          <cell r="K2971" t="str">
            <v>ITAMBÉ</v>
          </cell>
          <cell r="L2971" t="str">
            <v>RODRIGO</v>
          </cell>
          <cell r="M2971" t="str">
            <v>MARIA LOURDES</v>
          </cell>
        </row>
        <row r="2972">
          <cell r="B2972">
            <v>5157891</v>
          </cell>
          <cell r="C2972" t="str">
            <v>NOVA MEGA G ATACADISTA DE ALIM SA</v>
          </cell>
          <cell r="D2972" t="str">
            <v>3001</v>
          </cell>
          <cell r="E2972" t="str">
            <v>6125</v>
          </cell>
          <cell r="F2972" t="str">
            <v>C1</v>
          </cell>
          <cell r="G2972" t="str">
            <v>SP</v>
          </cell>
          <cell r="H2972" t="str">
            <v>DISTRIBUIÇÃO</v>
          </cell>
          <cell r="I2972" t="str">
            <v>FOOD SERVICE</v>
          </cell>
          <cell r="J2972" t="str">
            <v>RAQUEL BARBOSA</v>
          </cell>
          <cell r="K2972" t="str">
            <v>ITAMBÉ</v>
          </cell>
          <cell r="L2972" t="str">
            <v>RODRIGO</v>
          </cell>
          <cell r="M2972" t="str">
            <v>RAQUEL BARBOSA</v>
          </cell>
        </row>
        <row r="2973">
          <cell r="B2973">
            <v>5159222</v>
          </cell>
          <cell r="C2973" t="str">
            <v>DISPROPAN LTDA</v>
          </cell>
          <cell r="D2973" t="str">
            <v>6001</v>
          </cell>
          <cell r="E2973" t="str">
            <v>0122</v>
          </cell>
          <cell r="F2973" t="str">
            <v>C1</v>
          </cell>
          <cell r="G2973" t="str">
            <v>MG</v>
          </cell>
          <cell r="H2973" t="str">
            <v>DISTRIBUIÇÃO</v>
          </cell>
          <cell r="I2973" t="str">
            <v>FOOD SERVICE</v>
          </cell>
          <cell r="J2973" t="str">
            <v>MARCELO SILVA</v>
          </cell>
          <cell r="K2973" t="str">
            <v>ITAMBÉ</v>
          </cell>
          <cell r="L2973" t="str">
            <v>RODRIGO</v>
          </cell>
          <cell r="M2973" t="str">
            <v>CELIO MARTINS</v>
          </cell>
        </row>
        <row r="2974">
          <cell r="B2974">
            <v>5159289</v>
          </cell>
          <cell r="C2974" t="str">
            <v>FUNCHAL IND COM DE PAPEIS LT</v>
          </cell>
          <cell r="D2974" t="str">
            <v>3001</v>
          </cell>
          <cell r="E2974" t="str">
            <v>6125</v>
          </cell>
          <cell r="F2974" t="str">
            <v>C1</v>
          </cell>
          <cell r="G2974" t="str">
            <v>SP</v>
          </cell>
          <cell r="H2974" t="str">
            <v>DISTRIBUIÇÃO</v>
          </cell>
          <cell r="I2974" t="str">
            <v>FOOD SERVICE</v>
          </cell>
          <cell r="J2974" t="str">
            <v>VAGO SP</v>
          </cell>
          <cell r="K2974" t="str">
            <v>ITAMBÉ</v>
          </cell>
          <cell r="L2974" t="str">
            <v>RODRIGO</v>
          </cell>
          <cell r="M2974" t="str">
            <v>RAQUEL BARBOSA</v>
          </cell>
        </row>
        <row r="2975">
          <cell r="B2975">
            <v>5159508</v>
          </cell>
          <cell r="C2975" t="str">
            <v>BRASILPLAST EMB E DESCARTAVEIS LTDA</v>
          </cell>
          <cell r="D2975" t="str">
            <v>6001</v>
          </cell>
          <cell r="E2975" t="str">
            <v>0122</v>
          </cell>
          <cell r="F2975" t="str">
            <v>C1</v>
          </cell>
          <cell r="G2975" t="str">
            <v>MG</v>
          </cell>
          <cell r="H2975" t="str">
            <v>DISTRIBUIÇÃO</v>
          </cell>
          <cell r="I2975" t="str">
            <v>FOOD SERVICE</v>
          </cell>
          <cell r="J2975" t="str">
            <v>MARCELO SILVA</v>
          </cell>
          <cell r="K2975" t="str">
            <v>ITAMBÉ</v>
          </cell>
          <cell r="L2975" t="str">
            <v>RODRIGO</v>
          </cell>
          <cell r="M2975" t="str">
            <v>CELIO MARTINS</v>
          </cell>
        </row>
        <row r="2976">
          <cell r="B2976">
            <v>5161553</v>
          </cell>
          <cell r="C2976" t="str">
            <v>SAPORE SA</v>
          </cell>
          <cell r="D2976" t="str">
            <v>6001</v>
          </cell>
          <cell r="E2976" t="str">
            <v>0126</v>
          </cell>
          <cell r="F2976" t="str">
            <v>C1</v>
          </cell>
          <cell r="G2976" t="str">
            <v>PR</v>
          </cell>
          <cell r="H2976" t="str">
            <v>QSR</v>
          </cell>
          <cell r="I2976" t="str">
            <v>FOOD SERVICE</v>
          </cell>
          <cell r="J2976" t="str">
            <v>NUTRI</v>
          </cell>
          <cell r="K2976" t="str">
            <v>ITAMBÉ</v>
          </cell>
          <cell r="L2976" t="str">
            <v>PEDRO</v>
          </cell>
          <cell r="M2976" t="str">
            <v>VAGO QSR</v>
          </cell>
        </row>
        <row r="2977">
          <cell r="B2977">
            <v>5161583</v>
          </cell>
          <cell r="C2977" t="str">
            <v>DOHLER AMERICA LATINA LTDA</v>
          </cell>
          <cell r="D2977" t="str">
            <v>3001</v>
          </cell>
          <cell r="E2977" t="str">
            <v>6028</v>
          </cell>
          <cell r="F2977" t="str">
            <v>C1</v>
          </cell>
          <cell r="G2977" t="str">
            <v>SP</v>
          </cell>
          <cell r="H2977" t="str">
            <v>INGREDIENTS</v>
          </cell>
          <cell r="I2977" t="str">
            <v>INGREDIENTS</v>
          </cell>
          <cell r="J2977" t="str">
            <v>HENRIQUE FERREIRA</v>
          </cell>
          <cell r="K2977" t="str">
            <v>ITAMBÉ</v>
          </cell>
          <cell r="L2977" t="str">
            <v>MAURICIO</v>
          </cell>
          <cell r="M2977" t="str">
            <v>JOEL</v>
          </cell>
        </row>
        <row r="2978">
          <cell r="B2978">
            <v>5162498</v>
          </cell>
          <cell r="C2978" t="str">
            <v>DOCE ENCONTRO LTDA</v>
          </cell>
          <cell r="D2978" t="str">
            <v>6001</v>
          </cell>
          <cell r="E2978" t="str">
            <v>0028</v>
          </cell>
          <cell r="F2978" t="str">
            <v>C1</v>
          </cell>
          <cell r="G2978" t="str">
            <v>PR</v>
          </cell>
          <cell r="H2978" t="str">
            <v>INGREDIENTS</v>
          </cell>
          <cell r="I2978" t="str">
            <v>INGREDIENTS</v>
          </cell>
          <cell r="J2978" t="str">
            <v>MARCELO RODRIGUES</v>
          </cell>
          <cell r="K2978" t="str">
            <v>ITAMBÉ</v>
          </cell>
          <cell r="L2978" t="str">
            <v>MAURICIO</v>
          </cell>
          <cell r="M2978" t="str">
            <v>MARCELO</v>
          </cell>
        </row>
        <row r="2979">
          <cell r="B2979">
            <v>5164717</v>
          </cell>
          <cell r="C2979" t="str">
            <v>HENDUPAN COM DE PROD CON LTDA</v>
          </cell>
          <cell r="D2979" t="str">
            <v>3001</v>
          </cell>
          <cell r="E2979" t="str">
            <v>6125</v>
          </cell>
          <cell r="F2979" t="str">
            <v>C1</v>
          </cell>
          <cell r="G2979" t="str">
            <v>SP</v>
          </cell>
          <cell r="H2979" t="str">
            <v>DISTRIBUIÇÃO</v>
          </cell>
          <cell r="I2979" t="str">
            <v>FOOD SERVICE</v>
          </cell>
          <cell r="J2979" t="str">
            <v>SP ITB FS FLAC REP.E COMERCIO</v>
          </cell>
          <cell r="K2979" t="str">
            <v>ITAMBÉ</v>
          </cell>
          <cell r="L2979" t="str">
            <v>RODRIGO</v>
          </cell>
          <cell r="M2979" t="str">
            <v>RAQUEL BARBOSA</v>
          </cell>
        </row>
        <row r="2980">
          <cell r="B2980">
            <v>5166328</v>
          </cell>
          <cell r="C2980" t="str">
            <v>OFICINA DO SORVETE LTDA</v>
          </cell>
          <cell r="D2980" t="str">
            <v>6001</v>
          </cell>
          <cell r="E2980" t="str">
            <v>0126</v>
          </cell>
          <cell r="F2980" t="str">
            <v>C1</v>
          </cell>
          <cell r="G2980" t="str">
            <v>PR</v>
          </cell>
          <cell r="H2980" t="str">
            <v>DISTRIBUIÇÃO</v>
          </cell>
          <cell r="I2980" t="str">
            <v>FOOD SERVICE</v>
          </cell>
          <cell r="J2980" t="str">
            <v>ANGELICA BATISTELA</v>
          </cell>
          <cell r="K2980" t="str">
            <v>ITAMBÉ</v>
          </cell>
          <cell r="L2980" t="str">
            <v>RODRIGO</v>
          </cell>
          <cell r="M2980" t="str">
            <v>ANGELICA BATISTELA</v>
          </cell>
        </row>
        <row r="2981">
          <cell r="B2981">
            <v>5168151</v>
          </cell>
          <cell r="C2981" t="str">
            <v>I S M GOMES DE MATTOS LTDA</v>
          </cell>
          <cell r="D2981" t="str">
            <v>3001</v>
          </cell>
          <cell r="E2981" t="str">
            <v>0127</v>
          </cell>
          <cell r="F2981" t="str">
            <v>C1</v>
          </cell>
          <cell r="G2981" t="str">
            <v>CE</v>
          </cell>
          <cell r="H2981" t="str">
            <v>DISTRIBUIÇÃO</v>
          </cell>
          <cell r="I2981" t="str">
            <v>FOOD SERVICE</v>
          </cell>
          <cell r="J2981" t="str">
            <v>WH FOOD SERVICE CE</v>
          </cell>
          <cell r="K2981" t="str">
            <v>ITAMBÉ</v>
          </cell>
          <cell r="L2981" t="str">
            <v>RODRIGO</v>
          </cell>
          <cell r="M2981" t="str">
            <v>MARIA LOURDES</v>
          </cell>
        </row>
        <row r="2982">
          <cell r="B2982">
            <v>5171550</v>
          </cell>
          <cell r="C2982" t="str">
            <v>PSG COMERCIO DE ALIMENTOS LTDA ME</v>
          </cell>
          <cell r="D2982" t="str">
            <v>6001</v>
          </cell>
          <cell r="E2982" t="str">
            <v>0126</v>
          </cell>
          <cell r="F2982" t="str">
            <v>C1</v>
          </cell>
          <cell r="G2982" t="str">
            <v>PR</v>
          </cell>
          <cell r="H2982" t="str">
            <v>QSR</v>
          </cell>
          <cell r="I2982" t="str">
            <v>FOOD SERVICE</v>
          </cell>
          <cell r="J2982" t="str">
            <v>VAGO QSR</v>
          </cell>
          <cell r="K2982" t="str">
            <v>ITAMBÉ</v>
          </cell>
          <cell r="L2982" t="str">
            <v>PEDRO</v>
          </cell>
          <cell r="M2982" t="str">
            <v>VAGO QSR</v>
          </cell>
        </row>
        <row r="2983">
          <cell r="B2983">
            <v>5172699</v>
          </cell>
          <cell r="C2983" t="str">
            <v>ATOS PAN COM DE PROD ALIM EIRELI</v>
          </cell>
          <cell r="D2983" t="str">
            <v>3001</v>
          </cell>
          <cell r="E2983" t="str">
            <v>6125</v>
          </cell>
          <cell r="F2983" t="str">
            <v>C1</v>
          </cell>
          <cell r="G2983" t="str">
            <v>SP</v>
          </cell>
          <cell r="H2983" t="str">
            <v>DISTRIBUIÇÃO</v>
          </cell>
          <cell r="I2983" t="str">
            <v>FOOD SERVICE</v>
          </cell>
          <cell r="J2983" t="str">
            <v>SP ITB FS FLAC REP.E COMERCIO</v>
          </cell>
          <cell r="K2983" t="str">
            <v>ITAMBÉ</v>
          </cell>
          <cell r="L2983" t="str">
            <v>RODRIGO</v>
          </cell>
          <cell r="M2983" t="str">
            <v>RAQUEL BARBOSA</v>
          </cell>
        </row>
        <row r="2984">
          <cell r="B2984">
            <v>5173427</v>
          </cell>
          <cell r="C2984" t="str">
            <v>DISTRIPACK DIST DE EMBALAGENS LTDA</v>
          </cell>
          <cell r="D2984" t="str">
            <v>6001</v>
          </cell>
          <cell r="E2984" t="str">
            <v>0028</v>
          </cell>
          <cell r="F2984" t="str">
            <v>C1</v>
          </cell>
          <cell r="G2984" t="str">
            <v>MG</v>
          </cell>
          <cell r="H2984" t="str">
            <v>INGREDIENTS</v>
          </cell>
          <cell r="I2984" t="str">
            <v>INGREDIENTS</v>
          </cell>
          <cell r="J2984" t="str">
            <v>MG ITB FS DRK REP</v>
          </cell>
          <cell r="K2984" t="str">
            <v>ITAMBÉ</v>
          </cell>
          <cell r="L2984" t="str">
            <v>MAURICIO</v>
          </cell>
          <cell r="M2984" t="str">
            <v>JOEL</v>
          </cell>
        </row>
        <row r="2985">
          <cell r="B2985">
            <v>5174259</v>
          </cell>
          <cell r="C2985" t="str">
            <v>MIX TUDO COMERCIO E SERVICOS EI</v>
          </cell>
          <cell r="D2985" t="str">
            <v>3001</v>
          </cell>
          <cell r="E2985" t="str">
            <v>6169</v>
          </cell>
          <cell r="F2985" t="str">
            <v>C1</v>
          </cell>
          <cell r="G2985" t="str">
            <v>ES</v>
          </cell>
          <cell r="H2985" t="str">
            <v>DISTRIBUIÇÃO</v>
          </cell>
          <cell r="I2985" t="str">
            <v>FOOD SERVICE</v>
          </cell>
          <cell r="J2985" t="str">
            <v>MARCELO DUARTE</v>
          </cell>
          <cell r="K2985" t="str">
            <v>ITAMBÉ</v>
          </cell>
          <cell r="L2985" t="str">
            <v>RODRIGO</v>
          </cell>
          <cell r="M2985" t="str">
            <v>JESSICA</v>
          </cell>
        </row>
        <row r="2986">
          <cell r="B2986">
            <v>5178343</v>
          </cell>
          <cell r="C2986" t="str">
            <v>NT INDSUTRIA E COM DE PANIFICAC</v>
          </cell>
          <cell r="D2986" t="str">
            <v>6001</v>
          </cell>
          <cell r="E2986" t="str">
            <v>0128</v>
          </cell>
          <cell r="F2986" t="str">
            <v>C1</v>
          </cell>
          <cell r="G2986" t="str">
            <v>AM</v>
          </cell>
          <cell r="H2986" t="str">
            <v>DISTRIBUIÇÃO</v>
          </cell>
          <cell r="I2986" t="str">
            <v>FOOD SERVICE</v>
          </cell>
          <cell r="J2986" t="str">
            <v>CLAUDIO JORGE</v>
          </cell>
          <cell r="K2986" t="str">
            <v>ITAMBÉ</v>
          </cell>
          <cell r="L2986" t="str">
            <v>RODRIGO</v>
          </cell>
          <cell r="M2986" t="str">
            <v>MARCO AURELIO</v>
          </cell>
        </row>
        <row r="2987">
          <cell r="B2987">
            <v>5178518</v>
          </cell>
          <cell r="C2987" t="str">
            <v>NECHIO COMERCIO DISTRIB DE ALIMENT</v>
          </cell>
          <cell r="D2987" t="str">
            <v>3001</v>
          </cell>
          <cell r="E2987" t="str">
            <v>6169</v>
          </cell>
          <cell r="F2987" t="str">
            <v>C1</v>
          </cell>
          <cell r="G2987" t="str">
            <v>RJ</v>
          </cell>
          <cell r="H2987" t="str">
            <v>DISTRIBUIÇÃO</v>
          </cell>
          <cell r="I2987" t="str">
            <v>FOOD SERVICE</v>
          </cell>
          <cell r="J2987" t="str">
            <v>LUCIANA MARTINS</v>
          </cell>
          <cell r="K2987" t="str">
            <v>ITAMBÉ</v>
          </cell>
          <cell r="L2987" t="str">
            <v>RODRIGO</v>
          </cell>
          <cell r="M2987" t="str">
            <v>JESSICA</v>
          </cell>
        </row>
        <row r="2988">
          <cell r="B2988">
            <v>5180088</v>
          </cell>
          <cell r="C2988" t="str">
            <v>CARMEL IND E COM DE SOBREMESAS LTDA</v>
          </cell>
          <cell r="D2988" t="str">
            <v>6001</v>
          </cell>
          <cell r="E2988" t="str">
            <v>0028</v>
          </cell>
          <cell r="F2988" t="str">
            <v>C1</v>
          </cell>
          <cell r="G2988" t="str">
            <v>PR</v>
          </cell>
          <cell r="H2988" t="str">
            <v>INGREDIENTS</v>
          </cell>
          <cell r="I2988" t="str">
            <v>INGREDIENTS</v>
          </cell>
          <cell r="J2988" t="str">
            <v>MARCELO RODRIGUES</v>
          </cell>
          <cell r="K2988" t="str">
            <v>ITAMBÉ</v>
          </cell>
          <cell r="L2988" t="str">
            <v>MAURICIO</v>
          </cell>
          <cell r="M2988" t="str">
            <v>MARCELO</v>
          </cell>
        </row>
        <row r="2989">
          <cell r="B2989">
            <v>5181722</v>
          </cell>
          <cell r="C2989" t="str">
            <v>CINDERELA SORVETES LTDA ME</v>
          </cell>
          <cell r="D2989" t="str">
            <v>3001</v>
          </cell>
          <cell r="E2989" t="str">
            <v>6028</v>
          </cell>
          <cell r="F2989" t="str">
            <v>C1</v>
          </cell>
          <cell r="G2989" t="str">
            <v>ES</v>
          </cell>
          <cell r="H2989" t="str">
            <v>INGREDIENTS</v>
          </cell>
          <cell r="I2989" t="str">
            <v>INGREDIENTS</v>
          </cell>
          <cell r="J2989" t="str">
            <v>DUAS RODAS</v>
          </cell>
          <cell r="K2989" t="str">
            <v>ITAMBÉ</v>
          </cell>
          <cell r="L2989" t="str">
            <v>MAURICIO</v>
          </cell>
          <cell r="M2989" t="str">
            <v>JOEL</v>
          </cell>
        </row>
        <row r="2990">
          <cell r="B2990">
            <v>5181837</v>
          </cell>
          <cell r="C2990" t="str">
            <v>LEVI KARKLIS 65217756934</v>
          </cell>
          <cell r="D2990" t="str">
            <v>6001</v>
          </cell>
          <cell r="E2990" t="str">
            <v>0028</v>
          </cell>
          <cell r="F2990" t="str">
            <v>C1</v>
          </cell>
          <cell r="G2990" t="str">
            <v>SC</v>
          </cell>
          <cell r="H2990" t="str">
            <v>INGREDIENTS</v>
          </cell>
          <cell r="I2990" t="str">
            <v>INGREDIENTS</v>
          </cell>
          <cell r="J2990" t="str">
            <v>DUAS RODAS</v>
          </cell>
          <cell r="K2990" t="str">
            <v>ITAMBÉ</v>
          </cell>
          <cell r="L2990" t="str">
            <v>MAURICIO</v>
          </cell>
          <cell r="M2990" t="str">
            <v>MARCELO</v>
          </cell>
        </row>
        <row r="2991">
          <cell r="B2991">
            <v>5182195</v>
          </cell>
          <cell r="C2991" t="str">
            <v>VR BUZIM COMERCIO PROD ALIMENTICIOS</v>
          </cell>
          <cell r="D2991" t="str">
            <v>3001</v>
          </cell>
          <cell r="E2991" t="str">
            <v>6169</v>
          </cell>
          <cell r="F2991" t="str">
            <v>C1</v>
          </cell>
          <cell r="G2991" t="str">
            <v>ES</v>
          </cell>
          <cell r="H2991" t="str">
            <v>DISTRIBUIÇÃO</v>
          </cell>
          <cell r="I2991" t="str">
            <v>FOOD SERVICE</v>
          </cell>
          <cell r="J2991" t="str">
            <v>MARCELO DUARTE</v>
          </cell>
          <cell r="K2991" t="str">
            <v>ITAMBÉ</v>
          </cell>
          <cell r="L2991" t="str">
            <v>RODRIGO</v>
          </cell>
          <cell r="M2991" t="str">
            <v>JESSICA</v>
          </cell>
        </row>
        <row r="2992">
          <cell r="B2992">
            <v>5184155</v>
          </cell>
          <cell r="C2992" t="str">
            <v>EJP COMERCIO DE ALIMENTOS LTDA</v>
          </cell>
          <cell r="D2992" t="str">
            <v>3001</v>
          </cell>
          <cell r="E2992" t="str">
            <v>6127</v>
          </cell>
          <cell r="F2992" t="str">
            <v>C1</v>
          </cell>
          <cell r="G2992" t="str">
            <v>CE</v>
          </cell>
          <cell r="H2992" t="str">
            <v>DISTRIBUIÇÃO</v>
          </cell>
          <cell r="I2992" t="str">
            <v>FOOD SERVICE</v>
          </cell>
          <cell r="J2992" t="str">
            <v>WH FOOD SERVICE CE</v>
          </cell>
          <cell r="K2992" t="str">
            <v>ITAMBÉ</v>
          </cell>
          <cell r="L2992" t="str">
            <v>RODRIGO</v>
          </cell>
          <cell r="M2992" t="str">
            <v>MARIA LOURDES</v>
          </cell>
        </row>
        <row r="2993">
          <cell r="B2993">
            <v>5186266</v>
          </cell>
          <cell r="C2993" t="str">
            <v>SORVEPANI COMERCIAL E DISTRIBUIDORA</v>
          </cell>
          <cell r="D2993" t="str">
            <v>6001</v>
          </cell>
          <cell r="E2993" t="str">
            <v>0128</v>
          </cell>
          <cell r="F2993" t="str">
            <v>C1</v>
          </cell>
          <cell r="G2993" t="str">
            <v>AM</v>
          </cell>
          <cell r="H2993" t="str">
            <v>DISTRIBUIÇÃO</v>
          </cell>
          <cell r="I2993" t="str">
            <v>FOOD SERVICE</v>
          </cell>
          <cell r="J2993" t="str">
            <v>CLAUDIO JORGE</v>
          </cell>
          <cell r="K2993" t="str">
            <v>ITAMBÉ</v>
          </cell>
          <cell r="L2993" t="str">
            <v>RODRIGO</v>
          </cell>
          <cell r="M2993" t="str">
            <v>MARCO AURELIO</v>
          </cell>
        </row>
        <row r="2994">
          <cell r="B2994">
            <v>5186815</v>
          </cell>
          <cell r="C2994" t="str">
            <v>PILLAR DOCES E EMBALAGENS LTDA</v>
          </cell>
          <cell r="D2994" t="str">
            <v>3001</v>
          </cell>
          <cell r="E2994" t="str">
            <v>6169</v>
          </cell>
          <cell r="F2994" t="str">
            <v>C1</v>
          </cell>
          <cell r="G2994" t="str">
            <v>ES</v>
          </cell>
          <cell r="H2994" t="str">
            <v>DISTRIBUIÇÃO</v>
          </cell>
          <cell r="I2994" t="str">
            <v>FOOD SERVICE</v>
          </cell>
          <cell r="J2994" t="str">
            <v>MARCELO DUARTE</v>
          </cell>
          <cell r="K2994" t="str">
            <v>ITAMBÉ</v>
          </cell>
          <cell r="L2994" t="str">
            <v>RODRIGO</v>
          </cell>
          <cell r="M2994" t="str">
            <v>JESSICA</v>
          </cell>
        </row>
        <row r="2995">
          <cell r="B2995">
            <v>5186822</v>
          </cell>
          <cell r="C2995" t="str">
            <v>BERTINI INDUSTRIA E COMERCIO DE</v>
          </cell>
          <cell r="D2995" t="str">
            <v>6001</v>
          </cell>
          <cell r="E2995" t="str">
            <v>0028</v>
          </cell>
          <cell r="F2995" t="str">
            <v>C1</v>
          </cell>
          <cell r="G2995" t="str">
            <v>PR</v>
          </cell>
          <cell r="H2995" t="str">
            <v>INGREDIENTS</v>
          </cell>
          <cell r="I2995" t="str">
            <v>INGREDIENTS</v>
          </cell>
          <cell r="J2995" t="str">
            <v>DUAS RODAS</v>
          </cell>
          <cell r="K2995" t="str">
            <v>ITAMBÉ</v>
          </cell>
          <cell r="L2995" t="str">
            <v>MAURICIO</v>
          </cell>
          <cell r="M2995" t="str">
            <v>MARCELO</v>
          </cell>
        </row>
        <row r="2996">
          <cell r="B2996">
            <v>5189644</v>
          </cell>
          <cell r="C2996" t="str">
            <v>BOCAO COMERCIO DE DOCES LTDA</v>
          </cell>
          <cell r="D2996" t="str">
            <v>3001</v>
          </cell>
          <cell r="E2996" t="str">
            <v>0125</v>
          </cell>
          <cell r="F2996" t="str">
            <v>C1</v>
          </cell>
          <cell r="G2996" t="str">
            <v>SP</v>
          </cell>
          <cell r="H2996" t="str">
            <v>DISTRIBUIÇÃO</v>
          </cell>
          <cell r="I2996" t="str">
            <v>FOOD SERVICE</v>
          </cell>
          <cell r="J2996" t="str">
            <v>SP ITB FS FLAC REP.E COMERCIO</v>
          </cell>
          <cell r="K2996" t="str">
            <v>ITAMBÉ</v>
          </cell>
          <cell r="L2996" t="str">
            <v>RODRIGO</v>
          </cell>
          <cell r="M2996" t="str">
            <v>RAQUEL BARBOSA</v>
          </cell>
        </row>
        <row r="2997">
          <cell r="B2997">
            <v>5193349</v>
          </cell>
          <cell r="C2997" t="str">
            <v>SYACABA NO SORVETE LTDA</v>
          </cell>
          <cell r="D2997" t="str">
            <v>6001</v>
          </cell>
          <cell r="E2997" t="str">
            <v>0028</v>
          </cell>
          <cell r="F2997" t="str">
            <v>C1</v>
          </cell>
          <cell r="G2997" t="str">
            <v>MG</v>
          </cell>
          <cell r="H2997" t="str">
            <v>INGREDIENTS</v>
          </cell>
          <cell r="I2997" t="str">
            <v>INGREDIENTS</v>
          </cell>
          <cell r="J2997" t="str">
            <v>HENRIQUE FERREIRA</v>
          </cell>
          <cell r="K2997" t="str">
            <v>ITAMBÉ</v>
          </cell>
          <cell r="L2997" t="str">
            <v>MAURICIO</v>
          </cell>
          <cell r="M2997" t="str">
            <v>JOEL</v>
          </cell>
        </row>
        <row r="2998">
          <cell r="B2998">
            <v>5194018</v>
          </cell>
          <cell r="C2998" t="str">
            <v>GURIRI EMBALAGENS LTDA ME</v>
          </cell>
          <cell r="D2998" t="str">
            <v>3001</v>
          </cell>
          <cell r="E2998" t="str">
            <v>6169</v>
          </cell>
          <cell r="F2998" t="str">
            <v>C1</v>
          </cell>
          <cell r="G2998" t="str">
            <v>ES</v>
          </cell>
          <cell r="H2998" t="str">
            <v>DISTRIBUIÇÃO</v>
          </cell>
          <cell r="I2998" t="str">
            <v>FOOD SERVICE</v>
          </cell>
          <cell r="J2998" t="str">
            <v>MARCELO DUARTE</v>
          </cell>
          <cell r="K2998" t="str">
            <v>ITAMBÉ</v>
          </cell>
          <cell r="L2998" t="str">
            <v>RODRIGO</v>
          </cell>
          <cell r="M2998" t="str">
            <v>JESSICA</v>
          </cell>
        </row>
        <row r="2999">
          <cell r="B2999">
            <v>5194641</v>
          </cell>
          <cell r="C2999" t="str">
            <v>BEVERAGER EQUIPAMENTOS E BEBIDA</v>
          </cell>
          <cell r="D2999" t="str">
            <v>6001</v>
          </cell>
          <cell r="E2999" t="str">
            <v>0028</v>
          </cell>
          <cell r="F2999" t="str">
            <v>C1</v>
          </cell>
          <cell r="G2999" t="str">
            <v>MG</v>
          </cell>
          <cell r="H2999" t="str">
            <v>INGREDIENTS</v>
          </cell>
          <cell r="I2999" t="str">
            <v>INGREDIENTS</v>
          </cell>
          <cell r="J2999" t="str">
            <v>HENRIQUE FERREIRA</v>
          </cell>
          <cell r="K2999" t="str">
            <v>ITAMBÉ</v>
          </cell>
          <cell r="L2999" t="str">
            <v>MAURICIO</v>
          </cell>
          <cell r="M2999" t="str">
            <v>JOEL</v>
          </cell>
        </row>
        <row r="3000">
          <cell r="B3000">
            <v>5195605</v>
          </cell>
          <cell r="C3000" t="str">
            <v>PLANETA DOCES E ALIMENTICIOS EIRELI</v>
          </cell>
          <cell r="D3000" t="str">
            <v>3001</v>
          </cell>
          <cell r="E3000" t="str">
            <v>6125</v>
          </cell>
          <cell r="F3000" t="str">
            <v>C1</v>
          </cell>
          <cell r="G3000" t="str">
            <v>SP</v>
          </cell>
          <cell r="H3000" t="str">
            <v>DISTRIBUIÇÃO</v>
          </cell>
          <cell r="I3000" t="str">
            <v>FOOD SERVICE</v>
          </cell>
          <cell r="J3000" t="str">
            <v>SP ITB FS FLAC REP.E COMERCIO</v>
          </cell>
          <cell r="K3000" t="str">
            <v>ITAMBÉ</v>
          </cell>
          <cell r="L3000" t="str">
            <v>RODRIGO</v>
          </cell>
          <cell r="M3000" t="str">
            <v>RAQUEL BARBOSA</v>
          </cell>
        </row>
        <row r="3001">
          <cell r="B3001">
            <v>5196675</v>
          </cell>
          <cell r="C3001" t="str">
            <v>ROMAPAN ALIMENTOS LTDA</v>
          </cell>
          <cell r="D3001" t="str">
            <v>6001</v>
          </cell>
          <cell r="E3001" t="str">
            <v>0123</v>
          </cell>
          <cell r="F3001" t="str">
            <v>C1</v>
          </cell>
          <cell r="G3001" t="str">
            <v>GO</v>
          </cell>
          <cell r="H3001" t="str">
            <v>DISTRIBUIÇÃO</v>
          </cell>
          <cell r="I3001" t="str">
            <v>FOOD SERVICE</v>
          </cell>
          <cell r="J3001" t="str">
            <v>CLAUDIO JORGE</v>
          </cell>
          <cell r="K3001" t="str">
            <v>ITAMBÉ</v>
          </cell>
          <cell r="L3001" t="str">
            <v>RODRIGO</v>
          </cell>
          <cell r="M3001" t="str">
            <v>MARCO AURELIO</v>
          </cell>
        </row>
        <row r="3002">
          <cell r="B3002">
            <v>5196867</v>
          </cell>
          <cell r="C3002" t="str">
            <v>DEPOSITO DE DOCES MALU LTDA</v>
          </cell>
          <cell r="D3002" t="str">
            <v>3001</v>
          </cell>
          <cell r="E3002" t="str">
            <v>6125</v>
          </cell>
          <cell r="F3002" t="str">
            <v>C1</v>
          </cell>
          <cell r="G3002" t="str">
            <v>SP</v>
          </cell>
          <cell r="H3002" t="str">
            <v>DISTRIBUIÇÃO</v>
          </cell>
          <cell r="I3002" t="str">
            <v>FOOD SERVICE</v>
          </cell>
          <cell r="J3002" t="str">
            <v>SP ITB FS FLAC REP.E COMERCIO</v>
          </cell>
          <cell r="K3002" t="str">
            <v>ITAMBÉ</v>
          </cell>
          <cell r="L3002" t="str">
            <v>RODRIGO</v>
          </cell>
          <cell r="M3002" t="str">
            <v>RAQUEL BARBOSA</v>
          </cell>
        </row>
        <row r="3003">
          <cell r="B3003">
            <v>5198408</v>
          </cell>
          <cell r="C3003" t="str">
            <v>MARIA ISABEL TOMICH DUARTE 0150</v>
          </cell>
          <cell r="D3003" t="str">
            <v>6001</v>
          </cell>
          <cell r="E3003" t="str">
            <v>0028</v>
          </cell>
          <cell r="F3003" t="str">
            <v>C1</v>
          </cell>
          <cell r="G3003" t="str">
            <v>MG</v>
          </cell>
          <cell r="H3003" t="str">
            <v>INGREDIENTS</v>
          </cell>
          <cell r="I3003" t="str">
            <v>INGREDIENTS</v>
          </cell>
          <cell r="J3003" t="str">
            <v>HENRIQUE FERREIRA</v>
          </cell>
          <cell r="K3003" t="str">
            <v>ITAMBÉ</v>
          </cell>
          <cell r="L3003" t="str">
            <v>MAURICIO</v>
          </cell>
          <cell r="M3003" t="str">
            <v>JOEL</v>
          </cell>
        </row>
        <row r="3004">
          <cell r="B3004">
            <v>5198698</v>
          </cell>
          <cell r="C3004" t="str">
            <v>PANDURATA ALIMENTOS LTDA</v>
          </cell>
          <cell r="D3004" t="str">
            <v>3001</v>
          </cell>
          <cell r="E3004" t="str">
            <v>6125</v>
          </cell>
          <cell r="F3004" t="str">
            <v>C1</v>
          </cell>
          <cell r="G3004" t="str">
            <v>SP</v>
          </cell>
          <cell r="H3004" t="str">
            <v>INGREDIENTS</v>
          </cell>
          <cell r="I3004" t="str">
            <v>INGREDIENTS</v>
          </cell>
          <cell r="J3004" t="str">
            <v>JOEL ELEOTÉRIO</v>
          </cell>
          <cell r="K3004" t="str">
            <v>ITAMBÉ</v>
          </cell>
          <cell r="L3004" t="str">
            <v>MAURICIO</v>
          </cell>
          <cell r="M3004" t="str">
            <v>JOEL</v>
          </cell>
        </row>
        <row r="3005">
          <cell r="B3005">
            <v>5198979</v>
          </cell>
          <cell r="C3005" t="str">
            <v>PENIEL DIST DE MEDICAMENTOS E A</v>
          </cell>
          <cell r="D3005" t="str">
            <v>6001</v>
          </cell>
          <cell r="E3005" t="str">
            <v>0126</v>
          </cell>
          <cell r="F3005" t="str">
            <v>C1</v>
          </cell>
          <cell r="G3005" t="str">
            <v>PR</v>
          </cell>
          <cell r="H3005" t="str">
            <v>DISTRIBUIÇÃO</v>
          </cell>
          <cell r="I3005" t="str">
            <v>FOOD SERVICE</v>
          </cell>
          <cell r="J3005" t="str">
            <v>ANGELICA BATISTELA</v>
          </cell>
          <cell r="K3005" t="str">
            <v>ITAMBÉ</v>
          </cell>
          <cell r="L3005" t="str">
            <v>RODRIGO</v>
          </cell>
          <cell r="M3005" t="str">
            <v>ANGELICA BATISTELA</v>
          </cell>
        </row>
        <row r="3006">
          <cell r="B3006">
            <v>5199005</v>
          </cell>
          <cell r="C3006" t="str">
            <v>IMAC INDUSTRIA DE MASSAS CONGEL</v>
          </cell>
          <cell r="D3006" t="str">
            <v>3001</v>
          </cell>
          <cell r="E3006" t="str">
            <v>0127</v>
          </cell>
          <cell r="F3006" t="str">
            <v>C1</v>
          </cell>
          <cell r="G3006" t="str">
            <v>CE</v>
          </cell>
          <cell r="H3006" t="str">
            <v>DISTRIBUIÇÃO</v>
          </cell>
          <cell r="I3006" t="str">
            <v>FOOD SERVICE</v>
          </cell>
          <cell r="J3006" t="str">
            <v>WH FOOD SERVICE CE</v>
          </cell>
          <cell r="K3006" t="str">
            <v>ITAMBÉ</v>
          </cell>
          <cell r="L3006" t="str">
            <v>RODRIGO</v>
          </cell>
          <cell r="M3006" t="str">
            <v>MARIA LOURDES</v>
          </cell>
        </row>
        <row r="3007">
          <cell r="B3007">
            <v>5199893</v>
          </cell>
          <cell r="C3007" t="str">
            <v>JADE COM ATAC DE PROD EM SACHES LTD</v>
          </cell>
          <cell r="D3007" t="str">
            <v>6001</v>
          </cell>
          <cell r="E3007" t="str">
            <v>0126</v>
          </cell>
          <cell r="F3007" t="str">
            <v>C1</v>
          </cell>
          <cell r="G3007" t="str">
            <v>SC</v>
          </cell>
          <cell r="H3007" t="str">
            <v>DISTRIBUIÇÃO</v>
          </cell>
          <cell r="I3007" t="str">
            <v>FOOD SERVICE</v>
          </cell>
          <cell r="J3007" t="str">
            <v>ANGELICA BATISTELA</v>
          </cell>
          <cell r="K3007" t="str">
            <v>ITAMBÉ</v>
          </cell>
          <cell r="L3007" t="str">
            <v>RODRIGO</v>
          </cell>
          <cell r="M3007" t="str">
            <v>ANGELICA BATISTELA</v>
          </cell>
        </row>
        <row r="3008">
          <cell r="B3008">
            <v>5200125</v>
          </cell>
          <cell r="C3008" t="str">
            <v>DOCA COM DE EMB LTDA</v>
          </cell>
          <cell r="D3008" t="str">
            <v>3001</v>
          </cell>
          <cell r="E3008" t="str">
            <v>6127</v>
          </cell>
          <cell r="F3008" t="str">
            <v>C1</v>
          </cell>
          <cell r="G3008" t="str">
            <v>CE</v>
          </cell>
          <cell r="H3008" t="str">
            <v>DISTRIBUIÇÃO</v>
          </cell>
          <cell r="I3008" t="str">
            <v>FOOD SERVICE</v>
          </cell>
          <cell r="J3008" t="str">
            <v>WH FOOD SERVICE CE</v>
          </cell>
          <cell r="K3008" t="str">
            <v>ITAMBÉ</v>
          </cell>
          <cell r="L3008" t="str">
            <v>RODRIGO</v>
          </cell>
          <cell r="M3008" t="str">
            <v>MARIA LOURDES</v>
          </cell>
        </row>
        <row r="3009">
          <cell r="B3009">
            <v>5204939</v>
          </cell>
          <cell r="C3009" t="str">
            <v>UNICA COMERCIO E DISTRIBUICAO L</v>
          </cell>
          <cell r="D3009" t="str">
            <v>3001</v>
          </cell>
          <cell r="E3009" t="str">
            <v>0125</v>
          </cell>
          <cell r="F3009" t="str">
            <v>C1</v>
          </cell>
          <cell r="G3009" t="str">
            <v>SP</v>
          </cell>
          <cell r="H3009" t="str">
            <v>QSR</v>
          </cell>
          <cell r="I3009" t="str">
            <v>FOOD SERVICE</v>
          </cell>
          <cell r="J3009" t="str">
            <v>VAGO QSR</v>
          </cell>
          <cell r="K3009" t="str">
            <v>ITAMBÉ</v>
          </cell>
          <cell r="L3009" t="str">
            <v>PEDRO</v>
          </cell>
          <cell r="M3009" t="str">
            <v>VAGO QSR</v>
          </cell>
        </row>
        <row r="3010">
          <cell r="B3010">
            <v>5206830</v>
          </cell>
          <cell r="C3010" t="str">
            <v>IND E COM DE SORVETES FRUTAMIX LTDA</v>
          </cell>
          <cell r="D3010" t="str">
            <v>6001</v>
          </cell>
          <cell r="E3010" t="str">
            <v>0028</v>
          </cell>
          <cell r="F3010" t="str">
            <v>C1</v>
          </cell>
          <cell r="G3010" t="str">
            <v>MG</v>
          </cell>
          <cell r="H3010" t="str">
            <v>INGREDIENTS</v>
          </cell>
          <cell r="I3010" t="str">
            <v>INGREDIENTS</v>
          </cell>
          <cell r="J3010" t="str">
            <v>HENRIQUE FERREIRA</v>
          </cell>
          <cell r="K3010" t="str">
            <v>ITAMBÉ</v>
          </cell>
          <cell r="L3010" t="str">
            <v>MAURICIO</v>
          </cell>
          <cell r="M3010" t="str">
            <v>JOEL</v>
          </cell>
        </row>
        <row r="3011">
          <cell r="B3011">
            <v>5207394</v>
          </cell>
          <cell r="C3011" t="str">
            <v>NEWREST BRASIL S A AO T AEREO LTDA</v>
          </cell>
          <cell r="D3011" t="str">
            <v>3001</v>
          </cell>
          <cell r="E3011" t="str">
            <v>6169</v>
          </cell>
          <cell r="F3011" t="str">
            <v>C1</v>
          </cell>
          <cell r="G3011" t="str">
            <v>RJ</v>
          </cell>
          <cell r="H3011" t="str">
            <v>QSR</v>
          </cell>
          <cell r="I3011" t="str">
            <v>FOOD SERVICE</v>
          </cell>
          <cell r="J3011" t="str">
            <v>ANA MENIQUETE</v>
          </cell>
          <cell r="K3011" t="str">
            <v>ITAMBÉ</v>
          </cell>
          <cell r="L3011" t="str">
            <v>PEDRO</v>
          </cell>
          <cell r="M3011" t="str">
            <v>ANA MENIQUETE</v>
          </cell>
        </row>
        <row r="3012">
          <cell r="B3012">
            <v>5207685</v>
          </cell>
          <cell r="C3012" t="str">
            <v>ESPECIALI INDUSTRIA DE ALIMENTO</v>
          </cell>
          <cell r="D3012" t="str">
            <v>6001</v>
          </cell>
          <cell r="E3012" t="str">
            <v>0028</v>
          </cell>
          <cell r="F3012" t="str">
            <v>C1</v>
          </cell>
          <cell r="G3012" t="str">
            <v>MG</v>
          </cell>
          <cell r="H3012" t="str">
            <v>INGREDIENTS</v>
          </cell>
          <cell r="I3012" t="str">
            <v>INGREDIENTS</v>
          </cell>
          <cell r="J3012" t="str">
            <v>HENRIQUE FERREIRA</v>
          </cell>
          <cell r="K3012" t="str">
            <v>ITAMBÉ</v>
          </cell>
          <cell r="L3012" t="str">
            <v>MAURICIO</v>
          </cell>
          <cell r="M3012" t="str">
            <v>JOEL</v>
          </cell>
        </row>
        <row r="3013">
          <cell r="B3013">
            <v>5208028</v>
          </cell>
          <cell r="C3013" t="str">
            <v>MISTUREX COMERCIO ATACA DE ALIMENT</v>
          </cell>
          <cell r="D3013" t="str">
            <v>3001</v>
          </cell>
          <cell r="E3013" t="str">
            <v>6028</v>
          </cell>
          <cell r="F3013" t="str">
            <v>C1</v>
          </cell>
          <cell r="G3013" t="str">
            <v>ES</v>
          </cell>
          <cell r="H3013" t="str">
            <v>INGREDIENTS</v>
          </cell>
          <cell r="I3013" t="str">
            <v>INGREDIENTS</v>
          </cell>
          <cell r="J3013" t="str">
            <v>TATIANA NITTA</v>
          </cell>
          <cell r="K3013" t="str">
            <v>ITAMBÉ</v>
          </cell>
          <cell r="L3013" t="str">
            <v>MAURICIO</v>
          </cell>
          <cell r="M3013" t="str">
            <v>TATIANA NITTA</v>
          </cell>
        </row>
        <row r="3014">
          <cell r="B3014">
            <v>5212486</v>
          </cell>
          <cell r="C3014" t="str">
            <v>FRUTAROM DO BRASIL IND E COM LT</v>
          </cell>
          <cell r="D3014" t="str">
            <v>6001</v>
          </cell>
          <cell r="E3014" t="str">
            <v>0028</v>
          </cell>
          <cell r="F3014" t="str">
            <v>C1</v>
          </cell>
          <cell r="G3014" t="str">
            <v>MG</v>
          </cell>
          <cell r="H3014" t="str">
            <v>INGREDIENTS</v>
          </cell>
          <cell r="I3014" t="str">
            <v>INGREDIENTS</v>
          </cell>
          <cell r="J3014" t="str">
            <v>HENRIQUE FERREIRA</v>
          </cell>
          <cell r="K3014" t="str">
            <v>ITAMBÉ</v>
          </cell>
          <cell r="L3014" t="str">
            <v>MAURICIO</v>
          </cell>
          <cell r="M3014" t="str">
            <v>JOEL</v>
          </cell>
        </row>
        <row r="3015">
          <cell r="B3015">
            <v>5213484</v>
          </cell>
          <cell r="C3015" t="str">
            <v>HAVANA COMERCIO DE BEBIDAS LTDA</v>
          </cell>
          <cell r="D3015" t="str">
            <v>3001</v>
          </cell>
          <cell r="E3015" t="str">
            <v>6125</v>
          </cell>
          <cell r="F3015" t="str">
            <v>C1</v>
          </cell>
          <cell r="G3015" t="str">
            <v>SP</v>
          </cell>
          <cell r="H3015" t="str">
            <v>DISTRIBUIÇÃO</v>
          </cell>
          <cell r="I3015" t="str">
            <v>FOOD SERVICE</v>
          </cell>
          <cell r="J3015" t="str">
            <v>SP ITB FS FLAC REP.E COMERCIO</v>
          </cell>
          <cell r="K3015" t="str">
            <v>ITAMBÉ</v>
          </cell>
          <cell r="L3015" t="str">
            <v>RODRIGO</v>
          </cell>
          <cell r="M3015" t="str">
            <v>RAQUEL BARBOSA</v>
          </cell>
        </row>
        <row r="3016">
          <cell r="B3016">
            <v>5214453</v>
          </cell>
          <cell r="C3016" t="str">
            <v>DIA DISTRIBUICAO E IMPORTACAO AFOGA</v>
          </cell>
          <cell r="D3016" t="str">
            <v>6001</v>
          </cell>
          <cell r="E3016" t="str">
            <v>0127</v>
          </cell>
          <cell r="F3016" t="str">
            <v>C1</v>
          </cell>
          <cell r="G3016" t="str">
            <v>PE</v>
          </cell>
          <cell r="H3016" t="str">
            <v>DISTRIBUIÇÃO</v>
          </cell>
          <cell r="I3016" t="str">
            <v>FOOD SERVICE</v>
          </cell>
          <cell r="J3016" t="str">
            <v>CLAUDIO JORGE</v>
          </cell>
          <cell r="K3016" t="str">
            <v>ITAMBÉ</v>
          </cell>
          <cell r="L3016" t="str">
            <v>RODRIGO</v>
          </cell>
          <cell r="M3016" t="str">
            <v>MARIA LOURDES</v>
          </cell>
        </row>
        <row r="3017">
          <cell r="B3017">
            <v>5214670</v>
          </cell>
          <cell r="C3017" t="str">
            <v>LORENZ COMERCIO E DIST DE ALIM LTDA</v>
          </cell>
          <cell r="D3017" t="str">
            <v>3001</v>
          </cell>
          <cell r="E3017" t="str">
            <v>6123</v>
          </cell>
          <cell r="F3017" t="str">
            <v>C1</v>
          </cell>
          <cell r="G3017" t="str">
            <v>MS</v>
          </cell>
          <cell r="H3017" t="str">
            <v>DISTRIBUIÇÃO</v>
          </cell>
          <cell r="I3017" t="str">
            <v>FOOD SERVICE</v>
          </cell>
          <cell r="J3017" t="str">
            <v>CLAUDIO JORGE</v>
          </cell>
          <cell r="K3017" t="str">
            <v>ITAMBÉ</v>
          </cell>
          <cell r="L3017" t="str">
            <v>RODRIGO</v>
          </cell>
          <cell r="M3017" t="str">
            <v>MARCO AURELIO</v>
          </cell>
        </row>
        <row r="3018">
          <cell r="B3018">
            <v>5216004</v>
          </cell>
          <cell r="C3018" t="str">
            <v>PANCRISTAL LTDA</v>
          </cell>
          <cell r="D3018" t="str">
            <v>6001</v>
          </cell>
          <cell r="E3018" t="str">
            <v>0127</v>
          </cell>
          <cell r="F3018" t="str">
            <v>C1</v>
          </cell>
          <cell r="G3018" t="str">
            <v>PE</v>
          </cell>
          <cell r="H3018" t="str">
            <v>DISTRIBUIÇÃO</v>
          </cell>
          <cell r="I3018" t="str">
            <v>FOOD SERVICE</v>
          </cell>
          <cell r="J3018" t="str">
            <v>CLAUDIO JORGE</v>
          </cell>
          <cell r="K3018" t="str">
            <v>ITAMBÉ</v>
          </cell>
          <cell r="L3018" t="str">
            <v>RODRIGO</v>
          </cell>
          <cell r="M3018" t="str">
            <v>MARIA LOURDES</v>
          </cell>
        </row>
        <row r="3019">
          <cell r="B3019">
            <v>5216557</v>
          </cell>
          <cell r="C3019" t="str">
            <v>G A R DE LUCENA</v>
          </cell>
          <cell r="D3019" t="str">
            <v>3001</v>
          </cell>
          <cell r="E3019" t="str">
            <v>6125</v>
          </cell>
          <cell r="F3019" t="str">
            <v>C1</v>
          </cell>
          <cell r="G3019" t="str">
            <v>SP</v>
          </cell>
          <cell r="H3019" t="str">
            <v>DISTRIBUIÇÃO</v>
          </cell>
          <cell r="I3019" t="str">
            <v>FOOD SERVICE</v>
          </cell>
          <cell r="J3019" t="str">
            <v>VAGO SP</v>
          </cell>
          <cell r="K3019" t="str">
            <v>ITAMBÉ</v>
          </cell>
          <cell r="L3019" t="str">
            <v>RODRIGO</v>
          </cell>
          <cell r="M3019" t="str">
            <v>RAQUEL BARBOSA</v>
          </cell>
        </row>
        <row r="3020">
          <cell r="B3020">
            <v>5219839</v>
          </cell>
          <cell r="C3020" t="str">
            <v>RIBERPAN COMERCIO DE ALIMENTOS LTDA</v>
          </cell>
          <cell r="D3020" t="str">
            <v>6001</v>
          </cell>
          <cell r="E3020" t="str">
            <v>0126</v>
          </cell>
          <cell r="F3020" t="str">
            <v>C1</v>
          </cell>
          <cell r="G3020" t="str">
            <v>RS</v>
          </cell>
          <cell r="H3020" t="str">
            <v>DISTRIBUIÇÃO</v>
          </cell>
          <cell r="I3020" t="str">
            <v>FOOD SERVICE</v>
          </cell>
          <cell r="J3020" t="str">
            <v>ANGELICA BATISTELA</v>
          </cell>
          <cell r="K3020" t="str">
            <v>ITAMBÉ</v>
          </cell>
          <cell r="L3020" t="str">
            <v>RODRIGO</v>
          </cell>
          <cell r="M3020" t="str">
            <v>ANGELICA BATISTELA</v>
          </cell>
        </row>
        <row r="3021">
          <cell r="B3021">
            <v>5220998</v>
          </cell>
          <cell r="C3021" t="str">
            <v>GELADOM SORVETES LTDA</v>
          </cell>
          <cell r="D3021" t="str">
            <v>3001</v>
          </cell>
          <cell r="E3021" t="str">
            <v>6127</v>
          </cell>
          <cell r="F3021" t="str">
            <v>C1</v>
          </cell>
          <cell r="G3021" t="str">
            <v>BA</v>
          </cell>
          <cell r="H3021" t="str">
            <v>DISTRIBUIÇÃO</v>
          </cell>
          <cell r="I3021" t="str">
            <v>FOOD SERVICE</v>
          </cell>
          <cell r="J3021" t="str">
            <v>CLAUDIO JORGE/LUIZ</v>
          </cell>
          <cell r="K3021" t="str">
            <v>ITAMBÉ</v>
          </cell>
          <cell r="L3021" t="str">
            <v>RODRIGO</v>
          </cell>
          <cell r="M3021" t="str">
            <v>MARIA LOURDES</v>
          </cell>
        </row>
        <row r="3022">
          <cell r="B3022">
            <v>5224043</v>
          </cell>
          <cell r="C3022" t="str">
            <v>MILANO COM VAREJ DE ALIMENTOS S</v>
          </cell>
          <cell r="D3022" t="str">
            <v>6001</v>
          </cell>
          <cell r="E3022" t="str">
            <v>0122</v>
          </cell>
          <cell r="F3022" t="str">
            <v>C1</v>
          </cell>
          <cell r="G3022" t="str">
            <v>MG</v>
          </cell>
          <cell r="H3022" t="str">
            <v>QSR</v>
          </cell>
          <cell r="I3022" t="str">
            <v>FOOD SERVICE</v>
          </cell>
          <cell r="J3022" t="str">
            <v>ANA MENIQUETE</v>
          </cell>
          <cell r="K3022" t="str">
            <v>ITAMBÉ</v>
          </cell>
          <cell r="L3022" t="str">
            <v>PEDRO</v>
          </cell>
          <cell r="M3022" t="str">
            <v>ANA MENIQUETE</v>
          </cell>
        </row>
        <row r="3023">
          <cell r="B3023">
            <v>5224055</v>
          </cell>
          <cell r="C3023" t="str">
            <v>BRUXELAS INDUSTRIA E COMERCIO</v>
          </cell>
          <cell r="D3023" t="str">
            <v>3001</v>
          </cell>
          <cell r="E3023" t="str">
            <v>6028</v>
          </cell>
          <cell r="F3023" t="str">
            <v>C1</v>
          </cell>
          <cell r="G3023" t="str">
            <v>SP</v>
          </cell>
          <cell r="H3023" t="str">
            <v>INGREDIENTS</v>
          </cell>
          <cell r="I3023" t="str">
            <v>INGREDIENTS</v>
          </cell>
          <cell r="J3023" t="str">
            <v>HENRIQUE FERREIRA</v>
          </cell>
          <cell r="K3023" t="str">
            <v>ITAMBÉ</v>
          </cell>
          <cell r="L3023" t="str">
            <v>MAURICIO</v>
          </cell>
          <cell r="M3023" t="str">
            <v>JOEL</v>
          </cell>
        </row>
        <row r="3024">
          <cell r="B3024">
            <v>5224404</v>
          </cell>
          <cell r="C3024" t="str">
            <v>HJA DISTRIBUIDORA E ATACADISTA LTDA</v>
          </cell>
          <cell r="D3024" t="str">
            <v>6001</v>
          </cell>
          <cell r="E3024" t="str">
            <v>0122</v>
          </cell>
          <cell r="F3024" t="str">
            <v>C1</v>
          </cell>
          <cell r="G3024" t="str">
            <v>MG</v>
          </cell>
          <cell r="H3024" t="str">
            <v>DISTRIBUIÇÃO</v>
          </cell>
          <cell r="I3024" t="str">
            <v>FOOD SERVICE</v>
          </cell>
          <cell r="J3024" t="str">
            <v>MARCELO SILVA</v>
          </cell>
          <cell r="K3024" t="str">
            <v>ITAMBÉ</v>
          </cell>
          <cell r="L3024" t="str">
            <v>RODRIGO</v>
          </cell>
          <cell r="M3024" t="str">
            <v>CELIO MARTINS</v>
          </cell>
        </row>
        <row r="3025">
          <cell r="B3025">
            <v>5226360</v>
          </cell>
          <cell r="C3025" t="str">
            <v>GELA GOURMET LTDA</v>
          </cell>
          <cell r="D3025" t="str">
            <v>3001</v>
          </cell>
          <cell r="E3025" t="str">
            <v>6127</v>
          </cell>
          <cell r="F3025" t="str">
            <v>C1</v>
          </cell>
          <cell r="G3025" t="str">
            <v>BA</v>
          </cell>
          <cell r="H3025" t="str">
            <v>DISTRIBUIÇÃO</v>
          </cell>
          <cell r="I3025" t="str">
            <v>FOOD SERVICE</v>
          </cell>
          <cell r="J3025" t="str">
            <v>CLAUDIO JORGE/LUIZ</v>
          </cell>
          <cell r="K3025" t="str">
            <v>ITAMBÉ</v>
          </cell>
          <cell r="L3025" t="str">
            <v>RODRIGO</v>
          </cell>
          <cell r="M3025" t="str">
            <v>MARIA LOURDES</v>
          </cell>
        </row>
        <row r="3026">
          <cell r="B3026">
            <v>5226805</v>
          </cell>
          <cell r="C3026" t="str">
            <v>OESA COMERCIO E REPRESENTACOES SA</v>
          </cell>
          <cell r="D3026" t="str">
            <v>6001</v>
          </cell>
          <cell r="E3026" t="str">
            <v>0122</v>
          </cell>
          <cell r="F3026" t="str">
            <v>C1</v>
          </cell>
          <cell r="G3026" t="str">
            <v>MG</v>
          </cell>
          <cell r="H3026" t="str">
            <v>DISTRIBUIÇÃO</v>
          </cell>
          <cell r="I3026" t="str">
            <v>FOOD SERVICE</v>
          </cell>
          <cell r="J3026" t="str">
            <v>CELIO/MARANATHA</v>
          </cell>
          <cell r="K3026" t="str">
            <v>ITAMBÉ</v>
          </cell>
          <cell r="L3026" t="str">
            <v>RODRIGO</v>
          </cell>
          <cell r="M3026" t="str">
            <v>CELIO MARTINS</v>
          </cell>
        </row>
        <row r="3027">
          <cell r="B3027">
            <v>5226985</v>
          </cell>
          <cell r="C3027" t="str">
            <v>DISTRIBUIDORA E IMP IRMAOS AVELINO</v>
          </cell>
          <cell r="D3027" t="str">
            <v>3001</v>
          </cell>
          <cell r="E3027" t="str">
            <v>6125</v>
          </cell>
          <cell r="F3027" t="str">
            <v>C1</v>
          </cell>
          <cell r="G3027" t="str">
            <v>SP</v>
          </cell>
          <cell r="H3027" t="str">
            <v>DISTRIBUIÇÃO</v>
          </cell>
          <cell r="I3027" t="str">
            <v>FOOD SERVICE</v>
          </cell>
          <cell r="J3027" t="str">
            <v>RAQUEL BARBOSA</v>
          </cell>
          <cell r="K3027" t="str">
            <v>ITAMBÉ</v>
          </cell>
          <cell r="L3027" t="str">
            <v>RODRIGO</v>
          </cell>
          <cell r="M3027" t="str">
            <v>RAQUEL BARBOSA</v>
          </cell>
        </row>
        <row r="3028">
          <cell r="B3028">
            <v>5227283</v>
          </cell>
          <cell r="C3028" t="str">
            <v>ACAITERIA EXPRESS LTDA</v>
          </cell>
          <cell r="D3028" t="str">
            <v>6001</v>
          </cell>
          <cell r="E3028" t="str">
            <v>0028</v>
          </cell>
          <cell r="F3028" t="str">
            <v>C1</v>
          </cell>
          <cell r="G3028" t="str">
            <v>MG</v>
          </cell>
          <cell r="H3028" t="str">
            <v>INGREDIENTS</v>
          </cell>
          <cell r="I3028" t="str">
            <v>INGREDIENTS</v>
          </cell>
          <cell r="J3028" t="str">
            <v>HENRIQUE FERREIRA</v>
          </cell>
          <cell r="K3028" t="str">
            <v>ITAMBÉ</v>
          </cell>
          <cell r="L3028" t="str">
            <v>MAURICIO</v>
          </cell>
          <cell r="M3028" t="str">
            <v>JOEL</v>
          </cell>
        </row>
        <row r="3029">
          <cell r="B3029">
            <v>5227605</v>
          </cell>
          <cell r="C3029" t="str">
            <v>FORTE DIST DE GENERO ALIM DES E LIM</v>
          </cell>
          <cell r="D3029" t="str">
            <v>3001</v>
          </cell>
          <cell r="E3029" t="str">
            <v>6127</v>
          </cell>
          <cell r="F3029" t="str">
            <v>C1</v>
          </cell>
          <cell r="G3029" t="str">
            <v>BA</v>
          </cell>
          <cell r="H3029" t="str">
            <v>DISTRIBUIÇÃO</v>
          </cell>
          <cell r="I3029" t="str">
            <v>FOOD SERVICE</v>
          </cell>
          <cell r="J3029" t="str">
            <v>CLAUDIO JORGE/LUIZ</v>
          </cell>
          <cell r="K3029" t="str">
            <v>ITAMBÉ</v>
          </cell>
          <cell r="L3029" t="str">
            <v>RODRIGO</v>
          </cell>
          <cell r="M3029" t="str">
            <v>MARIA LOURDES</v>
          </cell>
        </row>
        <row r="3030">
          <cell r="B3030">
            <v>5228735</v>
          </cell>
          <cell r="C3030" t="str">
            <v>JETRO CA FERREIRA ME</v>
          </cell>
          <cell r="D3030" t="str">
            <v>6001</v>
          </cell>
          <cell r="E3030" t="str">
            <v>0028</v>
          </cell>
          <cell r="F3030" t="str">
            <v>C1</v>
          </cell>
          <cell r="G3030" t="str">
            <v>PR</v>
          </cell>
          <cell r="H3030" t="str">
            <v>INGREDIENTS</v>
          </cell>
          <cell r="I3030" t="str">
            <v>INGREDIENTS</v>
          </cell>
          <cell r="J3030" t="str">
            <v>DUAS RODAS</v>
          </cell>
          <cell r="K3030" t="str">
            <v>ITAMBÉ</v>
          </cell>
          <cell r="L3030" t="str">
            <v>MAURICIO</v>
          </cell>
          <cell r="M3030" t="str">
            <v>MARCELO</v>
          </cell>
        </row>
        <row r="3031">
          <cell r="B3031">
            <v>5229017</v>
          </cell>
          <cell r="C3031" t="str">
            <v>O MUNDO DOS CHOCOLATES LTDA</v>
          </cell>
          <cell r="D3031" t="str">
            <v>6001</v>
          </cell>
          <cell r="E3031" t="str">
            <v>0127</v>
          </cell>
          <cell r="F3031" t="str">
            <v>C1</v>
          </cell>
          <cell r="G3031" t="str">
            <v>RN</v>
          </cell>
          <cell r="H3031" t="str">
            <v>DISTRIBUIÇÃO</v>
          </cell>
          <cell r="I3031" t="str">
            <v>FOOD SERVICE</v>
          </cell>
          <cell r="J3031" t="str">
            <v>CLAUDIO JORGE</v>
          </cell>
          <cell r="K3031" t="str">
            <v>ITAMBÉ</v>
          </cell>
          <cell r="L3031" t="str">
            <v>RODRIGO</v>
          </cell>
          <cell r="M3031" t="str">
            <v>MARIA LOURDES</v>
          </cell>
        </row>
        <row r="3032">
          <cell r="B3032">
            <v>5229130</v>
          </cell>
          <cell r="C3032" t="str">
            <v>PLATLOG IMPORTACAO LOGISTICA E DIST</v>
          </cell>
          <cell r="D3032" t="str">
            <v>3001</v>
          </cell>
          <cell r="E3032" t="str">
            <v>6125</v>
          </cell>
          <cell r="F3032" t="str">
            <v>C1</v>
          </cell>
          <cell r="G3032" t="str">
            <v>SP</v>
          </cell>
          <cell r="H3032" t="str">
            <v>QSR</v>
          </cell>
          <cell r="I3032" t="str">
            <v>FOOD SERVICE</v>
          </cell>
          <cell r="J3032" t="str">
            <v>ANA MENIQUETE</v>
          </cell>
          <cell r="K3032" t="str">
            <v>ITAMBÉ</v>
          </cell>
          <cell r="L3032" t="str">
            <v>PEDRO</v>
          </cell>
          <cell r="M3032" t="str">
            <v>ANA MENIQUETE</v>
          </cell>
        </row>
        <row r="3033">
          <cell r="B3033">
            <v>5229525</v>
          </cell>
          <cell r="C3033" t="str">
            <v>LEVE BOLOS CONFEITARIA LTDA</v>
          </cell>
          <cell r="D3033" t="str">
            <v>6001</v>
          </cell>
          <cell r="E3033" t="str">
            <v>0126</v>
          </cell>
          <cell r="F3033" t="str">
            <v>C1</v>
          </cell>
          <cell r="G3033" t="str">
            <v>PR</v>
          </cell>
          <cell r="H3033" t="str">
            <v>DISTRIBUIÇÃO</v>
          </cell>
          <cell r="I3033" t="str">
            <v>FOOD SERVICE</v>
          </cell>
          <cell r="J3033" t="str">
            <v>ANGELICA BATISTELA</v>
          </cell>
          <cell r="K3033" t="str">
            <v>ITAMBÉ</v>
          </cell>
          <cell r="L3033" t="str">
            <v>RODRIGO</v>
          </cell>
          <cell r="M3033" t="str">
            <v>ANGELICA BATISTELA</v>
          </cell>
        </row>
        <row r="3034">
          <cell r="B3034">
            <v>5229831</v>
          </cell>
          <cell r="C3034" t="str">
            <v>BRIGADEIRO INDUSTRIA E COMERCIO</v>
          </cell>
          <cell r="D3034" t="str">
            <v>3001</v>
          </cell>
          <cell r="E3034" t="str">
            <v>0169</v>
          </cell>
          <cell r="F3034" t="str">
            <v>C1</v>
          </cell>
          <cell r="G3034" t="str">
            <v>RJ</v>
          </cell>
          <cell r="H3034" t="str">
            <v>INGREDIENTS</v>
          </cell>
          <cell r="I3034" t="str">
            <v>INGREDIENTS</v>
          </cell>
          <cell r="J3034" t="str">
            <v>TATIANA NITTA</v>
          </cell>
          <cell r="K3034" t="str">
            <v>ITAMBÉ</v>
          </cell>
          <cell r="L3034" t="str">
            <v>MAURICIO</v>
          </cell>
          <cell r="M3034" t="str">
            <v>TATIANA NITTA</v>
          </cell>
        </row>
        <row r="3035">
          <cell r="B3035">
            <v>5230104</v>
          </cell>
          <cell r="C3035" t="str">
            <v>FC DISTRIBUIDORA DE CHOCOLATES LTDA</v>
          </cell>
          <cell r="D3035" t="str">
            <v>6001</v>
          </cell>
          <cell r="E3035" t="str">
            <v>0126</v>
          </cell>
          <cell r="F3035" t="str">
            <v>C1</v>
          </cell>
          <cell r="G3035" t="str">
            <v>PR</v>
          </cell>
          <cell r="H3035" t="str">
            <v>DISTRIBUIÇÃO</v>
          </cell>
          <cell r="I3035" t="str">
            <v>FOOD SERVICE</v>
          </cell>
          <cell r="J3035" t="str">
            <v>ANGELICA BATISTELA</v>
          </cell>
          <cell r="K3035" t="str">
            <v>ITAMBÉ</v>
          </cell>
          <cell r="L3035" t="str">
            <v>RODRIGO</v>
          </cell>
          <cell r="M3035" t="str">
            <v>ANGELICA BATISTELA</v>
          </cell>
        </row>
        <row r="3036">
          <cell r="B3036">
            <v>5230141</v>
          </cell>
          <cell r="C3036" t="str">
            <v>DADALTO E SILVA LTDA</v>
          </cell>
          <cell r="D3036" t="str">
            <v>3001</v>
          </cell>
          <cell r="E3036" t="str">
            <v>6169</v>
          </cell>
          <cell r="F3036" t="str">
            <v>C1</v>
          </cell>
          <cell r="G3036" t="str">
            <v>ES</v>
          </cell>
          <cell r="H3036" t="str">
            <v>DISTRIBUIÇÃO</v>
          </cell>
          <cell r="I3036" t="str">
            <v>FOOD SERVICE</v>
          </cell>
          <cell r="J3036" t="str">
            <v>MARCELO DUARTE</v>
          </cell>
          <cell r="K3036" t="str">
            <v>ITAMBÉ</v>
          </cell>
          <cell r="L3036" t="str">
            <v>RODRIGO</v>
          </cell>
          <cell r="M3036" t="str">
            <v>JESSICA</v>
          </cell>
        </row>
        <row r="3037">
          <cell r="B3037">
            <v>5230884</v>
          </cell>
          <cell r="C3037" t="str">
            <v>PROREGI IND COM E IMPORT LTDA</v>
          </cell>
          <cell r="D3037" t="str">
            <v>6001</v>
          </cell>
          <cell r="E3037" t="str">
            <v>0028</v>
          </cell>
          <cell r="F3037" t="str">
            <v>C1</v>
          </cell>
          <cell r="G3037" t="str">
            <v>MG</v>
          </cell>
          <cell r="H3037" t="str">
            <v>INGREDIENTS</v>
          </cell>
          <cell r="I3037" t="str">
            <v>INGREDIENTS</v>
          </cell>
          <cell r="J3037" t="str">
            <v>HENRIQUE FERREIRA</v>
          </cell>
          <cell r="K3037" t="str">
            <v>ITAMBÉ</v>
          </cell>
          <cell r="L3037" t="str">
            <v>MAURICIO</v>
          </cell>
          <cell r="M3037" t="str">
            <v>JOEL</v>
          </cell>
        </row>
        <row r="3038">
          <cell r="B3038">
            <v>5232460</v>
          </cell>
          <cell r="C3038" t="str">
            <v>GELATO LUCE COMERCIO LTDA</v>
          </cell>
          <cell r="D3038" t="str">
            <v>3001</v>
          </cell>
          <cell r="E3038" t="str">
            <v>6127</v>
          </cell>
          <cell r="F3038" t="str">
            <v>C1</v>
          </cell>
          <cell r="G3038" t="str">
            <v>BA</v>
          </cell>
          <cell r="H3038" t="str">
            <v>DISTRIBUIÇÃO</v>
          </cell>
          <cell r="I3038" t="str">
            <v>FOOD SERVICE</v>
          </cell>
          <cell r="J3038" t="str">
            <v>CLAUDIO JORGE/LUIZ</v>
          </cell>
          <cell r="K3038" t="str">
            <v>ITAMBÉ</v>
          </cell>
          <cell r="L3038" t="str">
            <v>RODRIGO</v>
          </cell>
          <cell r="M3038" t="str">
            <v>MARIA LOURDES</v>
          </cell>
        </row>
        <row r="3039">
          <cell r="B3039">
            <v>5260909</v>
          </cell>
          <cell r="C3039" t="str">
            <v>BASEL LACTEOS SA</v>
          </cell>
          <cell r="D3039" t="str">
            <v>6001</v>
          </cell>
          <cell r="E3039" t="str">
            <v>0028</v>
          </cell>
          <cell r="F3039" t="str">
            <v>C1</v>
          </cell>
          <cell r="G3039" t="str">
            <v>MG</v>
          </cell>
          <cell r="H3039" t="str">
            <v>INGREDIENTS</v>
          </cell>
          <cell r="I3039" t="str">
            <v>INGREDIENTS</v>
          </cell>
          <cell r="J3039" t="str">
            <v>HENRIQUE FERREIRA</v>
          </cell>
          <cell r="K3039" t="str">
            <v>ITAMBÉ</v>
          </cell>
          <cell r="L3039" t="str">
            <v>MAURICIO</v>
          </cell>
          <cell r="M3039" t="str">
            <v>JOEL</v>
          </cell>
        </row>
        <row r="3040">
          <cell r="B3040">
            <v>5261089</v>
          </cell>
          <cell r="C3040" t="str">
            <v>INTERFRIOS COM FRIOS LATCINIOS</v>
          </cell>
          <cell r="D3040" t="str">
            <v>3001</v>
          </cell>
          <cell r="E3040" t="str">
            <v>6125</v>
          </cell>
          <cell r="F3040" t="str">
            <v>C1</v>
          </cell>
          <cell r="G3040" t="str">
            <v>SP</v>
          </cell>
          <cell r="H3040" t="str">
            <v>DISTRIBUIÇÃO</v>
          </cell>
          <cell r="I3040" t="str">
            <v>FOOD SERVICE</v>
          </cell>
          <cell r="J3040" t="str">
            <v>GUILHERME NASCIMENTO</v>
          </cell>
          <cell r="K3040" t="str">
            <v>ITAMBÉ</v>
          </cell>
          <cell r="L3040" t="str">
            <v>RODRIGO</v>
          </cell>
          <cell r="M3040" t="str">
            <v>ALEXANDRO</v>
          </cell>
        </row>
        <row r="3041">
          <cell r="B3041">
            <v>5262254</v>
          </cell>
          <cell r="C3041" t="str">
            <v>ABIRAILTON PADUA CUNHA</v>
          </cell>
          <cell r="D3041" t="str">
            <v>7001</v>
          </cell>
          <cell r="E3041" t="str">
            <v>0749</v>
          </cell>
          <cell r="F3041" t="str">
            <v>C5</v>
          </cell>
          <cell r="G3041" t="str">
            <v>SP</v>
          </cell>
          <cell r="H3041" t="str">
            <v>DISTRIBUIÇÃO</v>
          </cell>
          <cell r="I3041" t="str">
            <v>FOOD SERVICE</v>
          </cell>
          <cell r="J3041" t="str">
            <v>FLAC 5</v>
          </cell>
          <cell r="K3041" t="str">
            <v>LACTALIS</v>
          </cell>
          <cell r="L3041" t="str">
            <v>RODRIGO</v>
          </cell>
          <cell r="M3041" t="str">
            <v>RAQUEL BARBOSA</v>
          </cell>
        </row>
        <row r="3042">
          <cell r="B3042">
            <v>5279458</v>
          </cell>
          <cell r="C3042" t="str">
            <v>LIGHTSWEET IND E COM DE ALIMENT</v>
          </cell>
          <cell r="D3042" t="str">
            <v>6001</v>
          </cell>
          <cell r="E3042" t="str">
            <v>0028</v>
          </cell>
          <cell r="F3042" t="str">
            <v>C1</v>
          </cell>
          <cell r="G3042" t="str">
            <v>PR</v>
          </cell>
          <cell r="H3042" t="str">
            <v>INGREDIENTS</v>
          </cell>
          <cell r="I3042" t="str">
            <v>INGREDIENTS</v>
          </cell>
          <cell r="J3042" t="str">
            <v>MARCELO RODRIGUES</v>
          </cell>
          <cell r="K3042" t="str">
            <v>ITAMBÉ</v>
          </cell>
          <cell r="L3042" t="str">
            <v>MAURICIO</v>
          </cell>
          <cell r="M3042" t="str">
            <v>MARCELO</v>
          </cell>
        </row>
        <row r="3043">
          <cell r="B3043">
            <v>5296689</v>
          </cell>
          <cell r="C3043" t="str">
            <v>SL RESTAURANTE COM DE ALIM LTDA</v>
          </cell>
          <cell r="D3043" t="str">
            <v>7001</v>
          </cell>
          <cell r="E3043" t="str">
            <v>0749</v>
          </cell>
          <cell r="F3043" t="str">
            <v>C5</v>
          </cell>
          <cell r="G3043" t="str">
            <v>SP</v>
          </cell>
          <cell r="H3043" t="str">
            <v>DISTRIBUIÇÃO</v>
          </cell>
          <cell r="I3043" t="str">
            <v>FOOD SERVICE</v>
          </cell>
          <cell r="J3043" t="str">
            <v>FLAC 3</v>
          </cell>
          <cell r="K3043" t="str">
            <v>LACTALIS</v>
          </cell>
          <cell r="L3043" t="str">
            <v>RODRIGO</v>
          </cell>
          <cell r="M3043" t="str">
            <v>RAQUEL BARBOSA</v>
          </cell>
        </row>
        <row r="3044">
          <cell r="B3044">
            <v>5302744</v>
          </cell>
          <cell r="C3044" t="str">
            <v>HCN COMERCIO DE PRODUTOS PARA C</v>
          </cell>
          <cell r="D3044" t="str">
            <v>3001</v>
          </cell>
          <cell r="E3044" t="str">
            <v>6125</v>
          </cell>
          <cell r="F3044" t="str">
            <v>C1</v>
          </cell>
          <cell r="G3044" t="str">
            <v>SP</v>
          </cell>
          <cell r="H3044" t="str">
            <v>DISTRIBUIÇÃO</v>
          </cell>
          <cell r="I3044" t="str">
            <v>FOOD SERVICE</v>
          </cell>
          <cell r="J3044" t="str">
            <v>SP ITB FS FLAC REP.E COMERCIO</v>
          </cell>
          <cell r="K3044" t="str">
            <v>ITAMBÉ</v>
          </cell>
          <cell r="L3044" t="str">
            <v>RODRIGO</v>
          </cell>
          <cell r="M3044" t="str">
            <v>RAQUEL BARBOSA</v>
          </cell>
        </row>
        <row r="3045">
          <cell r="B3045">
            <v>5308411</v>
          </cell>
          <cell r="C3045" t="str">
            <v>ORGANIZACOES BRAZALMEIDA COMERCIO D</v>
          </cell>
          <cell r="D3045" t="str">
            <v>6001</v>
          </cell>
          <cell r="E3045" t="str">
            <v>0122</v>
          </cell>
          <cell r="F3045" t="str">
            <v>C1</v>
          </cell>
          <cell r="G3045" t="str">
            <v>MG</v>
          </cell>
          <cell r="H3045" t="str">
            <v>DISTRIBUIÇÃO</v>
          </cell>
          <cell r="I3045" t="str">
            <v>FOOD SERVICE</v>
          </cell>
          <cell r="J3045" t="str">
            <v>MARCELO SILVA</v>
          </cell>
          <cell r="K3045" t="str">
            <v>ITAMBÉ</v>
          </cell>
          <cell r="L3045" t="str">
            <v>RODRIGO</v>
          </cell>
          <cell r="M3045" t="str">
            <v>CELIO MARTINS</v>
          </cell>
        </row>
        <row r="3046">
          <cell r="B3046">
            <v>5310560</v>
          </cell>
          <cell r="C3046" t="str">
            <v>ARTPAN COMERCIO DE ALIMENTOS LTDA</v>
          </cell>
          <cell r="D3046" t="str">
            <v>3001</v>
          </cell>
          <cell r="E3046" t="str">
            <v>6123</v>
          </cell>
          <cell r="F3046" t="str">
            <v>C1</v>
          </cell>
          <cell r="G3046" t="str">
            <v>MS</v>
          </cell>
          <cell r="H3046" t="str">
            <v>DISTRIBUIÇÃO</v>
          </cell>
          <cell r="I3046" t="str">
            <v>FOOD SERVICE</v>
          </cell>
          <cell r="J3046" t="str">
            <v>CLAUDIO JORGE</v>
          </cell>
          <cell r="K3046" t="str">
            <v>ITAMBÉ</v>
          </cell>
          <cell r="L3046" t="str">
            <v>RODRIGO</v>
          </cell>
          <cell r="M3046" t="str">
            <v>MARCO AURELIO</v>
          </cell>
        </row>
        <row r="3047">
          <cell r="B3047">
            <v>5313336</v>
          </cell>
          <cell r="C3047" t="str">
            <v>M C COMERCIO DE DOCES E</v>
          </cell>
          <cell r="D3047" t="str">
            <v>6001</v>
          </cell>
          <cell r="E3047" t="str">
            <v>0028</v>
          </cell>
          <cell r="F3047" t="str">
            <v>C1</v>
          </cell>
          <cell r="G3047" t="str">
            <v>AM</v>
          </cell>
          <cell r="H3047" t="str">
            <v>INGREDIENTS</v>
          </cell>
          <cell r="I3047" t="str">
            <v>INGREDIENTS</v>
          </cell>
          <cell r="J3047" t="str">
            <v>AM ITB FS I DA SILVA SANTOS</v>
          </cell>
          <cell r="K3047" t="str">
            <v>ITAMBÉ</v>
          </cell>
          <cell r="L3047" t="str">
            <v>MAURICIO</v>
          </cell>
          <cell r="M3047" t="str">
            <v>JOEL</v>
          </cell>
        </row>
        <row r="3048">
          <cell r="B3048">
            <v>5313456</v>
          </cell>
          <cell r="C3048" t="str">
            <v>PORTEFRIO DISTRIBUIDORA DE GENEROS</v>
          </cell>
          <cell r="D3048" t="str">
            <v>3001</v>
          </cell>
          <cell r="E3048" t="str">
            <v>6169</v>
          </cell>
          <cell r="F3048" t="str">
            <v>C1</v>
          </cell>
          <cell r="G3048" t="str">
            <v>RJ</v>
          </cell>
          <cell r="H3048" t="str">
            <v>DISTRIBUIÇÃO</v>
          </cell>
          <cell r="I3048" t="str">
            <v>FOOD SERVICE</v>
          </cell>
          <cell r="J3048" t="str">
            <v>JULIANA CORDEIRO</v>
          </cell>
          <cell r="K3048" t="str">
            <v>ITAMBÉ</v>
          </cell>
          <cell r="L3048" t="str">
            <v>RODRIGO</v>
          </cell>
          <cell r="M3048" t="str">
            <v>JESSICA</v>
          </cell>
        </row>
        <row r="3049">
          <cell r="B3049">
            <v>5314195</v>
          </cell>
          <cell r="C3049" t="str">
            <v>PANIFICADORA E CONFEITARIA SANTELMO</v>
          </cell>
          <cell r="D3049" t="str">
            <v>6001</v>
          </cell>
          <cell r="E3049" t="str">
            <v>0126</v>
          </cell>
          <cell r="F3049" t="str">
            <v>C1</v>
          </cell>
          <cell r="G3049" t="str">
            <v>SC</v>
          </cell>
          <cell r="H3049" t="str">
            <v>DISTRIBUIÇÃO</v>
          </cell>
          <cell r="I3049" t="str">
            <v>FOOD SERVICE</v>
          </cell>
          <cell r="J3049" t="str">
            <v>ANGELICA BATISTELA</v>
          </cell>
          <cell r="K3049" t="str">
            <v>ITAMBÉ</v>
          </cell>
          <cell r="L3049" t="str">
            <v>RODRIGO</v>
          </cell>
          <cell r="M3049" t="str">
            <v>ANGELICA BATISTELA</v>
          </cell>
        </row>
        <row r="3050">
          <cell r="B3050">
            <v>5316223</v>
          </cell>
          <cell r="C3050" t="str">
            <v>DM MERCADO LTDA</v>
          </cell>
          <cell r="D3050" t="str">
            <v>3001</v>
          </cell>
          <cell r="E3050" t="str">
            <v>6125</v>
          </cell>
          <cell r="F3050" t="str">
            <v>C1</v>
          </cell>
          <cell r="G3050" t="str">
            <v>SP</v>
          </cell>
          <cell r="H3050" t="str">
            <v>DISTRIBUIÇÃO</v>
          </cell>
          <cell r="I3050" t="str">
            <v>FOOD SERVICE</v>
          </cell>
          <cell r="J3050" t="str">
            <v>SP ITB FS FLAC REP.E COMERCIO</v>
          </cell>
          <cell r="K3050" t="str">
            <v>ITAMBÉ</v>
          </cell>
          <cell r="L3050" t="str">
            <v>RODRIGO</v>
          </cell>
          <cell r="M3050" t="str">
            <v>RAQUEL BARBOSA</v>
          </cell>
        </row>
        <row r="3051">
          <cell r="B3051">
            <v>5318875</v>
          </cell>
          <cell r="C3051" t="str">
            <v>OESA COMERCIO E REPRESENTACOES</v>
          </cell>
          <cell r="D3051" t="str">
            <v>6001</v>
          </cell>
          <cell r="E3051" t="str">
            <v>0122</v>
          </cell>
          <cell r="F3051" t="str">
            <v>C1</v>
          </cell>
          <cell r="G3051" t="str">
            <v>MG</v>
          </cell>
          <cell r="H3051" t="str">
            <v>DISTRIBUIÇÃO</v>
          </cell>
          <cell r="I3051" t="str">
            <v>FOOD SERVICE</v>
          </cell>
          <cell r="J3051" t="str">
            <v>CELIO/MARANATHA</v>
          </cell>
          <cell r="K3051" t="str">
            <v>ITAMBÉ</v>
          </cell>
          <cell r="L3051" t="str">
            <v>RODRIGO</v>
          </cell>
          <cell r="M3051" t="str">
            <v>CELIO MARTINS</v>
          </cell>
        </row>
        <row r="3052">
          <cell r="B3052">
            <v>5321782</v>
          </cell>
          <cell r="C3052" t="str">
            <v>CENTER COMERCIO DE EMBALAGENS L</v>
          </cell>
          <cell r="D3052" t="str">
            <v>6001</v>
          </cell>
          <cell r="E3052" t="str">
            <v>0126</v>
          </cell>
          <cell r="F3052" t="str">
            <v>C1</v>
          </cell>
          <cell r="G3052" t="str">
            <v>PR</v>
          </cell>
          <cell r="H3052" t="str">
            <v>DISTRIBUIÇÃO</v>
          </cell>
          <cell r="I3052" t="str">
            <v>FOOD SERVICE</v>
          </cell>
          <cell r="J3052" t="str">
            <v>ANGELICA BATISTELA</v>
          </cell>
          <cell r="K3052" t="str">
            <v>ITAMBÉ</v>
          </cell>
          <cell r="L3052" t="str">
            <v>RODRIGO</v>
          </cell>
          <cell r="M3052" t="str">
            <v>ANGELICA BATISTELA</v>
          </cell>
        </row>
        <row r="3053">
          <cell r="B3053">
            <v>5324461</v>
          </cell>
          <cell r="C3053" t="str">
            <v>RODOLUKI COMERCIO LOGISTICA</v>
          </cell>
          <cell r="D3053" t="str">
            <v>3001</v>
          </cell>
          <cell r="E3053" t="str">
            <v>6125</v>
          </cell>
          <cell r="F3053" t="str">
            <v>C1</v>
          </cell>
          <cell r="G3053" t="str">
            <v>SP</v>
          </cell>
          <cell r="H3053" t="str">
            <v>QSR</v>
          </cell>
          <cell r="I3053" t="str">
            <v>FOOD SERVICE</v>
          </cell>
          <cell r="J3053" t="str">
            <v>ANA MENIQUETE</v>
          </cell>
          <cell r="K3053" t="str">
            <v>ITAMBÉ</v>
          </cell>
          <cell r="L3053" t="str">
            <v>PEDRO</v>
          </cell>
          <cell r="M3053" t="str">
            <v>ANA MENIQUETE</v>
          </cell>
        </row>
        <row r="3054">
          <cell r="B3054">
            <v>5335146</v>
          </cell>
          <cell r="C3054" t="str">
            <v>BERRY S INDUSTRIA DE SORVETES L</v>
          </cell>
          <cell r="D3054" t="str">
            <v>6001</v>
          </cell>
          <cell r="E3054" t="str">
            <v>0028</v>
          </cell>
          <cell r="F3054" t="str">
            <v>C1</v>
          </cell>
          <cell r="G3054" t="str">
            <v>MG</v>
          </cell>
          <cell r="H3054" t="str">
            <v>INGREDIENTS</v>
          </cell>
          <cell r="I3054" t="str">
            <v>INGREDIENTS</v>
          </cell>
          <cell r="J3054" t="str">
            <v>HENRIQUE FERREIRA</v>
          </cell>
          <cell r="K3054" t="str">
            <v>ITAMBÉ</v>
          </cell>
          <cell r="L3054" t="str">
            <v>MAURICIO</v>
          </cell>
          <cell r="M3054" t="str">
            <v>JOEL</v>
          </cell>
        </row>
        <row r="3055">
          <cell r="B3055">
            <v>5335635</v>
          </cell>
          <cell r="C3055" t="str">
            <v>SUSANA SALES SIQUEIRA 159179698</v>
          </cell>
          <cell r="D3055" t="str">
            <v>3001</v>
          </cell>
          <cell r="E3055" t="str">
            <v>6028</v>
          </cell>
          <cell r="F3055" t="str">
            <v>C1</v>
          </cell>
          <cell r="G3055" t="str">
            <v>BA</v>
          </cell>
          <cell r="H3055" t="str">
            <v>INGREDIENTS</v>
          </cell>
          <cell r="I3055" t="str">
            <v>INGREDIENTS</v>
          </cell>
          <cell r="J3055" t="str">
            <v>BA ITB FS ML FLAVORS</v>
          </cell>
          <cell r="K3055" t="str">
            <v>ITAMBÉ</v>
          </cell>
          <cell r="L3055" t="str">
            <v>MAURICIO</v>
          </cell>
          <cell r="M3055" t="str">
            <v>JOEL</v>
          </cell>
        </row>
        <row r="3056">
          <cell r="B3056">
            <v>5338420</v>
          </cell>
          <cell r="C3056" t="str">
            <v>ERLAN SA EM RECUPERACAO JUDICIA</v>
          </cell>
          <cell r="D3056" t="str">
            <v>6001</v>
          </cell>
          <cell r="E3056" t="str">
            <v>0028</v>
          </cell>
          <cell r="F3056" t="str">
            <v>C1</v>
          </cell>
          <cell r="G3056" t="str">
            <v>MG</v>
          </cell>
          <cell r="H3056" t="str">
            <v>INGREDIENTS</v>
          </cell>
          <cell r="I3056" t="str">
            <v>INGREDIENTS</v>
          </cell>
          <cell r="J3056" t="str">
            <v>HENRIQUE FERREIRA</v>
          </cell>
          <cell r="K3056" t="str">
            <v>ITAMBÉ</v>
          </cell>
          <cell r="L3056" t="str">
            <v>MAURICIO</v>
          </cell>
          <cell r="M3056" t="str">
            <v>JOEL</v>
          </cell>
        </row>
        <row r="3057">
          <cell r="B3057">
            <v>5340677</v>
          </cell>
          <cell r="C3057" t="str">
            <v>M SANTOS IANSEN SORVETERIA</v>
          </cell>
          <cell r="D3057" t="str">
            <v>6001</v>
          </cell>
          <cell r="E3057" t="str">
            <v>0028</v>
          </cell>
          <cell r="F3057" t="str">
            <v>C1</v>
          </cell>
          <cell r="G3057" t="str">
            <v>PR</v>
          </cell>
          <cell r="H3057" t="str">
            <v>INGREDIENTS</v>
          </cell>
          <cell r="I3057" t="str">
            <v>INGREDIENTS</v>
          </cell>
          <cell r="J3057" t="str">
            <v>TATIANA NITTA</v>
          </cell>
          <cell r="K3057" t="str">
            <v>ITAMBÉ</v>
          </cell>
          <cell r="L3057" t="str">
            <v>MAURICIO</v>
          </cell>
          <cell r="M3057" t="str">
            <v>TATIANA NITTA</v>
          </cell>
        </row>
        <row r="3058">
          <cell r="B3058">
            <v>5341225</v>
          </cell>
          <cell r="C3058" t="str">
            <v>CAPODIFOGLIO E CIA LTDA</v>
          </cell>
          <cell r="D3058" t="str">
            <v>3001</v>
          </cell>
          <cell r="E3058" t="str">
            <v>6028</v>
          </cell>
          <cell r="F3058" t="str">
            <v>C1</v>
          </cell>
          <cell r="G3058" t="str">
            <v>SP</v>
          </cell>
          <cell r="H3058" t="str">
            <v>INGREDIENTS</v>
          </cell>
          <cell r="I3058" t="str">
            <v>INGREDIENTS</v>
          </cell>
          <cell r="J3058" t="str">
            <v>TATIANA NITTA</v>
          </cell>
          <cell r="K3058" t="str">
            <v>ITAMBÉ</v>
          </cell>
          <cell r="L3058" t="str">
            <v>MAURICIO</v>
          </cell>
          <cell r="M3058" t="str">
            <v>TATIANA NITTA</v>
          </cell>
        </row>
        <row r="3059">
          <cell r="B3059">
            <v>5346808</v>
          </cell>
          <cell r="C3059" t="str">
            <v>AZ ALIMENTOS SAUDAVEIS LTDA</v>
          </cell>
          <cell r="D3059" t="str">
            <v>6001</v>
          </cell>
          <cell r="E3059" t="str">
            <v>0126</v>
          </cell>
          <cell r="F3059" t="str">
            <v>C1</v>
          </cell>
          <cell r="G3059" t="str">
            <v>PR</v>
          </cell>
          <cell r="H3059" t="str">
            <v>DISTRIBUIÇÃO</v>
          </cell>
          <cell r="I3059" t="str">
            <v>FOOD SERVICE</v>
          </cell>
          <cell r="J3059" t="str">
            <v>ANGELICA BATISTELA</v>
          </cell>
          <cell r="K3059" t="str">
            <v>ITAMBÉ</v>
          </cell>
          <cell r="L3059" t="str">
            <v>RODRIGO</v>
          </cell>
          <cell r="M3059" t="str">
            <v>ANGELICA BATISTELA</v>
          </cell>
        </row>
        <row r="3060">
          <cell r="B3060">
            <v>5347144</v>
          </cell>
          <cell r="C3060" t="str">
            <v>MBF IND E COM DE ALIMENTOS LTDA</v>
          </cell>
          <cell r="D3060" t="str">
            <v>3001</v>
          </cell>
          <cell r="E3060" t="str">
            <v>6028</v>
          </cell>
          <cell r="F3060" t="str">
            <v>C1</v>
          </cell>
          <cell r="G3060" t="str">
            <v>SP</v>
          </cell>
          <cell r="H3060" t="str">
            <v>INGREDIENTS</v>
          </cell>
          <cell r="I3060" t="str">
            <v>INGREDIENTS</v>
          </cell>
          <cell r="J3060" t="str">
            <v>TATIANA NITTA</v>
          </cell>
          <cell r="K3060" t="str">
            <v>ITAMBÉ</v>
          </cell>
          <cell r="L3060" t="str">
            <v>MAURICIO</v>
          </cell>
          <cell r="M3060" t="str">
            <v>TATIANA NITTA</v>
          </cell>
        </row>
        <row r="3061">
          <cell r="B3061">
            <v>5348271</v>
          </cell>
          <cell r="C3061" t="str">
            <v>CENTRAL MIX LTDA</v>
          </cell>
          <cell r="D3061" t="str">
            <v>6001</v>
          </cell>
          <cell r="E3061" t="str">
            <v>0122</v>
          </cell>
          <cell r="F3061" t="str">
            <v>C1</v>
          </cell>
          <cell r="G3061" t="str">
            <v>MG</v>
          </cell>
          <cell r="H3061" t="str">
            <v>DISTRIBUIÇÃO</v>
          </cell>
          <cell r="I3061" t="str">
            <v>FOOD SERVICE</v>
          </cell>
          <cell r="J3061" t="str">
            <v>MARCELO SILVA</v>
          </cell>
          <cell r="K3061" t="str">
            <v>ITAMBÉ</v>
          </cell>
          <cell r="L3061" t="str">
            <v>RODRIGO</v>
          </cell>
          <cell r="M3061" t="str">
            <v>CELIO MARTINS</v>
          </cell>
        </row>
        <row r="3062">
          <cell r="B3062">
            <v>5348916</v>
          </cell>
          <cell r="C3062" t="str">
            <v>TOTAL CREAM</v>
          </cell>
          <cell r="D3062" t="str">
            <v>3001</v>
          </cell>
          <cell r="E3062" t="str">
            <v>6028</v>
          </cell>
          <cell r="F3062" t="str">
            <v>C1</v>
          </cell>
          <cell r="G3062" t="str">
            <v>SP</v>
          </cell>
          <cell r="H3062" t="str">
            <v>INGREDIENTS</v>
          </cell>
          <cell r="I3062" t="str">
            <v>INGREDIENTS</v>
          </cell>
          <cell r="J3062" t="str">
            <v>SP ITB FS LUIZ PEREIRA</v>
          </cell>
          <cell r="K3062" t="str">
            <v>ITAMBÉ</v>
          </cell>
          <cell r="L3062" t="str">
            <v>MAURICIO</v>
          </cell>
          <cell r="M3062" t="str">
            <v>TATIANA NITTA</v>
          </cell>
        </row>
        <row r="3063">
          <cell r="B3063">
            <v>5349287</v>
          </cell>
          <cell r="C3063" t="str">
            <v>IDEAL CESTAS DE ALIMENTOS LTDA</v>
          </cell>
          <cell r="D3063" t="str">
            <v>6001</v>
          </cell>
          <cell r="E3063" t="str">
            <v>0122</v>
          </cell>
          <cell r="F3063" t="str">
            <v>C1</v>
          </cell>
          <cell r="G3063" t="str">
            <v>MG</v>
          </cell>
          <cell r="H3063" t="str">
            <v>DISTRIBUIÇÃO</v>
          </cell>
          <cell r="I3063" t="str">
            <v>FOOD SERVICE</v>
          </cell>
          <cell r="J3063" t="str">
            <v>MARCELO SILVA</v>
          </cell>
          <cell r="K3063" t="str">
            <v>ITAMBÉ</v>
          </cell>
          <cell r="L3063" t="str">
            <v>RODRIGO</v>
          </cell>
          <cell r="M3063" t="str">
            <v>CELIO MARTINS</v>
          </cell>
        </row>
        <row r="3064">
          <cell r="B3064">
            <v>5349403</v>
          </cell>
          <cell r="C3064" t="str">
            <v>PARADELA DIST DE ALIMENTOS LTDA</v>
          </cell>
          <cell r="D3064" t="str">
            <v>3001</v>
          </cell>
          <cell r="E3064" t="str">
            <v>6169</v>
          </cell>
          <cell r="F3064" t="str">
            <v>C1</v>
          </cell>
          <cell r="G3064" t="str">
            <v>RJ</v>
          </cell>
          <cell r="H3064" t="str">
            <v>DISTRIBUIÇÃO</v>
          </cell>
          <cell r="I3064" t="str">
            <v>FOOD SERVICE</v>
          </cell>
          <cell r="J3064" t="str">
            <v>JULIANA CORDEIRO</v>
          </cell>
          <cell r="K3064" t="str">
            <v>ITAMBÉ</v>
          </cell>
          <cell r="L3064" t="str">
            <v>RODRIGO</v>
          </cell>
          <cell r="M3064" t="str">
            <v>JESSICA</v>
          </cell>
        </row>
        <row r="3065">
          <cell r="B3065">
            <v>5349486</v>
          </cell>
          <cell r="C3065" t="str">
            <v>CAPITAL DAS CESTAS LTDA</v>
          </cell>
          <cell r="D3065" t="str">
            <v>6001</v>
          </cell>
          <cell r="E3065" t="str">
            <v>0122</v>
          </cell>
          <cell r="F3065" t="str">
            <v>C1</v>
          </cell>
          <cell r="G3065" t="str">
            <v>MG</v>
          </cell>
          <cell r="H3065" t="str">
            <v>DISTRIBUIÇÃO</v>
          </cell>
          <cell r="I3065" t="str">
            <v>FOOD SERVICE</v>
          </cell>
          <cell r="J3065" t="str">
            <v>MARCELO SILVA</v>
          </cell>
          <cell r="K3065" t="str">
            <v>ITAMBÉ</v>
          </cell>
          <cell r="L3065" t="str">
            <v>RODRIGO</v>
          </cell>
          <cell r="M3065" t="str">
            <v>CELIO MARTINS</v>
          </cell>
        </row>
        <row r="3066">
          <cell r="B3066">
            <v>5350810</v>
          </cell>
          <cell r="C3066" t="str">
            <v>COMERCIO DE ALIM NOVA PITOKO LT</v>
          </cell>
          <cell r="D3066" t="str">
            <v>3001</v>
          </cell>
          <cell r="E3066" t="str">
            <v>6169</v>
          </cell>
          <cell r="F3066" t="str">
            <v>C1</v>
          </cell>
          <cell r="G3066" t="str">
            <v>RJ</v>
          </cell>
          <cell r="H3066" t="str">
            <v>DISTRIBUIÇÃO</v>
          </cell>
          <cell r="I3066" t="str">
            <v>FOOD SERVICE</v>
          </cell>
          <cell r="J3066" t="str">
            <v>JULIANA CORDEIRO</v>
          </cell>
          <cell r="K3066" t="str">
            <v>ITAMBÉ</v>
          </cell>
          <cell r="L3066" t="str">
            <v>RODRIGO</v>
          </cell>
          <cell r="M3066" t="str">
            <v>JESSICA</v>
          </cell>
        </row>
        <row r="3067">
          <cell r="B3067">
            <v>5351400</v>
          </cell>
          <cell r="C3067" t="str">
            <v>HARALD IND E COM DE ALIMENTOS L</v>
          </cell>
          <cell r="D3067" t="str">
            <v>6001</v>
          </cell>
          <cell r="E3067" t="str">
            <v>0028</v>
          </cell>
          <cell r="F3067" t="str">
            <v>C1</v>
          </cell>
          <cell r="G3067" t="str">
            <v>SP</v>
          </cell>
          <cell r="H3067" t="str">
            <v>INGREDIENTS</v>
          </cell>
          <cell r="I3067" t="str">
            <v>INGREDIENTS</v>
          </cell>
          <cell r="J3067" t="str">
            <v>TATIANA NITTA</v>
          </cell>
          <cell r="K3067" t="str">
            <v>ITAMBÉ</v>
          </cell>
          <cell r="L3067" t="str">
            <v>MAURICIO</v>
          </cell>
          <cell r="M3067" t="str">
            <v>TATIANA NITTA</v>
          </cell>
        </row>
        <row r="3068">
          <cell r="B3068">
            <v>5351706</v>
          </cell>
          <cell r="C3068" t="str">
            <v>BPM IND E COM DE ALIMENTOS S A</v>
          </cell>
          <cell r="D3068" t="str">
            <v>3001</v>
          </cell>
          <cell r="E3068" t="str">
            <v>6125</v>
          </cell>
          <cell r="F3068" t="str">
            <v>C1</v>
          </cell>
          <cell r="G3068" t="str">
            <v>SP</v>
          </cell>
          <cell r="H3068" t="str">
            <v>INGREDIENTS</v>
          </cell>
          <cell r="I3068" t="str">
            <v>INGREDIENTS</v>
          </cell>
          <cell r="J3068" t="str">
            <v>MARCELO RODRIGUES</v>
          </cell>
          <cell r="K3068" t="str">
            <v>ITAMBÉ</v>
          </cell>
          <cell r="L3068" t="str">
            <v>MAURICIO</v>
          </cell>
          <cell r="M3068" t="str">
            <v>MARCELO</v>
          </cell>
        </row>
        <row r="3069">
          <cell r="B3069">
            <v>5352967</v>
          </cell>
          <cell r="C3069" t="str">
            <v>RESTAURANTE DONA LUCINHA LTDA</v>
          </cell>
          <cell r="D3069" t="str">
            <v>7001</v>
          </cell>
          <cell r="E3069" t="str">
            <v>0749</v>
          </cell>
          <cell r="F3069" t="str">
            <v>C5</v>
          </cell>
          <cell r="G3069" t="str">
            <v>SP</v>
          </cell>
          <cell r="H3069" t="str">
            <v>DISTRIBUIÇÃO</v>
          </cell>
          <cell r="I3069" t="str">
            <v>FOOD SERVICE</v>
          </cell>
          <cell r="J3069" t="str">
            <v>FLAC 5</v>
          </cell>
          <cell r="K3069" t="str">
            <v>LACTALIS</v>
          </cell>
          <cell r="L3069" t="str">
            <v>RODRIGO</v>
          </cell>
          <cell r="M3069" t="str">
            <v>RAQUEL BARBOSA</v>
          </cell>
        </row>
        <row r="3070">
          <cell r="B3070">
            <v>5353215</v>
          </cell>
          <cell r="C3070" t="str">
            <v>SORVET E LANCH SABOR E ARTE LTD</v>
          </cell>
          <cell r="D3070" t="str">
            <v>6001</v>
          </cell>
          <cell r="E3070" t="str">
            <v>0028</v>
          </cell>
          <cell r="F3070" t="str">
            <v>C1</v>
          </cell>
          <cell r="G3070" t="str">
            <v>MG</v>
          </cell>
          <cell r="H3070" t="str">
            <v>INGREDIENTS</v>
          </cell>
          <cell r="I3070" t="str">
            <v>INGREDIENTS</v>
          </cell>
          <cell r="J3070" t="str">
            <v>HENRIQUE FERREIRA</v>
          </cell>
          <cell r="K3070" t="str">
            <v>ITAMBÉ</v>
          </cell>
          <cell r="L3070" t="str">
            <v>MAURICIO</v>
          </cell>
          <cell r="M3070" t="str">
            <v>JOEL</v>
          </cell>
        </row>
        <row r="3071">
          <cell r="B3071">
            <v>5353685</v>
          </cell>
          <cell r="C3071" t="str">
            <v>GANTE COMERCIO DE DOCES LTDA</v>
          </cell>
          <cell r="D3071" t="str">
            <v>3001</v>
          </cell>
          <cell r="E3071" t="str">
            <v>6028</v>
          </cell>
          <cell r="F3071" t="str">
            <v>C1</v>
          </cell>
          <cell r="G3071" t="str">
            <v>SP</v>
          </cell>
          <cell r="H3071" t="str">
            <v>INGREDIENTS</v>
          </cell>
          <cell r="I3071" t="str">
            <v>INGREDIENTS</v>
          </cell>
          <cell r="J3071" t="str">
            <v>HENRIQUE FERREIRA</v>
          </cell>
          <cell r="K3071" t="str">
            <v>ITAMBÉ</v>
          </cell>
          <cell r="L3071" t="str">
            <v>MAURICIO</v>
          </cell>
          <cell r="M3071" t="str">
            <v>JOEL</v>
          </cell>
        </row>
        <row r="3072">
          <cell r="B3072">
            <v>5353844</v>
          </cell>
          <cell r="C3072" t="str">
            <v>FEITO CHOCOLATE LTDA</v>
          </cell>
          <cell r="D3072" t="str">
            <v>6001</v>
          </cell>
          <cell r="E3072" t="str">
            <v>0126</v>
          </cell>
          <cell r="F3072" t="str">
            <v>C1</v>
          </cell>
          <cell r="G3072" t="str">
            <v>PR</v>
          </cell>
          <cell r="H3072" t="str">
            <v>DISTRIBUIÇÃO</v>
          </cell>
          <cell r="I3072" t="str">
            <v>FOOD SERVICE</v>
          </cell>
          <cell r="J3072" t="str">
            <v>ANGELICA BATISTELA</v>
          </cell>
          <cell r="K3072" t="str">
            <v>ITAMBÉ</v>
          </cell>
          <cell r="L3072" t="str">
            <v>RODRIGO</v>
          </cell>
          <cell r="M3072" t="str">
            <v>ANGELICA BATISTELA</v>
          </cell>
        </row>
        <row r="3073">
          <cell r="B3073">
            <v>5355986</v>
          </cell>
          <cell r="C3073" t="str">
            <v>FUNCHAL IND E COM DE PAPEIS LTD</v>
          </cell>
          <cell r="D3073" t="str">
            <v>3001</v>
          </cell>
          <cell r="E3073" t="str">
            <v>6125</v>
          </cell>
          <cell r="F3073" t="str">
            <v>C1</v>
          </cell>
          <cell r="G3073" t="str">
            <v>SP</v>
          </cell>
          <cell r="H3073" t="str">
            <v>DISTRIBUIÇÃO</v>
          </cell>
          <cell r="I3073" t="str">
            <v>FOOD SERVICE</v>
          </cell>
          <cell r="J3073" t="str">
            <v>VAGO SP</v>
          </cell>
          <cell r="K3073" t="str">
            <v>ITAMBÉ</v>
          </cell>
          <cell r="L3073" t="str">
            <v>RODRIGO</v>
          </cell>
          <cell r="M3073" t="str">
            <v>RAQUEL BARBOSA</v>
          </cell>
        </row>
        <row r="3074">
          <cell r="B3074">
            <v>5363625</v>
          </cell>
          <cell r="C3074" t="str">
            <v>WEPROTEIN COMERCIO LTDA</v>
          </cell>
          <cell r="D3074" t="str">
            <v>7001</v>
          </cell>
          <cell r="E3074" t="str">
            <v>0722</v>
          </cell>
          <cell r="F3074" t="str">
            <v>C1</v>
          </cell>
          <cell r="G3074" t="str">
            <v>SP</v>
          </cell>
          <cell r="H3074" t="str">
            <v>QSR</v>
          </cell>
          <cell r="I3074" t="str">
            <v>FOOD SERVICE</v>
          </cell>
          <cell r="J3074" t="str">
            <v>VAGO QSR</v>
          </cell>
          <cell r="K3074" t="str">
            <v>LACTALIS</v>
          </cell>
          <cell r="L3074" t="str">
            <v>PEDRO</v>
          </cell>
          <cell r="M3074" t="str">
            <v>VAGO QSR</v>
          </cell>
        </row>
        <row r="3075">
          <cell r="B3075">
            <v>5261001</v>
          </cell>
          <cell r="C3075" t="str">
            <v>DONA CARMELA RESTAURANTE</v>
          </cell>
          <cell r="D3075" t="str">
            <v>7001</v>
          </cell>
          <cell r="E3075" t="str">
            <v>0749</v>
          </cell>
          <cell r="F3075" t="str">
            <v>C5</v>
          </cell>
          <cell r="G3075" t="str">
            <v>SP</v>
          </cell>
          <cell r="H3075" t="str">
            <v>DISTRIBUIÇÃO</v>
          </cell>
          <cell r="I3075" t="str">
            <v>FOOD SERVICE</v>
          </cell>
          <cell r="J3075" t="str">
            <v>FLAC 5</v>
          </cell>
          <cell r="K3075" t="str">
            <v>LACTALIS</v>
          </cell>
          <cell r="L3075" t="str">
            <v>RODRIGO</v>
          </cell>
          <cell r="M3075" t="str">
            <v>RAQUEL BARBOSA</v>
          </cell>
        </row>
        <row r="3076">
          <cell r="B3076">
            <v>5335946</v>
          </cell>
          <cell r="C3076" t="str">
            <v>MW EDITORA E ILUSTRACOES LTDA</v>
          </cell>
          <cell r="D3076" t="str">
            <v>7001</v>
          </cell>
          <cell r="E3076" t="str">
            <v>0749</v>
          </cell>
          <cell r="F3076" t="str">
            <v>C5</v>
          </cell>
          <cell r="G3076" t="str">
            <v>SP</v>
          </cell>
          <cell r="H3076" t="str">
            <v>DISTRIBUIÇÃO</v>
          </cell>
          <cell r="I3076" t="str">
            <v>FOOD SERVICE</v>
          </cell>
          <cell r="J3076" t="str">
            <v>FLAC 2</v>
          </cell>
          <cell r="K3076" t="str">
            <v>LACTALIS</v>
          </cell>
          <cell r="L3076" t="str">
            <v>RODRIGO</v>
          </cell>
          <cell r="M3076" t="str">
            <v>RAQUEL BARBOSA</v>
          </cell>
        </row>
        <row r="3077">
          <cell r="B3077">
            <v>5339004</v>
          </cell>
          <cell r="C3077" t="str">
            <v>P S DISTRIBUIDORA LTDA</v>
          </cell>
          <cell r="D3077" t="str">
            <v>4001</v>
          </cell>
          <cell r="E3077" t="str">
            <v>0455</v>
          </cell>
          <cell r="F3077" t="str">
            <v>C1</v>
          </cell>
          <cell r="G3077" t="str">
            <v>PR</v>
          </cell>
          <cell r="H3077" t="str">
            <v>INGREDIENTS</v>
          </cell>
          <cell r="I3077" t="str">
            <v>INGREDIENTS</v>
          </cell>
          <cell r="J3077" t="str">
            <v>MARCELO RODRIGUES</v>
          </cell>
          <cell r="K3077" t="str">
            <v>LACTALIS</v>
          </cell>
          <cell r="L3077" t="str">
            <v>MAURICIO</v>
          </cell>
          <cell r="M3077" t="str">
            <v>MARCELO</v>
          </cell>
        </row>
        <row r="3078">
          <cell r="B3078">
            <v>5356134</v>
          </cell>
          <cell r="C3078" t="str">
            <v>56165588 TAL ADRU DE OLIVEIRA</v>
          </cell>
          <cell r="D3078" t="str">
            <v>7001</v>
          </cell>
          <cell r="E3078" t="str">
            <v>0749</v>
          </cell>
          <cell r="F3078" t="str">
            <v>C5</v>
          </cell>
          <cell r="G3078" t="str">
            <v>SP</v>
          </cell>
          <cell r="H3078" t="str">
            <v>DISTRIBUIÇÃO</v>
          </cell>
          <cell r="I3078" t="str">
            <v>FOOD SERVICE</v>
          </cell>
          <cell r="J3078" t="str">
            <v>FLAC 7</v>
          </cell>
          <cell r="K3078" t="str">
            <v>LACTALIS</v>
          </cell>
          <cell r="L3078" t="str">
            <v>RODRIGO</v>
          </cell>
          <cell r="M3078" t="str">
            <v>RAQUEL BARBOSA</v>
          </cell>
        </row>
        <row r="3079">
          <cell r="B3079">
            <v>5361702</v>
          </cell>
          <cell r="C3079" t="str">
            <v>ENRICO V M SUMMO PADARIA ARTESA</v>
          </cell>
          <cell r="D3079" t="str">
            <v>7001</v>
          </cell>
          <cell r="E3079" t="str">
            <v>0749</v>
          </cell>
          <cell r="F3079" t="str">
            <v>C5</v>
          </cell>
          <cell r="G3079" t="str">
            <v>SP</v>
          </cell>
          <cell r="H3079" t="str">
            <v>DISTRIBUIÇÃO</v>
          </cell>
          <cell r="I3079" t="str">
            <v>FOOD SERVICE</v>
          </cell>
          <cell r="J3079" t="str">
            <v>FLAC 3</v>
          </cell>
          <cell r="K3079" t="str">
            <v>LACTALIS</v>
          </cell>
          <cell r="L3079" t="str">
            <v>RODRIGO</v>
          </cell>
          <cell r="M3079" t="str">
            <v>RAQUEL BARBOSA</v>
          </cell>
        </row>
        <row r="3080">
          <cell r="B3080">
            <v>5233833</v>
          </cell>
          <cell r="C3080" t="str">
            <v>CBAF COMERCIO DE ALIMENTOS LTDA</v>
          </cell>
          <cell r="D3080" t="str">
            <v>6001</v>
          </cell>
          <cell r="E3080" t="str">
            <v>6125</v>
          </cell>
          <cell r="F3080" t="str">
            <v>C1</v>
          </cell>
          <cell r="G3080" t="str">
            <v>SP</v>
          </cell>
          <cell r="H3080" t="str">
            <v>QSR</v>
          </cell>
          <cell r="I3080" t="str">
            <v>FOOD SERVICE</v>
          </cell>
          <cell r="J3080" t="str">
            <v>VAGO QSR</v>
          </cell>
          <cell r="K3080" t="str">
            <v>ITAMBÉ</v>
          </cell>
          <cell r="L3080" t="str">
            <v>PEDRO</v>
          </cell>
          <cell r="M3080" t="str">
            <v>VAGO QSR</v>
          </cell>
        </row>
        <row r="3081">
          <cell r="B3081">
            <v>5332394</v>
          </cell>
          <cell r="C3081" t="str">
            <v>CB RECIFE RESTAURANTE E ALIMENT</v>
          </cell>
          <cell r="D3081" t="str">
            <v>3001</v>
          </cell>
          <cell r="E3081" t="str">
            <v>0127</v>
          </cell>
          <cell r="F3081" t="str">
            <v>C1</v>
          </cell>
          <cell r="G3081" t="str">
            <v>PE</v>
          </cell>
          <cell r="H3081" t="str">
            <v>QSR</v>
          </cell>
          <cell r="I3081" t="str">
            <v>FOOD SERVICE</v>
          </cell>
          <cell r="J3081" t="str">
            <v>VAGO QSR</v>
          </cell>
          <cell r="K3081" t="str">
            <v>ITAMBÉ</v>
          </cell>
          <cell r="L3081" t="str">
            <v>PEDRO</v>
          </cell>
          <cell r="M3081" t="str">
            <v>VAGO QSR</v>
          </cell>
        </row>
        <row r="3082">
          <cell r="B3082">
            <v>5350697</v>
          </cell>
          <cell r="C3082" t="str">
            <v>CB MARKET PLACE COM DE ALI LTDA</v>
          </cell>
          <cell r="D3082" t="str">
            <v>6001</v>
          </cell>
          <cell r="E3082" t="str">
            <v>6125</v>
          </cell>
          <cell r="F3082" t="str">
            <v>C1</v>
          </cell>
          <cell r="G3082" t="str">
            <v>SP</v>
          </cell>
          <cell r="H3082" t="str">
            <v>QSR</v>
          </cell>
          <cell r="I3082" t="str">
            <v>FOOD SERVICE</v>
          </cell>
          <cell r="J3082" t="str">
            <v>VAGO QSR</v>
          </cell>
          <cell r="K3082" t="str">
            <v>ITAMBÉ</v>
          </cell>
          <cell r="L3082" t="str">
            <v>PEDRO</v>
          </cell>
          <cell r="M3082" t="str">
            <v>VAGO QSR</v>
          </cell>
        </row>
        <row r="3083">
          <cell r="B3083">
            <v>5350701</v>
          </cell>
          <cell r="C3083" t="str">
            <v>CB SANTO ANDRE COMERCIO DE ALIM</v>
          </cell>
          <cell r="D3083" t="str">
            <v>6001</v>
          </cell>
          <cell r="E3083" t="str">
            <v>6125</v>
          </cell>
          <cell r="F3083" t="str">
            <v>C1</v>
          </cell>
          <cell r="G3083" t="str">
            <v>SP</v>
          </cell>
          <cell r="H3083" t="str">
            <v>QSR</v>
          </cell>
          <cell r="I3083" t="str">
            <v>FOOD SERVICE</v>
          </cell>
          <cell r="J3083" t="str">
            <v>VAGO QSR</v>
          </cell>
          <cell r="K3083" t="str">
            <v>ITAMBÉ</v>
          </cell>
          <cell r="L3083" t="str">
            <v>PEDRO</v>
          </cell>
          <cell r="M3083" t="str">
            <v>VAGO QSR</v>
          </cell>
        </row>
        <row r="3084">
          <cell r="B3084">
            <v>5350702</v>
          </cell>
          <cell r="C3084" t="str">
            <v>CB SAO JOSE DO RIO PRETO COM DE</v>
          </cell>
          <cell r="D3084" t="str">
            <v>6001</v>
          </cell>
          <cell r="E3084" t="str">
            <v>6125</v>
          </cell>
          <cell r="F3084" t="str">
            <v>C1</v>
          </cell>
          <cell r="G3084" t="str">
            <v>SP</v>
          </cell>
          <cell r="H3084" t="str">
            <v>QSR</v>
          </cell>
          <cell r="I3084" t="str">
            <v>FOOD SERVICE</v>
          </cell>
          <cell r="J3084" t="str">
            <v>VAGO QSR</v>
          </cell>
          <cell r="K3084" t="str">
            <v>ITAMBÉ</v>
          </cell>
          <cell r="L3084" t="str">
            <v>PEDRO</v>
          </cell>
          <cell r="M3084" t="str">
            <v>VAGO QSR</v>
          </cell>
        </row>
        <row r="3085">
          <cell r="B3085">
            <v>5350705</v>
          </cell>
          <cell r="C3085" t="str">
            <v>CB SP MARKET COMERCIO DE ALIMEN</v>
          </cell>
          <cell r="D3085" t="str">
            <v>6001</v>
          </cell>
          <cell r="E3085" t="str">
            <v>6125</v>
          </cell>
          <cell r="F3085" t="str">
            <v>C1</v>
          </cell>
          <cell r="G3085" t="str">
            <v>SP</v>
          </cell>
          <cell r="H3085" t="str">
            <v>QSR</v>
          </cell>
          <cell r="I3085" t="str">
            <v>FOOD SERVICE</v>
          </cell>
          <cell r="J3085" t="str">
            <v>VAGO QSR</v>
          </cell>
          <cell r="K3085" t="str">
            <v>ITAMBÉ</v>
          </cell>
          <cell r="L3085" t="str">
            <v>PEDRO</v>
          </cell>
          <cell r="M3085" t="str">
            <v>VAGO QSR</v>
          </cell>
        </row>
        <row r="3086">
          <cell r="B3086">
            <v>5351708</v>
          </cell>
          <cell r="C3086" t="str">
            <v>CB RIO NORTE SHOP COM DE ALI LT</v>
          </cell>
          <cell r="D3086" t="str">
            <v>6001</v>
          </cell>
          <cell r="E3086" t="str">
            <v>6169</v>
          </cell>
          <cell r="F3086" t="str">
            <v>C1</v>
          </cell>
          <cell r="G3086" t="str">
            <v>RJ</v>
          </cell>
          <cell r="H3086" t="str">
            <v>QSR</v>
          </cell>
          <cell r="I3086" t="str">
            <v>FOOD SERVICE</v>
          </cell>
          <cell r="J3086" t="str">
            <v>VAGO QSR</v>
          </cell>
          <cell r="K3086" t="str">
            <v>ITAMBÉ</v>
          </cell>
          <cell r="L3086" t="str">
            <v>PEDRO</v>
          </cell>
          <cell r="M3086" t="str">
            <v>VAGO QSR</v>
          </cell>
        </row>
        <row r="3087">
          <cell r="B3087">
            <v>5351859</v>
          </cell>
          <cell r="C3087" t="str">
            <v>COCO BAMBU SL COMER DE ALIM LTD</v>
          </cell>
          <cell r="D3087" t="str">
            <v>3001</v>
          </cell>
          <cell r="E3087" t="str">
            <v>0128</v>
          </cell>
          <cell r="F3087" t="str">
            <v>C1</v>
          </cell>
          <cell r="G3087" t="str">
            <v>MA</v>
          </cell>
          <cell r="H3087" t="str">
            <v>QSR</v>
          </cell>
          <cell r="I3087" t="str">
            <v>FOOD SERVICE</v>
          </cell>
          <cell r="J3087" t="str">
            <v>VAGO QSR</v>
          </cell>
          <cell r="K3087" t="str">
            <v>ITAMBÉ</v>
          </cell>
          <cell r="L3087" t="str">
            <v>PEDRO</v>
          </cell>
          <cell r="M3087" t="str">
            <v>VAGO QSR</v>
          </cell>
        </row>
        <row r="3088">
          <cell r="B3088">
            <v>5351862</v>
          </cell>
          <cell r="C3088" t="str">
            <v>CB MINAS COMERCIO DE ALIMENTOS</v>
          </cell>
          <cell r="D3088" t="str">
            <v>3001</v>
          </cell>
          <cell r="E3088" t="str">
            <v>0122</v>
          </cell>
          <cell r="F3088" t="str">
            <v>C1</v>
          </cell>
          <cell r="G3088" t="str">
            <v>MG</v>
          </cell>
          <cell r="H3088" t="str">
            <v>QSR</v>
          </cell>
          <cell r="I3088" t="str">
            <v>FOOD SERVICE</v>
          </cell>
          <cell r="J3088" t="str">
            <v>VAGO QSR</v>
          </cell>
          <cell r="K3088" t="str">
            <v>ITAMBÉ</v>
          </cell>
          <cell r="L3088" t="str">
            <v>PEDRO</v>
          </cell>
          <cell r="M3088" t="str">
            <v>VAGO QSR</v>
          </cell>
        </row>
        <row r="3089">
          <cell r="B3089">
            <v>5351871</v>
          </cell>
          <cell r="C3089" t="str">
            <v>CB CONCEITO MARINGA COM DE ALI</v>
          </cell>
          <cell r="D3089" t="str">
            <v>3001</v>
          </cell>
          <cell r="E3089" t="str">
            <v>0126</v>
          </cell>
          <cell r="F3089" t="str">
            <v>C1</v>
          </cell>
          <cell r="G3089" t="str">
            <v>PR</v>
          </cell>
          <cell r="H3089" t="str">
            <v>QSR</v>
          </cell>
          <cell r="I3089" t="str">
            <v>FOOD SERVICE</v>
          </cell>
          <cell r="J3089" t="str">
            <v>VAGO QSR</v>
          </cell>
          <cell r="K3089" t="str">
            <v>ITAMBÉ</v>
          </cell>
          <cell r="L3089" t="str">
            <v>PEDRO</v>
          </cell>
          <cell r="M3089" t="str">
            <v>VAGO QSR</v>
          </cell>
        </row>
        <row r="3090">
          <cell r="B3090">
            <v>5351895</v>
          </cell>
          <cell r="C3090" t="str">
            <v>CB RIO NORTE SHOP COM DE ALI LT</v>
          </cell>
          <cell r="D3090" t="str">
            <v>6001</v>
          </cell>
          <cell r="E3090" t="str">
            <v>6169</v>
          </cell>
          <cell r="F3090" t="str">
            <v>C1</v>
          </cell>
          <cell r="G3090" t="str">
            <v>RJ</v>
          </cell>
          <cell r="H3090" t="str">
            <v>QSR</v>
          </cell>
          <cell r="I3090" t="str">
            <v>FOOD SERVICE</v>
          </cell>
          <cell r="J3090" t="str">
            <v>VAGO QSR</v>
          </cell>
          <cell r="K3090" t="str">
            <v>ITAMBÉ</v>
          </cell>
          <cell r="L3090" t="str">
            <v>PEDRO</v>
          </cell>
          <cell r="M3090" t="str">
            <v>VAGO QSR</v>
          </cell>
        </row>
        <row r="3091">
          <cell r="B3091">
            <v>5352110</v>
          </cell>
          <cell r="C3091" t="str">
            <v>COCO BAMBU F DO M COM DE AL LTD</v>
          </cell>
          <cell r="D3091" t="str">
            <v>6001</v>
          </cell>
          <cell r="E3091" t="str">
            <v>6127</v>
          </cell>
          <cell r="F3091" t="str">
            <v>C1</v>
          </cell>
          <cell r="G3091" t="str">
            <v>CE</v>
          </cell>
          <cell r="H3091" t="str">
            <v>QSR</v>
          </cell>
          <cell r="I3091" t="str">
            <v>FOOD SERVICE</v>
          </cell>
          <cell r="J3091" t="str">
            <v>VAGO QSR</v>
          </cell>
          <cell r="K3091" t="str">
            <v>ITAMBÉ</v>
          </cell>
          <cell r="L3091" t="str">
            <v>PEDRO</v>
          </cell>
          <cell r="M3091" t="str">
            <v>VAGO QSR</v>
          </cell>
        </row>
        <row r="3092">
          <cell r="B3092">
            <v>5353735</v>
          </cell>
          <cell r="C3092" t="str">
            <v>COCO BAMBU GOIANIA COM DE ALIM</v>
          </cell>
          <cell r="D3092" t="str">
            <v>3001</v>
          </cell>
          <cell r="E3092" t="str">
            <v>0123</v>
          </cell>
          <cell r="F3092" t="str">
            <v>C1</v>
          </cell>
          <cell r="G3092" t="str">
            <v>GO</v>
          </cell>
          <cell r="H3092" t="str">
            <v>QSR</v>
          </cell>
          <cell r="I3092" t="str">
            <v>FOOD SERVICE</v>
          </cell>
          <cell r="J3092" t="str">
            <v>VAGO QSR</v>
          </cell>
          <cell r="K3092" t="str">
            <v>ITAMBÉ</v>
          </cell>
          <cell r="L3092" t="str">
            <v>PEDRO</v>
          </cell>
          <cell r="M3092" t="str">
            <v>VAGO QSR</v>
          </cell>
        </row>
        <row r="3093">
          <cell r="B3093">
            <v>5363597</v>
          </cell>
          <cell r="C3093" t="str">
            <v>CB MINAS COMERCIO DE ALIM LTDA</v>
          </cell>
          <cell r="D3093" t="str">
            <v>3001</v>
          </cell>
          <cell r="E3093" t="str">
            <v>0122</v>
          </cell>
          <cell r="F3093" t="str">
            <v>C1</v>
          </cell>
          <cell r="G3093" t="str">
            <v>MG</v>
          </cell>
          <cell r="H3093" t="str">
            <v>QSR</v>
          </cell>
          <cell r="I3093" t="str">
            <v>FOOD SERVICE</v>
          </cell>
          <cell r="J3093" t="str">
            <v>VAGO QSR</v>
          </cell>
          <cell r="K3093" t="str">
            <v>ITAMBÉ</v>
          </cell>
          <cell r="L3093" t="str">
            <v>PEDRO</v>
          </cell>
          <cell r="M3093" t="str">
            <v>VAGO QSR</v>
          </cell>
        </row>
        <row r="3094">
          <cell r="B3094">
            <v>5363598</v>
          </cell>
          <cell r="C3094" t="str">
            <v>CB RIO VOLTA REDONDA COM DE AL</v>
          </cell>
          <cell r="D3094" t="str">
            <v>6001</v>
          </cell>
          <cell r="E3094" t="str">
            <v>6169</v>
          </cell>
          <cell r="F3094" t="str">
            <v>C1</v>
          </cell>
          <cell r="G3094" t="str">
            <v>RJ</v>
          </cell>
          <cell r="H3094" t="str">
            <v>QSR</v>
          </cell>
          <cell r="I3094" t="str">
            <v>FOOD SERVICE</v>
          </cell>
          <cell r="J3094" t="str">
            <v>VAGO QSR</v>
          </cell>
          <cell r="K3094" t="str">
            <v>ITAMBÉ</v>
          </cell>
          <cell r="L3094" t="str">
            <v>PEDRO</v>
          </cell>
          <cell r="M3094" t="str">
            <v>VAGO QSR</v>
          </cell>
        </row>
        <row r="3095">
          <cell r="B3095">
            <v>5363952</v>
          </cell>
          <cell r="C3095" t="str">
            <v>BRASIL FOOD LTDA</v>
          </cell>
          <cell r="D3095" t="str">
            <v>3001</v>
          </cell>
          <cell r="E3095" t="str">
            <v>0028</v>
          </cell>
          <cell r="F3095" t="str">
            <v>C1</v>
          </cell>
          <cell r="G3095" t="str">
            <v>PB</v>
          </cell>
          <cell r="H3095" t="str">
            <v>INGREDIENTS</v>
          </cell>
          <cell r="I3095" t="str">
            <v>INGREDIENTS</v>
          </cell>
          <cell r="J3095" t="str">
            <v>JOEL ELEOTÉRIO</v>
          </cell>
          <cell r="K3095" t="str">
            <v>ITAMBÉ</v>
          </cell>
          <cell r="L3095" t="str">
            <v>MAURICIO</v>
          </cell>
          <cell r="M3095" t="str">
            <v>JOEL</v>
          </cell>
        </row>
        <row r="3096">
          <cell r="B3096">
            <v>5001681</v>
          </cell>
          <cell r="C3096" t="str">
            <v>CATERAIR SERV DE BORDO E HOTELA</v>
          </cell>
          <cell r="D3096" t="str">
            <v>7001</v>
          </cell>
          <cell r="E3096" t="str">
            <v>0739</v>
          </cell>
          <cell r="F3096" t="str">
            <v>C1</v>
          </cell>
          <cell r="G3096" t="str">
            <v>RJ</v>
          </cell>
          <cell r="H3096" t="str">
            <v>QSR</v>
          </cell>
          <cell r="I3096" t="str">
            <v>FOOD SERVICE</v>
          </cell>
          <cell r="J3096" t="str">
            <v>ANA MENIQUETE</v>
          </cell>
          <cell r="K3096" t="str">
            <v>LACTALIS</v>
          </cell>
          <cell r="L3096" t="str">
            <v>PEDRO</v>
          </cell>
          <cell r="M3096" t="str">
            <v>ANA MENIQUETE</v>
          </cell>
        </row>
        <row r="3097">
          <cell r="B3097">
            <v>5200105</v>
          </cell>
          <cell r="C3097" t="str">
            <v>NPEREIRA IMPORTACAO E COMERCIO</v>
          </cell>
          <cell r="D3097" t="str">
            <v>7001</v>
          </cell>
          <cell r="E3097" t="str">
            <v>0749</v>
          </cell>
          <cell r="F3097" t="str">
            <v>C5</v>
          </cell>
          <cell r="G3097" t="str">
            <v>SP</v>
          </cell>
          <cell r="H3097" t="str">
            <v>DISTRIBUIÇÃO</v>
          </cell>
          <cell r="I3097" t="str">
            <v>FOOD SERVICE</v>
          </cell>
          <cell r="J3097" t="str">
            <v>FLAC 8</v>
          </cell>
          <cell r="K3097" t="str">
            <v>LACTALIS</v>
          </cell>
          <cell r="L3097" t="str">
            <v>RODRIGO</v>
          </cell>
          <cell r="M3097" t="str">
            <v>RAQUEL BARBOSA</v>
          </cell>
        </row>
        <row r="3098">
          <cell r="B3098">
            <v>5348319</v>
          </cell>
          <cell r="C3098" t="str">
            <v>MARIAS RESTAURANTE LTDA</v>
          </cell>
          <cell r="D3098" t="str">
            <v>7001</v>
          </cell>
          <cell r="E3098" t="str">
            <v>0749</v>
          </cell>
          <cell r="F3098" t="str">
            <v>C5</v>
          </cell>
          <cell r="G3098" t="str">
            <v>SP</v>
          </cell>
          <cell r="H3098" t="str">
            <v>DISTRIBUIÇÃO</v>
          </cell>
          <cell r="I3098" t="str">
            <v>FOOD SERVICE</v>
          </cell>
          <cell r="J3098" t="str">
            <v>FLAC 6</v>
          </cell>
          <cell r="K3098" t="str">
            <v>LACTALIS</v>
          </cell>
          <cell r="L3098" t="str">
            <v>RODRIGO</v>
          </cell>
          <cell r="M3098" t="str">
            <v>RAQUEL BARBOSA</v>
          </cell>
        </row>
        <row r="3099">
          <cell r="B3099">
            <v>5350654</v>
          </cell>
          <cell r="C3099" t="str">
            <v>CB ANHEMBI COMERCIO DE ALIMENTO</v>
          </cell>
          <cell r="D3099" t="str">
            <v>6001</v>
          </cell>
          <cell r="E3099" t="str">
            <v>6125</v>
          </cell>
          <cell r="F3099" t="str">
            <v>C1</v>
          </cell>
          <cell r="G3099" t="str">
            <v>SP</v>
          </cell>
          <cell r="H3099" t="str">
            <v>QSR</v>
          </cell>
          <cell r="I3099" t="str">
            <v>FOOD SERVICE</v>
          </cell>
          <cell r="J3099" t="str">
            <v>VAGO QSR</v>
          </cell>
          <cell r="K3099" t="str">
            <v>ITAMBÉ</v>
          </cell>
          <cell r="L3099" t="str">
            <v>PEDRO</v>
          </cell>
          <cell r="M3099" t="str">
            <v>VAGO QSR</v>
          </cell>
        </row>
        <row r="3100">
          <cell r="B3100">
            <v>5363589</v>
          </cell>
          <cell r="C3100" t="str">
            <v>CB MINAS COMERCIO DE ALIM LTDA</v>
          </cell>
          <cell r="D3100" t="str">
            <v>3001</v>
          </cell>
          <cell r="E3100" t="str">
            <v>0122</v>
          </cell>
          <cell r="F3100" t="str">
            <v>C1</v>
          </cell>
          <cell r="G3100" t="str">
            <v>MG</v>
          </cell>
          <cell r="H3100" t="str">
            <v>QSR</v>
          </cell>
          <cell r="I3100" t="str">
            <v>FOOD SERVICE</v>
          </cell>
          <cell r="J3100" t="str">
            <v>VAGO QSR</v>
          </cell>
          <cell r="K3100" t="str">
            <v>ITAMBÉ</v>
          </cell>
          <cell r="L3100" t="str">
            <v>PEDRO</v>
          </cell>
          <cell r="M3100" t="str">
            <v>VAGO QSR</v>
          </cell>
        </row>
        <row r="3101">
          <cell r="B3101">
            <v>5363628</v>
          </cell>
          <cell r="C3101" t="str">
            <v>INDUSTRIA DE SORVETES E GELO PI</v>
          </cell>
          <cell r="D3101" t="str">
            <v>3001</v>
          </cell>
          <cell r="E3101" t="str">
            <v>0028</v>
          </cell>
          <cell r="F3101" t="str">
            <v>C1</v>
          </cell>
          <cell r="G3101" t="str">
            <v>MG</v>
          </cell>
          <cell r="H3101" t="str">
            <v>INGREDIENTS</v>
          </cell>
          <cell r="I3101" t="str">
            <v>INGREDIENTS</v>
          </cell>
          <cell r="J3101" t="str">
            <v>MG ITB FS HENRIQUE WAGNER</v>
          </cell>
          <cell r="K3101" t="str">
            <v>ITAMBÉ</v>
          </cell>
          <cell r="L3101" t="str">
            <v>MAURICIO</v>
          </cell>
          <cell r="M3101" t="str">
            <v>TATIANA NITTA</v>
          </cell>
        </row>
        <row r="3102">
          <cell r="B3102">
            <v>5223996</v>
          </cell>
          <cell r="C3102" t="str">
            <v>PLASTIC DISTRIBUIDORA LTDA</v>
          </cell>
          <cell r="D3102" t="str">
            <v>6001</v>
          </cell>
          <cell r="E3102" t="str">
            <v>6169</v>
          </cell>
          <cell r="F3102" t="str">
            <v>C1</v>
          </cell>
          <cell r="G3102" t="str">
            <v>ES</v>
          </cell>
          <cell r="H3102" t="str">
            <v>DISTRIBUIÇÃO</v>
          </cell>
          <cell r="I3102" t="str">
            <v>FOOD SERVICE</v>
          </cell>
          <cell r="J3102" t="str">
            <v>MARCELO DUARTE</v>
          </cell>
          <cell r="K3102" t="str">
            <v>ITAMBÉ</v>
          </cell>
          <cell r="L3102" t="str">
            <v>RODRIGO</v>
          </cell>
          <cell r="M3102" t="str">
            <v>JESSICA</v>
          </cell>
        </row>
        <row r="3103">
          <cell r="B3103">
            <v>5363590</v>
          </cell>
          <cell r="C3103" t="str">
            <v>CB RIO BARRA DA TIJ COM D ALIM</v>
          </cell>
          <cell r="D3103" t="str">
            <v>6001</v>
          </cell>
          <cell r="E3103" t="str">
            <v>6169</v>
          </cell>
          <cell r="F3103" t="str">
            <v>C1</v>
          </cell>
          <cell r="G3103" t="str">
            <v>RJ</v>
          </cell>
          <cell r="H3103" t="str">
            <v>QSR</v>
          </cell>
          <cell r="I3103" t="str">
            <v>FOOD SERVICE</v>
          </cell>
          <cell r="J3103" t="str">
            <v>VAGO QSR</v>
          </cell>
          <cell r="K3103" t="str">
            <v>ITAMBÉ</v>
          </cell>
          <cell r="L3103" t="str">
            <v>PEDRO</v>
          </cell>
          <cell r="M3103" t="str">
            <v>VAGO QSR</v>
          </cell>
        </row>
        <row r="3104">
          <cell r="B3104">
            <v>5210879</v>
          </cell>
          <cell r="C3104" t="str">
            <v>CB RIO BOTAFOGO C DE ALIMENTOS LTDA</v>
          </cell>
          <cell r="D3104" t="str">
            <v>6001</v>
          </cell>
          <cell r="E3104" t="str">
            <v>6169</v>
          </cell>
          <cell r="F3104" t="str">
            <v>C1</v>
          </cell>
          <cell r="G3104" t="str">
            <v>RJ</v>
          </cell>
          <cell r="H3104" t="str">
            <v>QSR</v>
          </cell>
          <cell r="I3104" t="str">
            <v>FOOD SERVICE</v>
          </cell>
          <cell r="J3104" t="str">
            <v>VAGO QSR</v>
          </cell>
          <cell r="K3104" t="str">
            <v>ITAMBÉ</v>
          </cell>
          <cell r="L3104" t="str">
            <v>PEDRO</v>
          </cell>
          <cell r="M3104" t="str">
            <v>VAGO QSR</v>
          </cell>
        </row>
        <row r="3105">
          <cell r="B3105">
            <v>5325105</v>
          </cell>
          <cell r="C3105" t="str">
            <v>DINAMARCA INDUSTRIA E COM DE AL</v>
          </cell>
          <cell r="D3105" t="str">
            <v>4001</v>
          </cell>
          <cell r="E3105" t="str">
            <v>0455</v>
          </cell>
          <cell r="F3105" t="str">
            <v>C1</v>
          </cell>
          <cell r="G3105" t="str">
            <v>PR</v>
          </cell>
          <cell r="H3105" t="str">
            <v>INGREDIENTS</v>
          </cell>
          <cell r="I3105" t="str">
            <v>INGREDIENTS</v>
          </cell>
          <cell r="J3105" t="str">
            <v>MARCELO RODRIGUES</v>
          </cell>
          <cell r="K3105" t="str">
            <v>LACTALIS</v>
          </cell>
          <cell r="L3105" t="str">
            <v>MAURICIO</v>
          </cell>
          <cell r="M3105" t="str">
            <v>MARCELO</v>
          </cell>
        </row>
        <row r="3106">
          <cell r="B3106">
            <v>5361885</v>
          </cell>
          <cell r="C3106" t="str">
            <v>CAMARA TRADE NEG INTERNACIONAIS</v>
          </cell>
          <cell r="D3106" t="str">
            <v>4001</v>
          </cell>
          <cell r="E3106" t="str">
            <v>0423</v>
          </cell>
          <cell r="F3106" t="str">
            <v>C5</v>
          </cell>
          <cell r="G3106" t="str">
            <v>MG</v>
          </cell>
          <cell r="H3106" t="str">
            <v>INGREDIENTS</v>
          </cell>
          <cell r="I3106" t="str">
            <v>INGREDIENTS</v>
          </cell>
          <cell r="J3106" t="str">
            <v>DLUM</v>
          </cell>
          <cell r="K3106" t="str">
            <v>LACTALIS</v>
          </cell>
          <cell r="L3106" t="str">
            <v>MAURICIO</v>
          </cell>
          <cell r="M3106" t="str">
            <v>JOEL</v>
          </cell>
        </row>
        <row r="3107">
          <cell r="B3107">
            <v>5363062</v>
          </cell>
          <cell r="C3107" t="str">
            <v>RS BOLOS E DOCES LTDA</v>
          </cell>
          <cell r="D3107" t="str">
            <v>7001</v>
          </cell>
          <cell r="E3107" t="str">
            <v>0749</v>
          </cell>
          <cell r="F3107" t="str">
            <v>C5</v>
          </cell>
          <cell r="G3107" t="str">
            <v>SP</v>
          </cell>
          <cell r="H3107" t="str">
            <v>DISTRIBUIÇÃO</v>
          </cell>
          <cell r="I3107" t="str">
            <v>FOOD SERVICE</v>
          </cell>
          <cell r="J3107" t="str">
            <v>FLAC 4</v>
          </cell>
          <cell r="K3107" t="str">
            <v>LACTALIS</v>
          </cell>
          <cell r="L3107" t="str">
            <v>RODRIGO</v>
          </cell>
          <cell r="M3107" t="str">
            <v>RAQUEL BARBOSA</v>
          </cell>
        </row>
        <row r="3108">
          <cell r="B3108">
            <v>5363451</v>
          </cell>
          <cell r="C3108" t="str">
            <v>CIA FERRASA DE EMPREENDIMENTOS</v>
          </cell>
          <cell r="D3108" t="str">
            <v>7001</v>
          </cell>
          <cell r="E3108" t="str">
            <v>0722</v>
          </cell>
          <cell r="F3108" t="str">
            <v>C1</v>
          </cell>
          <cell r="G3108" t="str">
            <v>SP</v>
          </cell>
          <cell r="H3108" t="str">
            <v>QSR</v>
          </cell>
          <cell r="I3108" t="str">
            <v>FOOD SERVICE</v>
          </cell>
          <cell r="J3108" t="str">
            <v>VAGO QSR</v>
          </cell>
          <cell r="K3108" t="str">
            <v>LACTALIS</v>
          </cell>
          <cell r="L3108" t="str">
            <v>PEDRO</v>
          </cell>
          <cell r="M3108" t="str">
            <v>VAGO QSR</v>
          </cell>
        </row>
        <row r="3109">
          <cell r="B3109">
            <v>5363626</v>
          </cell>
          <cell r="C3109" t="str">
            <v>WEPROTEIN COMERCIO LTDA</v>
          </cell>
          <cell r="D3109" t="str">
            <v>7001</v>
          </cell>
          <cell r="E3109" t="str">
            <v>0722</v>
          </cell>
          <cell r="F3109" t="str">
            <v>C1</v>
          </cell>
          <cell r="G3109" t="str">
            <v>SP</v>
          </cell>
          <cell r="H3109" t="str">
            <v>QSR</v>
          </cell>
          <cell r="I3109" t="str">
            <v>FOOD SERVICE</v>
          </cell>
          <cell r="J3109" t="str">
            <v>VAGO QSR</v>
          </cell>
          <cell r="K3109" t="str">
            <v>LACTALIS</v>
          </cell>
          <cell r="L3109" t="str">
            <v>PEDRO</v>
          </cell>
          <cell r="M3109" t="str">
            <v>VAGO QSR</v>
          </cell>
        </row>
        <row r="3110">
          <cell r="B3110">
            <v>5363627</v>
          </cell>
          <cell r="C3110" t="str">
            <v>WEPROTEIN COMERCIO LTDA</v>
          </cell>
          <cell r="D3110" t="str">
            <v>7001</v>
          </cell>
          <cell r="E3110" t="str">
            <v>0722</v>
          </cell>
          <cell r="F3110" t="str">
            <v>C1</v>
          </cell>
          <cell r="G3110" t="str">
            <v>SP</v>
          </cell>
          <cell r="H3110" t="str">
            <v>QSR</v>
          </cell>
          <cell r="I3110" t="str">
            <v>FOOD SERVICE</v>
          </cell>
          <cell r="J3110" t="str">
            <v>VAGO QSR</v>
          </cell>
          <cell r="K3110" t="str">
            <v>LACTALIS</v>
          </cell>
          <cell r="L3110" t="str">
            <v>PEDRO</v>
          </cell>
          <cell r="M3110" t="str">
            <v>VAGO QSR</v>
          </cell>
        </row>
        <row r="3111">
          <cell r="B3111">
            <v>5363949</v>
          </cell>
          <cell r="C3111" t="str">
            <v>FUNCHAL INDUSTRIA E COMERC DE P</v>
          </cell>
          <cell r="D3111" t="str">
            <v>6001</v>
          </cell>
          <cell r="E3111" t="str">
            <v>6125</v>
          </cell>
          <cell r="F3111" t="str">
            <v>C1</v>
          </cell>
          <cell r="G3111" t="str">
            <v>SP</v>
          </cell>
          <cell r="H3111" t="str">
            <v>DISTRIBUIÇÃO</v>
          </cell>
          <cell r="I3111" t="str">
            <v>FOOD SERVICE</v>
          </cell>
          <cell r="J3111" t="str">
            <v>VAGO SP</v>
          </cell>
          <cell r="K3111" t="str">
            <v>ITAMBÉ</v>
          </cell>
          <cell r="L3111" t="str">
            <v>RODRIGO</v>
          </cell>
          <cell r="M3111" t="str">
            <v>RAQUEL BARBOSA</v>
          </cell>
        </row>
        <row r="3112">
          <cell r="B3112">
            <v>5089548</v>
          </cell>
          <cell r="C3112" t="str">
            <v>COOPERATIVA AGROINDUSTRIAL SERR</v>
          </cell>
          <cell r="D3112" t="str">
            <v>6001</v>
          </cell>
          <cell r="E3112" t="str">
            <v>6028</v>
          </cell>
          <cell r="F3112" t="str">
            <v>C1</v>
          </cell>
          <cell r="G3112" t="str">
            <v>SP</v>
          </cell>
          <cell r="H3112" t="str">
            <v>INGREDIENTS</v>
          </cell>
          <cell r="I3112" t="str">
            <v>INGREDIENTS</v>
          </cell>
          <cell r="J3112" t="str">
            <v>TATIANA NITTA</v>
          </cell>
          <cell r="K3112" t="str">
            <v>ITAMBÉ</v>
          </cell>
          <cell r="L3112" t="str">
            <v>MAURICIO</v>
          </cell>
          <cell r="M3112" t="str">
            <v>TATIANA NITTA</v>
          </cell>
        </row>
        <row r="3113">
          <cell r="B3113">
            <v>5206128</v>
          </cell>
          <cell r="C3113" t="str">
            <v>NUTRIWAY FOODS INDUSTRIA</v>
          </cell>
          <cell r="D3113" t="str">
            <v>3001</v>
          </cell>
          <cell r="E3113" t="str">
            <v>0122</v>
          </cell>
          <cell r="F3113" t="str">
            <v>C1</v>
          </cell>
          <cell r="G3113" t="str">
            <v>MG</v>
          </cell>
          <cell r="H3113" t="str">
            <v>INGREDIENTS</v>
          </cell>
          <cell r="I3113" t="str">
            <v>INGREDIENTS</v>
          </cell>
          <cell r="J3113" t="str">
            <v>MARCELO RODRIGUES</v>
          </cell>
          <cell r="K3113" t="str">
            <v>ITAMBÉ</v>
          </cell>
          <cell r="L3113" t="str">
            <v>MAURICIO</v>
          </cell>
          <cell r="M3113" t="str">
            <v>MARCELO</v>
          </cell>
        </row>
        <row r="3114">
          <cell r="B3114">
            <v>5231168</v>
          </cell>
          <cell r="C3114" t="str">
            <v>CRIATIVIDADE DAS FESTAS LTDA</v>
          </cell>
          <cell r="D3114" t="str">
            <v>3001</v>
          </cell>
          <cell r="E3114" t="str">
            <v>0122</v>
          </cell>
          <cell r="F3114" t="str">
            <v>C1</v>
          </cell>
          <cell r="G3114" t="str">
            <v>MG</v>
          </cell>
          <cell r="H3114" t="str">
            <v>DISTRIBUIÇÃO</v>
          </cell>
          <cell r="I3114" t="str">
            <v>FOOD SERVICE</v>
          </cell>
          <cell r="J3114" t="str">
            <v>MARCELO SILVA</v>
          </cell>
          <cell r="K3114" t="str">
            <v>ITAMBÉ</v>
          </cell>
          <cell r="L3114" t="str">
            <v>RODRIGO</v>
          </cell>
          <cell r="M3114" t="str">
            <v>CELIO MARTINS</v>
          </cell>
        </row>
        <row r="3115">
          <cell r="B3115">
            <v>5278284</v>
          </cell>
          <cell r="C3115" t="str">
            <v>PANIF CONF A LUXUOSA LTDA</v>
          </cell>
          <cell r="D3115" t="str">
            <v>7001</v>
          </cell>
          <cell r="E3115" t="str">
            <v>0749</v>
          </cell>
          <cell r="F3115" t="str">
            <v>C5</v>
          </cell>
          <cell r="G3115" t="str">
            <v>SP</v>
          </cell>
          <cell r="H3115" t="str">
            <v>DISTRIBUIÇÃO</v>
          </cell>
          <cell r="I3115" t="str">
            <v>FOOD SERVICE</v>
          </cell>
          <cell r="J3115" t="str">
            <v>FLAC 2</v>
          </cell>
          <cell r="K3115" t="str">
            <v>LACTALIS</v>
          </cell>
          <cell r="L3115" t="str">
            <v>RODRIGO</v>
          </cell>
          <cell r="M3115" t="str">
            <v>RAQUEL BARBOSA</v>
          </cell>
        </row>
        <row r="3116">
          <cell r="B3116">
            <v>5358934</v>
          </cell>
          <cell r="C3116" t="str">
            <v>NUPRECINHO LTDA</v>
          </cell>
          <cell r="D3116" t="str">
            <v>6001</v>
          </cell>
          <cell r="E3116" t="str">
            <v>6125</v>
          </cell>
          <cell r="F3116" t="str">
            <v>C1</v>
          </cell>
          <cell r="G3116" t="str">
            <v>SP</v>
          </cell>
          <cell r="H3116" t="str">
            <v>DISTRIBUIÇÃO</v>
          </cell>
          <cell r="I3116" t="str">
            <v>FOOD SERVICE</v>
          </cell>
          <cell r="J3116" t="str">
            <v>RAQUEL BARBOSA</v>
          </cell>
          <cell r="K3116" t="str">
            <v>ITAMBÉ</v>
          </cell>
          <cell r="L3116" t="str">
            <v>RODRIGO</v>
          </cell>
          <cell r="M3116" t="str">
            <v>RAQUEL BARBOSA</v>
          </cell>
        </row>
        <row r="3117">
          <cell r="B3117">
            <v>5364029</v>
          </cell>
          <cell r="C3117" t="str">
            <v>MAILDE BISTRO LTDA</v>
          </cell>
          <cell r="D3117" t="str">
            <v>7001</v>
          </cell>
          <cell r="E3117" t="str">
            <v>0756</v>
          </cell>
          <cell r="F3117" t="str">
            <v>C1</v>
          </cell>
          <cell r="G3117" t="str">
            <v>SC</v>
          </cell>
          <cell r="H3117" t="str">
            <v>QSR</v>
          </cell>
          <cell r="I3117" t="str">
            <v>FOOD SERVICE</v>
          </cell>
          <cell r="J3117" t="str">
            <v>VAGO QSR</v>
          </cell>
          <cell r="K3117" t="str">
            <v>LACTALIS</v>
          </cell>
          <cell r="L3117" t="str">
            <v>PEDRO</v>
          </cell>
          <cell r="M3117" t="str">
            <v>VAGO QSR</v>
          </cell>
        </row>
        <row r="3118">
          <cell r="B3118">
            <v>5000443</v>
          </cell>
          <cell r="C3118" t="str">
            <v>BIG TE LANCHES LTDA ME</v>
          </cell>
          <cell r="D3118" t="str">
            <v>3001</v>
          </cell>
          <cell r="E3118" t="str">
            <v>0028</v>
          </cell>
          <cell r="F3118" t="str">
            <v>C1</v>
          </cell>
          <cell r="G3118" t="str">
            <v>MG</v>
          </cell>
          <cell r="H3118" t="str">
            <v>INGREDIENTS</v>
          </cell>
          <cell r="I3118" t="str">
            <v>INGREDIENTS</v>
          </cell>
          <cell r="J3118" t="str">
            <v>HENRIQUE FERREIRA</v>
          </cell>
          <cell r="K3118" t="str">
            <v>ITAMBÉ</v>
          </cell>
          <cell r="L3118" t="str">
            <v>MAURICIO</v>
          </cell>
          <cell r="M3118" t="str">
            <v>JOEL</v>
          </cell>
        </row>
        <row r="3119">
          <cell r="B3119">
            <v>5161469</v>
          </cell>
          <cell r="C3119" t="str">
            <v>FORCA TOTAL DIST DE GENE ALIM L</v>
          </cell>
          <cell r="D3119" t="str">
            <v>6001</v>
          </cell>
          <cell r="E3119" t="str">
            <v>6169</v>
          </cell>
          <cell r="F3119" t="str">
            <v>C1</v>
          </cell>
          <cell r="G3119" t="str">
            <v>RJ</v>
          </cell>
          <cell r="H3119" t="str">
            <v>DISTRIBUIÇÃO</v>
          </cell>
          <cell r="I3119" t="str">
            <v>FOOD SERVICE</v>
          </cell>
          <cell r="J3119" t="str">
            <v>LUCIANA MARTINS</v>
          </cell>
          <cell r="K3119" t="str">
            <v>ITAMBÉ</v>
          </cell>
          <cell r="L3119" t="str">
            <v>RODRIGO</v>
          </cell>
          <cell r="M3119" t="str">
            <v>JESSICA</v>
          </cell>
        </row>
        <row r="3120">
          <cell r="B3120">
            <v>5161469</v>
          </cell>
          <cell r="C3120" t="str">
            <v>FORCA TOTAL DIST DE GENE ALIM L</v>
          </cell>
          <cell r="D3120" t="str">
            <v>7001</v>
          </cell>
          <cell r="E3120" t="str">
            <v>0739</v>
          </cell>
          <cell r="F3120" t="str">
            <v>C1</v>
          </cell>
          <cell r="G3120" t="str">
            <v>RJ</v>
          </cell>
          <cell r="H3120" t="str">
            <v>DISTRIBUIÇÃO</v>
          </cell>
          <cell r="I3120" t="str">
            <v>FOOD SERVICE</v>
          </cell>
          <cell r="J3120" t="str">
            <v>LUCIANA MARTINS</v>
          </cell>
          <cell r="K3120" t="str">
            <v>LACTALIS</v>
          </cell>
          <cell r="L3120" t="str">
            <v>RODRIGO</v>
          </cell>
          <cell r="M3120" t="str">
            <v>JESSICA</v>
          </cell>
        </row>
        <row r="3121">
          <cell r="B3121">
            <v>5161469</v>
          </cell>
          <cell r="C3121" t="str">
            <v>FORCA TOTAL DIST DE GENE ALIM L</v>
          </cell>
          <cell r="D3121" t="str">
            <v>3001</v>
          </cell>
          <cell r="E3121" t="str">
            <v>0169</v>
          </cell>
          <cell r="F3121" t="str">
            <v>C1</v>
          </cell>
          <cell r="G3121" t="str">
            <v>RJ</v>
          </cell>
          <cell r="H3121" t="str">
            <v>DISTRIBUIÇÃO</v>
          </cell>
          <cell r="I3121" t="str">
            <v>FOOD SERVICE</v>
          </cell>
          <cell r="J3121" t="str">
            <v>JESSICA CARLA</v>
          </cell>
          <cell r="K3121" t="str">
            <v>ITAMBÉ</v>
          </cell>
          <cell r="L3121" t="str">
            <v>RODRIGO</v>
          </cell>
          <cell r="M3121" t="str">
            <v>JESSICA</v>
          </cell>
        </row>
        <row r="3122">
          <cell r="B3122">
            <v>5191281</v>
          </cell>
          <cell r="C3122" t="str">
            <v>ND FESTAS LTDA</v>
          </cell>
          <cell r="D3122" t="str">
            <v>3001</v>
          </cell>
          <cell r="E3122" t="str">
            <v>0122</v>
          </cell>
          <cell r="F3122" t="str">
            <v>C1</v>
          </cell>
          <cell r="G3122" t="str">
            <v>MG</v>
          </cell>
          <cell r="H3122" t="str">
            <v>DISTRIBUIÇÃO</v>
          </cell>
          <cell r="I3122" t="str">
            <v>FOOD SERVICE</v>
          </cell>
          <cell r="J3122" t="str">
            <v>MARCELO SILVA</v>
          </cell>
          <cell r="K3122" t="str">
            <v>ITAMBÉ</v>
          </cell>
          <cell r="L3122" t="str">
            <v>RODRIGO</v>
          </cell>
          <cell r="M3122" t="str">
            <v>CELIO MARTINS</v>
          </cell>
        </row>
        <row r="3123">
          <cell r="B3123">
            <v>5363451</v>
          </cell>
          <cell r="C3123" t="str">
            <v>CIA FERRASA DE EMPREENDIMENTOS</v>
          </cell>
          <cell r="D3123" t="str">
            <v>6001</v>
          </cell>
          <cell r="E3123" t="str">
            <v>6125</v>
          </cell>
          <cell r="F3123" t="str">
            <v>C1</v>
          </cell>
          <cell r="G3123" t="str">
            <v>SP</v>
          </cell>
          <cell r="H3123" t="str">
            <v>QSR</v>
          </cell>
          <cell r="I3123" t="str">
            <v>FOOD SERVICE</v>
          </cell>
          <cell r="J3123" t="str">
            <v>VAGO QSR</v>
          </cell>
          <cell r="K3123" t="str">
            <v>ITAMBÉ</v>
          </cell>
          <cell r="L3123" t="str">
            <v>PEDRO</v>
          </cell>
          <cell r="M3123" t="str">
            <v>VAGO QSR</v>
          </cell>
        </row>
        <row r="3124">
          <cell r="B3124">
            <v>5364430</v>
          </cell>
          <cell r="C3124" t="str">
            <v>ULTRABRASIL IND E COM D A E P S</v>
          </cell>
          <cell r="D3124" t="str">
            <v>4001</v>
          </cell>
          <cell r="E3124" t="str">
            <v>0458</v>
          </cell>
          <cell r="F3124" t="str">
            <v>C1</v>
          </cell>
          <cell r="G3124" t="str">
            <v>MG</v>
          </cell>
          <cell r="H3124" t="str">
            <v>INGREDIENTS</v>
          </cell>
          <cell r="I3124" t="str">
            <v>INGREDIENTS</v>
          </cell>
          <cell r="J3124" t="str">
            <v>MARCELO RODRIGUES</v>
          </cell>
          <cell r="K3124" t="str">
            <v>LACTALIS</v>
          </cell>
          <cell r="L3124" t="str">
            <v>MAURICIO</v>
          </cell>
          <cell r="M3124" t="str">
            <v>MARCELO</v>
          </cell>
        </row>
        <row r="3125">
          <cell r="B3125">
            <v>5364495</v>
          </cell>
          <cell r="C3125" t="str">
            <v>3D SALGADOS LTDA</v>
          </cell>
          <cell r="D3125" t="str">
            <v>6001</v>
          </cell>
          <cell r="E3125" t="str">
            <v>6028</v>
          </cell>
          <cell r="F3125" t="str">
            <v>C1</v>
          </cell>
          <cell r="G3125" t="str">
            <v>RJ</v>
          </cell>
          <cell r="H3125" t="str">
            <v>INGREDIENTS</v>
          </cell>
          <cell r="I3125" t="str">
            <v>INGREDIENTS</v>
          </cell>
          <cell r="J3125" t="str">
            <v>RJ ITB FS L T MARTINS</v>
          </cell>
          <cell r="K3125" t="str">
            <v>ITAMBÉ</v>
          </cell>
          <cell r="L3125" t="str">
            <v>MAURICIO</v>
          </cell>
          <cell r="M3125" t="str">
            <v>TATIANA NITTA</v>
          </cell>
        </row>
        <row r="3126">
          <cell r="B3126">
            <v>5364496</v>
          </cell>
          <cell r="C3126" t="str">
            <v>CONVENIENCIA DABELA DE COELH DA</v>
          </cell>
          <cell r="D3126" t="str">
            <v>6001</v>
          </cell>
          <cell r="E3126" t="str">
            <v>6028</v>
          </cell>
          <cell r="F3126" t="str">
            <v>C1</v>
          </cell>
          <cell r="G3126" t="str">
            <v>RJ</v>
          </cell>
          <cell r="H3126" t="str">
            <v>INGREDIENTS</v>
          </cell>
          <cell r="I3126" t="str">
            <v>INGREDIENTS</v>
          </cell>
          <cell r="J3126" t="str">
            <v>RJ ITB FS L T MARTINS</v>
          </cell>
          <cell r="K3126" t="str">
            <v>ITAMBÉ</v>
          </cell>
          <cell r="L3126" t="str">
            <v>MAURICIO</v>
          </cell>
          <cell r="M3126" t="str">
            <v>TATIANA NITTA</v>
          </cell>
        </row>
        <row r="3127">
          <cell r="B3127">
            <v>5036214</v>
          </cell>
          <cell r="C3127" t="str">
            <v>ESPACO CHEF COMERCIO E DIST LTDA</v>
          </cell>
          <cell r="D3127" t="str">
            <v>6001</v>
          </cell>
          <cell r="E3127" t="str">
            <v>6075</v>
          </cell>
          <cell r="F3127" t="str">
            <v>C1</v>
          </cell>
          <cell r="G3127" t="str">
            <v>CE</v>
          </cell>
          <cell r="H3127" t="str">
            <v>DISTRIBUIÇÃO</v>
          </cell>
          <cell r="I3127" t="str">
            <v>FOOD SERVICE</v>
          </cell>
          <cell r="J3127" t="str">
            <v>WH FOOD SERVICE CE</v>
          </cell>
          <cell r="K3127" t="str">
            <v>ITAMBÉ</v>
          </cell>
          <cell r="L3127" t="str">
            <v>RODRIGO</v>
          </cell>
          <cell r="M3127" t="str">
            <v>MARIA LOURDES</v>
          </cell>
        </row>
        <row r="3128">
          <cell r="B3128">
            <v>5234713</v>
          </cell>
          <cell r="C3128" t="str">
            <v>OSMAR NICOLINI COMERCIO E DISTR</v>
          </cell>
          <cell r="D3128" t="str">
            <v>4001</v>
          </cell>
          <cell r="E3128" t="str">
            <v>0566</v>
          </cell>
          <cell r="F3128" t="str">
            <v>C7</v>
          </cell>
          <cell r="G3128" t="str">
            <v>RS</v>
          </cell>
          <cell r="H3128" t="str">
            <v>OUTROS</v>
          </cell>
          <cell r="I3128" t="str">
            <v>OUTROS</v>
          </cell>
          <cell r="J3128" t="str">
            <v>OUTROS</v>
          </cell>
          <cell r="K3128" t="str">
            <v>OUTROS</v>
          </cell>
          <cell r="L3128" t="str">
            <v>OUTROS</v>
          </cell>
          <cell r="M3128" t="str">
            <v>OUTROS</v>
          </cell>
        </row>
        <row r="3129">
          <cell r="B3129">
            <v>5248563</v>
          </cell>
          <cell r="C3129" t="str">
            <v>SANDRA MARGARETE COELHO</v>
          </cell>
          <cell r="D3129" t="str">
            <v>4001</v>
          </cell>
          <cell r="E3129" t="str">
            <v>0566</v>
          </cell>
          <cell r="F3129" t="str">
            <v>C7</v>
          </cell>
          <cell r="G3129" t="str">
            <v>RS</v>
          </cell>
          <cell r="H3129" t="str">
            <v>OUTROS</v>
          </cell>
          <cell r="I3129" t="str">
            <v>OUTROS</v>
          </cell>
          <cell r="J3129" t="str">
            <v>OUTROS</v>
          </cell>
          <cell r="K3129" t="str">
            <v>OUTROS</v>
          </cell>
          <cell r="L3129" t="str">
            <v>OUTROS</v>
          </cell>
          <cell r="M3129" t="str">
            <v>OUTROS</v>
          </cell>
        </row>
        <row r="3130">
          <cell r="B3130">
            <v>5279596</v>
          </cell>
          <cell r="C3130" t="str">
            <v>J JOSE POSADA CIA LTDA</v>
          </cell>
          <cell r="D3130" t="str">
            <v>4001</v>
          </cell>
          <cell r="E3130" t="str">
            <v>0566</v>
          </cell>
          <cell r="F3130" t="str">
            <v>C7</v>
          </cell>
          <cell r="G3130" t="str">
            <v>RS</v>
          </cell>
          <cell r="H3130" t="str">
            <v>OUTROS</v>
          </cell>
          <cell r="I3130" t="str">
            <v>OUTROS</v>
          </cell>
          <cell r="J3130" t="str">
            <v>OUTROS</v>
          </cell>
          <cell r="K3130" t="str">
            <v>OUTROS</v>
          </cell>
          <cell r="L3130" t="str">
            <v>OUTROS</v>
          </cell>
          <cell r="M3130" t="str">
            <v>OUTROS</v>
          </cell>
        </row>
        <row r="3131">
          <cell r="B3131">
            <v>5287946</v>
          </cell>
          <cell r="C3131" t="str">
            <v>SUPERMERCADO GUANABARA S A</v>
          </cell>
          <cell r="D3131" t="str">
            <v>4001</v>
          </cell>
          <cell r="E3131" t="str">
            <v>0566</v>
          </cell>
          <cell r="F3131" t="str">
            <v>C7</v>
          </cell>
          <cell r="G3131" t="str">
            <v>RS</v>
          </cell>
          <cell r="H3131" t="str">
            <v>OUTROS</v>
          </cell>
          <cell r="I3131" t="str">
            <v>OUTROS</v>
          </cell>
          <cell r="J3131" t="str">
            <v>OUTROS</v>
          </cell>
          <cell r="K3131" t="str">
            <v>OUTROS</v>
          </cell>
          <cell r="L3131" t="str">
            <v>OUTROS</v>
          </cell>
          <cell r="M3131" t="str">
            <v>OUTROS</v>
          </cell>
        </row>
        <row r="3132">
          <cell r="B3132">
            <v>5363950</v>
          </cell>
          <cell r="C3132" t="str">
            <v>FUNCHAL INDUSTRIA E COMERCIO DE PAP</v>
          </cell>
          <cell r="D3132" t="str">
            <v>6001</v>
          </cell>
          <cell r="E3132" t="str">
            <v>6125</v>
          </cell>
          <cell r="F3132" t="str">
            <v>C1</v>
          </cell>
          <cell r="G3132" t="str">
            <v>SP</v>
          </cell>
          <cell r="H3132" t="str">
            <v>DISTRIBUIÇÃO</v>
          </cell>
          <cell r="I3132" t="str">
            <v>FOOD SERVICE</v>
          </cell>
          <cell r="J3132" t="str">
            <v>VAGO SP</v>
          </cell>
          <cell r="K3132" t="str">
            <v>ITAMBÉ</v>
          </cell>
          <cell r="L3132" t="str">
            <v>RODRIGO</v>
          </cell>
          <cell r="M3132" t="str">
            <v>RAQUEL BARBOSA</v>
          </cell>
        </row>
        <row r="3133">
          <cell r="B3133">
            <v>5315376</v>
          </cell>
          <cell r="C3133" t="str">
            <v>MATILDA PAULISTA RESTAURANTE LT</v>
          </cell>
          <cell r="D3133" t="str">
            <v>7001</v>
          </cell>
          <cell r="E3133" t="str">
            <v>0749</v>
          </cell>
          <cell r="F3133" t="str">
            <v>C5</v>
          </cell>
          <cell r="G3133" t="str">
            <v>SP</v>
          </cell>
          <cell r="H3133" t="str">
            <v>DISTRIBUIÇÃO</v>
          </cell>
          <cell r="I3133" t="str">
            <v>FOOD SERVICE</v>
          </cell>
          <cell r="J3133" t="str">
            <v>FLAC 3</v>
          </cell>
          <cell r="K3133" t="str">
            <v>LACTALIS</v>
          </cell>
          <cell r="L3133" t="str">
            <v>RODRIGO</v>
          </cell>
          <cell r="M3133" t="str">
            <v>RAQUEL BARBOSA</v>
          </cell>
        </row>
        <row r="3134">
          <cell r="B3134">
            <v>5226499</v>
          </cell>
          <cell r="C3134" t="str">
            <v>NEWREST BR SERV AUX AO TRANS AEREO</v>
          </cell>
          <cell r="D3134" t="str">
            <v>6001</v>
          </cell>
          <cell r="E3134" t="str">
            <v>6125</v>
          </cell>
          <cell r="F3134" t="str">
            <v>C1</v>
          </cell>
          <cell r="G3134" t="str">
            <v>SP</v>
          </cell>
          <cell r="H3134" t="str">
            <v>QSR</v>
          </cell>
          <cell r="I3134" t="str">
            <v>FOOD SERVICE</v>
          </cell>
          <cell r="J3134" t="str">
            <v>ANA MENIQUETE</v>
          </cell>
          <cell r="K3134" t="str">
            <v>ITAMBÉ</v>
          </cell>
          <cell r="L3134" t="str">
            <v>PEDRO</v>
          </cell>
          <cell r="M3134" t="str">
            <v>ANA MENIQUETE</v>
          </cell>
        </row>
        <row r="3135">
          <cell r="B3135">
            <v>5348324</v>
          </cell>
          <cell r="C3135" t="str">
            <v>DIST NORD DE CONFEIT E PANIF LT</v>
          </cell>
          <cell r="D3135" t="str">
            <v>7001</v>
          </cell>
          <cell r="E3135" t="str">
            <v>0558</v>
          </cell>
          <cell r="F3135" t="str">
            <v>C5</v>
          </cell>
          <cell r="G3135" t="str">
            <v>BA</v>
          </cell>
          <cell r="H3135" t="str">
            <v>DISTRIBUIÇÃO</v>
          </cell>
          <cell r="I3135" t="str">
            <v>FOOD SERVICE</v>
          </cell>
          <cell r="J3135" t="str">
            <v>CLAUDIO JORGE</v>
          </cell>
          <cell r="K3135" t="str">
            <v>LACTALIS</v>
          </cell>
          <cell r="L3135" t="str">
            <v>RODRIGO</v>
          </cell>
          <cell r="M3135" t="str">
            <v>MARIA LOURDES</v>
          </cell>
        </row>
        <row r="3136">
          <cell r="B3136">
            <v>5349839</v>
          </cell>
          <cell r="C3136" t="str">
            <v>REDE SUL CENTRO DE DIS DE ALIME</v>
          </cell>
          <cell r="D3136" t="str">
            <v>4001</v>
          </cell>
          <cell r="E3136" t="str">
            <v>0566</v>
          </cell>
          <cell r="F3136" t="str">
            <v>C7</v>
          </cell>
          <cell r="G3136" t="str">
            <v>RS</v>
          </cell>
          <cell r="H3136" t="str">
            <v>OUTROS</v>
          </cell>
          <cell r="I3136" t="str">
            <v>OUTROS</v>
          </cell>
          <cell r="J3136" t="str">
            <v>OUTROS</v>
          </cell>
          <cell r="K3136" t="str">
            <v>OUTROS</v>
          </cell>
          <cell r="L3136" t="str">
            <v>OUTROS</v>
          </cell>
          <cell r="M3136" t="str">
            <v>OUTROS</v>
          </cell>
        </row>
        <row r="3137">
          <cell r="B3137">
            <v>5364487</v>
          </cell>
          <cell r="C3137" t="str">
            <v>SORVETERIA DEVILLE LTDA</v>
          </cell>
          <cell r="D3137" t="str">
            <v>3001</v>
          </cell>
          <cell r="E3137" t="str">
            <v>0028</v>
          </cell>
          <cell r="F3137" t="str">
            <v>C1</v>
          </cell>
          <cell r="G3137" t="str">
            <v>SC</v>
          </cell>
          <cell r="H3137" t="str">
            <v>INGREDIENTS</v>
          </cell>
          <cell r="I3137" t="str">
            <v>INGREDIENTS</v>
          </cell>
          <cell r="J3137" t="str">
            <v>DUAS RODAS</v>
          </cell>
          <cell r="K3137" t="str">
            <v>ITAMBÉ</v>
          </cell>
          <cell r="L3137" t="str">
            <v>MAURICIO</v>
          </cell>
          <cell r="M3137" t="str">
            <v>MARCELO</v>
          </cell>
        </row>
        <row r="3138">
          <cell r="B3138">
            <v>5364488</v>
          </cell>
          <cell r="C3138" t="str">
            <v>OCLIDES JOSE PAZIN</v>
          </cell>
          <cell r="D3138" t="str">
            <v>3001</v>
          </cell>
          <cell r="E3138" t="str">
            <v>0028</v>
          </cell>
          <cell r="F3138" t="str">
            <v>C1</v>
          </cell>
          <cell r="G3138" t="str">
            <v>SC</v>
          </cell>
          <cell r="H3138" t="str">
            <v>INGREDIENTS</v>
          </cell>
          <cell r="I3138" t="str">
            <v>INGREDIENTS</v>
          </cell>
          <cell r="J3138" t="str">
            <v>DUAS RODAS</v>
          </cell>
          <cell r="K3138" t="str">
            <v>ITAMBÉ</v>
          </cell>
          <cell r="L3138" t="str">
            <v>MAURICIO</v>
          </cell>
          <cell r="M3138" t="str">
            <v>MARCELO</v>
          </cell>
        </row>
        <row r="3139">
          <cell r="B3139">
            <v>5225860</v>
          </cell>
          <cell r="C3139" t="str">
            <v>DISPAN DISTRIBUIDORA DE ALIMENTOS L</v>
          </cell>
          <cell r="D3139" t="str">
            <v>4001</v>
          </cell>
          <cell r="E3139" t="str">
            <v>0536</v>
          </cell>
          <cell r="F3139" t="str">
            <v>C5</v>
          </cell>
          <cell r="G3139" t="str">
            <v>PE</v>
          </cell>
          <cell r="H3139" t="str">
            <v>DISTRIBUIÇÃO</v>
          </cell>
          <cell r="I3139" t="str">
            <v>FOOD SERVICE</v>
          </cell>
          <cell r="J3139" t="str">
            <v>CLAUDIO JORGE/AMANDA SANDS</v>
          </cell>
          <cell r="K3139" t="str">
            <v>LACTALIS</v>
          </cell>
          <cell r="L3139" t="str">
            <v>RODRIGO</v>
          </cell>
          <cell r="M3139" t="str">
            <v>MARIA LOURDES</v>
          </cell>
        </row>
        <row r="3140">
          <cell r="B3140">
            <v>5255804</v>
          </cell>
          <cell r="C3140" t="str">
            <v>COMFRIO FOOD SERVICE LTDA</v>
          </cell>
          <cell r="D3140" t="str">
            <v>6001</v>
          </cell>
          <cell r="E3140" t="str">
            <v>6125</v>
          </cell>
          <cell r="F3140" t="str">
            <v>C1</v>
          </cell>
          <cell r="G3140" t="str">
            <v>SP</v>
          </cell>
          <cell r="H3140" t="str">
            <v>QSR</v>
          </cell>
          <cell r="I3140" t="str">
            <v>FOOD SERVICE</v>
          </cell>
          <cell r="J3140" t="str">
            <v>VAGO QSR</v>
          </cell>
          <cell r="K3140" t="str">
            <v>ITAMBÉ</v>
          </cell>
          <cell r="L3140" t="str">
            <v>PEDRO</v>
          </cell>
          <cell r="M3140" t="str">
            <v>VAGO QSR</v>
          </cell>
        </row>
        <row r="3141">
          <cell r="B3141">
            <v>5364210</v>
          </cell>
          <cell r="C3141" t="str">
            <v>RB FOODS LTDA</v>
          </cell>
          <cell r="D3141" t="str">
            <v>7001</v>
          </cell>
          <cell r="E3141" t="str">
            <v>0749</v>
          </cell>
          <cell r="F3141" t="str">
            <v>C5</v>
          </cell>
          <cell r="G3141" t="str">
            <v>SP</v>
          </cell>
          <cell r="H3141" t="str">
            <v>DISTRIBUIÇÃO</v>
          </cell>
          <cell r="I3141" t="str">
            <v>FOOD SERVICE</v>
          </cell>
          <cell r="J3141" t="str">
            <v>FLAC 2</v>
          </cell>
          <cell r="K3141" t="str">
            <v>LACTALIS</v>
          </cell>
          <cell r="L3141" t="str">
            <v>RODRIGO</v>
          </cell>
          <cell r="M3141" t="str">
            <v>RAQUEL BARBOSA</v>
          </cell>
        </row>
        <row r="3142">
          <cell r="B3142">
            <v>5348856</v>
          </cell>
          <cell r="C3142" t="str">
            <v>CONFRARIA DO CAFE GOURMET LTDA</v>
          </cell>
          <cell r="D3142" t="str">
            <v>7001</v>
          </cell>
          <cell r="E3142" t="str">
            <v>0749</v>
          </cell>
          <cell r="F3142" t="str">
            <v>C5</v>
          </cell>
          <cell r="G3142" t="str">
            <v>SP</v>
          </cell>
          <cell r="H3142" t="str">
            <v>DISTRIBUIÇÃO</v>
          </cell>
          <cell r="I3142" t="str">
            <v>FOOD SERVICE</v>
          </cell>
          <cell r="J3142" t="str">
            <v>FLAC 3</v>
          </cell>
          <cell r="K3142" t="str">
            <v>LACTALIS</v>
          </cell>
          <cell r="L3142" t="str">
            <v>RODRIGO</v>
          </cell>
          <cell r="M3142" t="str">
            <v>RAQUEL BARBOSA</v>
          </cell>
        </row>
        <row r="3143">
          <cell r="B3143">
            <v>5363619</v>
          </cell>
          <cell r="C3143" t="str">
            <v>ANGA ALIMENTACAO E SERVICOS LTD</v>
          </cell>
          <cell r="D3143" t="str">
            <v>7001</v>
          </cell>
          <cell r="E3143" t="str">
            <v>0749</v>
          </cell>
          <cell r="F3143" t="str">
            <v>C5</v>
          </cell>
          <cell r="G3143" t="str">
            <v>SP</v>
          </cell>
          <cell r="H3143" t="str">
            <v>DISTRIBUIÇÃO</v>
          </cell>
          <cell r="I3143" t="str">
            <v>FOOD SERVICE</v>
          </cell>
          <cell r="J3143" t="str">
            <v>FLAC 1</v>
          </cell>
          <cell r="K3143" t="str">
            <v>LACTALIS</v>
          </cell>
          <cell r="L3143" t="str">
            <v>RODRIGO</v>
          </cell>
          <cell r="M3143" t="str">
            <v>RAQUEL BARBOSA</v>
          </cell>
        </row>
        <row r="3144">
          <cell r="B3144">
            <v>5364616</v>
          </cell>
          <cell r="C3144" t="str">
            <v>PISTACHIO BAKERY LTDA</v>
          </cell>
          <cell r="D3144" t="str">
            <v>7001</v>
          </cell>
          <cell r="E3144" t="str">
            <v>0749</v>
          </cell>
          <cell r="F3144" t="str">
            <v>C5</v>
          </cell>
          <cell r="G3144" t="str">
            <v>SP</v>
          </cell>
          <cell r="H3144" t="str">
            <v>DISTRIBUIÇÃO</v>
          </cell>
          <cell r="I3144" t="str">
            <v>FOOD SERVICE</v>
          </cell>
          <cell r="J3144" t="str">
            <v>FLAC 6</v>
          </cell>
          <cell r="K3144" t="str">
            <v>LACTALIS</v>
          </cell>
          <cell r="L3144" t="str">
            <v>RODRIGO</v>
          </cell>
          <cell r="M3144" t="str">
            <v>RAQUEL BARBOSA</v>
          </cell>
        </row>
        <row r="3145">
          <cell r="B3145">
            <v>5012038</v>
          </cell>
          <cell r="C3145" t="str">
            <v>HARALD INDUSTRIA E COMERCIO ALI</v>
          </cell>
          <cell r="D3145" t="str">
            <v>4001</v>
          </cell>
          <cell r="E3145" t="str">
            <v>0437</v>
          </cell>
          <cell r="F3145" t="str">
            <v>C1</v>
          </cell>
          <cell r="G3145" t="str">
            <v>SP</v>
          </cell>
          <cell r="H3145" t="str">
            <v>INGREDIENTS</v>
          </cell>
          <cell r="I3145" t="str">
            <v>INGREDIENTS</v>
          </cell>
          <cell r="J3145" t="str">
            <v>TATIANA NITTA</v>
          </cell>
          <cell r="K3145" t="str">
            <v>LACTALIS</v>
          </cell>
          <cell r="L3145" t="str">
            <v>MAURICIO</v>
          </cell>
          <cell r="M3145" t="str">
            <v>TATIANA NITTA</v>
          </cell>
        </row>
        <row r="3146">
          <cell r="B3146">
            <v>5271951</v>
          </cell>
          <cell r="C3146" t="str">
            <v>HOTELARIA ACCOR BRASIL SA</v>
          </cell>
          <cell r="D3146" t="str">
            <v>7001</v>
          </cell>
          <cell r="E3146" t="str">
            <v>0749</v>
          </cell>
          <cell r="F3146" t="str">
            <v>C5</v>
          </cell>
          <cell r="G3146" t="str">
            <v>SP</v>
          </cell>
          <cell r="H3146" t="str">
            <v>DISTRIBUIÇÃO</v>
          </cell>
          <cell r="I3146" t="str">
            <v>FOOD SERVICE</v>
          </cell>
          <cell r="J3146" t="str">
            <v>FLAC 2</v>
          </cell>
          <cell r="K3146" t="str">
            <v>LACTALIS</v>
          </cell>
          <cell r="L3146" t="str">
            <v>RODRIGO</v>
          </cell>
          <cell r="M3146" t="str">
            <v>RAQUEL BARBOSA</v>
          </cell>
        </row>
        <row r="3147">
          <cell r="B3147">
            <v>5315383</v>
          </cell>
          <cell r="C3147" t="str">
            <v>MATILDA PAULISTA RESTAURANTE LT</v>
          </cell>
          <cell r="D3147" t="str">
            <v>7001</v>
          </cell>
          <cell r="E3147" t="str">
            <v>0749</v>
          </cell>
          <cell r="F3147" t="str">
            <v>C5</v>
          </cell>
          <cell r="G3147" t="str">
            <v>SP</v>
          </cell>
          <cell r="H3147" t="str">
            <v>DISTRIBUIÇÃO</v>
          </cell>
          <cell r="I3147" t="str">
            <v>FOOD SERVICE</v>
          </cell>
          <cell r="J3147" t="str">
            <v>FLAC 4</v>
          </cell>
          <cell r="K3147" t="str">
            <v>LACTALIS</v>
          </cell>
          <cell r="L3147" t="str">
            <v>RODRIGO</v>
          </cell>
          <cell r="M3147" t="str">
            <v>RAQUEL BARBOSA</v>
          </cell>
        </row>
        <row r="3148">
          <cell r="B3148">
            <v>5364722</v>
          </cell>
          <cell r="C3148" t="str">
            <v>AM COFFEE E CO LTDA</v>
          </cell>
          <cell r="D3148" t="str">
            <v>7001</v>
          </cell>
          <cell r="E3148" t="str">
            <v>0749</v>
          </cell>
          <cell r="F3148" t="str">
            <v>C5</v>
          </cell>
          <cell r="G3148" t="str">
            <v>SP</v>
          </cell>
          <cell r="H3148" t="str">
            <v>DISTRIBUIÇÃO</v>
          </cell>
          <cell r="I3148" t="str">
            <v>FOOD SERVICE</v>
          </cell>
          <cell r="J3148" t="str">
            <v>FLAC 3</v>
          </cell>
          <cell r="K3148" t="str">
            <v>LACTALIS</v>
          </cell>
          <cell r="L3148" t="str">
            <v>RODRIGO</v>
          </cell>
          <cell r="M3148" t="str">
            <v>RAQUEL BARBOSA</v>
          </cell>
        </row>
        <row r="3149">
          <cell r="B3149">
            <v>5363953</v>
          </cell>
          <cell r="C3149" t="str">
            <v>ITHALA MONIQUE OLIVEIRA</v>
          </cell>
          <cell r="D3149" t="str">
            <v>3001</v>
          </cell>
          <cell r="E3149" t="str">
            <v>0028</v>
          </cell>
          <cell r="F3149" t="str">
            <v>C1</v>
          </cell>
          <cell r="G3149" t="str">
            <v>PB</v>
          </cell>
          <cell r="H3149" t="str">
            <v>INGREDIENTS</v>
          </cell>
          <cell r="I3149" t="str">
            <v>INGREDIENTS</v>
          </cell>
          <cell r="J3149" t="str">
            <v>JOEL ELEOTÉRIO</v>
          </cell>
          <cell r="K3149" t="str">
            <v>ITAMBÉ</v>
          </cell>
          <cell r="L3149" t="str">
            <v>MAURICIO</v>
          </cell>
          <cell r="M3149" t="str">
            <v>JOEL</v>
          </cell>
        </row>
        <row r="3150">
          <cell r="B3150">
            <v>5229510</v>
          </cell>
          <cell r="C3150" t="str">
            <v>DLVA DISTRIB DE PROD ALIMEN LTD</v>
          </cell>
          <cell r="D3150" t="str">
            <v>6001</v>
          </cell>
          <cell r="E3150" t="str">
            <v>6028</v>
          </cell>
          <cell r="F3150" t="str">
            <v>C1</v>
          </cell>
          <cell r="G3150" t="str">
            <v>SP</v>
          </cell>
          <cell r="H3150" t="str">
            <v>INGREDIENTS</v>
          </cell>
          <cell r="I3150" t="str">
            <v>INGREDIENTS</v>
          </cell>
          <cell r="J3150" t="str">
            <v>ITB FS SPLENDI REPRESENTAÇÕES</v>
          </cell>
          <cell r="K3150" t="str">
            <v>ITAMBÉ</v>
          </cell>
          <cell r="L3150" t="str">
            <v>MAURICIO</v>
          </cell>
          <cell r="M3150" t="str">
            <v>TATIANA NITTA</v>
          </cell>
        </row>
        <row r="3151">
          <cell r="B3151">
            <v>5234713</v>
          </cell>
          <cell r="C3151" t="str">
            <v>OSMAR NICOLINI COMERCIO E DISTR</v>
          </cell>
          <cell r="D3151" t="str">
            <v>4001</v>
          </cell>
          <cell r="E3151" t="str">
            <v>0593</v>
          </cell>
          <cell r="F3151" t="str">
            <v>C7</v>
          </cell>
          <cell r="G3151" t="str">
            <v>RS</v>
          </cell>
          <cell r="H3151" t="str">
            <v>OUTROS</v>
          </cell>
          <cell r="I3151" t="str">
            <v>OUTROS</v>
          </cell>
          <cell r="J3151" t="str">
            <v>OUTROS</v>
          </cell>
          <cell r="K3151" t="str">
            <v>OUTROS</v>
          </cell>
          <cell r="L3151" t="str">
            <v>OUTROS</v>
          </cell>
          <cell r="M3151" t="str">
            <v>OUTROS</v>
          </cell>
        </row>
        <row r="3152">
          <cell r="B3152">
            <v>5248563</v>
          </cell>
          <cell r="C3152" t="str">
            <v>SANDRA MARGARETE COELHO</v>
          </cell>
          <cell r="D3152" t="str">
            <v>4001</v>
          </cell>
          <cell r="E3152" t="str">
            <v>0593</v>
          </cell>
          <cell r="F3152" t="str">
            <v>C7</v>
          </cell>
          <cell r="G3152" t="str">
            <v>RS</v>
          </cell>
          <cell r="H3152" t="str">
            <v>OUTROS</v>
          </cell>
          <cell r="I3152" t="str">
            <v>OUTROS</v>
          </cell>
          <cell r="J3152" t="str">
            <v>OUTROS</v>
          </cell>
          <cell r="K3152" t="str">
            <v>OUTROS</v>
          </cell>
          <cell r="L3152" t="str">
            <v>OUTROS</v>
          </cell>
          <cell r="M3152" t="str">
            <v>OUTROS</v>
          </cell>
        </row>
        <row r="3153">
          <cell r="B3153">
            <v>5279596</v>
          </cell>
          <cell r="C3153" t="str">
            <v>J JOSE POSADA CIA LTDA</v>
          </cell>
          <cell r="D3153" t="str">
            <v>4001</v>
          </cell>
          <cell r="E3153" t="str">
            <v>0593</v>
          </cell>
          <cell r="F3153" t="str">
            <v>C7</v>
          </cell>
          <cell r="G3153" t="str">
            <v>RS</v>
          </cell>
          <cell r="H3153" t="str">
            <v>OUTROS</v>
          </cell>
          <cell r="I3153" t="str">
            <v>OUTROS</v>
          </cell>
          <cell r="J3153" t="str">
            <v>OUTROS</v>
          </cell>
          <cell r="K3153" t="str">
            <v>OUTROS</v>
          </cell>
          <cell r="L3153" t="str">
            <v>OUTROS</v>
          </cell>
          <cell r="M3153" t="str">
            <v>OUTROS</v>
          </cell>
        </row>
        <row r="3154">
          <cell r="B3154">
            <v>5287946</v>
          </cell>
          <cell r="C3154" t="str">
            <v>SUPERMERCADO GUANABARA S A</v>
          </cell>
          <cell r="D3154" t="str">
            <v>4001</v>
          </cell>
          <cell r="E3154" t="str">
            <v>0593</v>
          </cell>
          <cell r="F3154" t="str">
            <v>C7</v>
          </cell>
          <cell r="G3154" t="str">
            <v>RS</v>
          </cell>
          <cell r="H3154" t="str">
            <v>OUTROS</v>
          </cell>
          <cell r="I3154" t="str">
            <v>OUTROS</v>
          </cell>
          <cell r="J3154" t="str">
            <v>OUTROS</v>
          </cell>
          <cell r="K3154" t="str">
            <v>OUTROS</v>
          </cell>
          <cell r="L3154" t="str">
            <v>OUTROS</v>
          </cell>
          <cell r="M3154" t="str">
            <v>OUTROS</v>
          </cell>
        </row>
        <row r="3155">
          <cell r="B3155">
            <v>5349839</v>
          </cell>
          <cell r="C3155" t="str">
            <v>REDE SUL CENTRO DE DIS DE ALIMENTOS</v>
          </cell>
          <cell r="D3155" t="str">
            <v>4001</v>
          </cell>
          <cell r="E3155" t="str">
            <v>0593</v>
          </cell>
          <cell r="F3155" t="str">
            <v>C7</v>
          </cell>
          <cell r="G3155" t="str">
            <v>RS</v>
          </cell>
          <cell r="H3155" t="str">
            <v>OUTROS</v>
          </cell>
          <cell r="I3155" t="str">
            <v>OUTROS</v>
          </cell>
          <cell r="J3155" t="str">
            <v>OUTROS</v>
          </cell>
          <cell r="K3155" t="str">
            <v>OUTROS</v>
          </cell>
          <cell r="L3155" t="str">
            <v>OUTROS</v>
          </cell>
          <cell r="M3155" t="str">
            <v>OUTROS</v>
          </cell>
        </row>
        <row r="3156">
          <cell r="B3156">
            <v>5364697</v>
          </cell>
          <cell r="C3156" t="str">
            <v>REI DOS GELADOS LTDA</v>
          </cell>
          <cell r="D3156" t="str">
            <v>6001</v>
          </cell>
          <cell r="E3156" t="str">
            <v>6028</v>
          </cell>
          <cell r="F3156" t="str">
            <v>C1</v>
          </cell>
          <cell r="G3156" t="str">
            <v>RJ</v>
          </cell>
          <cell r="H3156" t="str">
            <v>INGREDIENTS</v>
          </cell>
          <cell r="I3156" t="str">
            <v>INGREDIENTS</v>
          </cell>
          <cell r="J3156" t="str">
            <v>RJ ITB FS L T MARTINS</v>
          </cell>
          <cell r="K3156" t="str">
            <v>ITAMBÉ</v>
          </cell>
          <cell r="L3156" t="str">
            <v>MAURICIO</v>
          </cell>
          <cell r="M3156" t="str">
            <v>TATIANA NITTA</v>
          </cell>
        </row>
        <row r="3157">
          <cell r="B3157">
            <v>5364794</v>
          </cell>
          <cell r="C3157" t="str">
            <v>RSOL DISTRIBUIDORA LTDA</v>
          </cell>
          <cell r="D3157" t="str">
            <v>3001</v>
          </cell>
          <cell r="E3157" t="str">
            <v>0028</v>
          </cell>
          <cell r="F3157" t="str">
            <v>C1</v>
          </cell>
          <cell r="G3157" t="str">
            <v>PR</v>
          </cell>
          <cell r="H3157" t="str">
            <v>INGREDIENTS</v>
          </cell>
          <cell r="I3157" t="str">
            <v>INGREDIENTS</v>
          </cell>
          <cell r="J3157" t="str">
            <v>MARCELO RODRIGUES</v>
          </cell>
          <cell r="K3157" t="str">
            <v>ITAMBÉ</v>
          </cell>
          <cell r="L3157" t="str">
            <v>MAURICIO</v>
          </cell>
          <cell r="M3157" t="str">
            <v>MARCELO</v>
          </cell>
        </row>
        <row r="3158">
          <cell r="B3158">
            <v>5151341</v>
          </cell>
          <cell r="C3158" t="str">
            <v>FORMAGGIO DISTRIB ALIMENTOS LTDA</v>
          </cell>
          <cell r="D3158" t="str">
            <v>4001</v>
          </cell>
          <cell r="E3158" t="str">
            <v>0536</v>
          </cell>
          <cell r="F3158" t="str">
            <v>C5</v>
          </cell>
          <cell r="G3158" t="str">
            <v>PE</v>
          </cell>
          <cell r="H3158" t="str">
            <v>DISTRIBUIÇÃO</v>
          </cell>
          <cell r="I3158" t="str">
            <v>FOOD SERVICE</v>
          </cell>
          <cell r="J3158" t="str">
            <v>CLAUDIO JORGE</v>
          </cell>
          <cell r="K3158" t="str">
            <v>LACTALIS</v>
          </cell>
          <cell r="L3158" t="str">
            <v>RODRIGO</v>
          </cell>
          <cell r="M3158" t="str">
            <v>MARIA LOURDES</v>
          </cell>
        </row>
        <row r="3159">
          <cell r="B3159">
            <v>5189657</v>
          </cell>
          <cell r="C3159" t="str">
            <v>CHARLOTE RIO ALIMENTOS LTDA</v>
          </cell>
          <cell r="D3159" t="str">
            <v>6001</v>
          </cell>
          <cell r="E3159" t="str">
            <v>6169</v>
          </cell>
          <cell r="F3159" t="str">
            <v>C1</v>
          </cell>
          <cell r="G3159" t="str">
            <v>RJ</v>
          </cell>
          <cell r="H3159" t="str">
            <v>DISTRIBUIÇÃO</v>
          </cell>
          <cell r="I3159" t="str">
            <v>FOOD SERVICE</v>
          </cell>
          <cell r="J3159" t="str">
            <v>JULIANA CORDEIRO</v>
          </cell>
          <cell r="K3159" t="str">
            <v>ITAMBÉ</v>
          </cell>
          <cell r="L3159" t="str">
            <v>RODRIGO</v>
          </cell>
          <cell r="M3159" t="str">
            <v>JESSICA</v>
          </cell>
        </row>
        <row r="3160">
          <cell r="B3160">
            <v>5364934</v>
          </cell>
          <cell r="C3160" t="str">
            <v>24855276 FABRICIO AMORIM FERREI</v>
          </cell>
          <cell r="D3160" t="str">
            <v>7001</v>
          </cell>
          <cell r="E3160" t="str">
            <v>0749</v>
          </cell>
          <cell r="F3160" t="str">
            <v>C5</v>
          </cell>
          <cell r="G3160" t="str">
            <v>SP</v>
          </cell>
          <cell r="H3160" t="str">
            <v>DISTRIBUIÇÃO</v>
          </cell>
          <cell r="I3160" t="str">
            <v>FOOD SERVICE</v>
          </cell>
          <cell r="J3160" t="str">
            <v>FLAC 2</v>
          </cell>
          <cell r="K3160" t="str">
            <v>LACTALIS</v>
          </cell>
          <cell r="L3160" t="str">
            <v>RODRIGO</v>
          </cell>
          <cell r="M3160" t="str">
            <v>RAQUEL BARBOSA</v>
          </cell>
        </row>
        <row r="3161">
          <cell r="B3161">
            <v>5364976</v>
          </cell>
          <cell r="C3161" t="str">
            <v>65459689 VIVIANE BUZZO RODRIGUE</v>
          </cell>
          <cell r="D3161" t="str">
            <v>7001</v>
          </cell>
          <cell r="E3161" t="str">
            <v>0749</v>
          </cell>
          <cell r="F3161" t="str">
            <v>C5</v>
          </cell>
          <cell r="G3161" t="str">
            <v>SP</v>
          </cell>
          <cell r="H3161" t="str">
            <v>DISTRIBUIÇÃO</v>
          </cell>
          <cell r="I3161" t="str">
            <v>FOOD SERVICE</v>
          </cell>
          <cell r="J3161" t="str">
            <v>FLAC 2</v>
          </cell>
          <cell r="K3161" t="str">
            <v>LACTALIS</v>
          </cell>
          <cell r="L3161" t="str">
            <v>RODRIGO</v>
          </cell>
          <cell r="M3161" t="str">
            <v>RAQUEL BARBOSA</v>
          </cell>
        </row>
        <row r="3162">
          <cell r="B3162">
            <v>5274344</v>
          </cell>
          <cell r="C3162" t="str">
            <v>BERSAGLIO COMERCIO DE ALIM LTDA</v>
          </cell>
          <cell r="D3162" t="str">
            <v>4001</v>
          </cell>
          <cell r="E3162" t="str">
            <v>0593</v>
          </cell>
          <cell r="F3162" t="str">
            <v>C7</v>
          </cell>
          <cell r="G3162" t="str">
            <v>RS</v>
          </cell>
          <cell r="H3162" t="str">
            <v>OUTROS</v>
          </cell>
          <cell r="I3162" t="str">
            <v>OUTROS</v>
          </cell>
          <cell r="J3162" t="str">
            <v>OUTROS</v>
          </cell>
          <cell r="K3162" t="str">
            <v>OUTROS</v>
          </cell>
          <cell r="L3162" t="str">
            <v>OUTROS</v>
          </cell>
          <cell r="M3162" t="str">
            <v>OUTROS</v>
          </cell>
        </row>
        <row r="3163">
          <cell r="B3163">
            <v>5338402</v>
          </cell>
          <cell r="C3163" t="str">
            <v>ALCREMO IND E COM DE LATICINIOS</v>
          </cell>
          <cell r="D3163" t="str">
            <v>4001</v>
          </cell>
          <cell r="E3163" t="str">
            <v>0458</v>
          </cell>
          <cell r="F3163" t="str">
            <v>C1</v>
          </cell>
          <cell r="G3163" t="str">
            <v>MG</v>
          </cell>
          <cell r="H3163" t="str">
            <v>INGREDIENTS</v>
          </cell>
          <cell r="I3163" t="str">
            <v>INGREDIENTS</v>
          </cell>
          <cell r="J3163" t="str">
            <v>JOEL ELEOTÉRIO</v>
          </cell>
          <cell r="K3163" t="str">
            <v>LACTALIS</v>
          </cell>
          <cell r="L3163" t="str">
            <v>MAURICIO</v>
          </cell>
          <cell r="M3163" t="str">
            <v>JOEL</v>
          </cell>
        </row>
        <row r="3164">
          <cell r="B3164">
            <v>5332556</v>
          </cell>
          <cell r="C3164" t="str">
            <v>CB CURITIBA COMERCIO DE ALIMENTOS L</v>
          </cell>
          <cell r="D3164" t="str">
            <v>3001</v>
          </cell>
          <cell r="E3164" t="str">
            <v>0126</v>
          </cell>
          <cell r="F3164" t="str">
            <v>C1</v>
          </cell>
          <cell r="G3164" t="str">
            <v>PR</v>
          </cell>
          <cell r="H3164" t="str">
            <v>QSR</v>
          </cell>
          <cell r="I3164" t="str">
            <v>FOOD SERVICE</v>
          </cell>
          <cell r="J3164" t="str">
            <v>VAGO QSR</v>
          </cell>
          <cell r="K3164" t="str">
            <v>ITAMBÉ</v>
          </cell>
          <cell r="L3164" t="str">
            <v>PEDRO</v>
          </cell>
          <cell r="M3164" t="str">
            <v>VAGO QSR</v>
          </cell>
        </row>
        <row r="3165">
          <cell r="B3165">
            <v>5332557</v>
          </cell>
          <cell r="C3165" t="str">
            <v>CB CURITIBA COMERCIO DE ALIMENT</v>
          </cell>
          <cell r="D3165" t="str">
            <v>3001</v>
          </cell>
          <cell r="E3165" t="str">
            <v>0126</v>
          </cell>
          <cell r="F3165" t="str">
            <v>C1</v>
          </cell>
          <cell r="G3165" t="str">
            <v>PR</v>
          </cell>
          <cell r="H3165" t="str">
            <v>QSR</v>
          </cell>
          <cell r="I3165" t="str">
            <v>FOOD SERVICE</v>
          </cell>
          <cell r="J3165" t="str">
            <v>VAGO QSR</v>
          </cell>
          <cell r="K3165" t="str">
            <v>ITAMBÉ</v>
          </cell>
          <cell r="L3165" t="str">
            <v>PEDRO</v>
          </cell>
          <cell r="M3165" t="str">
            <v>VAGO QSR</v>
          </cell>
        </row>
        <row r="3166">
          <cell r="B3166">
            <v>5336831</v>
          </cell>
          <cell r="C3166" t="str">
            <v>COMERCIO VAREJISTA DE SORVETES</v>
          </cell>
          <cell r="D3166" t="str">
            <v>6001</v>
          </cell>
          <cell r="E3166" t="str">
            <v>6125</v>
          </cell>
          <cell r="F3166" t="str">
            <v>C1</v>
          </cell>
          <cell r="G3166" t="str">
            <v>SP</v>
          </cell>
          <cell r="H3166" t="str">
            <v>QSR</v>
          </cell>
          <cell r="I3166" t="str">
            <v>FOOD SERVICE</v>
          </cell>
          <cell r="J3166" t="str">
            <v>NUTRI</v>
          </cell>
          <cell r="K3166" t="str">
            <v>ITAMBÉ</v>
          </cell>
          <cell r="L3166" t="str">
            <v>PEDRO</v>
          </cell>
          <cell r="M3166" t="str">
            <v>VAGO QSR</v>
          </cell>
        </row>
        <row r="3167">
          <cell r="B3167">
            <v>5352422</v>
          </cell>
          <cell r="C3167" t="str">
            <v>CB LAGO NORTE COM DE ALIM LTDA</v>
          </cell>
          <cell r="D3167" t="str">
            <v>6001</v>
          </cell>
          <cell r="E3167" t="str">
            <v>6123</v>
          </cell>
          <cell r="F3167" t="str">
            <v>C1</v>
          </cell>
          <cell r="G3167" t="str">
            <v>DF</v>
          </cell>
          <cell r="H3167" t="str">
            <v>QSR</v>
          </cell>
          <cell r="I3167" t="str">
            <v>FOOD SERVICE</v>
          </cell>
          <cell r="J3167" t="str">
            <v>VAGO QSR</v>
          </cell>
          <cell r="K3167" t="str">
            <v>ITAMBÉ</v>
          </cell>
          <cell r="L3167" t="str">
            <v>PEDRO</v>
          </cell>
          <cell r="M3167" t="str">
            <v>VAGO QSR</v>
          </cell>
        </row>
        <row r="3168">
          <cell r="B3168">
            <v>5363138</v>
          </cell>
          <cell r="C3168" t="str">
            <v>MY FLY SERVICOS E EVENTOS LTDA</v>
          </cell>
          <cell r="D3168" t="str">
            <v>6001</v>
          </cell>
          <cell r="E3168" t="str">
            <v>6169</v>
          </cell>
          <cell r="F3168" t="str">
            <v>C1</v>
          </cell>
          <cell r="G3168" t="str">
            <v>RJ</v>
          </cell>
          <cell r="H3168" t="str">
            <v>DISTRIBUIÇÃO</v>
          </cell>
          <cell r="I3168" t="str">
            <v>FOOD SERVICE</v>
          </cell>
          <cell r="J3168" t="str">
            <v>LUCIANA MARTINS</v>
          </cell>
          <cell r="K3168" t="str">
            <v>ITAMBÉ</v>
          </cell>
          <cell r="L3168" t="str">
            <v>RODRIGO</v>
          </cell>
          <cell r="M3168" t="str">
            <v>JESSICA</v>
          </cell>
        </row>
        <row r="3169">
          <cell r="B3169">
            <v>5302247</v>
          </cell>
          <cell r="C3169" t="str">
            <v>LACTICINIOS TIROL LTDA</v>
          </cell>
          <cell r="D3169" t="str">
            <v>4001</v>
          </cell>
          <cell r="E3169" t="str">
            <v>0546</v>
          </cell>
          <cell r="F3169" t="str">
            <v>C1</v>
          </cell>
          <cell r="G3169" t="str">
            <v>RS</v>
          </cell>
          <cell r="H3169" t="str">
            <v>OUTROS</v>
          </cell>
          <cell r="I3169" t="str">
            <v>OUTROS</v>
          </cell>
          <cell r="J3169" t="str">
            <v>SERVIÇO TIROL</v>
          </cell>
          <cell r="K3169" t="str">
            <v>OUTROS</v>
          </cell>
          <cell r="L3169" t="str">
            <v>OUTROS</v>
          </cell>
          <cell r="M3169" t="str">
            <v>SERVIÇO TIROL</v>
          </cell>
        </row>
        <row r="3170">
          <cell r="B3170">
            <v>5307454</v>
          </cell>
          <cell r="C3170" t="str">
            <v>YA CULTURA COMIDA E ARTE LTDA</v>
          </cell>
          <cell r="D3170" t="str">
            <v>7001</v>
          </cell>
          <cell r="E3170" t="str">
            <v>0749</v>
          </cell>
          <cell r="F3170" t="str">
            <v>C5</v>
          </cell>
          <cell r="G3170" t="str">
            <v>SP</v>
          </cell>
          <cell r="H3170" t="str">
            <v>DISTRIBUIÇÃO</v>
          </cell>
          <cell r="I3170" t="str">
            <v>FOOD SERVICE</v>
          </cell>
          <cell r="J3170" t="str">
            <v>FLAC 4</v>
          </cell>
          <cell r="K3170" t="str">
            <v>LACTALIS</v>
          </cell>
          <cell r="L3170" t="str">
            <v>RODRIGO</v>
          </cell>
          <cell r="M3170" t="str">
            <v>RAQUEL BARBOSA</v>
          </cell>
        </row>
        <row r="3171">
          <cell r="B3171">
            <v>5350700</v>
          </cell>
          <cell r="C3171" t="str">
            <v>CB RP COMERCIO DE ALIMEN LTDA</v>
          </cell>
          <cell r="D3171" t="str">
            <v>6001</v>
          </cell>
          <cell r="E3171" t="str">
            <v>6125</v>
          </cell>
          <cell r="F3171" t="str">
            <v>C1</v>
          </cell>
          <cell r="G3171" t="str">
            <v>SP</v>
          </cell>
          <cell r="H3171" t="str">
            <v>QSR</v>
          </cell>
          <cell r="I3171" t="str">
            <v>FOOD SERVICE</v>
          </cell>
          <cell r="J3171" t="str">
            <v>VAGO QSR</v>
          </cell>
          <cell r="K3171" t="str">
            <v>ITAMBÉ</v>
          </cell>
          <cell r="L3171" t="str">
            <v>PEDRO</v>
          </cell>
          <cell r="M3171" t="str">
            <v>VAGO QSR</v>
          </cell>
        </row>
        <row r="3172">
          <cell r="B3172">
            <v>5350703</v>
          </cell>
          <cell r="C3172" t="str">
            <v>CB S JOSE DOS CAMPOS COM DE AL</v>
          </cell>
          <cell r="D3172" t="str">
            <v>6001</v>
          </cell>
          <cell r="E3172" t="str">
            <v>6125</v>
          </cell>
          <cell r="F3172" t="str">
            <v>C1</v>
          </cell>
          <cell r="G3172" t="str">
            <v>SP</v>
          </cell>
          <cell r="H3172" t="str">
            <v>QSR</v>
          </cell>
          <cell r="I3172" t="str">
            <v>FOOD SERVICE</v>
          </cell>
          <cell r="J3172" t="str">
            <v>VAGO QSR</v>
          </cell>
          <cell r="K3172" t="str">
            <v>ITAMBÉ</v>
          </cell>
          <cell r="L3172" t="str">
            <v>PEDRO</v>
          </cell>
          <cell r="M3172" t="str">
            <v>VAGO QSR</v>
          </cell>
        </row>
        <row r="3173">
          <cell r="B3173">
            <v>5351896</v>
          </cell>
          <cell r="C3173" t="str">
            <v>CB FLORIANOPOLIS COM DE ALIM LT</v>
          </cell>
          <cell r="D3173" t="str">
            <v>3001</v>
          </cell>
          <cell r="E3173" t="str">
            <v>0126</v>
          </cell>
          <cell r="F3173" t="str">
            <v>C1</v>
          </cell>
          <cell r="G3173" t="str">
            <v>SC</v>
          </cell>
          <cell r="H3173" t="str">
            <v>QSR</v>
          </cell>
          <cell r="I3173" t="str">
            <v>FOOD SERVICE</v>
          </cell>
          <cell r="J3173" t="str">
            <v>VAGO QSR</v>
          </cell>
          <cell r="K3173" t="str">
            <v>ITAMBÉ</v>
          </cell>
          <cell r="L3173" t="str">
            <v>PEDRO</v>
          </cell>
          <cell r="M3173" t="str">
            <v>VAGO QSR</v>
          </cell>
        </row>
        <row r="3174">
          <cell r="B3174">
            <v>5351897</v>
          </cell>
          <cell r="C3174" t="str">
            <v>CB FLORIANOPOLIS COM DE ALIM LT</v>
          </cell>
          <cell r="D3174" t="str">
            <v>3001</v>
          </cell>
          <cell r="E3174" t="str">
            <v>0126</v>
          </cell>
          <cell r="F3174" t="str">
            <v>C1</v>
          </cell>
          <cell r="G3174" t="str">
            <v>SC</v>
          </cell>
          <cell r="H3174" t="str">
            <v>QSR</v>
          </cell>
          <cell r="I3174" t="str">
            <v>FOOD SERVICE</v>
          </cell>
          <cell r="J3174" t="str">
            <v>VAGO QSR</v>
          </cell>
          <cell r="K3174" t="str">
            <v>ITAMBÉ</v>
          </cell>
          <cell r="L3174" t="str">
            <v>PEDRO</v>
          </cell>
          <cell r="M3174" t="str">
            <v>VAGO QSR</v>
          </cell>
        </row>
        <row r="3175">
          <cell r="B3175">
            <v>5363757</v>
          </cell>
          <cell r="C3175" t="str">
            <v>CB MACEIO COMERCIO DE ALIMENTOS</v>
          </cell>
          <cell r="D3175" t="str">
            <v>3001</v>
          </cell>
          <cell r="E3175" t="str">
            <v>0127</v>
          </cell>
          <cell r="F3175" t="str">
            <v>C1</v>
          </cell>
          <cell r="G3175" t="str">
            <v>AL</v>
          </cell>
          <cell r="H3175" t="str">
            <v>QSR</v>
          </cell>
          <cell r="I3175" t="str">
            <v>FOOD SERVICE</v>
          </cell>
          <cell r="J3175" t="str">
            <v>VAGO QSR</v>
          </cell>
          <cell r="K3175" t="str">
            <v>ITAMBÉ</v>
          </cell>
          <cell r="L3175" t="str">
            <v>PEDRO</v>
          </cell>
          <cell r="M3175" t="str">
            <v>VAGO QSR</v>
          </cell>
        </row>
        <row r="3176">
          <cell r="B3176">
            <v>5170377</v>
          </cell>
          <cell r="C3176" t="str">
            <v>NUTRIBOM SORVETES EILRELI ME</v>
          </cell>
          <cell r="D3176" t="str">
            <v>6001</v>
          </cell>
          <cell r="E3176" t="str">
            <v>6028</v>
          </cell>
          <cell r="F3176" t="str">
            <v>C1</v>
          </cell>
          <cell r="G3176" t="str">
            <v>RJ</v>
          </cell>
          <cell r="H3176" t="str">
            <v>INGREDIENTS</v>
          </cell>
          <cell r="I3176" t="str">
            <v>INGREDIENTS</v>
          </cell>
          <cell r="J3176" t="str">
            <v>RJ ITB FS L T MARTINS</v>
          </cell>
          <cell r="K3176" t="str">
            <v>ITAMBÉ</v>
          </cell>
          <cell r="L3176" t="str">
            <v>MAURICIO</v>
          </cell>
          <cell r="M3176" t="str">
            <v>TATIANA NITTA</v>
          </cell>
        </row>
        <row r="3177">
          <cell r="B3177">
            <v>5336752</v>
          </cell>
          <cell r="C3177" t="str">
            <v>LUNAR DISTRIBUIDORA LTDA</v>
          </cell>
          <cell r="D3177" t="str">
            <v>4001</v>
          </cell>
          <cell r="E3177" t="str">
            <v>0593</v>
          </cell>
          <cell r="F3177" t="str">
            <v>C7</v>
          </cell>
          <cell r="G3177" t="str">
            <v>RS</v>
          </cell>
          <cell r="H3177" t="str">
            <v>OUTROS</v>
          </cell>
          <cell r="I3177" t="str">
            <v>OUTROS</v>
          </cell>
          <cell r="J3177" t="str">
            <v>OUTROS</v>
          </cell>
          <cell r="K3177" t="str">
            <v>OUTROS</v>
          </cell>
          <cell r="L3177" t="str">
            <v>OUTROS</v>
          </cell>
          <cell r="M3177" t="str">
            <v>OUTROS</v>
          </cell>
        </row>
        <row r="3178">
          <cell r="B3178">
            <v>5171786</v>
          </cell>
          <cell r="C3178" t="str">
            <v>GR SERVICOS E ALIMENTACAO LTDA</v>
          </cell>
          <cell r="D3178" t="str">
            <v>3001</v>
          </cell>
          <cell r="E3178" t="str">
            <v>0126</v>
          </cell>
          <cell r="F3178" t="str">
            <v>C1</v>
          </cell>
          <cell r="G3178" t="str">
            <v>PR</v>
          </cell>
          <cell r="H3178" t="str">
            <v>QSR</v>
          </cell>
          <cell r="I3178" t="str">
            <v>FOOD SERVICE</v>
          </cell>
          <cell r="J3178" t="str">
            <v>NUTRI</v>
          </cell>
          <cell r="K3178" t="str">
            <v>ITAMBÉ</v>
          </cell>
          <cell r="L3178" t="str">
            <v>PEDRO</v>
          </cell>
          <cell r="M3178" t="str">
            <v>VAGO QSR</v>
          </cell>
        </row>
        <row r="3179">
          <cell r="B3179">
            <v>5286590</v>
          </cell>
          <cell r="C3179" t="str">
            <v>INSTITUTO DAS IRMAS DA SANTA CR</v>
          </cell>
          <cell r="D3179" t="str">
            <v>7001</v>
          </cell>
          <cell r="E3179" t="str">
            <v>0749</v>
          </cell>
          <cell r="F3179" t="str">
            <v>C5</v>
          </cell>
          <cell r="G3179" t="str">
            <v>SP</v>
          </cell>
          <cell r="H3179" t="str">
            <v>DISTRIBUIÇÃO</v>
          </cell>
          <cell r="I3179" t="str">
            <v>FOOD SERVICE</v>
          </cell>
          <cell r="J3179" t="str">
            <v>FLAC 2</v>
          </cell>
          <cell r="K3179" t="str">
            <v>LACTALIS</v>
          </cell>
          <cell r="L3179" t="str">
            <v>RODRIGO</v>
          </cell>
          <cell r="M3179" t="str">
            <v>RAQUEL BARBOSA</v>
          </cell>
        </row>
        <row r="3180">
          <cell r="B3180">
            <v>5364907</v>
          </cell>
          <cell r="C3180" t="str">
            <v>LANCHONETE E SORVETERIA POLAR L</v>
          </cell>
          <cell r="D3180" t="str">
            <v>3001</v>
          </cell>
          <cell r="E3180" t="str">
            <v>0126</v>
          </cell>
          <cell r="F3180" t="str">
            <v>C1</v>
          </cell>
          <cell r="G3180" t="str">
            <v>SC</v>
          </cell>
          <cell r="H3180" t="str">
            <v>INGREDIENTS</v>
          </cell>
          <cell r="I3180" t="str">
            <v>INGREDIENTS</v>
          </cell>
          <cell r="J3180" t="str">
            <v>SC ITB FS BRESCIA REPRESENTACO</v>
          </cell>
          <cell r="K3180" t="str">
            <v>ITAMBÉ</v>
          </cell>
          <cell r="L3180" t="str">
            <v>MAURICIO</v>
          </cell>
          <cell r="M3180" t="str">
            <v>MARCELO</v>
          </cell>
        </row>
        <row r="3181">
          <cell r="B3181">
            <v>5364858</v>
          </cell>
          <cell r="C3181" t="str">
            <v>MEBEZ INDUSTRIA ALIMENTICIA LTDA</v>
          </cell>
          <cell r="D3181" t="str">
            <v>3001</v>
          </cell>
          <cell r="E3181" t="str">
            <v>0127</v>
          </cell>
          <cell r="F3181" t="str">
            <v>C1</v>
          </cell>
          <cell r="G3181" t="str">
            <v>PB</v>
          </cell>
          <cell r="H3181" t="str">
            <v>INGREDIENTS</v>
          </cell>
          <cell r="I3181" t="str">
            <v>INGREDIENTS</v>
          </cell>
          <cell r="J3181" t="str">
            <v>ITB FS W S REPRESENTAÇÕES</v>
          </cell>
          <cell r="K3181" t="str">
            <v>ITAMBÉ</v>
          </cell>
          <cell r="L3181" t="str">
            <v>MAURICIO</v>
          </cell>
          <cell r="M3181" t="str">
            <v>JOEL</v>
          </cell>
        </row>
        <row r="3182">
          <cell r="B3182">
            <v>5365324</v>
          </cell>
          <cell r="C3182" t="str">
            <v>X SANBAR BRAZIL LTDA</v>
          </cell>
          <cell r="D3182" t="str">
            <v>6001</v>
          </cell>
          <cell r="E3182" t="str">
            <v>6028</v>
          </cell>
          <cell r="F3182" t="str">
            <v>C1</v>
          </cell>
          <cell r="G3182" t="str">
            <v>SP</v>
          </cell>
          <cell r="H3182" t="str">
            <v>INGREDIENTS</v>
          </cell>
          <cell r="I3182" t="str">
            <v>INGREDIENTS</v>
          </cell>
          <cell r="J3182" t="str">
            <v>TATIANA NITTA</v>
          </cell>
          <cell r="K3182" t="str">
            <v>ITAMBÉ</v>
          </cell>
          <cell r="L3182" t="str">
            <v>MAURICIO</v>
          </cell>
          <cell r="M3182" t="str">
            <v>TATIANA NITTA</v>
          </cell>
        </row>
        <row r="3183">
          <cell r="B3183">
            <v>5172087</v>
          </cell>
          <cell r="C3183" t="str">
            <v>ASSOC CONGREG DE SANTA CATARINA</v>
          </cell>
          <cell r="D3183" t="str">
            <v>6001</v>
          </cell>
          <cell r="E3183" t="str">
            <v>6125</v>
          </cell>
          <cell r="F3183" t="str">
            <v>C1</v>
          </cell>
          <cell r="G3183" t="str">
            <v>SP</v>
          </cell>
          <cell r="H3183" t="str">
            <v>QSR</v>
          </cell>
          <cell r="I3183" t="str">
            <v>FOOD SERVICE</v>
          </cell>
          <cell r="J3183" t="str">
            <v>VAGO QSR</v>
          </cell>
          <cell r="K3183" t="str">
            <v>ITAMBÉ</v>
          </cell>
          <cell r="L3183" t="str">
            <v>PEDRO</v>
          </cell>
          <cell r="M3183" t="str">
            <v>VAGO QSR</v>
          </cell>
        </row>
        <row r="3184">
          <cell r="B3184">
            <v>5148551</v>
          </cell>
          <cell r="C3184" t="str">
            <v>MATHEUS GIORDANI ATACADO DE ALIMENT</v>
          </cell>
          <cell r="D3184" t="str">
            <v>4001</v>
          </cell>
          <cell r="E3184" t="str">
            <v>0593</v>
          </cell>
          <cell r="F3184" t="str">
            <v>C7</v>
          </cell>
          <cell r="G3184" t="str">
            <v>RS</v>
          </cell>
          <cell r="H3184" t="str">
            <v>OUTROS</v>
          </cell>
          <cell r="I3184" t="str">
            <v>OUTROS</v>
          </cell>
          <cell r="J3184" t="str">
            <v>OUTROS</v>
          </cell>
          <cell r="K3184" t="str">
            <v>OUTROS</v>
          </cell>
          <cell r="L3184" t="str">
            <v>OUTROS</v>
          </cell>
          <cell r="M3184" t="str">
            <v>OUTROS</v>
          </cell>
        </row>
        <row r="3185">
          <cell r="B3185">
            <v>5264512</v>
          </cell>
          <cell r="C3185" t="str">
            <v>BONJOUR PAO COMERCIO LTDA</v>
          </cell>
          <cell r="D3185" t="str">
            <v>7001</v>
          </cell>
          <cell r="E3185" t="str">
            <v>0749</v>
          </cell>
          <cell r="F3185" t="str">
            <v>C5</v>
          </cell>
          <cell r="G3185" t="str">
            <v>SP</v>
          </cell>
          <cell r="H3185" t="str">
            <v>DISTRIBUIÇÃO</v>
          </cell>
          <cell r="I3185" t="str">
            <v>FOOD SERVICE</v>
          </cell>
          <cell r="J3185" t="str">
            <v>FLAC 6</v>
          </cell>
          <cell r="K3185" t="str">
            <v>LACTALIS</v>
          </cell>
          <cell r="L3185" t="str">
            <v>RODRIGO</v>
          </cell>
          <cell r="M3185" t="str">
            <v>RAQUEL BARBOSA</v>
          </cell>
        </row>
        <row r="3186">
          <cell r="B3186">
            <v>5319220</v>
          </cell>
          <cell r="C3186" t="str">
            <v>MARIA LIDIA GONCALVES</v>
          </cell>
          <cell r="D3186" t="str">
            <v>7001</v>
          </cell>
          <cell r="E3186" t="str">
            <v>0749</v>
          </cell>
          <cell r="F3186" t="str">
            <v>C5</v>
          </cell>
          <cell r="G3186" t="str">
            <v>SP</v>
          </cell>
          <cell r="H3186" t="str">
            <v>DISTRIBUIÇÃO</v>
          </cell>
          <cell r="I3186" t="str">
            <v>FOOD SERVICE</v>
          </cell>
          <cell r="J3186" t="str">
            <v>FLAC 2</v>
          </cell>
          <cell r="K3186" t="str">
            <v>LACTALIS</v>
          </cell>
          <cell r="L3186" t="str">
            <v>RODRIGO</v>
          </cell>
          <cell r="M3186" t="str">
            <v>RAQUEL BARBOSA</v>
          </cell>
        </row>
        <row r="3187">
          <cell r="B3187">
            <v>5365100</v>
          </cell>
          <cell r="C3187" t="str">
            <v>DONA KIM CAFE E RESTAURANTE LTD</v>
          </cell>
          <cell r="D3187" t="str">
            <v>7001</v>
          </cell>
          <cell r="E3187" t="str">
            <v>0749</v>
          </cell>
          <cell r="F3187" t="str">
            <v>C5</v>
          </cell>
          <cell r="G3187" t="str">
            <v>SP</v>
          </cell>
          <cell r="H3187" t="str">
            <v>DISTRIBUIÇÃO</v>
          </cell>
          <cell r="I3187" t="str">
            <v>FOOD SERVICE</v>
          </cell>
          <cell r="J3187" t="str">
            <v>FLAC 6</v>
          </cell>
          <cell r="K3187" t="str">
            <v>LACTALIS</v>
          </cell>
          <cell r="L3187" t="str">
            <v>RODRIGO</v>
          </cell>
          <cell r="M3187" t="str">
            <v>RAQUEL BARBOSA</v>
          </cell>
        </row>
        <row r="3188">
          <cell r="B3188">
            <v>5365317</v>
          </cell>
          <cell r="C3188" t="str">
            <v>QUEBRA NOZES IND E COM DE AL LT</v>
          </cell>
          <cell r="D3188" t="str">
            <v>6001</v>
          </cell>
          <cell r="E3188" t="str">
            <v>6028</v>
          </cell>
          <cell r="F3188" t="str">
            <v>C1</v>
          </cell>
          <cell r="G3188" t="str">
            <v>RJ</v>
          </cell>
          <cell r="H3188" t="str">
            <v>INGREDIENTS</v>
          </cell>
          <cell r="I3188" t="str">
            <v>INGREDIENTS</v>
          </cell>
          <cell r="J3188" t="str">
            <v>TATIANA NITTA</v>
          </cell>
          <cell r="K3188" t="str">
            <v>ITAMBÉ</v>
          </cell>
          <cell r="L3188" t="str">
            <v>MAURICIO</v>
          </cell>
          <cell r="M3188" t="str">
            <v>TATIANA NITTA</v>
          </cell>
        </row>
        <row r="3189">
          <cell r="B3189">
            <v>5027209</v>
          </cell>
          <cell r="C3189" t="str">
            <v>GRANTERRA COMERCIO DE ALIMENTOS LTD</v>
          </cell>
          <cell r="D3189" t="str">
            <v>7001</v>
          </cell>
          <cell r="E3189" t="str">
            <v>0749</v>
          </cell>
          <cell r="F3189" t="str">
            <v>C5</v>
          </cell>
          <cell r="G3189" t="str">
            <v>SP</v>
          </cell>
          <cell r="H3189" t="str">
            <v>DISTRIBUIÇÃO</v>
          </cell>
          <cell r="I3189" t="str">
            <v>FOOD SERVICE</v>
          </cell>
          <cell r="J3189" t="str">
            <v>FLAC 1</v>
          </cell>
          <cell r="K3189" t="str">
            <v>LACTALIS</v>
          </cell>
          <cell r="L3189" t="str">
            <v>RODRIGO</v>
          </cell>
          <cell r="M3189" t="str">
            <v>RAQUEL BARBOSA</v>
          </cell>
        </row>
        <row r="3190">
          <cell r="B3190">
            <v>5168151</v>
          </cell>
          <cell r="C3190" t="str">
            <v>I S M GOMES DE MATTOS LTDA</v>
          </cell>
          <cell r="D3190" t="str">
            <v>6001</v>
          </cell>
          <cell r="E3190" t="str">
            <v>6127</v>
          </cell>
          <cell r="F3190" t="str">
            <v>C1</v>
          </cell>
          <cell r="G3190" t="str">
            <v>CE</v>
          </cell>
          <cell r="H3190" t="str">
            <v>DISTRIBUIÇÃO</v>
          </cell>
          <cell r="I3190" t="str">
            <v>FOOD SERVICE</v>
          </cell>
          <cell r="J3190" t="str">
            <v>WH FOOD SERVICE CE</v>
          </cell>
          <cell r="K3190" t="str">
            <v>ITAMBÉ</v>
          </cell>
          <cell r="L3190" t="str">
            <v>RODRIGO</v>
          </cell>
          <cell r="M3190" t="str">
            <v>MARIA LOURDES</v>
          </cell>
        </row>
        <row r="3191">
          <cell r="B3191">
            <v>5182808</v>
          </cell>
          <cell r="C3191" t="str">
            <v>KAPRICHO IND E COM DE ALIM LTDA</v>
          </cell>
          <cell r="D3191" t="str">
            <v>3001</v>
          </cell>
          <cell r="E3191" t="str">
            <v>0028</v>
          </cell>
          <cell r="F3191" t="str">
            <v>C1</v>
          </cell>
          <cell r="G3191" t="str">
            <v>SE</v>
          </cell>
          <cell r="H3191" t="str">
            <v>INGREDIENTS</v>
          </cell>
          <cell r="I3191" t="str">
            <v>INGREDIENTS</v>
          </cell>
          <cell r="J3191" t="str">
            <v>JOEL ELEOTÉRIO</v>
          </cell>
          <cell r="K3191" t="str">
            <v>ITAMBÉ</v>
          </cell>
          <cell r="L3191" t="str">
            <v>MAURICIO</v>
          </cell>
          <cell r="M3191" t="str">
            <v>JOEL</v>
          </cell>
        </row>
        <row r="3192">
          <cell r="B3192">
            <v>5107152</v>
          </cell>
          <cell r="C3192" t="str">
            <v>CALIFORNIA COM DE SORVETES LTDA</v>
          </cell>
          <cell r="D3192" t="str">
            <v>6001</v>
          </cell>
          <cell r="E3192" t="str">
            <v>6028</v>
          </cell>
          <cell r="F3192" t="str">
            <v>C1</v>
          </cell>
          <cell r="G3192" t="str">
            <v>RJ</v>
          </cell>
          <cell r="H3192" t="str">
            <v>QSR</v>
          </cell>
          <cell r="I3192" t="str">
            <v>FOOD SERVICE</v>
          </cell>
          <cell r="J3192" t="str">
            <v>NUTRI</v>
          </cell>
          <cell r="K3192" t="str">
            <v>ITAMBÉ</v>
          </cell>
          <cell r="L3192" t="str">
            <v>PEDRO</v>
          </cell>
          <cell r="M3192" t="str">
            <v>VAGO QSR</v>
          </cell>
        </row>
        <row r="3193">
          <cell r="B3193">
            <v>5365501</v>
          </cell>
          <cell r="C3193" t="str">
            <v>SLIM HOTEL FREI CANECA LTDA</v>
          </cell>
          <cell r="D3193" t="str">
            <v>7001</v>
          </cell>
          <cell r="E3193" t="str">
            <v>0749</v>
          </cell>
          <cell r="F3193" t="str">
            <v>C5</v>
          </cell>
          <cell r="G3193" t="str">
            <v>SP</v>
          </cell>
          <cell r="H3193" t="str">
            <v>DISTRIBUIÇÃO</v>
          </cell>
          <cell r="I3193" t="str">
            <v>FOOD SERVICE</v>
          </cell>
          <cell r="J3193" t="str">
            <v>FLAC 3</v>
          </cell>
          <cell r="K3193" t="str">
            <v>LACTALIS</v>
          </cell>
          <cell r="L3193" t="str">
            <v>RODRIGO</v>
          </cell>
          <cell r="M3193" t="str">
            <v>RAQUEL BARBOSA</v>
          </cell>
        </row>
        <row r="3194">
          <cell r="B3194">
            <v>5172087</v>
          </cell>
          <cell r="C3194" t="str">
            <v>ASSOC CONGREG DE SANTA CATARINA</v>
          </cell>
          <cell r="D3194" t="str">
            <v>7001</v>
          </cell>
          <cell r="E3194" t="str">
            <v>0722</v>
          </cell>
          <cell r="F3194" t="str">
            <v>C1</v>
          </cell>
          <cell r="G3194" t="str">
            <v>SP</v>
          </cell>
          <cell r="H3194" t="str">
            <v>QSR</v>
          </cell>
          <cell r="I3194" t="str">
            <v>FOOD SERVICE</v>
          </cell>
          <cell r="J3194" t="str">
            <v>VAGO QSR</v>
          </cell>
          <cell r="K3194" t="str">
            <v>LACTALIS</v>
          </cell>
          <cell r="L3194" t="str">
            <v>PEDRO</v>
          </cell>
          <cell r="M3194" t="str">
            <v>VAGO QSR</v>
          </cell>
        </row>
        <row r="3195">
          <cell r="B3195">
            <v>5176952</v>
          </cell>
          <cell r="C3195" t="str">
            <v>CLUBE DO CONFEITEIRO LTDA</v>
          </cell>
          <cell r="D3195" t="str">
            <v>6001</v>
          </cell>
          <cell r="E3195" t="str">
            <v>6028</v>
          </cell>
          <cell r="F3195" t="str">
            <v>C1</v>
          </cell>
          <cell r="G3195" t="str">
            <v>SP</v>
          </cell>
          <cell r="H3195" t="str">
            <v>DISTRIBUIÇÃO</v>
          </cell>
          <cell r="I3195" t="str">
            <v>FOOD SERVICE</v>
          </cell>
          <cell r="J3195" t="str">
            <v>SP ITB FS FLAC REP.E COMERCIO</v>
          </cell>
          <cell r="K3195" t="str">
            <v>ITAMBÉ</v>
          </cell>
          <cell r="L3195" t="str">
            <v>RODRIGO</v>
          </cell>
          <cell r="M3195" t="str">
            <v>RAQUEL BARBOSA</v>
          </cell>
        </row>
        <row r="3196">
          <cell r="B3196">
            <v>5364391</v>
          </cell>
          <cell r="C3196" t="str">
            <v>M P V MAGESTI LTDA</v>
          </cell>
          <cell r="D3196" t="str">
            <v>3001</v>
          </cell>
          <cell r="E3196" t="str">
            <v>0028</v>
          </cell>
          <cell r="F3196" t="str">
            <v>C1</v>
          </cell>
          <cell r="G3196" t="str">
            <v>PR</v>
          </cell>
          <cell r="H3196" t="str">
            <v>INGREDIENTS</v>
          </cell>
          <cell r="I3196" t="str">
            <v>INGREDIENTS</v>
          </cell>
          <cell r="J3196" t="str">
            <v>MARCELO RODRIGUES</v>
          </cell>
          <cell r="K3196" t="str">
            <v>ITAMBÉ</v>
          </cell>
          <cell r="L3196" t="str">
            <v>MAURICIO</v>
          </cell>
          <cell r="M3196" t="str">
            <v>MARCELO</v>
          </cell>
        </row>
        <row r="3197">
          <cell r="B3197">
            <v>5365316</v>
          </cell>
          <cell r="C3197" t="str">
            <v>62899176 VALMOR VALLE</v>
          </cell>
          <cell r="D3197" t="str">
            <v>3001</v>
          </cell>
          <cell r="E3197" t="str">
            <v>0028</v>
          </cell>
          <cell r="F3197" t="str">
            <v>C1</v>
          </cell>
          <cell r="G3197" t="str">
            <v>SC</v>
          </cell>
          <cell r="H3197" t="str">
            <v>INGREDIENTS</v>
          </cell>
          <cell r="I3197" t="str">
            <v>INGREDIENTS</v>
          </cell>
          <cell r="J3197" t="str">
            <v>MARCELO RODRIGUES</v>
          </cell>
          <cell r="K3197" t="str">
            <v>ITAMBÉ</v>
          </cell>
          <cell r="L3197" t="str">
            <v>MAURICIO</v>
          </cell>
          <cell r="M3197" t="str">
            <v>MARCELO</v>
          </cell>
        </row>
        <row r="3198">
          <cell r="B3198">
            <v>5182718</v>
          </cell>
          <cell r="C3198" t="str">
            <v>BARAO DO ACAI COMERCIAL LTDA ME</v>
          </cell>
          <cell r="D3198" t="str">
            <v>6001</v>
          </cell>
          <cell r="E3198" t="str">
            <v>6169</v>
          </cell>
          <cell r="F3198" t="str">
            <v>C1</v>
          </cell>
          <cell r="G3198" t="str">
            <v>ES</v>
          </cell>
          <cell r="H3198" t="str">
            <v>DISTRIBUIÇÃO</v>
          </cell>
          <cell r="I3198" t="str">
            <v>FOOD SERVICE</v>
          </cell>
          <cell r="J3198" t="str">
            <v>MARCELO DUARTE</v>
          </cell>
          <cell r="K3198" t="str">
            <v>ITAMBÉ</v>
          </cell>
          <cell r="L3198" t="str">
            <v>RODRIGO</v>
          </cell>
          <cell r="M3198" t="str">
            <v>JESSICA</v>
          </cell>
        </row>
        <row r="3199">
          <cell r="B3199">
            <v>5218349</v>
          </cell>
          <cell r="C3199" t="str">
            <v>DISTRIBUIDORA PRIMORDIAL FRIOS LTDA</v>
          </cell>
          <cell r="D3199" t="str">
            <v>7001</v>
          </cell>
          <cell r="E3199" t="str">
            <v>0749</v>
          </cell>
          <cell r="F3199" t="str">
            <v>C5</v>
          </cell>
          <cell r="G3199" t="str">
            <v>SP</v>
          </cell>
          <cell r="H3199" t="str">
            <v>DISTRIBUIÇÃO</v>
          </cell>
          <cell r="I3199" t="str">
            <v>FOOD SERVICE</v>
          </cell>
          <cell r="J3199" t="str">
            <v>FLAC 2</v>
          </cell>
          <cell r="K3199" t="str">
            <v>LACTALIS</v>
          </cell>
          <cell r="L3199" t="str">
            <v>RODRIGO</v>
          </cell>
          <cell r="M3199" t="str">
            <v>RAQUEL BARBOSA</v>
          </cell>
        </row>
        <row r="3200">
          <cell r="B3200">
            <v>5351071</v>
          </cell>
          <cell r="C3200" t="str">
            <v>ANA CLARA PEREIRA DA SILVA</v>
          </cell>
          <cell r="D3200" t="str">
            <v>4001</v>
          </cell>
          <cell r="E3200" t="str">
            <v>0458</v>
          </cell>
          <cell r="F3200" t="str">
            <v>C1</v>
          </cell>
          <cell r="G3200" t="str">
            <v>RJ</v>
          </cell>
          <cell r="H3200" t="str">
            <v>INGREDIENTS</v>
          </cell>
          <cell r="I3200" t="str">
            <v>INGREDIENTS</v>
          </cell>
          <cell r="J3200" t="str">
            <v>JOEL ELEOTÉRIO</v>
          </cell>
          <cell r="K3200" t="str">
            <v>LACTALIS</v>
          </cell>
          <cell r="L3200" t="str">
            <v>MAURICIO</v>
          </cell>
          <cell r="M3200" t="str">
            <v>JOEL</v>
          </cell>
        </row>
        <row r="3201">
          <cell r="B3201">
            <v>5164254</v>
          </cell>
          <cell r="C3201" t="str">
            <v>TRES CORACOES ALIMENTOS SA</v>
          </cell>
          <cell r="D3201" t="str">
            <v>4001</v>
          </cell>
          <cell r="E3201" t="str">
            <v>0437</v>
          </cell>
          <cell r="F3201" t="str">
            <v>C1</v>
          </cell>
          <cell r="G3201" t="str">
            <v>CE</v>
          </cell>
          <cell r="H3201" t="str">
            <v>INGREDIENTS</v>
          </cell>
          <cell r="I3201" t="str">
            <v>INGREDIENTS</v>
          </cell>
          <cell r="J3201" t="str">
            <v>JOEL ELEOTÉRIO</v>
          </cell>
          <cell r="K3201" t="str">
            <v>LACTALIS</v>
          </cell>
          <cell r="L3201" t="str">
            <v>MAURICIO</v>
          </cell>
          <cell r="M3201" t="str">
            <v>JOEL</v>
          </cell>
        </row>
        <row r="3202">
          <cell r="B3202">
            <v>5128517</v>
          </cell>
          <cell r="C3202" t="str">
            <v>LF FOOD S LTDA</v>
          </cell>
          <cell r="D3202" t="str">
            <v>6001</v>
          </cell>
          <cell r="E3202" t="str">
            <v>6127</v>
          </cell>
          <cell r="F3202" t="str">
            <v>C1</v>
          </cell>
          <cell r="G3202" t="str">
            <v>BA</v>
          </cell>
          <cell r="H3202" t="str">
            <v>DISTRIBUIÇÃO</v>
          </cell>
          <cell r="I3202" t="str">
            <v>FOOD SERVICE</v>
          </cell>
          <cell r="J3202" t="str">
            <v>CLAUDIO JORGE/LUIZ</v>
          </cell>
          <cell r="K3202" t="str">
            <v>ITAMBÉ</v>
          </cell>
          <cell r="L3202" t="str">
            <v>RODRIGO</v>
          </cell>
          <cell r="M3202" t="str">
            <v>MARIA LOURDES</v>
          </cell>
        </row>
        <row r="3203">
          <cell r="B3203">
            <v>5182808</v>
          </cell>
          <cell r="C3203" t="str">
            <v>KAPRICHO IND E COM DE ALIM LTDA</v>
          </cell>
          <cell r="D3203" t="str">
            <v>6001</v>
          </cell>
          <cell r="E3203" t="str">
            <v>6028</v>
          </cell>
          <cell r="F3203" t="str">
            <v>C1</v>
          </cell>
          <cell r="G3203" t="str">
            <v>SE</v>
          </cell>
          <cell r="H3203" t="str">
            <v>INGREDIENTS</v>
          </cell>
          <cell r="I3203" t="str">
            <v>INGREDIENTS</v>
          </cell>
          <cell r="J3203" t="str">
            <v>BA ITB FS L B REPRES LTDA</v>
          </cell>
          <cell r="K3203" t="str">
            <v>ITAMBÉ</v>
          </cell>
          <cell r="L3203" t="str">
            <v>MAURICIO</v>
          </cell>
          <cell r="M3203" t="str">
            <v>JOEL</v>
          </cell>
        </row>
        <row r="3204">
          <cell r="B3204">
            <v>5226511</v>
          </cell>
          <cell r="C3204" t="str">
            <v>CHOCOLATES GAROTO LTDA</v>
          </cell>
          <cell r="D3204" t="str">
            <v>4001</v>
          </cell>
          <cell r="E3204" t="str">
            <v>0437</v>
          </cell>
          <cell r="F3204" t="str">
            <v>C1</v>
          </cell>
          <cell r="G3204" t="str">
            <v>ES</v>
          </cell>
          <cell r="H3204" t="str">
            <v>INGREDIENTS</v>
          </cell>
          <cell r="I3204" t="str">
            <v>INGREDIENTS</v>
          </cell>
          <cell r="J3204" t="str">
            <v>MARCELO RODRIGUES</v>
          </cell>
          <cell r="K3204" t="str">
            <v>LACTALIS</v>
          </cell>
          <cell r="L3204" t="str">
            <v>MAURICIO</v>
          </cell>
          <cell r="M3204" t="str">
            <v>MARCELO</v>
          </cell>
        </row>
        <row r="3205">
          <cell r="B3205">
            <v>5253195</v>
          </cell>
          <cell r="C3205" t="str">
            <v>GALERIA DO QUEIJO LTDA</v>
          </cell>
          <cell r="D3205" t="str">
            <v>7001</v>
          </cell>
          <cell r="E3205" t="str">
            <v>0722</v>
          </cell>
          <cell r="F3205" t="str">
            <v>C1</v>
          </cell>
          <cell r="G3205" t="str">
            <v>SP</v>
          </cell>
          <cell r="H3205" t="str">
            <v>DISTRIBUIÇÃO</v>
          </cell>
          <cell r="I3205" t="str">
            <v>FOOD SERVICE</v>
          </cell>
          <cell r="J3205" t="str">
            <v>VAGO SP</v>
          </cell>
          <cell r="K3205" t="str">
            <v>LACTALIS</v>
          </cell>
          <cell r="L3205" t="str">
            <v>RODRIGO</v>
          </cell>
          <cell r="M3205" t="str">
            <v>RAQUEL BARBOSA</v>
          </cell>
        </row>
        <row r="3206">
          <cell r="B3206">
            <v>5255536</v>
          </cell>
          <cell r="C3206" t="str">
            <v>TORTA NO QUINTAL LANCHES LTDA M</v>
          </cell>
          <cell r="D3206" t="str">
            <v>7001</v>
          </cell>
          <cell r="E3206" t="str">
            <v>0749</v>
          </cell>
          <cell r="F3206" t="str">
            <v>C5</v>
          </cell>
          <cell r="G3206" t="str">
            <v>SP</v>
          </cell>
          <cell r="H3206" t="str">
            <v>DISTRIBUIÇÃO</v>
          </cell>
          <cell r="I3206" t="str">
            <v>FOOD SERVICE</v>
          </cell>
          <cell r="J3206" t="str">
            <v>FLAC 2</v>
          </cell>
          <cell r="K3206" t="str">
            <v>LACTALIS</v>
          </cell>
          <cell r="L3206" t="str">
            <v>RODRIGO</v>
          </cell>
          <cell r="M3206" t="str">
            <v>RAQUEL BARBOSA</v>
          </cell>
        </row>
        <row r="3207">
          <cell r="B3207">
            <v>5364391</v>
          </cell>
          <cell r="C3207" t="str">
            <v>M P V MAGESTI LTDA</v>
          </cell>
          <cell r="D3207" t="str">
            <v>4001</v>
          </cell>
          <cell r="E3207" t="str">
            <v>0455</v>
          </cell>
          <cell r="F3207" t="str">
            <v>C1</v>
          </cell>
          <cell r="G3207" t="str">
            <v>PR</v>
          </cell>
          <cell r="H3207" t="str">
            <v>INGREDIENTS</v>
          </cell>
          <cell r="I3207" t="str">
            <v>INGREDIENTS</v>
          </cell>
          <cell r="J3207" t="str">
            <v>MARCELO RODRIGUES</v>
          </cell>
          <cell r="K3207" t="str">
            <v>LACTALIS</v>
          </cell>
          <cell r="L3207" t="str">
            <v>MAURICIO</v>
          </cell>
          <cell r="M3207" t="str">
            <v>MARCELO</v>
          </cell>
        </row>
        <row r="3208">
          <cell r="B3208">
            <v>5365710</v>
          </cell>
          <cell r="C3208" t="str">
            <v>CELSO CAVILHA</v>
          </cell>
          <cell r="D3208" t="str">
            <v>3001</v>
          </cell>
          <cell r="E3208" t="str">
            <v>0028</v>
          </cell>
          <cell r="F3208" t="str">
            <v>C1</v>
          </cell>
          <cell r="G3208" t="str">
            <v>SC</v>
          </cell>
          <cell r="H3208" t="str">
            <v>INGREDIENTS</v>
          </cell>
          <cell r="I3208" t="str">
            <v>INGREDIENTS</v>
          </cell>
          <cell r="J3208" t="str">
            <v>MARCELO RODRIGUES</v>
          </cell>
          <cell r="K3208" t="str">
            <v>ITAMBÉ</v>
          </cell>
          <cell r="L3208" t="str">
            <v>MAURICIO</v>
          </cell>
          <cell r="M3208" t="str">
            <v>MARCELO</v>
          </cell>
        </row>
        <row r="3209">
          <cell r="B3209">
            <v>5365775</v>
          </cell>
          <cell r="C3209" t="str">
            <v>SORVETERIA NEVASKA LTDA</v>
          </cell>
          <cell r="D3209" t="str">
            <v>6001</v>
          </cell>
          <cell r="E3209" t="str">
            <v>6028</v>
          </cell>
          <cell r="F3209" t="str">
            <v>C1</v>
          </cell>
          <cell r="G3209" t="str">
            <v>MS</v>
          </cell>
          <cell r="H3209" t="str">
            <v>INGREDIENTS</v>
          </cell>
          <cell r="I3209" t="str">
            <v>INGREDIENTS</v>
          </cell>
          <cell r="J3209" t="str">
            <v>MS ITB FS MAWIL REPRESENTAÇÕES</v>
          </cell>
          <cell r="K3209" t="str">
            <v>ITAMBÉ</v>
          </cell>
          <cell r="L3209" t="str">
            <v>MAURICIO</v>
          </cell>
          <cell r="M3209" t="str">
            <v>MARCELO</v>
          </cell>
        </row>
        <row r="3210">
          <cell r="B3210">
            <v>5033007</v>
          </cell>
          <cell r="C3210" t="str">
            <v>COMERCIAL NERES E ARAUO LTDA</v>
          </cell>
          <cell r="D3210" t="str">
            <v>6001</v>
          </cell>
          <cell r="E3210" t="str">
            <v>6169</v>
          </cell>
          <cell r="F3210" t="str">
            <v>C1</v>
          </cell>
          <cell r="G3210" t="str">
            <v>ES</v>
          </cell>
          <cell r="H3210" t="str">
            <v>DISTRIBUIÇÃO</v>
          </cell>
          <cell r="I3210" t="str">
            <v>FOOD SERVICE</v>
          </cell>
          <cell r="J3210" t="str">
            <v>MARCELO DUARTE</v>
          </cell>
          <cell r="K3210" t="str">
            <v>ITAMBÉ</v>
          </cell>
          <cell r="L3210" t="str">
            <v>RODRIGO</v>
          </cell>
          <cell r="M3210" t="str">
            <v>JESSICA</v>
          </cell>
        </row>
        <row r="3211">
          <cell r="B3211">
            <v>5123062</v>
          </cell>
          <cell r="C3211" t="str">
            <v>COMERCIAL MILANO BRASIL LTDA</v>
          </cell>
          <cell r="D3211" t="str">
            <v>7001</v>
          </cell>
          <cell r="E3211" t="str">
            <v>0749</v>
          </cell>
          <cell r="F3211" t="str">
            <v>C5</v>
          </cell>
          <cell r="G3211" t="str">
            <v>SP</v>
          </cell>
          <cell r="H3211" t="str">
            <v>DISTRIBUIÇÃO</v>
          </cell>
          <cell r="I3211" t="str">
            <v>FOOD SERVICE</v>
          </cell>
          <cell r="J3211" t="str">
            <v>FLAC 1</v>
          </cell>
          <cell r="K3211" t="str">
            <v>LACTALIS</v>
          </cell>
          <cell r="L3211" t="str">
            <v>RODRIGO</v>
          </cell>
          <cell r="M3211" t="str">
            <v>RAQUEL BARBOSA</v>
          </cell>
        </row>
        <row r="3212">
          <cell r="B3212">
            <v>5365804</v>
          </cell>
          <cell r="C3212" t="str">
            <v>M P LAHAM</v>
          </cell>
          <cell r="D3212" t="str">
            <v>7001</v>
          </cell>
          <cell r="E3212" t="str">
            <v>0722</v>
          </cell>
          <cell r="F3212" t="str">
            <v>C1</v>
          </cell>
          <cell r="G3212" t="str">
            <v>SP</v>
          </cell>
          <cell r="H3212" t="str">
            <v>DISTRIBUIÇÃO</v>
          </cell>
          <cell r="I3212" t="str">
            <v>FOOD SERVICE</v>
          </cell>
          <cell r="J3212" t="str">
            <v>VAGO SP</v>
          </cell>
          <cell r="K3212" t="str">
            <v>LACTALIS</v>
          </cell>
          <cell r="L3212" t="str">
            <v>RODRIGO</v>
          </cell>
          <cell r="M3212" t="str">
            <v>RAQUEL BARBOSA</v>
          </cell>
        </row>
        <row r="3213">
          <cell r="B3213">
            <v>5365400</v>
          </cell>
          <cell r="C3213" t="str">
            <v>DIVINUS COM DE PR PARA FESTAS LTDA</v>
          </cell>
          <cell r="D3213" t="str">
            <v>7001</v>
          </cell>
          <cell r="E3213" t="str">
            <v>0722</v>
          </cell>
          <cell r="F3213" t="str">
            <v>C1</v>
          </cell>
          <cell r="G3213" t="str">
            <v>SP</v>
          </cell>
          <cell r="H3213" t="str">
            <v>DISTRIBUIÇÃO</v>
          </cell>
          <cell r="I3213" t="str">
            <v>FOOD SERVICE</v>
          </cell>
          <cell r="J3213" t="str">
            <v>GUILHERME NASCIMENTO</v>
          </cell>
          <cell r="K3213" t="str">
            <v>LACTALIS</v>
          </cell>
          <cell r="L3213" t="str">
            <v>RODRIGO</v>
          </cell>
          <cell r="M3213" t="str">
            <v>ALEXANDRO</v>
          </cell>
        </row>
        <row r="3214">
          <cell r="B3214">
            <v>5365405</v>
          </cell>
          <cell r="C3214" t="str">
            <v>ALMAH ALIMENTOS LTDA</v>
          </cell>
          <cell r="D3214" t="str">
            <v>7001</v>
          </cell>
          <cell r="E3214" t="str">
            <v>0749</v>
          </cell>
          <cell r="F3214" t="str">
            <v>C5</v>
          </cell>
          <cell r="G3214" t="str">
            <v>SP</v>
          </cell>
          <cell r="H3214" t="str">
            <v>DISTRIBUIÇÃO</v>
          </cell>
          <cell r="I3214" t="str">
            <v>FOOD SERVICE</v>
          </cell>
          <cell r="J3214" t="str">
            <v>FLAC 2</v>
          </cell>
          <cell r="K3214" t="str">
            <v>LACTALIS</v>
          </cell>
          <cell r="L3214" t="str">
            <v>RODRIGO</v>
          </cell>
          <cell r="M3214" t="str">
            <v>RAQUEL BARBOSA</v>
          </cell>
        </row>
        <row r="3215">
          <cell r="B3215">
            <v>5365725</v>
          </cell>
          <cell r="C3215" t="str">
            <v>35285088 GIOVANNA GAMA DE AZEVE</v>
          </cell>
          <cell r="D3215" t="str">
            <v>7001</v>
          </cell>
          <cell r="E3215" t="str">
            <v>0749</v>
          </cell>
          <cell r="F3215" t="str">
            <v>C5</v>
          </cell>
          <cell r="G3215" t="str">
            <v>SP</v>
          </cell>
          <cell r="H3215" t="str">
            <v>DISTRIBUIÇÃO</v>
          </cell>
          <cell r="I3215" t="str">
            <v>FOOD SERVICE</v>
          </cell>
          <cell r="J3215" t="str">
            <v>FLAC 2</v>
          </cell>
          <cell r="K3215" t="str">
            <v>LACTALIS</v>
          </cell>
          <cell r="L3215" t="str">
            <v>RODRIGO</v>
          </cell>
          <cell r="M3215" t="str">
            <v>RAQUEL BARBOSA</v>
          </cell>
        </row>
        <row r="3216">
          <cell r="B3216">
            <v>5365972</v>
          </cell>
          <cell r="C3216" t="str">
            <v>TAS BUFFET LTDA</v>
          </cell>
          <cell r="D3216" t="str">
            <v>7001</v>
          </cell>
          <cell r="E3216" t="str">
            <v>0749</v>
          </cell>
          <cell r="F3216" t="str">
            <v>C5</v>
          </cell>
          <cell r="G3216" t="str">
            <v>SP</v>
          </cell>
          <cell r="H3216" t="str">
            <v>DISTRIBUIÇÃO</v>
          </cell>
          <cell r="I3216" t="str">
            <v>FOOD SERVICE</v>
          </cell>
          <cell r="J3216" t="str">
            <v>FLAC 2</v>
          </cell>
          <cell r="K3216" t="str">
            <v>LACTALIS</v>
          </cell>
          <cell r="L3216" t="str">
            <v>RODRIGO</v>
          </cell>
          <cell r="M3216" t="str">
            <v>RAQUEL BARBOSA</v>
          </cell>
        </row>
        <row r="3217">
          <cell r="B3217">
            <v>5223419</v>
          </cell>
          <cell r="C3217" t="str">
            <v>OESA COMERCIO E REPRESENTACOES SA</v>
          </cell>
          <cell r="D3217" t="str">
            <v>7001</v>
          </cell>
          <cell r="E3217" t="str">
            <v>0560</v>
          </cell>
          <cell r="F3217" t="str">
            <v>C5</v>
          </cell>
          <cell r="G3217" t="str">
            <v>DF</v>
          </cell>
          <cell r="H3217" t="str">
            <v>DISTRIBUIÇÃO</v>
          </cell>
          <cell r="I3217" t="str">
            <v>FOOD SERVICE</v>
          </cell>
          <cell r="J3217" t="str">
            <v>CLAUDIO JORGE</v>
          </cell>
          <cell r="K3217" t="str">
            <v>LACTALIS</v>
          </cell>
          <cell r="L3217" t="str">
            <v>RODRIGO</v>
          </cell>
          <cell r="M3217" t="str">
            <v>MARCO AURELIO</v>
          </cell>
        </row>
        <row r="3218">
          <cell r="B3218">
            <v>5228956</v>
          </cell>
          <cell r="C3218" t="str">
            <v>MARTINS E SILVA COMERCIO LTDA</v>
          </cell>
          <cell r="D3218" t="str">
            <v>4001</v>
          </cell>
          <cell r="E3218" t="str">
            <v>0531</v>
          </cell>
          <cell r="F3218" t="str">
            <v>C5</v>
          </cell>
          <cell r="G3218" t="str">
            <v>RR</v>
          </cell>
          <cell r="H3218" t="str">
            <v>DISTRIBUIÇÃO</v>
          </cell>
          <cell r="I3218" t="str">
            <v>FOOD SERVICE</v>
          </cell>
          <cell r="J3218" t="str">
            <v>CLAUDIO JORGE</v>
          </cell>
          <cell r="K3218" t="str">
            <v>LACTALIS</v>
          </cell>
          <cell r="L3218" t="str">
            <v>RODRIGO</v>
          </cell>
          <cell r="M3218" t="str">
            <v>MARCO AURELIO</v>
          </cell>
        </row>
        <row r="3219">
          <cell r="B3219">
            <v>5365546</v>
          </cell>
          <cell r="C3219" t="str">
            <v>BULK SUPLEMENTOS ALIMENT LTDA</v>
          </cell>
          <cell r="D3219" t="str">
            <v>4001</v>
          </cell>
          <cell r="E3219" t="str">
            <v>0437</v>
          </cell>
          <cell r="F3219" t="str">
            <v>C1</v>
          </cell>
          <cell r="G3219" t="str">
            <v>SP</v>
          </cell>
          <cell r="H3219" t="str">
            <v>INGREDIENTS</v>
          </cell>
          <cell r="I3219" t="str">
            <v>INGREDIENTS</v>
          </cell>
          <cell r="J3219" t="str">
            <v>MARCELO RODRIGUES</v>
          </cell>
          <cell r="K3219" t="str">
            <v>LACTALIS</v>
          </cell>
          <cell r="L3219" t="str">
            <v>MAURICIO</v>
          </cell>
          <cell r="M3219" t="str">
            <v>MARCELO</v>
          </cell>
        </row>
        <row r="3220">
          <cell r="B3220">
            <v>5366154</v>
          </cell>
          <cell r="C3220" t="str">
            <v>MONTEIRO RUFINO GELATOS LTDA</v>
          </cell>
          <cell r="D3220" t="str">
            <v>6001</v>
          </cell>
          <cell r="E3220" t="str">
            <v>6028</v>
          </cell>
          <cell r="F3220" t="str">
            <v>C1</v>
          </cell>
          <cell r="G3220" t="str">
            <v>RJ</v>
          </cell>
          <cell r="H3220" t="str">
            <v>INGREDIENTS</v>
          </cell>
          <cell r="I3220" t="str">
            <v>INGREDIENTS</v>
          </cell>
          <cell r="J3220" t="str">
            <v>RJ ITB FS L T MARTINS</v>
          </cell>
          <cell r="K3220" t="str">
            <v>ITAMBÉ</v>
          </cell>
          <cell r="L3220" t="str">
            <v>MAURICIO</v>
          </cell>
          <cell r="M3220" t="str">
            <v>TATIANA NITTA</v>
          </cell>
        </row>
        <row r="3221">
          <cell r="B3221">
            <v>5188918</v>
          </cell>
          <cell r="C3221" t="str">
            <v>H D HAMASAKI ARTIG PARA PANIF E CON</v>
          </cell>
          <cell r="D3221" t="str">
            <v>6001</v>
          </cell>
          <cell r="E3221" t="str">
            <v>6125</v>
          </cell>
          <cell r="F3221" t="str">
            <v>C1</v>
          </cell>
          <cell r="G3221" t="str">
            <v>SP</v>
          </cell>
          <cell r="H3221" t="str">
            <v>DISTRIBUIÇÃO</v>
          </cell>
          <cell r="I3221" t="str">
            <v>FOOD SERVICE</v>
          </cell>
          <cell r="J3221" t="str">
            <v>GUILHERME NASCIMENTO</v>
          </cell>
          <cell r="K3221" t="str">
            <v>ITAMBÉ</v>
          </cell>
          <cell r="L3221" t="str">
            <v>RODRIGO</v>
          </cell>
          <cell r="M3221" t="str">
            <v>ALEXANDRO</v>
          </cell>
        </row>
        <row r="3222">
          <cell r="B3222">
            <v>5225065</v>
          </cell>
          <cell r="C3222" t="str">
            <v>MACNA HOTEIS SPE 02 LTDA</v>
          </cell>
          <cell r="D3222" t="str">
            <v>3001</v>
          </cell>
          <cell r="E3222" t="str">
            <v>0122</v>
          </cell>
          <cell r="F3222" t="str">
            <v>C1</v>
          </cell>
          <cell r="G3222" t="str">
            <v>MG</v>
          </cell>
          <cell r="H3222" t="str">
            <v>DISTRIBUIÇÃO</v>
          </cell>
          <cell r="I3222" t="str">
            <v>FOOD SERVICE</v>
          </cell>
          <cell r="J3222" t="str">
            <v>MARCELO SILVA</v>
          </cell>
          <cell r="K3222" t="str">
            <v>ITAMBÉ</v>
          </cell>
          <cell r="L3222" t="str">
            <v>RODRIGO</v>
          </cell>
          <cell r="M3222" t="str">
            <v>CELIO MARTINS</v>
          </cell>
        </row>
        <row r="3223">
          <cell r="B3223">
            <v>5331778</v>
          </cell>
          <cell r="C3223" t="str">
            <v>CB RECIFE DERBY RESTAURANTE E A</v>
          </cell>
          <cell r="D3223" t="str">
            <v>3001</v>
          </cell>
          <cell r="E3223" t="str">
            <v>0127</v>
          </cell>
          <cell r="F3223" t="str">
            <v>C1</v>
          </cell>
          <cell r="G3223" t="str">
            <v>PE</v>
          </cell>
          <cell r="H3223" t="str">
            <v>QSR</v>
          </cell>
          <cell r="I3223" t="str">
            <v>FOOD SERVICE</v>
          </cell>
          <cell r="J3223" t="str">
            <v>VAGO QSR</v>
          </cell>
          <cell r="K3223" t="str">
            <v>ITAMBÉ</v>
          </cell>
          <cell r="L3223" t="str">
            <v>PEDRO</v>
          </cell>
          <cell r="M3223" t="str">
            <v>VAGO QSR</v>
          </cell>
        </row>
        <row r="3224">
          <cell r="B3224">
            <v>5349567</v>
          </cell>
          <cell r="C3224" t="str">
            <v>SILVANIA CRUZ DE OLIVEIRA LTDA</v>
          </cell>
          <cell r="D3224" t="str">
            <v>7001</v>
          </cell>
          <cell r="E3224" t="str">
            <v>0749</v>
          </cell>
          <cell r="F3224" t="str">
            <v>C5</v>
          </cell>
          <cell r="G3224" t="str">
            <v>SP</v>
          </cell>
          <cell r="H3224" t="str">
            <v>DISTRIBUIÇÃO</v>
          </cell>
          <cell r="I3224" t="str">
            <v>FOOD SERVICE</v>
          </cell>
          <cell r="J3224" t="str">
            <v>FLAC 3</v>
          </cell>
          <cell r="K3224" t="str">
            <v>LACTALIS</v>
          </cell>
          <cell r="L3224" t="str">
            <v>RODRIGO</v>
          </cell>
          <cell r="M3224" t="str">
            <v>RAQUEL BARBOSA</v>
          </cell>
        </row>
        <row r="3225">
          <cell r="B3225">
            <v>5364909</v>
          </cell>
          <cell r="C3225" t="str">
            <v>SARA TELES CONFEITARIA LTDA</v>
          </cell>
          <cell r="D3225" t="str">
            <v>7001</v>
          </cell>
          <cell r="E3225" t="str">
            <v>0749</v>
          </cell>
          <cell r="F3225" t="str">
            <v>C5</v>
          </cell>
          <cell r="G3225" t="str">
            <v>SP</v>
          </cell>
          <cell r="H3225" t="str">
            <v>DISTRIBUIÇÃO</v>
          </cell>
          <cell r="I3225" t="str">
            <v>FOOD SERVICE</v>
          </cell>
          <cell r="J3225" t="str">
            <v>FLAC 3</v>
          </cell>
          <cell r="K3225" t="str">
            <v>LACTALIS</v>
          </cell>
          <cell r="L3225" t="str">
            <v>RODRIGO</v>
          </cell>
          <cell r="M3225" t="str">
            <v>RAQUEL BARBOSA</v>
          </cell>
        </row>
        <row r="3226">
          <cell r="B3226">
            <v>5227156</v>
          </cell>
          <cell r="C3226" t="str">
            <v>GELARTE ACAI MIX IND E COM DE S LTD</v>
          </cell>
          <cell r="D3226" t="str">
            <v>6001</v>
          </cell>
          <cell r="E3226" t="str">
            <v>6028</v>
          </cell>
          <cell r="F3226" t="str">
            <v>C1</v>
          </cell>
          <cell r="G3226" t="str">
            <v>RJ</v>
          </cell>
          <cell r="H3226" t="str">
            <v>INGREDIENTS</v>
          </cell>
          <cell r="I3226" t="str">
            <v>INGREDIENTS</v>
          </cell>
          <cell r="J3226" t="str">
            <v>RJ ITB FS CDR REPRESENTAÇÕES</v>
          </cell>
          <cell r="K3226" t="str">
            <v>ITAMBÉ</v>
          </cell>
          <cell r="L3226" t="str">
            <v>MAURICIO</v>
          </cell>
          <cell r="M3226" t="str">
            <v>TATIANA NITTA</v>
          </cell>
        </row>
        <row r="3227">
          <cell r="B3227">
            <v>5271657</v>
          </cell>
          <cell r="C3227" t="str">
            <v>ITAMARATY DISTRIB DE POLPAS LTD</v>
          </cell>
          <cell r="D3227" t="str">
            <v>7001</v>
          </cell>
          <cell r="E3227" t="str">
            <v>0749</v>
          </cell>
          <cell r="F3227" t="str">
            <v>C5</v>
          </cell>
          <cell r="G3227" t="str">
            <v>SP</v>
          </cell>
          <cell r="H3227" t="str">
            <v>DISTRIBUIÇÃO</v>
          </cell>
          <cell r="I3227" t="str">
            <v>FOOD SERVICE</v>
          </cell>
          <cell r="J3227" t="str">
            <v>FLAC 2</v>
          </cell>
          <cell r="K3227" t="str">
            <v>LACTALIS</v>
          </cell>
          <cell r="L3227" t="str">
            <v>RODRIGO</v>
          </cell>
          <cell r="M3227" t="str">
            <v>RAQUEL BARBOSA</v>
          </cell>
        </row>
        <row r="3228">
          <cell r="B3228">
            <v>5363592</v>
          </cell>
          <cell r="C3228" t="str">
            <v>CBAF COMERCIO DE ALIMENTOS LTDA</v>
          </cell>
          <cell r="D3228" t="str">
            <v>6001</v>
          </cell>
          <cell r="E3228" t="str">
            <v>6125</v>
          </cell>
          <cell r="F3228" t="str">
            <v>C1</v>
          </cell>
          <cell r="G3228" t="str">
            <v>SP</v>
          </cell>
          <cell r="H3228" t="str">
            <v>QSR</v>
          </cell>
          <cell r="I3228" t="str">
            <v>FOOD SERVICE</v>
          </cell>
          <cell r="J3228" t="str">
            <v>VAGO QSR</v>
          </cell>
          <cell r="K3228" t="str">
            <v>ITAMBÉ</v>
          </cell>
          <cell r="L3228" t="str">
            <v>PEDRO</v>
          </cell>
          <cell r="M3228" t="str">
            <v>VAGO QSR</v>
          </cell>
        </row>
        <row r="3229">
          <cell r="B3229">
            <v>5363595</v>
          </cell>
          <cell r="C3229" t="str">
            <v>CBAF COMERCIO DE ALIMENTOS LTDA</v>
          </cell>
          <cell r="D3229" t="str">
            <v>6001</v>
          </cell>
          <cell r="E3229" t="str">
            <v>6125</v>
          </cell>
          <cell r="F3229" t="str">
            <v>C1</v>
          </cell>
          <cell r="G3229" t="str">
            <v>SP</v>
          </cell>
          <cell r="H3229" t="str">
            <v>QSR</v>
          </cell>
          <cell r="I3229" t="str">
            <v>FOOD SERVICE</v>
          </cell>
          <cell r="J3229" t="str">
            <v>VAGO QSR</v>
          </cell>
          <cell r="K3229" t="str">
            <v>ITAMBÉ</v>
          </cell>
          <cell r="L3229" t="str">
            <v>PEDRO</v>
          </cell>
          <cell r="M3229" t="str">
            <v>VAGO QSR</v>
          </cell>
        </row>
        <row r="3230">
          <cell r="B3230">
            <v>5320439</v>
          </cell>
          <cell r="C3230" t="str">
            <v>CONFEITARIA DO NILO LTDA</v>
          </cell>
          <cell r="D3230" t="str">
            <v>7001</v>
          </cell>
          <cell r="E3230" t="str">
            <v>0749</v>
          </cell>
          <cell r="F3230" t="str">
            <v>C5</v>
          </cell>
          <cell r="G3230" t="str">
            <v>SP</v>
          </cell>
          <cell r="H3230" t="str">
            <v>DISTRIBUIÇÃO</v>
          </cell>
          <cell r="I3230" t="str">
            <v>FOOD SERVICE</v>
          </cell>
          <cell r="J3230" t="str">
            <v>FLAC 6</v>
          </cell>
          <cell r="K3230" t="str">
            <v>LACTALIS</v>
          </cell>
          <cell r="L3230" t="str">
            <v>RODRIGO</v>
          </cell>
          <cell r="M3230" t="str">
            <v>RAQUEL BARBOSA</v>
          </cell>
        </row>
        <row r="3231">
          <cell r="B3231">
            <v>5320440</v>
          </cell>
          <cell r="C3231" t="str">
            <v>CONFEITARIA GRANJA SWEET LTDA</v>
          </cell>
          <cell r="D3231" t="str">
            <v>7001</v>
          </cell>
          <cell r="E3231" t="str">
            <v>0749</v>
          </cell>
          <cell r="F3231" t="str">
            <v>C5</v>
          </cell>
          <cell r="G3231" t="str">
            <v>SP</v>
          </cell>
          <cell r="H3231" t="str">
            <v>DISTRIBUIÇÃO</v>
          </cell>
          <cell r="I3231" t="str">
            <v>FOOD SERVICE</v>
          </cell>
          <cell r="J3231" t="str">
            <v>FLAC 6</v>
          </cell>
          <cell r="K3231" t="str">
            <v>LACTALIS</v>
          </cell>
          <cell r="L3231" t="str">
            <v>RODRIGO</v>
          </cell>
          <cell r="M3231" t="str">
            <v>RAQUEL BARBOSA</v>
          </cell>
        </row>
        <row r="3232">
          <cell r="B3232">
            <v>5336831</v>
          </cell>
          <cell r="C3232" t="str">
            <v>COMERCIO VAREJISTA DE SORVETES</v>
          </cell>
          <cell r="D3232" t="str">
            <v>7001</v>
          </cell>
          <cell r="E3232" t="str">
            <v>0749</v>
          </cell>
          <cell r="F3232" t="str">
            <v>C5</v>
          </cell>
          <cell r="G3232" t="str">
            <v>SP</v>
          </cell>
          <cell r="H3232" t="str">
            <v>QSR</v>
          </cell>
          <cell r="I3232" t="str">
            <v>FOOD SERVICE</v>
          </cell>
          <cell r="J3232" t="str">
            <v>NUTRI</v>
          </cell>
          <cell r="K3232" t="str">
            <v>LACTALIS</v>
          </cell>
          <cell r="L3232" t="str">
            <v>PEDRO</v>
          </cell>
          <cell r="M3232" t="str">
            <v>VAGO QSR</v>
          </cell>
        </row>
        <row r="3233">
          <cell r="B3233">
            <v>5364699</v>
          </cell>
          <cell r="C3233" t="str">
            <v>JOSE BRUNO DA SILVA RAMOS LTDA</v>
          </cell>
          <cell r="D3233" t="str">
            <v>3001</v>
          </cell>
          <cell r="E3233" t="str">
            <v>0028</v>
          </cell>
          <cell r="F3233" t="str">
            <v>C1</v>
          </cell>
          <cell r="G3233" t="str">
            <v>PE</v>
          </cell>
          <cell r="H3233" t="str">
            <v>INGREDIENTS</v>
          </cell>
          <cell r="I3233" t="str">
            <v>INGREDIENTS</v>
          </cell>
          <cell r="J3233" t="str">
            <v>PE ITB FS N.Z.REPRESENTANTES</v>
          </cell>
          <cell r="K3233" t="str">
            <v>ITAMBÉ</v>
          </cell>
          <cell r="L3233" t="str">
            <v>MAURICIO</v>
          </cell>
          <cell r="M3233" t="str">
            <v>JOEL</v>
          </cell>
        </row>
        <row r="3234">
          <cell r="B3234">
            <v>5366133</v>
          </cell>
          <cell r="C3234" t="str">
            <v>PRIME C DE AL CONGEL E CREM LTD</v>
          </cell>
          <cell r="D3234" t="str">
            <v>3001</v>
          </cell>
          <cell r="E3234" t="str">
            <v>0028</v>
          </cell>
          <cell r="F3234" t="str">
            <v>C1</v>
          </cell>
          <cell r="G3234" t="str">
            <v>PE</v>
          </cell>
          <cell r="H3234" t="str">
            <v>INGREDIENTS</v>
          </cell>
          <cell r="I3234" t="str">
            <v>INGREDIENTS</v>
          </cell>
          <cell r="J3234" t="str">
            <v>PE ITB FS N.Z.REPRESENTANTES</v>
          </cell>
          <cell r="K3234" t="str">
            <v>ITAMBÉ</v>
          </cell>
          <cell r="L3234" t="str">
            <v>MAURICIO</v>
          </cell>
          <cell r="M3234" t="str">
            <v>JOEL</v>
          </cell>
        </row>
        <row r="3235">
          <cell r="B3235">
            <v>5171558</v>
          </cell>
          <cell r="C3235" t="str">
            <v>CASCA E BOLA SORVETERIA LTDA</v>
          </cell>
          <cell r="D3235" t="str">
            <v>6001</v>
          </cell>
          <cell r="E3235" t="str">
            <v>6028</v>
          </cell>
          <cell r="F3235" t="str">
            <v>C1</v>
          </cell>
          <cell r="G3235" t="str">
            <v>RJ</v>
          </cell>
          <cell r="H3235" t="str">
            <v>INGREDIENTS</v>
          </cell>
          <cell r="I3235" t="str">
            <v>INGREDIENTS</v>
          </cell>
          <cell r="J3235" t="str">
            <v>RJ ITB FS CDR REPRESENTAÇÕES</v>
          </cell>
          <cell r="K3235" t="str">
            <v>ITAMBÉ</v>
          </cell>
          <cell r="L3235" t="str">
            <v>MAURICIO</v>
          </cell>
          <cell r="M3235" t="str">
            <v>TATIANA NITTA</v>
          </cell>
        </row>
        <row r="3236">
          <cell r="B3236">
            <v>5358152</v>
          </cell>
          <cell r="C3236" t="str">
            <v>VOOOPT COMERCIO DE ALIMENTOS LTDA</v>
          </cell>
          <cell r="D3236" t="str">
            <v>6001</v>
          </cell>
          <cell r="E3236" t="str">
            <v>6028</v>
          </cell>
          <cell r="F3236" t="str">
            <v>C1</v>
          </cell>
          <cell r="G3236" t="str">
            <v>SP</v>
          </cell>
          <cell r="H3236" t="str">
            <v>INGREDIENTS</v>
          </cell>
          <cell r="I3236" t="str">
            <v>INGREDIENTS</v>
          </cell>
          <cell r="J3236" t="str">
            <v>TATIANA NITTA</v>
          </cell>
          <cell r="K3236" t="str">
            <v>ITAMBÉ</v>
          </cell>
          <cell r="L3236" t="str">
            <v>MAURICIO</v>
          </cell>
          <cell r="M3236" t="str">
            <v>TATIANA NITTA</v>
          </cell>
        </row>
        <row r="3237">
          <cell r="B3237">
            <v>5364382</v>
          </cell>
          <cell r="C3237" t="str">
            <v>46706845 GISELI VIEIRA MOREIRA</v>
          </cell>
          <cell r="D3237" t="str">
            <v>3001</v>
          </cell>
          <cell r="E3237" t="str">
            <v>0028</v>
          </cell>
          <cell r="F3237" t="str">
            <v>C1</v>
          </cell>
          <cell r="G3237" t="str">
            <v>MG</v>
          </cell>
          <cell r="H3237" t="str">
            <v>INGREDIENTS</v>
          </cell>
          <cell r="I3237" t="str">
            <v>INGREDIENTS</v>
          </cell>
          <cell r="J3237" t="str">
            <v>HENRIQUE FERREIRA</v>
          </cell>
          <cell r="K3237" t="str">
            <v>ITAMBÉ</v>
          </cell>
          <cell r="L3237" t="str">
            <v>MAURICIO</v>
          </cell>
          <cell r="M3237" t="str">
            <v>JOEL</v>
          </cell>
        </row>
        <row r="3238">
          <cell r="B3238">
            <v>5364622</v>
          </cell>
          <cell r="C3238" t="str">
            <v>DR LEVAIN LTDA</v>
          </cell>
          <cell r="D3238" t="str">
            <v>7001</v>
          </cell>
          <cell r="E3238" t="str">
            <v>0749</v>
          </cell>
          <cell r="F3238" t="str">
            <v>C5</v>
          </cell>
          <cell r="G3238" t="str">
            <v>SP</v>
          </cell>
          <cell r="H3238" t="str">
            <v>DISTRIBUIÇÃO</v>
          </cell>
          <cell r="I3238" t="str">
            <v>FOOD SERVICE</v>
          </cell>
          <cell r="J3238" t="str">
            <v>FLAC 6</v>
          </cell>
          <cell r="K3238" t="str">
            <v>LACTALIS</v>
          </cell>
          <cell r="L3238" t="str">
            <v>RODRIGO</v>
          </cell>
          <cell r="M3238" t="str">
            <v>RAQUEL BARBOSA</v>
          </cell>
        </row>
        <row r="3239">
          <cell r="B3239">
            <v>5340507</v>
          </cell>
          <cell r="C3239" t="str">
            <v>SUAVE SABOR DOCERIA LTDA</v>
          </cell>
          <cell r="D3239" t="str">
            <v>7001</v>
          </cell>
          <cell r="E3239" t="str">
            <v>0737</v>
          </cell>
          <cell r="F3239" t="str">
            <v>C1</v>
          </cell>
          <cell r="G3239" t="str">
            <v>SP</v>
          </cell>
          <cell r="H3239" t="str">
            <v>INGREDIENTS</v>
          </cell>
          <cell r="I3239" t="str">
            <v>INGREDIENTS</v>
          </cell>
          <cell r="J3239" t="str">
            <v>TATIANA NITTA</v>
          </cell>
          <cell r="K3239" t="str">
            <v>LACTALIS</v>
          </cell>
          <cell r="L3239" t="str">
            <v>MAURICIO</v>
          </cell>
          <cell r="M3239" t="str">
            <v>TATIANA NITTA</v>
          </cell>
        </row>
        <row r="3240">
          <cell r="B3240">
            <v>5191622</v>
          </cell>
          <cell r="C3240" t="str">
            <v>MACNA ADMINISTRADORA HOTELEIRA LTDA</v>
          </cell>
          <cell r="D3240" t="str">
            <v>3001</v>
          </cell>
          <cell r="E3240" t="str">
            <v>0122</v>
          </cell>
          <cell r="F3240" t="str">
            <v>C1</v>
          </cell>
          <cell r="G3240" t="str">
            <v>MG</v>
          </cell>
          <cell r="H3240" t="str">
            <v>DISTRIBUIÇÃO</v>
          </cell>
          <cell r="I3240" t="str">
            <v>FOOD SERVICE</v>
          </cell>
          <cell r="J3240" t="str">
            <v>MARCELO SILVA</v>
          </cell>
          <cell r="K3240" t="str">
            <v>ITAMBÉ</v>
          </cell>
          <cell r="L3240" t="str">
            <v>RODRIGO</v>
          </cell>
          <cell r="M3240" t="str">
            <v>CELIO MARTINS</v>
          </cell>
        </row>
        <row r="3241">
          <cell r="B3241">
            <v>5220627</v>
          </cell>
          <cell r="C3241" t="str">
            <v>JME RAUTA COMERCIAL DISTRIBUIDO</v>
          </cell>
          <cell r="D3241" t="str">
            <v>3001</v>
          </cell>
          <cell r="E3241" t="str">
            <v>6028</v>
          </cell>
          <cell r="F3241" t="str">
            <v>C1</v>
          </cell>
          <cell r="G3241" t="str">
            <v>RJ</v>
          </cell>
          <cell r="H3241" t="str">
            <v>INGREDIENTS</v>
          </cell>
          <cell r="I3241" t="str">
            <v>INGREDIENTS</v>
          </cell>
          <cell r="J3241" t="str">
            <v>RJ ITB FS CDR REPRESENTAÇÕES</v>
          </cell>
          <cell r="K3241" t="str">
            <v>ITAMBÉ</v>
          </cell>
          <cell r="L3241" t="str">
            <v>MAURICIO</v>
          </cell>
          <cell r="M3241" t="str">
            <v>TATIANA NITTA</v>
          </cell>
        </row>
        <row r="3242">
          <cell r="B3242">
            <v>5315382</v>
          </cell>
          <cell r="C3242" t="str">
            <v>MATILDA PAULISTA RESTAURANTE LT</v>
          </cell>
          <cell r="D3242" t="str">
            <v>7001</v>
          </cell>
          <cell r="E3242" t="str">
            <v>0749</v>
          </cell>
          <cell r="F3242" t="str">
            <v>C5</v>
          </cell>
          <cell r="G3242" t="str">
            <v>SP</v>
          </cell>
          <cell r="H3242" t="str">
            <v>DISTRIBUIÇÃO</v>
          </cell>
          <cell r="I3242" t="str">
            <v>FOOD SERVICE</v>
          </cell>
          <cell r="J3242" t="str">
            <v>FLAC 3</v>
          </cell>
          <cell r="K3242" t="str">
            <v>LACTALIS</v>
          </cell>
          <cell r="L3242" t="str">
            <v>RODRIGO</v>
          </cell>
          <cell r="M3242" t="str">
            <v>RAQUEL BARBOSA</v>
          </cell>
        </row>
        <row r="3243">
          <cell r="B3243">
            <v>5364935</v>
          </cell>
          <cell r="C3243" t="str">
            <v>SANTA BENEDICTA CAFE E REST LTD</v>
          </cell>
          <cell r="D3243" t="str">
            <v>7001</v>
          </cell>
          <cell r="E3243" t="str">
            <v>0749</v>
          </cell>
          <cell r="F3243" t="str">
            <v>C5</v>
          </cell>
          <cell r="G3243" t="str">
            <v>SP</v>
          </cell>
          <cell r="H3243" t="str">
            <v>DISTRIBUIÇÃO</v>
          </cell>
          <cell r="I3243" t="str">
            <v>FOOD SERVICE</v>
          </cell>
          <cell r="J3243" t="str">
            <v>FLAC 2</v>
          </cell>
          <cell r="K3243" t="str">
            <v>LACTALIS</v>
          </cell>
          <cell r="L3243" t="str">
            <v>RODRIGO</v>
          </cell>
          <cell r="M3243" t="str">
            <v>RAQUEL BARBOSA</v>
          </cell>
        </row>
        <row r="3244">
          <cell r="B3244">
            <v>5012007</v>
          </cell>
          <cell r="C3244" t="str">
            <v>VIENA COMERCIO DE ALIMENTOS LTD</v>
          </cell>
          <cell r="D3244" t="str">
            <v>6001</v>
          </cell>
          <cell r="E3244" t="str">
            <v>6127</v>
          </cell>
          <cell r="F3244" t="str">
            <v>C1</v>
          </cell>
          <cell r="G3244" t="str">
            <v>BA</v>
          </cell>
          <cell r="H3244" t="str">
            <v>DISTRIBUIÇÃO</v>
          </cell>
          <cell r="I3244" t="str">
            <v>FOOD SERVICE</v>
          </cell>
          <cell r="J3244" t="str">
            <v>CLAUDIO JORGE/LUIZ</v>
          </cell>
          <cell r="K3244" t="str">
            <v>ITAMBÉ</v>
          </cell>
          <cell r="L3244" t="str">
            <v>RODRIGO</v>
          </cell>
          <cell r="M3244" t="str">
            <v>MARIA LOURDES</v>
          </cell>
        </row>
        <row r="3245">
          <cell r="B3245">
            <v>5329106</v>
          </cell>
          <cell r="C3245" t="str">
            <v>MAGADU CAFE LTDA</v>
          </cell>
          <cell r="D3245" t="str">
            <v>7001</v>
          </cell>
          <cell r="E3245" t="str">
            <v>0749</v>
          </cell>
          <cell r="F3245" t="str">
            <v>C5</v>
          </cell>
          <cell r="G3245" t="str">
            <v>SP</v>
          </cell>
          <cell r="H3245" t="str">
            <v>DISTRIBUIÇÃO</v>
          </cell>
          <cell r="I3245" t="str">
            <v>FOOD SERVICE</v>
          </cell>
          <cell r="J3245" t="str">
            <v>FLAC 3</v>
          </cell>
          <cell r="K3245" t="str">
            <v>LACTALIS</v>
          </cell>
          <cell r="L3245" t="str">
            <v>RODRIGO</v>
          </cell>
          <cell r="M3245" t="str">
            <v>RAQUEL BARBOSA</v>
          </cell>
        </row>
        <row r="3246">
          <cell r="B3246">
            <v>5355972</v>
          </cell>
          <cell r="C3246" t="str">
            <v>BROWNIE DA MINHA MAE DOCERIA LT</v>
          </cell>
          <cell r="D3246" t="str">
            <v>6001</v>
          </cell>
          <cell r="E3246" t="str">
            <v>6125</v>
          </cell>
          <cell r="F3246" t="str">
            <v>C1</v>
          </cell>
          <cell r="G3246" t="str">
            <v>SP</v>
          </cell>
          <cell r="H3246" t="str">
            <v>DISTRIBUIÇÃO</v>
          </cell>
          <cell r="I3246" t="str">
            <v>FOOD SERVICE</v>
          </cell>
          <cell r="J3246" t="str">
            <v>SP ITB FS FLAC REP.E COMERCIO</v>
          </cell>
          <cell r="K3246" t="str">
            <v>ITAMBÉ</v>
          </cell>
          <cell r="L3246" t="str">
            <v>RODRIGO</v>
          </cell>
          <cell r="M3246" t="str">
            <v>RAQUEL BARBOSA</v>
          </cell>
        </row>
        <row r="3247">
          <cell r="B3247">
            <v>5366272</v>
          </cell>
          <cell r="C3247" t="str">
            <v>CAFE MOEMA TIMES SQUARE LTDA</v>
          </cell>
          <cell r="D3247" t="str">
            <v>7001</v>
          </cell>
          <cell r="E3247" t="str">
            <v>0749</v>
          </cell>
          <cell r="F3247" t="str">
            <v>C5</v>
          </cell>
          <cell r="G3247" t="str">
            <v>SP</v>
          </cell>
          <cell r="H3247" t="str">
            <v>DISTRIBUIÇÃO</v>
          </cell>
          <cell r="I3247" t="str">
            <v>FOOD SERVICE</v>
          </cell>
          <cell r="J3247" t="str">
            <v>FLAC 3</v>
          </cell>
          <cell r="K3247" t="str">
            <v>LACTALIS</v>
          </cell>
          <cell r="L3247" t="str">
            <v>RODRIGO</v>
          </cell>
          <cell r="M3247" t="str">
            <v>RAQUEL BARBOSA</v>
          </cell>
        </row>
        <row r="3248">
          <cell r="B3248">
            <v>5302488</v>
          </cell>
          <cell r="C3248" t="str">
            <v>TSF REPRESENTACAO E COMERCIO LTDA</v>
          </cell>
          <cell r="D3248" t="str">
            <v>4001</v>
          </cell>
          <cell r="E3248" t="str">
            <v>0437</v>
          </cell>
          <cell r="F3248" t="str">
            <v>C1</v>
          </cell>
          <cell r="G3248" t="str">
            <v>SP</v>
          </cell>
          <cell r="H3248" t="str">
            <v>OUTROS</v>
          </cell>
          <cell r="I3248" t="str">
            <v>OUTROS</v>
          </cell>
          <cell r="J3248" t="str">
            <v>OUTROS</v>
          </cell>
          <cell r="K3248" t="str">
            <v>OUTROS</v>
          </cell>
          <cell r="L3248" t="str">
            <v>OUTROS</v>
          </cell>
          <cell r="M3248" t="str">
            <v>OUTROS</v>
          </cell>
        </row>
        <row r="3249">
          <cell r="B3249">
            <v>5366134</v>
          </cell>
          <cell r="C3249" t="str">
            <v>LARGO DO CAFE LANCHONETE LTDA</v>
          </cell>
          <cell r="D3249" t="str">
            <v>7001</v>
          </cell>
          <cell r="E3249" t="str">
            <v>0749</v>
          </cell>
          <cell r="F3249" t="str">
            <v>C5</v>
          </cell>
          <cell r="G3249" t="str">
            <v>SP</v>
          </cell>
          <cell r="H3249" t="str">
            <v>DISTRIBUIÇÃO</v>
          </cell>
          <cell r="I3249" t="str">
            <v>FOOD SERVICE</v>
          </cell>
          <cell r="J3249" t="str">
            <v>FLAC 2</v>
          </cell>
          <cell r="K3249" t="str">
            <v>LACTALIS</v>
          </cell>
          <cell r="L3249" t="str">
            <v>RODRIGO</v>
          </cell>
          <cell r="M3249" t="str">
            <v>RAQUEL BARBOSA</v>
          </cell>
        </row>
        <row r="3250">
          <cell r="B3250">
            <v>5366269</v>
          </cell>
          <cell r="C3250" t="str">
            <v>COFFEE BREAK MANDU LTDA</v>
          </cell>
          <cell r="D3250" t="str">
            <v>7001</v>
          </cell>
          <cell r="E3250" t="str">
            <v>0749</v>
          </cell>
          <cell r="F3250" t="str">
            <v>C5</v>
          </cell>
          <cell r="G3250" t="str">
            <v>SP</v>
          </cell>
          <cell r="H3250" t="str">
            <v>DISTRIBUIÇÃO</v>
          </cell>
          <cell r="I3250" t="str">
            <v>FOOD SERVICE</v>
          </cell>
          <cell r="J3250" t="str">
            <v>FLAC 3</v>
          </cell>
          <cell r="K3250" t="str">
            <v>LACTALIS</v>
          </cell>
          <cell r="L3250" t="str">
            <v>RODRIGO</v>
          </cell>
          <cell r="M3250" t="str">
            <v>RAQUEL BARBOSA</v>
          </cell>
        </row>
        <row r="3251">
          <cell r="B3251">
            <v>5026855</v>
          </cell>
          <cell r="C3251" t="str">
            <v>SIBELE ALIMENTOS LTDA</v>
          </cell>
          <cell r="D3251" t="str">
            <v>7001</v>
          </cell>
          <cell r="E3251" t="str">
            <v>0739</v>
          </cell>
          <cell r="F3251" t="str">
            <v>C1</v>
          </cell>
          <cell r="G3251" t="str">
            <v>MG</v>
          </cell>
          <cell r="H3251" t="str">
            <v>INGREDIENTS</v>
          </cell>
          <cell r="I3251" t="str">
            <v>INGREDIENTS</v>
          </cell>
          <cell r="J3251" t="str">
            <v>JOEL ELEOTÉRIO</v>
          </cell>
          <cell r="K3251" t="str">
            <v>LACTALIS</v>
          </cell>
          <cell r="L3251" t="str">
            <v>MAURICIO</v>
          </cell>
          <cell r="M3251" t="str">
            <v>JOEL</v>
          </cell>
        </row>
        <row r="3252">
          <cell r="B3252">
            <v>5224995</v>
          </cell>
          <cell r="C3252" t="str">
            <v>DISALLCON DIST DE DOCES LTDA</v>
          </cell>
          <cell r="D3252" t="str">
            <v>3001</v>
          </cell>
          <cell r="E3252" t="str">
            <v>0028</v>
          </cell>
          <cell r="F3252" t="str">
            <v>C1</v>
          </cell>
          <cell r="G3252" t="str">
            <v>PR</v>
          </cell>
          <cell r="H3252" t="str">
            <v>INGREDIENTS</v>
          </cell>
          <cell r="I3252" t="str">
            <v>INGREDIENTS</v>
          </cell>
          <cell r="J3252" t="str">
            <v>PR ITB FS DONIZETH REPRES</v>
          </cell>
          <cell r="K3252" t="str">
            <v>ITAMBÉ</v>
          </cell>
          <cell r="L3252" t="str">
            <v>MAURICIO</v>
          </cell>
          <cell r="M3252" t="str">
            <v>MARCELO</v>
          </cell>
        </row>
        <row r="3253">
          <cell r="B3253">
            <v>5295540</v>
          </cell>
          <cell r="C3253" t="str">
            <v>MARQUES E MIRANDA COMERCIAL E D</v>
          </cell>
          <cell r="D3253" t="str">
            <v>7001</v>
          </cell>
          <cell r="E3253" t="str">
            <v>0739</v>
          </cell>
          <cell r="F3253" t="str">
            <v>C1</v>
          </cell>
          <cell r="G3253" t="str">
            <v>SP</v>
          </cell>
          <cell r="H3253" t="str">
            <v>INGREDIENTS</v>
          </cell>
          <cell r="I3253" t="str">
            <v>INGREDIENTS</v>
          </cell>
          <cell r="J3253" t="str">
            <v>JOEL ELEOTÉRIO</v>
          </cell>
          <cell r="K3253" t="str">
            <v>LACTALIS</v>
          </cell>
          <cell r="L3253" t="str">
            <v>MAURICIO</v>
          </cell>
          <cell r="M3253" t="str">
            <v>JOEL</v>
          </cell>
        </row>
        <row r="3254">
          <cell r="B3254">
            <v>5319280</v>
          </cell>
          <cell r="C3254" t="str">
            <v>LATICINIO STEFANELLO LTDA</v>
          </cell>
          <cell r="D3254" t="str">
            <v>4001</v>
          </cell>
          <cell r="E3254" t="str">
            <v>0437</v>
          </cell>
          <cell r="F3254" t="str">
            <v>C1</v>
          </cell>
          <cell r="G3254" t="str">
            <v>RS</v>
          </cell>
          <cell r="H3254" t="str">
            <v>INGREDIENTS</v>
          </cell>
          <cell r="I3254" t="str">
            <v>INGREDIENTS</v>
          </cell>
          <cell r="J3254" t="str">
            <v>JOEL ELEOTÉRIO</v>
          </cell>
          <cell r="K3254" t="str">
            <v>LACTALIS</v>
          </cell>
          <cell r="L3254" t="str">
            <v>MAURICIO</v>
          </cell>
          <cell r="M3254" t="str">
            <v>JOEL</v>
          </cell>
        </row>
        <row r="3255">
          <cell r="B3255">
            <v>5334647</v>
          </cell>
          <cell r="C3255" t="str">
            <v>OGGI SORVETES  LTDA</v>
          </cell>
          <cell r="D3255" t="str">
            <v>3001</v>
          </cell>
          <cell r="E3255" t="str">
            <v>0028</v>
          </cell>
          <cell r="F3255" t="str">
            <v>C1</v>
          </cell>
          <cell r="G3255" t="str">
            <v>PE</v>
          </cell>
          <cell r="H3255" t="str">
            <v>INGREDIENTS</v>
          </cell>
          <cell r="I3255" t="str">
            <v>INGREDIENTS</v>
          </cell>
          <cell r="J3255" t="str">
            <v>JOEL ELEOTÉRIO</v>
          </cell>
          <cell r="K3255" t="str">
            <v>ITAMBÉ</v>
          </cell>
          <cell r="L3255" t="str">
            <v>MAURICIO</v>
          </cell>
          <cell r="M3255" t="str">
            <v>JOEL</v>
          </cell>
        </row>
        <row r="3256">
          <cell r="B3256">
            <v>5363127</v>
          </cell>
          <cell r="C3256" t="str">
            <v>FORTE COMERCIO E DISTRIBUIÇÃO</v>
          </cell>
          <cell r="D3256" t="str">
            <v>6001</v>
          </cell>
          <cell r="E3256" t="str">
            <v>6127</v>
          </cell>
          <cell r="F3256" t="str">
            <v>C1</v>
          </cell>
          <cell r="G3256" t="str">
            <v>BA</v>
          </cell>
          <cell r="H3256" t="str">
            <v>DISTRIBUIÇÃO</v>
          </cell>
          <cell r="I3256" t="str">
            <v>FOOD SERVICE</v>
          </cell>
          <cell r="J3256" t="str">
            <v>CLAUDIO JORGE/LUIZ</v>
          </cell>
          <cell r="K3256" t="str">
            <v>ITAMBÉ</v>
          </cell>
          <cell r="L3256" t="str">
            <v>RODRIGO</v>
          </cell>
          <cell r="M3256" t="str">
            <v>MARIA LOURDES</v>
          </cell>
        </row>
        <row r="3257">
          <cell r="B3257">
            <v>5366502</v>
          </cell>
          <cell r="C3257" t="str">
            <v>49396817 TELMA MARIA DE SOUZA</v>
          </cell>
          <cell r="D3257" t="str">
            <v>7001</v>
          </cell>
          <cell r="E3257" t="str">
            <v>0749</v>
          </cell>
          <cell r="F3257" t="str">
            <v>C5</v>
          </cell>
          <cell r="G3257" t="str">
            <v>SP</v>
          </cell>
          <cell r="H3257" t="str">
            <v>DISTRIBUIÇÃO</v>
          </cell>
          <cell r="I3257" t="str">
            <v>FOOD SERVICE</v>
          </cell>
          <cell r="J3257" t="str">
            <v>FLAC 2</v>
          </cell>
          <cell r="K3257" t="str">
            <v>LACTALIS</v>
          </cell>
          <cell r="L3257" t="str">
            <v>RODRIGO</v>
          </cell>
          <cell r="M3257" t="str">
            <v>RAQUEL BARBOSA</v>
          </cell>
        </row>
        <row r="3258">
          <cell r="B3258">
            <v>5366568</v>
          </cell>
          <cell r="C3258" t="str">
            <v>ASSOCIACAO CULT N SEN DE FATIMA</v>
          </cell>
          <cell r="D3258" t="str">
            <v>7001</v>
          </cell>
          <cell r="E3258" t="str">
            <v>0749</v>
          </cell>
          <cell r="F3258" t="str">
            <v>C5</v>
          </cell>
          <cell r="G3258" t="str">
            <v>SP</v>
          </cell>
          <cell r="H3258" t="str">
            <v>DISTRIBUIÇÃO</v>
          </cell>
          <cell r="I3258" t="str">
            <v>FOOD SERVICE</v>
          </cell>
          <cell r="J3258" t="str">
            <v>FLAC 2</v>
          </cell>
          <cell r="K3258" t="str">
            <v>LACTALIS</v>
          </cell>
          <cell r="L3258" t="str">
            <v>RODRIGO</v>
          </cell>
          <cell r="M3258" t="str">
            <v>RAQUEL BARBOSA</v>
          </cell>
        </row>
        <row r="3259">
          <cell r="B3259">
            <v>5083201</v>
          </cell>
          <cell r="C3259" t="str">
            <v>SILVA BRAGA COML DE ALIMENTOS LTDA</v>
          </cell>
          <cell r="D3259" t="str">
            <v>6001</v>
          </cell>
          <cell r="E3259" t="str">
            <v>6127</v>
          </cell>
          <cell r="F3259" t="str">
            <v>C1</v>
          </cell>
          <cell r="G3259" t="str">
            <v>CE</v>
          </cell>
          <cell r="H3259" t="str">
            <v>DISTRIBUIÇÃO</v>
          </cell>
          <cell r="I3259" t="str">
            <v>FOOD SERVICE</v>
          </cell>
          <cell r="J3259" t="str">
            <v>WH FOOD SERVICE CE</v>
          </cell>
          <cell r="K3259" t="str">
            <v>ITAMBÉ</v>
          </cell>
          <cell r="L3259" t="str">
            <v>RODRIGO</v>
          </cell>
          <cell r="M3259" t="str">
            <v>MARIA LOURDES</v>
          </cell>
        </row>
        <row r="3260">
          <cell r="B3260">
            <v>5110498</v>
          </cell>
          <cell r="C3260" t="str">
            <v>ZANEPAN COM ATAC DE GENEROS ALI</v>
          </cell>
          <cell r="D3260" t="str">
            <v>7001</v>
          </cell>
          <cell r="E3260" t="str">
            <v>0739</v>
          </cell>
          <cell r="F3260" t="str">
            <v>C1</v>
          </cell>
          <cell r="G3260" t="str">
            <v>ES</v>
          </cell>
          <cell r="H3260" t="str">
            <v>DISTRIBUIÇÃO</v>
          </cell>
          <cell r="I3260" t="str">
            <v>FOOD SERVICE</v>
          </cell>
          <cell r="J3260" t="str">
            <v>MARCELO DUARTE</v>
          </cell>
          <cell r="K3260" t="str">
            <v>LACTALIS</v>
          </cell>
          <cell r="L3260" t="str">
            <v>RODRIGO</v>
          </cell>
          <cell r="M3260" t="str">
            <v>JESSICA</v>
          </cell>
        </row>
        <row r="3261">
          <cell r="B3261">
            <v>5182903</v>
          </cell>
          <cell r="C3261" t="str">
            <v>CERVINO E MARTINEZ LTDA</v>
          </cell>
          <cell r="D3261" t="str">
            <v>6001</v>
          </cell>
          <cell r="E3261" t="str">
            <v>6009</v>
          </cell>
          <cell r="F3261" t="str">
            <v>C1</v>
          </cell>
          <cell r="G3261" t="str">
            <v>BA</v>
          </cell>
          <cell r="H3261" t="str">
            <v>DISTRIBUIÇÃO</v>
          </cell>
          <cell r="I3261" t="str">
            <v>FOOD SERVICE</v>
          </cell>
          <cell r="J3261" t="str">
            <v>CLAUDIO JORGE/LUIZ</v>
          </cell>
          <cell r="K3261" t="str">
            <v>ITAMBÉ</v>
          </cell>
          <cell r="L3261" t="str">
            <v>RODRIGO</v>
          </cell>
          <cell r="M3261" t="str">
            <v>MARIA LOURDES</v>
          </cell>
        </row>
        <row r="3262">
          <cell r="B3262">
            <v>5366715</v>
          </cell>
          <cell r="C3262" t="str">
            <v>TRADICOES E INOV PAD ARTES LTDA</v>
          </cell>
          <cell r="D3262" t="str">
            <v>7001</v>
          </cell>
          <cell r="E3262" t="str">
            <v>0749</v>
          </cell>
          <cell r="F3262" t="str">
            <v>C5</v>
          </cell>
          <cell r="G3262" t="str">
            <v>SP</v>
          </cell>
          <cell r="H3262" t="str">
            <v>DISTRIBUIÇÃO</v>
          </cell>
          <cell r="I3262" t="str">
            <v>FOOD SERVICE</v>
          </cell>
          <cell r="J3262" t="str">
            <v>FLAC 2</v>
          </cell>
          <cell r="K3262" t="str">
            <v>LACTALIS</v>
          </cell>
          <cell r="L3262" t="str">
            <v>RODRIGO</v>
          </cell>
          <cell r="M3262" t="str">
            <v>RAQUEL BARBOSA</v>
          </cell>
        </row>
        <row r="3263">
          <cell r="B3263">
            <v>5017476</v>
          </cell>
          <cell r="C3263" t="str">
            <v>SANTA EDWIGES SUPERMERCADO LTDA</v>
          </cell>
          <cell r="D3263" t="str">
            <v>6001</v>
          </cell>
          <cell r="E3263" t="str">
            <v>6127</v>
          </cell>
          <cell r="F3263" t="str">
            <v>C1</v>
          </cell>
          <cell r="G3263" t="str">
            <v>CE</v>
          </cell>
          <cell r="H3263" t="str">
            <v>DISTRIBUIÇÃO</v>
          </cell>
          <cell r="I3263" t="str">
            <v>FOOD SERVICE</v>
          </cell>
          <cell r="J3263" t="str">
            <v>WH FOOD SERVICE CE</v>
          </cell>
          <cell r="K3263" t="str">
            <v>ITAMBÉ</v>
          </cell>
          <cell r="L3263" t="str">
            <v>RODRIGO</v>
          </cell>
          <cell r="M3263" t="str">
            <v>MARIA LOURDES</v>
          </cell>
        </row>
        <row r="3264">
          <cell r="B3264">
            <v>5192211</v>
          </cell>
          <cell r="C3264" t="str">
            <v>A I ALMEIDA DE MELO ME</v>
          </cell>
          <cell r="D3264" t="str">
            <v>6001</v>
          </cell>
          <cell r="E3264" t="str">
            <v>6127</v>
          </cell>
          <cell r="F3264" t="str">
            <v>C1</v>
          </cell>
          <cell r="G3264" t="str">
            <v>CE</v>
          </cell>
          <cell r="H3264" t="str">
            <v>DISTRIBUIÇÃO</v>
          </cell>
          <cell r="I3264" t="str">
            <v>FOOD SERVICE</v>
          </cell>
          <cell r="J3264" t="str">
            <v>WH FOOD SERVICE CE</v>
          </cell>
          <cell r="K3264" t="str">
            <v>ITAMBÉ</v>
          </cell>
          <cell r="L3264" t="str">
            <v>RODRIGO</v>
          </cell>
          <cell r="M3264" t="str">
            <v>MARIA LOURDES</v>
          </cell>
        </row>
        <row r="3265">
          <cell r="B3265">
            <v>5207977</v>
          </cell>
          <cell r="C3265" t="str">
            <v>JESSICA F S AGUIAR ME</v>
          </cell>
          <cell r="D3265" t="str">
            <v>6001</v>
          </cell>
          <cell r="E3265" t="str">
            <v>6127</v>
          </cell>
          <cell r="F3265" t="str">
            <v>C1</v>
          </cell>
          <cell r="G3265" t="str">
            <v>CE</v>
          </cell>
          <cell r="H3265" t="str">
            <v>DISTRIBUIÇÃO</v>
          </cell>
          <cell r="I3265" t="str">
            <v>FOOD SERVICE</v>
          </cell>
          <cell r="J3265" t="str">
            <v>WH FOOD SERVICE CE</v>
          </cell>
          <cell r="K3265" t="str">
            <v>ITAMBÉ</v>
          </cell>
          <cell r="L3265" t="str">
            <v>RODRIGO</v>
          </cell>
          <cell r="M3265" t="str">
            <v>MARIA LOURDES</v>
          </cell>
        </row>
        <row r="3266">
          <cell r="B3266">
            <v>5208889</v>
          </cell>
          <cell r="C3266" t="str">
            <v>ROYAL CESTA BASICA LTDA</v>
          </cell>
          <cell r="D3266" t="str">
            <v>7001</v>
          </cell>
          <cell r="E3266" t="str">
            <v>0749</v>
          </cell>
          <cell r="F3266" t="str">
            <v>C5</v>
          </cell>
          <cell r="G3266" t="str">
            <v>SP</v>
          </cell>
          <cell r="H3266" t="str">
            <v>DISTRIBUIÇÃO</v>
          </cell>
          <cell r="I3266" t="str">
            <v>FOOD SERVICE</v>
          </cell>
          <cell r="J3266" t="str">
            <v>FLAC 1</v>
          </cell>
          <cell r="K3266" t="str">
            <v>LACTALIS</v>
          </cell>
          <cell r="L3266" t="str">
            <v>RODRIGO</v>
          </cell>
          <cell r="M3266" t="str">
            <v>RAQUEL BARBOSA</v>
          </cell>
        </row>
        <row r="3267">
          <cell r="B3267">
            <v>5214902</v>
          </cell>
          <cell r="C3267" t="str">
            <v>ANDRESSA LIVIA SOUSA ME</v>
          </cell>
          <cell r="D3267" t="str">
            <v>6001</v>
          </cell>
          <cell r="E3267" t="str">
            <v>6127</v>
          </cell>
          <cell r="F3267" t="str">
            <v>C1</v>
          </cell>
          <cell r="G3267" t="str">
            <v>CE</v>
          </cell>
          <cell r="H3267" t="str">
            <v>DISTRIBUIÇÃO</v>
          </cell>
          <cell r="I3267" t="str">
            <v>FOOD SERVICE</v>
          </cell>
          <cell r="J3267" t="str">
            <v>WH FOOD SERVICE CE</v>
          </cell>
          <cell r="K3267" t="str">
            <v>ITAMBÉ</v>
          </cell>
          <cell r="L3267" t="str">
            <v>RODRIGO</v>
          </cell>
          <cell r="M3267" t="str">
            <v>MARIA LOURDES</v>
          </cell>
        </row>
        <row r="3268">
          <cell r="B3268">
            <v>5260901</v>
          </cell>
          <cell r="C3268" t="str">
            <v>NUTRI ALIMENTOS COMERCIO LTDA</v>
          </cell>
          <cell r="D3268" t="str">
            <v>7001</v>
          </cell>
          <cell r="E3268" t="str">
            <v>0722</v>
          </cell>
          <cell r="F3268" t="str">
            <v>C1</v>
          </cell>
          <cell r="G3268" t="str">
            <v>SP</v>
          </cell>
          <cell r="H3268" t="str">
            <v>QSR</v>
          </cell>
          <cell r="I3268" t="str">
            <v>FOOD SERVICE</v>
          </cell>
          <cell r="J3268" t="str">
            <v>VAGO QSR</v>
          </cell>
          <cell r="K3268" t="str">
            <v>LACTALIS</v>
          </cell>
          <cell r="L3268" t="str">
            <v>PEDRO</v>
          </cell>
          <cell r="M3268" t="str">
            <v>VAGO QSR</v>
          </cell>
        </row>
        <row r="3269">
          <cell r="B3269">
            <v>5310515</v>
          </cell>
          <cell r="C3269" t="str">
            <v>P R M SERVICOS E MAO DE OBRA ES</v>
          </cell>
          <cell r="D3269" t="str">
            <v>6001</v>
          </cell>
          <cell r="E3269" t="str">
            <v>6125</v>
          </cell>
          <cell r="F3269" t="str">
            <v>C1</v>
          </cell>
          <cell r="G3269" t="str">
            <v>SP</v>
          </cell>
          <cell r="H3269" t="str">
            <v>DISTRIBUIÇÃO</v>
          </cell>
          <cell r="I3269" t="str">
            <v>FOOD SERVICE</v>
          </cell>
          <cell r="J3269" t="str">
            <v>SP ITB FS FLAC REP.E COMERCIO</v>
          </cell>
          <cell r="K3269" t="str">
            <v>ITAMBÉ</v>
          </cell>
          <cell r="L3269" t="str">
            <v>RODRIGO</v>
          </cell>
          <cell r="M3269" t="str">
            <v>RAQUEL BARBOSA</v>
          </cell>
        </row>
        <row r="3270">
          <cell r="B3270">
            <v>5366894</v>
          </cell>
          <cell r="C3270" t="str">
            <v>SORVETES BAMBINO S IND E C DE G</v>
          </cell>
          <cell r="D3270" t="str">
            <v>6001</v>
          </cell>
          <cell r="E3270" t="str">
            <v>6028</v>
          </cell>
          <cell r="F3270" t="str">
            <v>C1</v>
          </cell>
          <cell r="G3270" t="str">
            <v>SP</v>
          </cell>
          <cell r="H3270" t="str">
            <v>INGREDIENTS</v>
          </cell>
          <cell r="I3270" t="str">
            <v>INGREDIENTS</v>
          </cell>
          <cell r="J3270" t="str">
            <v>SP ITB FS RVM SOLUTTI</v>
          </cell>
          <cell r="K3270" t="str">
            <v>ITAMBÉ</v>
          </cell>
          <cell r="L3270" t="str">
            <v>MAURICIO</v>
          </cell>
          <cell r="M3270" t="str">
            <v>TATIANA NITTA</v>
          </cell>
        </row>
        <row r="3271">
          <cell r="B3271">
            <v>5204235</v>
          </cell>
          <cell r="C3271" t="str">
            <v>NUTRIALIMENTAR INDUSTRIA LTDA</v>
          </cell>
          <cell r="D3271" t="str">
            <v>4001</v>
          </cell>
          <cell r="E3271" t="str">
            <v>0437</v>
          </cell>
          <cell r="F3271" t="str">
            <v>C1</v>
          </cell>
          <cell r="G3271" t="str">
            <v>SP</v>
          </cell>
          <cell r="H3271" t="str">
            <v>INGREDIENTS</v>
          </cell>
          <cell r="I3271" t="str">
            <v>INGREDIENTS</v>
          </cell>
          <cell r="J3271" t="str">
            <v>TATIANA NITTA</v>
          </cell>
          <cell r="K3271" t="str">
            <v>LACTALIS</v>
          </cell>
          <cell r="L3271" t="str">
            <v>MAURICIO</v>
          </cell>
          <cell r="M3271" t="str">
            <v>TATIANA NITTA</v>
          </cell>
        </row>
        <row r="3272">
          <cell r="B3272">
            <v>5319280</v>
          </cell>
          <cell r="C3272" t="str">
            <v>LATICINIO STEFANELLO LTDA</v>
          </cell>
          <cell r="D3272" t="str">
            <v>4001</v>
          </cell>
          <cell r="E3272" t="str">
            <v>0546</v>
          </cell>
          <cell r="F3272" t="str">
            <v>C1</v>
          </cell>
          <cell r="G3272" t="str">
            <v>RS</v>
          </cell>
          <cell r="H3272" t="str">
            <v>INGREDIENTS</v>
          </cell>
          <cell r="I3272" t="str">
            <v>INGREDIENTS</v>
          </cell>
          <cell r="J3272" t="str">
            <v>JOEL ELEOTÉRIO</v>
          </cell>
          <cell r="K3272" t="str">
            <v>LACTALIS</v>
          </cell>
          <cell r="L3272" t="str">
            <v>MAURICIO</v>
          </cell>
          <cell r="M3272" t="str">
            <v>JOEL</v>
          </cell>
        </row>
        <row r="3273">
          <cell r="B3273">
            <v>5366274</v>
          </cell>
          <cell r="C3273" t="str">
            <v>ORGANIZAC BRAZAL C DE PROD AL LTDA</v>
          </cell>
          <cell r="D3273" t="str">
            <v>3001</v>
          </cell>
          <cell r="E3273" t="str">
            <v>0122</v>
          </cell>
          <cell r="F3273" t="str">
            <v>C1</v>
          </cell>
          <cell r="G3273" t="str">
            <v>MG</v>
          </cell>
          <cell r="H3273" t="str">
            <v>DISTRIBUIÇÃO</v>
          </cell>
          <cell r="I3273" t="str">
            <v>FOOD SERVICE</v>
          </cell>
          <cell r="J3273" t="str">
            <v>MARCELO SILVA</v>
          </cell>
          <cell r="K3273" t="str">
            <v>ITAMBÉ</v>
          </cell>
          <cell r="L3273" t="str">
            <v>RODRIGO</v>
          </cell>
          <cell r="M3273" t="str">
            <v>CELIO MARTINS</v>
          </cell>
        </row>
        <row r="3274">
          <cell r="B3274">
            <v>5366611</v>
          </cell>
          <cell r="C3274" t="str">
            <v>FAS PAO PADARIA ARTESANAL LTDA</v>
          </cell>
          <cell r="D3274" t="str">
            <v>7001</v>
          </cell>
          <cell r="E3274" t="str">
            <v>0749</v>
          </cell>
          <cell r="F3274" t="str">
            <v>C5</v>
          </cell>
          <cell r="G3274" t="str">
            <v>SP</v>
          </cell>
          <cell r="H3274" t="str">
            <v>DISTRIBUIÇÃO</v>
          </cell>
          <cell r="I3274" t="str">
            <v>FOOD SERVICE</v>
          </cell>
          <cell r="J3274" t="str">
            <v>FLAC 2</v>
          </cell>
          <cell r="K3274" t="str">
            <v>LACTALIS</v>
          </cell>
          <cell r="L3274" t="str">
            <v>RODRIGO</v>
          </cell>
          <cell r="M3274" t="str">
            <v>RAQUEL BARBOSA</v>
          </cell>
        </row>
        <row r="3275">
          <cell r="B3275">
            <v>5045012</v>
          </cell>
          <cell r="C3275" t="str">
            <v>BEBIDAS NOVA ENGENHOCA EILERI</v>
          </cell>
          <cell r="D3275" t="str">
            <v>4001</v>
          </cell>
          <cell r="E3275" t="str">
            <v>0437</v>
          </cell>
          <cell r="F3275" t="str">
            <v>C1</v>
          </cell>
          <cell r="G3275" t="str">
            <v>SP</v>
          </cell>
          <cell r="H3275" t="str">
            <v>INGREDIENTS</v>
          </cell>
          <cell r="I3275" t="str">
            <v>INGREDIENTS</v>
          </cell>
          <cell r="J3275" t="str">
            <v>TATIANA NITTA</v>
          </cell>
          <cell r="K3275" t="str">
            <v>LACTALIS</v>
          </cell>
          <cell r="L3275" t="str">
            <v>MAURICIO</v>
          </cell>
          <cell r="M3275" t="str">
            <v>TATIANA NITTA</v>
          </cell>
        </row>
        <row r="3276">
          <cell r="B3276">
            <v>5188591</v>
          </cell>
          <cell r="C3276" t="str">
            <v>EMBALAGENS ITABIRA LTDA</v>
          </cell>
          <cell r="D3276" t="str">
            <v>3001</v>
          </cell>
          <cell r="E3276" t="str">
            <v>0028</v>
          </cell>
          <cell r="F3276" t="str">
            <v>C1</v>
          </cell>
          <cell r="G3276" t="str">
            <v>MG</v>
          </cell>
          <cell r="H3276" t="str">
            <v>INGREDIENTS</v>
          </cell>
          <cell r="I3276" t="str">
            <v>INGREDIENTS</v>
          </cell>
          <cell r="J3276" t="str">
            <v>MG ITB FS GRAFNÇA REPRES</v>
          </cell>
          <cell r="K3276" t="str">
            <v>ITAMBÉ</v>
          </cell>
          <cell r="L3276" t="str">
            <v>MAURICIO</v>
          </cell>
          <cell r="M3276" t="str">
            <v>TATIANA NITTA</v>
          </cell>
        </row>
        <row r="3277">
          <cell r="B3277">
            <v>5312393</v>
          </cell>
          <cell r="C3277" t="str">
            <v>DESCAMPADO COMERCIO DE ALIM LTD</v>
          </cell>
          <cell r="D3277" t="str">
            <v>7001</v>
          </cell>
          <cell r="E3277" t="str">
            <v>0749</v>
          </cell>
          <cell r="F3277" t="str">
            <v>C5</v>
          </cell>
          <cell r="G3277" t="str">
            <v>SP</v>
          </cell>
          <cell r="H3277" t="str">
            <v>DISTRIBUIÇÃO</v>
          </cell>
          <cell r="I3277" t="str">
            <v>FOOD SERVICE</v>
          </cell>
          <cell r="J3277" t="str">
            <v>FLAC 4</v>
          </cell>
          <cell r="K3277" t="str">
            <v>LACTALIS</v>
          </cell>
          <cell r="L3277" t="str">
            <v>RODRIGO</v>
          </cell>
          <cell r="M3277" t="str">
            <v>RAQUEL BARBOSA</v>
          </cell>
        </row>
        <row r="3278">
          <cell r="B3278">
            <v>5366017</v>
          </cell>
          <cell r="C3278" t="str">
            <v>O MARAVILHA CAFE E CONFEITARIA</v>
          </cell>
          <cell r="D3278" t="str">
            <v>7001</v>
          </cell>
          <cell r="E3278" t="str">
            <v>0749</v>
          </cell>
          <cell r="F3278" t="str">
            <v>C5</v>
          </cell>
          <cell r="G3278" t="str">
            <v>SP</v>
          </cell>
          <cell r="H3278" t="str">
            <v>DISTRIBUIÇÃO</v>
          </cell>
          <cell r="I3278" t="str">
            <v>FOOD SERVICE</v>
          </cell>
          <cell r="J3278" t="str">
            <v>FLAC 7</v>
          </cell>
          <cell r="K3278" t="str">
            <v>LACTALIS</v>
          </cell>
          <cell r="L3278" t="str">
            <v>RODRIGO</v>
          </cell>
          <cell r="M3278" t="str">
            <v>RAQUEL BARBOSA</v>
          </cell>
        </row>
        <row r="3279">
          <cell r="B3279">
            <v>5366348</v>
          </cell>
          <cell r="C3279" t="str">
            <v>LCG LANCHES LTDA</v>
          </cell>
          <cell r="D3279" t="str">
            <v>7001</v>
          </cell>
          <cell r="E3279" t="str">
            <v>0749</v>
          </cell>
          <cell r="F3279" t="str">
            <v>C5</v>
          </cell>
          <cell r="G3279" t="str">
            <v>SP</v>
          </cell>
          <cell r="H3279" t="str">
            <v>DISTRIBUIÇÃO</v>
          </cell>
          <cell r="I3279" t="str">
            <v>FOOD SERVICE</v>
          </cell>
          <cell r="J3279" t="str">
            <v>FLAC 4</v>
          </cell>
          <cell r="K3279" t="str">
            <v>LACTALIS</v>
          </cell>
          <cell r="L3279" t="str">
            <v>RODRIGO</v>
          </cell>
          <cell r="M3279" t="str">
            <v>RAQUEL BARBOSA</v>
          </cell>
        </row>
        <row r="3280">
          <cell r="B3280">
            <v>5280969</v>
          </cell>
          <cell r="C3280" t="str">
            <v>PAULISTANA CAFE PIZZARIA LTDA</v>
          </cell>
          <cell r="D3280" t="str">
            <v>7001</v>
          </cell>
          <cell r="E3280" t="str">
            <v>0749</v>
          </cell>
          <cell r="F3280" t="str">
            <v>C5</v>
          </cell>
          <cell r="G3280" t="str">
            <v>SP</v>
          </cell>
          <cell r="H3280" t="str">
            <v>DISTRIBUIÇÃO</v>
          </cell>
          <cell r="I3280" t="str">
            <v>FOOD SERVICE</v>
          </cell>
          <cell r="J3280" t="str">
            <v>FLAC 5</v>
          </cell>
          <cell r="K3280" t="str">
            <v>LACTALIS</v>
          </cell>
          <cell r="L3280" t="str">
            <v>RODRIGO</v>
          </cell>
          <cell r="M3280" t="str">
            <v>RAQUEL BARBOSA</v>
          </cell>
        </row>
        <row r="3281">
          <cell r="B3281">
            <v>5340398</v>
          </cell>
          <cell r="C3281" t="str">
            <v>TRATTORIA LELLIS LTDA</v>
          </cell>
          <cell r="D3281" t="str">
            <v>7001</v>
          </cell>
          <cell r="E3281" t="str">
            <v>0749</v>
          </cell>
          <cell r="F3281" t="str">
            <v>C5</v>
          </cell>
          <cell r="G3281" t="str">
            <v>SP</v>
          </cell>
          <cell r="H3281" t="str">
            <v>DISTRIBUIÇÃO</v>
          </cell>
          <cell r="I3281" t="str">
            <v>FOOD SERVICE</v>
          </cell>
          <cell r="J3281" t="str">
            <v>FLAC 4</v>
          </cell>
          <cell r="K3281" t="str">
            <v>LACTALIS</v>
          </cell>
          <cell r="L3281" t="str">
            <v>RODRIGO</v>
          </cell>
          <cell r="M3281" t="str">
            <v>RAQUEL BARBOSA</v>
          </cell>
        </row>
        <row r="3282">
          <cell r="B3282">
            <v>5367020</v>
          </cell>
          <cell r="C3282" t="str">
            <v>FRUTARIA GYM LTDA</v>
          </cell>
          <cell r="D3282" t="str">
            <v>7001</v>
          </cell>
          <cell r="E3282" t="str">
            <v>0749</v>
          </cell>
          <cell r="F3282" t="str">
            <v>C5</v>
          </cell>
          <cell r="G3282" t="str">
            <v>SP</v>
          </cell>
          <cell r="H3282" t="str">
            <v>DISTRIBUIÇÃO</v>
          </cell>
          <cell r="I3282" t="str">
            <v>FOOD SERVICE</v>
          </cell>
          <cell r="J3282" t="str">
            <v>FLAC 6</v>
          </cell>
          <cell r="K3282" t="str">
            <v>LACTALIS</v>
          </cell>
          <cell r="L3282" t="str">
            <v>RODRIGO</v>
          </cell>
          <cell r="M3282" t="str">
            <v>RAQUEL BARBOSA</v>
          </cell>
        </row>
        <row r="3283">
          <cell r="B3283">
            <v>5367033</v>
          </cell>
          <cell r="C3283" t="str">
            <v>IRIA MARIA RODRIGUES VELOSO</v>
          </cell>
          <cell r="D3283" t="str">
            <v>3001</v>
          </cell>
          <cell r="E3283" t="str">
            <v>0028</v>
          </cell>
          <cell r="F3283" t="str">
            <v>C1</v>
          </cell>
          <cell r="G3283" t="str">
            <v>PI</v>
          </cell>
          <cell r="H3283" t="str">
            <v>INGREDIENTS</v>
          </cell>
          <cell r="I3283" t="str">
            <v>INGREDIENTS</v>
          </cell>
          <cell r="J3283" t="str">
            <v>PI ITB FS F A FERREIRA REPRES</v>
          </cell>
          <cell r="K3283" t="str">
            <v>ITAMBÉ</v>
          </cell>
          <cell r="L3283" t="str">
            <v>MAURICIO</v>
          </cell>
          <cell r="M3283" t="str">
            <v>JOEL</v>
          </cell>
        </row>
        <row r="3284">
          <cell r="B3284">
            <v>5088696</v>
          </cell>
          <cell r="C3284" t="str">
            <v>NUTRIMENTAL SA IND COM ALIMENTOS</v>
          </cell>
          <cell r="D3284" t="str">
            <v>4001</v>
          </cell>
          <cell r="E3284" t="str">
            <v>0455</v>
          </cell>
          <cell r="F3284" t="str">
            <v>C1</v>
          </cell>
          <cell r="G3284" t="str">
            <v>PR</v>
          </cell>
          <cell r="H3284" t="str">
            <v>INGREDIENTS</v>
          </cell>
          <cell r="I3284" t="str">
            <v>INGREDIENTS</v>
          </cell>
          <cell r="J3284" t="str">
            <v>MARCELO RODRIGUES</v>
          </cell>
          <cell r="K3284" t="str">
            <v>LACTALIS</v>
          </cell>
          <cell r="L3284" t="str">
            <v>MAURICIO</v>
          </cell>
          <cell r="M3284" t="str">
            <v>MARCELO</v>
          </cell>
        </row>
        <row r="3285">
          <cell r="B3285">
            <v>5362524</v>
          </cell>
          <cell r="C3285" t="str">
            <v>VIVI BARROS BUFFET LTDA</v>
          </cell>
          <cell r="D3285" t="str">
            <v>7001</v>
          </cell>
          <cell r="E3285" t="str">
            <v>0749</v>
          </cell>
          <cell r="F3285" t="str">
            <v>C5</v>
          </cell>
          <cell r="G3285" t="str">
            <v>SP</v>
          </cell>
          <cell r="H3285" t="str">
            <v>DISTRIBUIÇÃO</v>
          </cell>
          <cell r="I3285" t="str">
            <v>FOOD SERVICE</v>
          </cell>
          <cell r="J3285" t="str">
            <v>FLAC 3</v>
          </cell>
          <cell r="K3285" t="str">
            <v>LACTALIS</v>
          </cell>
          <cell r="L3285" t="str">
            <v>RODRIGO</v>
          </cell>
          <cell r="M3285" t="str">
            <v>RAQUEL BARBOSA</v>
          </cell>
        </row>
        <row r="3286">
          <cell r="B3286">
            <v>5364392</v>
          </cell>
          <cell r="C3286" t="str">
            <v>EDUARDO DE SOUZA ABRANTES</v>
          </cell>
          <cell r="D3286" t="str">
            <v>3001</v>
          </cell>
          <cell r="E3286" t="str">
            <v>0028</v>
          </cell>
          <cell r="F3286" t="str">
            <v>C1</v>
          </cell>
          <cell r="G3286" t="str">
            <v>MG</v>
          </cell>
          <cell r="H3286" t="str">
            <v>INGREDIENTS</v>
          </cell>
          <cell r="I3286" t="str">
            <v>INGREDIENTS</v>
          </cell>
          <cell r="J3286" t="str">
            <v>HENRIQUE FERREIRA</v>
          </cell>
          <cell r="K3286" t="str">
            <v>ITAMBÉ</v>
          </cell>
          <cell r="L3286" t="str">
            <v>MAURICIO</v>
          </cell>
          <cell r="M3286" t="str">
            <v>JOEL</v>
          </cell>
        </row>
        <row r="3287">
          <cell r="B3287">
            <v>5365444</v>
          </cell>
          <cell r="C3287" t="str">
            <v>MARESIA IND E COMERCIO DE ALIME</v>
          </cell>
          <cell r="D3287" t="str">
            <v>3001</v>
          </cell>
          <cell r="E3287" t="str">
            <v>0028</v>
          </cell>
          <cell r="F3287" t="str">
            <v>C1</v>
          </cell>
          <cell r="G3287" t="str">
            <v>SE</v>
          </cell>
          <cell r="H3287" t="str">
            <v>INGREDIENTS</v>
          </cell>
          <cell r="I3287" t="str">
            <v>INGREDIENTS</v>
          </cell>
          <cell r="J3287" t="str">
            <v>PE ITB FS L B REP</v>
          </cell>
          <cell r="K3287" t="str">
            <v>ITAMBÉ</v>
          </cell>
          <cell r="L3287" t="str">
            <v>MAURICIO</v>
          </cell>
          <cell r="M3287" t="str">
            <v>JOEL</v>
          </cell>
        </row>
        <row r="3288">
          <cell r="B3288">
            <v>5358639</v>
          </cell>
          <cell r="C3288" t="str">
            <v>BERLIN FRANCHISING LTDA</v>
          </cell>
          <cell r="D3288" t="str">
            <v>7001</v>
          </cell>
          <cell r="E3288" t="str">
            <v>0749</v>
          </cell>
          <cell r="F3288" t="str">
            <v>C5</v>
          </cell>
          <cell r="G3288" t="str">
            <v>SP</v>
          </cell>
          <cell r="H3288" t="str">
            <v>DISTRIBUIÇÃO</v>
          </cell>
          <cell r="I3288" t="str">
            <v>FOOD SERVICE</v>
          </cell>
          <cell r="J3288" t="str">
            <v>FLAC 3</v>
          </cell>
          <cell r="K3288" t="str">
            <v>LACTALIS</v>
          </cell>
          <cell r="L3288" t="str">
            <v>RODRIGO</v>
          </cell>
          <cell r="M3288" t="str">
            <v>RAQUEL BARBOSA</v>
          </cell>
        </row>
        <row r="3289">
          <cell r="B3289">
            <v>5219000</v>
          </cell>
          <cell r="C3289" t="str">
            <v>FONTENELLE IND E COM DE ALIM LTDA</v>
          </cell>
          <cell r="D3289" t="str">
            <v>6001</v>
          </cell>
          <cell r="E3289" t="str">
            <v>6127</v>
          </cell>
          <cell r="F3289" t="str">
            <v>C1</v>
          </cell>
          <cell r="G3289" t="str">
            <v>CE</v>
          </cell>
          <cell r="H3289" t="str">
            <v>DISTRIBUIÇÃO</v>
          </cell>
          <cell r="I3289" t="str">
            <v>FOOD SERVICE</v>
          </cell>
          <cell r="J3289" t="str">
            <v>WH FOOD SERVICE CE</v>
          </cell>
          <cell r="K3289" t="str">
            <v>ITAMBÉ</v>
          </cell>
          <cell r="L3289" t="str">
            <v>RODRIGO</v>
          </cell>
          <cell r="M3289" t="str">
            <v>MARIA LOURDES</v>
          </cell>
        </row>
        <row r="3290">
          <cell r="B3290">
            <v>5367229</v>
          </cell>
          <cell r="C3290" t="str">
            <v>CB RIO BOTAFOGO COM DE ALIM LTD</v>
          </cell>
          <cell r="D3290" t="str">
            <v>6001</v>
          </cell>
          <cell r="E3290" t="str">
            <v>6169</v>
          </cell>
          <cell r="F3290" t="str">
            <v>C1</v>
          </cell>
          <cell r="G3290" t="str">
            <v>RJ</v>
          </cell>
          <cell r="H3290" t="str">
            <v>QSR</v>
          </cell>
          <cell r="I3290" t="str">
            <v>FOOD SERVICE</v>
          </cell>
          <cell r="J3290" t="str">
            <v>VAGO QSR</v>
          </cell>
          <cell r="K3290" t="str">
            <v>ITAMBÉ</v>
          </cell>
          <cell r="L3290" t="str">
            <v>PEDRO</v>
          </cell>
          <cell r="M3290" t="str">
            <v>VAGO QSR</v>
          </cell>
        </row>
        <row r="3291">
          <cell r="B3291">
            <v>5172638</v>
          </cell>
          <cell r="C3291" t="str">
            <v>ESTANCORPORATE ADM DE REST LTDA ME</v>
          </cell>
          <cell r="D3291" t="str">
            <v>7001</v>
          </cell>
          <cell r="E3291" t="str">
            <v>0749</v>
          </cell>
          <cell r="F3291" t="str">
            <v>C5</v>
          </cell>
          <cell r="G3291" t="str">
            <v>SP</v>
          </cell>
          <cell r="H3291" t="str">
            <v>QSR</v>
          </cell>
          <cell r="I3291" t="str">
            <v>FOOD SERVICE</v>
          </cell>
          <cell r="J3291" t="str">
            <v>NUTRI</v>
          </cell>
          <cell r="K3291" t="str">
            <v>LACTALIS</v>
          </cell>
          <cell r="L3291" t="str">
            <v>PEDRO</v>
          </cell>
          <cell r="M3291" t="str">
            <v>VAGO QSR</v>
          </cell>
        </row>
        <row r="3292">
          <cell r="B3292">
            <v>5205457</v>
          </cell>
          <cell r="C3292" t="str">
            <v>ACAI COM CHANTILLY E SORVETERIA</v>
          </cell>
          <cell r="D3292" t="str">
            <v>6001</v>
          </cell>
          <cell r="E3292" t="str">
            <v>6169</v>
          </cell>
          <cell r="F3292" t="str">
            <v>C1</v>
          </cell>
          <cell r="G3292" t="str">
            <v>RJ</v>
          </cell>
          <cell r="H3292" t="str">
            <v>DISTRIBUIÇÃO</v>
          </cell>
          <cell r="I3292" t="str">
            <v>FOOD SERVICE</v>
          </cell>
          <cell r="J3292" t="str">
            <v>JULIANA CORDEIRO</v>
          </cell>
          <cell r="K3292" t="str">
            <v>ITAMBÉ</v>
          </cell>
          <cell r="L3292" t="str">
            <v>RODRIGO</v>
          </cell>
          <cell r="M3292" t="str">
            <v>JESSICA</v>
          </cell>
        </row>
        <row r="3293">
          <cell r="B3293">
            <v>5250417</v>
          </cell>
          <cell r="C3293" t="str">
            <v>DSG DISTRIBUIDORA DE ALIM LTDA</v>
          </cell>
          <cell r="D3293" t="str">
            <v>3001</v>
          </cell>
          <cell r="E3293" t="str">
            <v>0028</v>
          </cell>
          <cell r="F3293" t="str">
            <v>C1</v>
          </cell>
          <cell r="G3293" t="str">
            <v>PB</v>
          </cell>
          <cell r="H3293" t="str">
            <v>INGREDIENTS</v>
          </cell>
          <cell r="I3293" t="str">
            <v>INGREDIENTS</v>
          </cell>
          <cell r="J3293" t="str">
            <v>RN ITB FS W S REPRESENTAÇÕES</v>
          </cell>
          <cell r="K3293" t="str">
            <v>ITAMBÉ</v>
          </cell>
          <cell r="L3293" t="str">
            <v>MAURICIO</v>
          </cell>
          <cell r="M3293" t="str">
            <v>JOEL</v>
          </cell>
        </row>
        <row r="3294">
          <cell r="B3294">
            <v>5367126</v>
          </cell>
          <cell r="C3294" t="str">
            <v>PRODUTOS ALIMENT KANASHIRO LTDA</v>
          </cell>
          <cell r="D3294" t="str">
            <v>7001</v>
          </cell>
          <cell r="E3294" t="str">
            <v>0749</v>
          </cell>
          <cell r="F3294" t="str">
            <v>C5</v>
          </cell>
          <cell r="G3294" t="str">
            <v>SP</v>
          </cell>
          <cell r="H3294" t="str">
            <v>DISTRIBUIÇÃO</v>
          </cell>
          <cell r="I3294" t="str">
            <v>FOOD SERVICE</v>
          </cell>
          <cell r="J3294" t="str">
            <v>FLAC 4</v>
          </cell>
          <cell r="K3294" t="str">
            <v>LACTALIS</v>
          </cell>
          <cell r="L3294" t="str">
            <v>RODRIGO</v>
          </cell>
          <cell r="M3294" t="str">
            <v>RAQUEL BARBOSA</v>
          </cell>
        </row>
        <row r="3295">
          <cell r="B3295">
            <v>5268680</v>
          </cell>
          <cell r="C3295" t="str">
            <v>RENATO CHABOLI LTDA</v>
          </cell>
          <cell r="D3295" t="str">
            <v>4001</v>
          </cell>
          <cell r="E3295" t="str">
            <v>0437</v>
          </cell>
          <cell r="F3295" t="str">
            <v>C1</v>
          </cell>
          <cell r="G3295" t="str">
            <v>SP</v>
          </cell>
          <cell r="H3295" t="str">
            <v>INGREDIENTS</v>
          </cell>
          <cell r="I3295" t="str">
            <v>INGREDIENTS</v>
          </cell>
          <cell r="J3295" t="str">
            <v>TATIANA NITTA</v>
          </cell>
          <cell r="K3295" t="str">
            <v>LACTALIS</v>
          </cell>
          <cell r="L3295" t="str">
            <v>MAURICIO</v>
          </cell>
          <cell r="M3295" t="str">
            <v>TATIANA NITTA</v>
          </cell>
        </row>
        <row r="3296">
          <cell r="B3296">
            <v>5366895</v>
          </cell>
          <cell r="C3296" t="str">
            <v>COMARY INDUSTRIA DE BEBIDAS LTDA</v>
          </cell>
          <cell r="D3296" t="str">
            <v>4001</v>
          </cell>
          <cell r="E3296" t="str">
            <v>0437</v>
          </cell>
          <cell r="F3296" t="str">
            <v>C1</v>
          </cell>
          <cell r="G3296" t="str">
            <v>RJ</v>
          </cell>
          <cell r="H3296" t="str">
            <v>INGREDIENTS</v>
          </cell>
          <cell r="I3296" t="str">
            <v>INGREDIENTS</v>
          </cell>
          <cell r="J3296" t="str">
            <v>TATIANA NITTA</v>
          </cell>
          <cell r="K3296" t="str">
            <v>LACTALIS</v>
          </cell>
          <cell r="L3296" t="str">
            <v>MAURICIO</v>
          </cell>
          <cell r="M3296" t="str">
            <v>TATIANA NITTA</v>
          </cell>
        </row>
        <row r="3297">
          <cell r="B3297">
            <v>5367272</v>
          </cell>
          <cell r="C3297" t="str">
            <v>ESPECIALI IND DE ALIMENTOS S A</v>
          </cell>
          <cell r="D3297" t="str">
            <v>4001</v>
          </cell>
          <cell r="E3297" t="str">
            <v>0458</v>
          </cell>
          <cell r="F3297" t="str">
            <v>C1</v>
          </cell>
          <cell r="G3297" t="str">
            <v>MG</v>
          </cell>
          <cell r="H3297" t="str">
            <v>INGREDIENTS</v>
          </cell>
          <cell r="I3297" t="str">
            <v>INGREDIENTS</v>
          </cell>
          <cell r="J3297" t="str">
            <v>HENRIQUE FERREIRA</v>
          </cell>
          <cell r="K3297" t="str">
            <v>LACTALIS</v>
          </cell>
          <cell r="L3297" t="str">
            <v>MAURICIO</v>
          </cell>
          <cell r="M3297" t="str">
            <v>JOEL</v>
          </cell>
        </row>
        <row r="3298">
          <cell r="B3298">
            <v>5366306</v>
          </cell>
          <cell r="C3298" t="str">
            <v>ASSADOR RESTAURANTE SP LTDA</v>
          </cell>
          <cell r="D3298" t="str">
            <v>7001</v>
          </cell>
          <cell r="E3298" t="str">
            <v>0722</v>
          </cell>
          <cell r="F3298" t="str">
            <v>C1</v>
          </cell>
          <cell r="G3298" t="str">
            <v>SP</v>
          </cell>
          <cell r="H3298" t="str">
            <v>QSR</v>
          </cell>
          <cell r="I3298" t="str">
            <v>FOOD SERVICE</v>
          </cell>
          <cell r="J3298" t="str">
            <v>ANA MENIQUETE</v>
          </cell>
          <cell r="K3298" t="str">
            <v>LACTALIS</v>
          </cell>
          <cell r="L3298" t="str">
            <v>PEDRO</v>
          </cell>
          <cell r="M3298" t="str">
            <v>ANA MENIQUETE</v>
          </cell>
        </row>
        <row r="3299">
          <cell r="B3299">
            <v>5367551</v>
          </cell>
          <cell r="C3299" t="str">
            <v>M FOODS LTDA</v>
          </cell>
          <cell r="D3299" t="str">
            <v>7001</v>
          </cell>
          <cell r="E3299" t="str">
            <v>0749</v>
          </cell>
          <cell r="F3299" t="str">
            <v>C5</v>
          </cell>
          <cell r="G3299" t="str">
            <v>SP</v>
          </cell>
          <cell r="H3299" t="str">
            <v>DISTRIBUIÇÃO</v>
          </cell>
          <cell r="I3299" t="str">
            <v>FOOD SERVICE</v>
          </cell>
          <cell r="J3299" t="str">
            <v>FLAC 6</v>
          </cell>
          <cell r="K3299" t="str">
            <v>LACTALIS</v>
          </cell>
          <cell r="L3299" t="str">
            <v>RODRIGO</v>
          </cell>
          <cell r="M3299" t="str">
            <v>RAQUEL BARBOSA</v>
          </cell>
        </row>
        <row r="3300">
          <cell r="B3300">
            <v>5220189</v>
          </cell>
          <cell r="C3300" t="str">
            <v>SORVETES CORONADO LTDA</v>
          </cell>
          <cell r="D3300" t="str">
            <v>6001</v>
          </cell>
          <cell r="E3300" t="str">
            <v>6009</v>
          </cell>
          <cell r="F3300" t="str">
            <v>C1</v>
          </cell>
          <cell r="G3300" t="str">
            <v>BA</v>
          </cell>
          <cell r="H3300" t="str">
            <v>DISTRIBUIÇÃO</v>
          </cell>
          <cell r="I3300" t="str">
            <v>FOOD SERVICE</v>
          </cell>
          <cell r="J3300" t="str">
            <v>CLAUDIO JORGE/LUIZ</v>
          </cell>
          <cell r="K3300" t="str">
            <v>ITAMBÉ</v>
          </cell>
          <cell r="L3300" t="str">
            <v>RODRIGO</v>
          </cell>
          <cell r="M3300" t="str">
            <v>MARIA LOURDES</v>
          </cell>
        </row>
        <row r="3301">
          <cell r="B3301">
            <v>5024620</v>
          </cell>
          <cell r="C3301" t="str">
            <v>CASA DI CONTI LTDA</v>
          </cell>
          <cell r="D3301" t="str">
            <v>4001</v>
          </cell>
          <cell r="E3301" t="str">
            <v>0437</v>
          </cell>
          <cell r="F3301" t="str">
            <v>C1</v>
          </cell>
          <cell r="G3301" t="str">
            <v>SP</v>
          </cell>
          <cell r="H3301" t="str">
            <v>INGREDIENTS</v>
          </cell>
          <cell r="I3301" t="str">
            <v>INGREDIENTS</v>
          </cell>
          <cell r="J3301" t="str">
            <v>MARCELO RODRIGUES</v>
          </cell>
          <cell r="K3301" t="str">
            <v>LACTALIS</v>
          </cell>
          <cell r="L3301" t="str">
            <v>MAURICIO</v>
          </cell>
          <cell r="M3301" t="str">
            <v>MARCELO</v>
          </cell>
        </row>
        <row r="3302">
          <cell r="B3302">
            <v>5362875</v>
          </cell>
          <cell r="C3302" t="str">
            <v>GLACAI INDUSTRIA DE SORVETES LTDA</v>
          </cell>
          <cell r="D3302" t="str">
            <v>3001</v>
          </cell>
          <cell r="E3302" t="str">
            <v>0028</v>
          </cell>
          <cell r="F3302" t="str">
            <v>C1</v>
          </cell>
          <cell r="G3302" t="str">
            <v>PB</v>
          </cell>
          <cell r="H3302" t="str">
            <v>INGREDIENTS</v>
          </cell>
          <cell r="I3302" t="str">
            <v>INGREDIENTS</v>
          </cell>
          <cell r="J3302" t="str">
            <v>PB ITB FS W S REP</v>
          </cell>
          <cell r="K3302" t="str">
            <v>ITAMBÉ</v>
          </cell>
          <cell r="L3302" t="str">
            <v>MAURICIO</v>
          </cell>
          <cell r="M3302" t="str">
            <v>JOEL</v>
          </cell>
        </row>
        <row r="3303">
          <cell r="B3303">
            <v>5367184</v>
          </cell>
          <cell r="C3303" t="str">
            <v>CLINICA INFANTIL DE ITAQUERA LTDA</v>
          </cell>
          <cell r="D3303" t="str">
            <v>7001</v>
          </cell>
          <cell r="E3303" t="str">
            <v>0749</v>
          </cell>
          <cell r="F3303" t="str">
            <v>C5</v>
          </cell>
          <cell r="G3303" t="str">
            <v>SP</v>
          </cell>
          <cell r="H3303" t="str">
            <v>DISTRIBUIÇÃO</v>
          </cell>
          <cell r="I3303" t="str">
            <v>FOOD SERVICE</v>
          </cell>
          <cell r="J3303" t="str">
            <v>FLAC 4</v>
          </cell>
          <cell r="K3303" t="str">
            <v>LACTALIS</v>
          </cell>
          <cell r="L3303" t="str">
            <v>RODRIGO</v>
          </cell>
          <cell r="M3303" t="str">
            <v>RAQUEL BARBOSA</v>
          </cell>
        </row>
        <row r="3304">
          <cell r="B3304">
            <v>5367650</v>
          </cell>
          <cell r="C3304" t="str">
            <v>GRAND SOROCABA HOSP E GASTR LTDA</v>
          </cell>
          <cell r="D3304" t="str">
            <v>7001</v>
          </cell>
          <cell r="E3304" t="str">
            <v>0749</v>
          </cell>
          <cell r="F3304" t="str">
            <v>C5</v>
          </cell>
          <cell r="G3304" t="str">
            <v>SP</v>
          </cell>
          <cell r="H3304" t="str">
            <v>DISTRIBUIÇÃO</v>
          </cell>
          <cell r="I3304" t="str">
            <v>FOOD SERVICE</v>
          </cell>
          <cell r="J3304" t="str">
            <v>FLAC 7</v>
          </cell>
          <cell r="K3304" t="str">
            <v>LACTALIS</v>
          </cell>
          <cell r="L3304" t="str">
            <v>RODRIGO</v>
          </cell>
          <cell r="M3304" t="str">
            <v>RAQUEL BARBOSA</v>
          </cell>
        </row>
        <row r="3305">
          <cell r="B3305">
            <v>5357293</v>
          </cell>
          <cell r="C3305" t="str">
            <v>BRAZIL BUSINESS MANAGEMENT LTDA</v>
          </cell>
          <cell r="D3305" t="str">
            <v>7001</v>
          </cell>
          <cell r="E3305" t="str">
            <v>0749</v>
          </cell>
          <cell r="F3305" t="str">
            <v>C5</v>
          </cell>
          <cell r="G3305" t="str">
            <v>SP</v>
          </cell>
          <cell r="H3305" t="str">
            <v>DISTRIBUIÇÃO</v>
          </cell>
          <cell r="I3305" t="str">
            <v>FOOD SERVICE</v>
          </cell>
          <cell r="J3305" t="str">
            <v>FLAC 10</v>
          </cell>
          <cell r="K3305" t="str">
            <v>LACTALIS</v>
          </cell>
          <cell r="L3305" t="str">
            <v>RODRIGO</v>
          </cell>
          <cell r="M3305" t="str">
            <v>RAQUEL BARBOSA</v>
          </cell>
        </row>
        <row r="3306">
          <cell r="B3306">
            <v>5086308</v>
          </cell>
          <cell r="C3306" t="str">
            <v>MELIA BRASIL ADM HOTELEIRA E COM LT</v>
          </cell>
          <cell r="D3306" t="str">
            <v>7001</v>
          </cell>
          <cell r="E3306" t="str">
            <v>0749</v>
          </cell>
          <cell r="F3306" t="str">
            <v>C5</v>
          </cell>
          <cell r="G3306" t="str">
            <v>SP</v>
          </cell>
          <cell r="H3306" t="str">
            <v>DISTRIBUIÇÃO</v>
          </cell>
          <cell r="I3306" t="str">
            <v>FOOD SERVICE</v>
          </cell>
          <cell r="J3306" t="str">
            <v>FLAC 7</v>
          </cell>
          <cell r="K3306" t="str">
            <v>LACTALIS</v>
          </cell>
          <cell r="L3306" t="str">
            <v>RODRIGO</v>
          </cell>
          <cell r="M3306" t="str">
            <v>RAQUEL BARBOSA</v>
          </cell>
        </row>
        <row r="3307">
          <cell r="B3307">
            <v>5367402</v>
          </cell>
          <cell r="C3307" t="str">
            <v>FAQUIR BROTHERS JIU JITSU LTDA</v>
          </cell>
          <cell r="D3307" t="str">
            <v>6001</v>
          </cell>
          <cell r="E3307" t="str">
            <v>6169</v>
          </cell>
          <cell r="F3307" t="str">
            <v>C1</v>
          </cell>
          <cell r="G3307" t="str">
            <v>RJ</v>
          </cell>
          <cell r="H3307" t="str">
            <v>DISTRIBUIÇÃO</v>
          </cell>
          <cell r="I3307" t="str">
            <v>FOOD SERVICE</v>
          </cell>
          <cell r="J3307" t="str">
            <v>LUCIANA MARTINS</v>
          </cell>
          <cell r="K3307" t="str">
            <v>ITAMBÉ</v>
          </cell>
          <cell r="L3307" t="str">
            <v>RODRIGO</v>
          </cell>
          <cell r="M3307" t="str">
            <v>JESSICA</v>
          </cell>
        </row>
        <row r="3308">
          <cell r="B3308">
            <v>5367756</v>
          </cell>
          <cell r="C3308" t="str">
            <v>ICEPAM COMERCIO E DISTRIB LTDA</v>
          </cell>
          <cell r="D3308" t="str">
            <v>6001</v>
          </cell>
          <cell r="E3308" t="str">
            <v>6028</v>
          </cell>
          <cell r="F3308" t="str">
            <v>C1</v>
          </cell>
          <cell r="G3308" t="str">
            <v>RJ</v>
          </cell>
          <cell r="H3308" t="str">
            <v>INGREDIENTS</v>
          </cell>
          <cell r="I3308" t="str">
            <v>INGREDIENTS</v>
          </cell>
          <cell r="J3308" t="str">
            <v>RJ ITB FS L T MARTINS</v>
          </cell>
          <cell r="K3308" t="str">
            <v>ITAMBÉ</v>
          </cell>
          <cell r="L3308" t="str">
            <v>MAURICIO</v>
          </cell>
          <cell r="M3308" t="str">
            <v>TATIANA NITTA</v>
          </cell>
        </row>
        <row r="3309">
          <cell r="B3309">
            <v>5107152</v>
          </cell>
          <cell r="C3309" t="str">
            <v>CALIFORNIA COM DE SORVETES LTDA ME</v>
          </cell>
          <cell r="D3309" t="str">
            <v>7001</v>
          </cell>
          <cell r="E3309" t="str">
            <v>0750</v>
          </cell>
          <cell r="F3309" t="str">
            <v>C5</v>
          </cell>
          <cell r="G3309" t="str">
            <v>RJ</v>
          </cell>
          <cell r="H3309" t="str">
            <v>QSR</v>
          </cell>
          <cell r="I3309" t="str">
            <v>FOOD SERVICE</v>
          </cell>
          <cell r="J3309" t="str">
            <v>NUTRI</v>
          </cell>
          <cell r="K3309" t="str">
            <v>LACTALIS</v>
          </cell>
          <cell r="L3309" t="str">
            <v>PEDRO</v>
          </cell>
          <cell r="M3309" t="str">
            <v>VAGO QSR</v>
          </cell>
        </row>
        <row r="3310">
          <cell r="B3310">
            <v>5192482</v>
          </cell>
          <cell r="C3310" t="str">
            <v>CEPHEUS RESTAURANTES LTDA</v>
          </cell>
          <cell r="D3310" t="str">
            <v>7001</v>
          </cell>
          <cell r="E3310" t="str">
            <v>0722</v>
          </cell>
          <cell r="F3310" t="str">
            <v>C1</v>
          </cell>
          <cell r="G3310" t="str">
            <v>SP</v>
          </cell>
          <cell r="H3310" t="str">
            <v>QSR</v>
          </cell>
          <cell r="I3310" t="str">
            <v>FOOD SERVICE</v>
          </cell>
          <cell r="J3310" t="str">
            <v>ANA MENIQUETE</v>
          </cell>
          <cell r="K3310" t="str">
            <v>LACTALIS</v>
          </cell>
          <cell r="L3310" t="str">
            <v>PEDRO</v>
          </cell>
          <cell r="M3310" t="str">
            <v>ANA MENIQUETE</v>
          </cell>
        </row>
        <row r="3311">
          <cell r="B3311">
            <v>5221699</v>
          </cell>
          <cell r="C3311" t="str">
            <v>TEXAS COMERCIO DE SORVETES LTDA</v>
          </cell>
          <cell r="D3311" t="str">
            <v>7001</v>
          </cell>
          <cell r="E3311" t="str">
            <v>0750</v>
          </cell>
          <cell r="F3311" t="str">
            <v>C5</v>
          </cell>
          <cell r="G3311" t="str">
            <v>RJ</v>
          </cell>
          <cell r="H3311" t="str">
            <v>QSR</v>
          </cell>
          <cell r="I3311" t="str">
            <v>FOOD SERVICE</v>
          </cell>
          <cell r="J3311" t="str">
            <v>NUTRI</v>
          </cell>
          <cell r="K3311" t="str">
            <v>LACTALIS</v>
          </cell>
          <cell r="L3311" t="str">
            <v>PEDRO</v>
          </cell>
          <cell r="M3311" t="str">
            <v>VAGO QSR</v>
          </cell>
        </row>
        <row r="3312">
          <cell r="B3312">
            <v>5336848</v>
          </cell>
          <cell r="C3312" t="str">
            <v>MORUMBI COMERCIO DE SORVETES LTDA</v>
          </cell>
          <cell r="D3312" t="str">
            <v>7001</v>
          </cell>
          <cell r="E3312" t="str">
            <v>0749</v>
          </cell>
          <cell r="F3312" t="str">
            <v>C5</v>
          </cell>
          <cell r="G3312" t="str">
            <v>SP</v>
          </cell>
          <cell r="H3312" t="str">
            <v>QSR</v>
          </cell>
          <cell r="I3312" t="str">
            <v>FOOD SERVICE</v>
          </cell>
          <cell r="J3312" t="str">
            <v>NUTRI</v>
          </cell>
          <cell r="K3312" t="str">
            <v>LACTALIS</v>
          </cell>
          <cell r="L3312" t="str">
            <v>PEDRO</v>
          </cell>
          <cell r="M3312" t="str">
            <v>VAGO QSR</v>
          </cell>
        </row>
        <row r="3313">
          <cell r="B3313">
            <v>5336849</v>
          </cell>
          <cell r="C3313" t="str">
            <v>ARIZONA COMERCIO DE SORVETES LTDA</v>
          </cell>
          <cell r="D3313" t="str">
            <v>6001</v>
          </cell>
          <cell r="E3313" t="str">
            <v>6125</v>
          </cell>
          <cell r="F3313" t="str">
            <v>C1</v>
          </cell>
          <cell r="G3313" t="str">
            <v>SP</v>
          </cell>
          <cell r="H3313" t="str">
            <v>QSR</v>
          </cell>
          <cell r="I3313" t="str">
            <v>FOOD SERVICE</v>
          </cell>
          <cell r="J3313" t="str">
            <v>NUTRI</v>
          </cell>
          <cell r="K3313" t="str">
            <v>ITAMBÉ</v>
          </cell>
          <cell r="L3313" t="str">
            <v>PEDRO</v>
          </cell>
          <cell r="M3313" t="str">
            <v>VAGO QSR</v>
          </cell>
        </row>
        <row r="3314">
          <cell r="B3314">
            <v>5348824</v>
          </cell>
          <cell r="C3314" t="str">
            <v>MAJ COMERCIO DE ALIMENTOS E GELADOS LTDA</v>
          </cell>
          <cell r="D3314" t="str">
            <v>6001</v>
          </cell>
          <cell r="E3314" t="str">
            <v>6125</v>
          </cell>
          <cell r="F3314" t="str">
            <v>C1</v>
          </cell>
          <cell r="G3314" t="str">
            <v>SP</v>
          </cell>
          <cell r="H3314" t="str">
            <v>QSR</v>
          </cell>
          <cell r="I3314" t="str">
            <v>FOOD SERVICE</v>
          </cell>
          <cell r="J3314" t="str">
            <v>NUTRI</v>
          </cell>
          <cell r="K3314" t="str">
            <v>ITAMBÉ</v>
          </cell>
          <cell r="L3314" t="str">
            <v>PEDRO</v>
          </cell>
          <cell r="M3314" t="str">
            <v>VAGO QSR</v>
          </cell>
        </row>
        <row r="3315">
          <cell r="B3315">
            <v>5367383</v>
          </cell>
          <cell r="C3315" t="str">
            <v>RCC SERVICOS DE ALIMENTACAO LTDA</v>
          </cell>
          <cell r="D3315" t="str">
            <v>7001</v>
          </cell>
          <cell r="E3315" t="str">
            <v>0749</v>
          </cell>
          <cell r="F3315" t="str">
            <v>C5</v>
          </cell>
          <cell r="G3315" t="str">
            <v>SP</v>
          </cell>
          <cell r="H3315" t="str">
            <v>DISTRIBUIÇÃO</v>
          </cell>
          <cell r="I3315" t="str">
            <v>FOOD SERVICE</v>
          </cell>
          <cell r="J3315" t="str">
            <v>FLAC 6</v>
          </cell>
          <cell r="K3315" t="str">
            <v>LACTALIS</v>
          </cell>
          <cell r="L3315" t="str">
            <v>RODRIGO</v>
          </cell>
          <cell r="M3315" t="str">
            <v>RAQUEL BARBOSA</v>
          </cell>
        </row>
        <row r="3316">
          <cell r="B3316">
            <v>5367626</v>
          </cell>
          <cell r="C3316" t="str">
            <v>J M SOUSA LTDA</v>
          </cell>
          <cell r="D3316" t="str">
            <v>6001</v>
          </cell>
          <cell r="E3316" t="str">
            <v>6127</v>
          </cell>
          <cell r="F3316" t="str">
            <v>C1</v>
          </cell>
          <cell r="G3316" t="str">
            <v>CE</v>
          </cell>
          <cell r="H3316" t="str">
            <v>DISTRIBUIÇÃO</v>
          </cell>
          <cell r="I3316" t="str">
            <v>FOOD SERVICE</v>
          </cell>
          <cell r="J3316" t="str">
            <v>CE ITB FS SOUZA FELIX REP</v>
          </cell>
          <cell r="K3316" t="str">
            <v>ITAMBÉ</v>
          </cell>
          <cell r="L3316" t="str">
            <v>RODRIGO</v>
          </cell>
          <cell r="M3316" t="str">
            <v>MARIA LOURDES</v>
          </cell>
        </row>
        <row r="3317">
          <cell r="B3317">
            <v>5192474</v>
          </cell>
          <cell r="C3317" t="str">
            <v>RASCAL RESTAURANTES LTDA</v>
          </cell>
          <cell r="D3317" t="str">
            <v>7001</v>
          </cell>
          <cell r="E3317" t="str">
            <v>0722</v>
          </cell>
          <cell r="F3317" t="str">
            <v>C1</v>
          </cell>
          <cell r="G3317" t="str">
            <v>SP</v>
          </cell>
          <cell r="H3317" t="str">
            <v>QSR</v>
          </cell>
          <cell r="I3317" t="str">
            <v>FOOD SERVICE</v>
          </cell>
          <cell r="J3317" t="str">
            <v>ANA MENIQUETE</v>
          </cell>
          <cell r="K3317" t="str">
            <v>LACTALIS</v>
          </cell>
          <cell r="L3317" t="str">
            <v>PEDRO</v>
          </cell>
          <cell r="M3317" t="str">
            <v>ANA MENIQUETE</v>
          </cell>
        </row>
        <row r="3318">
          <cell r="B3318">
            <v>5336848</v>
          </cell>
          <cell r="C3318" t="str">
            <v>MORUMBI COMERCIO DE SORVETES LTDA</v>
          </cell>
          <cell r="D3318" t="str">
            <v>6001</v>
          </cell>
          <cell r="E3318" t="str">
            <v>6125</v>
          </cell>
          <cell r="F3318" t="str">
            <v>C1</v>
          </cell>
          <cell r="G3318" t="str">
            <v>SP</v>
          </cell>
          <cell r="H3318" t="str">
            <v>QSR</v>
          </cell>
          <cell r="I3318" t="str">
            <v>FOOD SERVICE</v>
          </cell>
          <cell r="J3318" t="str">
            <v>NUTRI</v>
          </cell>
          <cell r="K3318" t="str">
            <v>ITAMBÉ</v>
          </cell>
          <cell r="L3318" t="str">
            <v>PEDRO</v>
          </cell>
          <cell r="M3318" t="str">
            <v>VAGO QSR</v>
          </cell>
        </row>
        <row r="3319">
          <cell r="B3319">
            <v>5336849</v>
          </cell>
          <cell r="C3319" t="str">
            <v>ARIZONA COMERCIO DE SORVETES LTDA</v>
          </cell>
          <cell r="D3319" t="str">
            <v>7001</v>
          </cell>
          <cell r="E3319" t="str">
            <v>0749</v>
          </cell>
          <cell r="F3319" t="str">
            <v>C5</v>
          </cell>
          <cell r="G3319" t="str">
            <v>SP</v>
          </cell>
          <cell r="H3319" t="str">
            <v>QSR</v>
          </cell>
          <cell r="I3319" t="str">
            <v>FOOD SERVICE</v>
          </cell>
          <cell r="J3319" t="str">
            <v>NUTRI</v>
          </cell>
          <cell r="K3319" t="str">
            <v>LACTALIS</v>
          </cell>
          <cell r="L3319" t="str">
            <v>PEDRO</v>
          </cell>
          <cell r="M3319" t="str">
            <v>VAGO QSR</v>
          </cell>
        </row>
        <row r="3320">
          <cell r="B3320">
            <v>5348824</v>
          </cell>
          <cell r="C3320" t="str">
            <v>MAJ COMERCIO DE ALIMENTOS E GELADOS LTDA</v>
          </cell>
          <cell r="D3320" t="str">
            <v>7001</v>
          </cell>
          <cell r="E3320" t="str">
            <v>0749</v>
          </cell>
          <cell r="F3320" t="str">
            <v>C5</v>
          </cell>
          <cell r="G3320" t="str">
            <v>SP</v>
          </cell>
          <cell r="H3320" t="str">
            <v>QSR</v>
          </cell>
          <cell r="I3320" t="str">
            <v>FOOD SERVICE</v>
          </cell>
          <cell r="J3320" t="str">
            <v>NUTRI</v>
          </cell>
          <cell r="K3320" t="str">
            <v>LACTALIS</v>
          </cell>
          <cell r="L3320" t="str">
            <v>PEDRO</v>
          </cell>
          <cell r="M3320" t="str">
            <v>VAGO QSR</v>
          </cell>
        </row>
        <row r="3321">
          <cell r="B3321">
            <v>5024326</v>
          </cell>
          <cell r="C3321" t="str">
            <v>COMERCIAL PEREIRA NERES LTDA ME</v>
          </cell>
          <cell r="D3321" t="str">
            <v>6001</v>
          </cell>
          <cell r="E3321" t="str">
            <v>6169</v>
          </cell>
          <cell r="F3321" t="str">
            <v>C1</v>
          </cell>
          <cell r="G3321" t="str">
            <v>ES</v>
          </cell>
          <cell r="H3321" t="str">
            <v>DISTRIBUIÇÃO</v>
          </cell>
          <cell r="I3321" t="str">
            <v>FOOD SERVICE</v>
          </cell>
          <cell r="J3321" t="str">
            <v>MARCELO DUARTE</v>
          </cell>
          <cell r="K3321" t="str">
            <v>ITAMBÉ</v>
          </cell>
          <cell r="L3321" t="str">
            <v>RODRIGO</v>
          </cell>
          <cell r="M3321" t="str">
            <v>JESSICA</v>
          </cell>
        </row>
        <row r="3322">
          <cell r="B3322">
            <v>5033007</v>
          </cell>
          <cell r="C3322" t="str">
            <v>COMERCIAL NERES E ARAUO LTDA</v>
          </cell>
          <cell r="D3322" t="str">
            <v>7001</v>
          </cell>
          <cell r="E3322" t="str">
            <v>0739</v>
          </cell>
          <cell r="F3322" t="str">
            <v>C1</v>
          </cell>
          <cell r="G3322" t="str">
            <v>ES</v>
          </cell>
          <cell r="H3322" t="str">
            <v>DISTRIBUIÇÃO</v>
          </cell>
          <cell r="I3322" t="str">
            <v>FOOD SERVICE</v>
          </cell>
          <cell r="J3322" t="str">
            <v>MARCELO DUARTE</v>
          </cell>
          <cell r="K3322" t="str">
            <v>LACTALIS</v>
          </cell>
          <cell r="L3322" t="str">
            <v>RODRIGO</v>
          </cell>
          <cell r="M3322" t="str">
            <v>JESSICA</v>
          </cell>
        </row>
        <row r="3323">
          <cell r="B3323">
            <v>5040099</v>
          </cell>
          <cell r="C3323" t="str">
            <v>MA BARROSO LTDA</v>
          </cell>
          <cell r="D3323" t="str">
            <v>6001</v>
          </cell>
          <cell r="E3323" t="str">
            <v>6127</v>
          </cell>
          <cell r="F3323" t="str">
            <v>C1</v>
          </cell>
          <cell r="G3323" t="str">
            <v>CE</v>
          </cell>
          <cell r="H3323" t="str">
            <v>DISTRIBUIÇÃO</v>
          </cell>
          <cell r="I3323" t="str">
            <v>FOOD SERVICE</v>
          </cell>
          <cell r="J3323" t="str">
            <v>WH FOOD SERVICE CE</v>
          </cell>
          <cell r="K3323" t="str">
            <v>ITAMBÉ</v>
          </cell>
          <cell r="L3323" t="str">
            <v>RODRIGO</v>
          </cell>
          <cell r="M3323" t="str">
            <v>MARIA LOURDES</v>
          </cell>
        </row>
        <row r="3324">
          <cell r="B3324">
            <v>5192559</v>
          </cell>
          <cell r="C3324" t="str">
            <v>RILSTON RESTAURANTES LTDA</v>
          </cell>
          <cell r="D3324" t="str">
            <v>7001</v>
          </cell>
          <cell r="E3324" t="str">
            <v>0722</v>
          </cell>
          <cell r="F3324" t="str">
            <v>C1</v>
          </cell>
          <cell r="G3324" t="str">
            <v>SP</v>
          </cell>
          <cell r="H3324" t="str">
            <v>QSR</v>
          </cell>
          <cell r="I3324" t="str">
            <v>FOOD SERVICE</v>
          </cell>
          <cell r="J3324" t="str">
            <v>ANA MENIQUETE</v>
          </cell>
          <cell r="K3324" t="str">
            <v>LACTALIS</v>
          </cell>
          <cell r="L3324" t="str">
            <v>PEDRO</v>
          </cell>
          <cell r="M3324" t="str">
            <v>ANA MENIQUETE</v>
          </cell>
        </row>
        <row r="3325">
          <cell r="B3325">
            <v>5221699</v>
          </cell>
          <cell r="C3325" t="str">
            <v>TEXAS COMERCIO DE SORVETES LTDA</v>
          </cell>
          <cell r="D3325" t="str">
            <v>6001</v>
          </cell>
          <cell r="E3325" t="str">
            <v>6169</v>
          </cell>
          <cell r="F3325" t="str">
            <v>C1</v>
          </cell>
          <cell r="G3325" t="str">
            <v>RJ</v>
          </cell>
          <cell r="H3325" t="str">
            <v>DISTRIBUIÇÃO</v>
          </cell>
          <cell r="I3325" t="str">
            <v>FOOD SERVICE</v>
          </cell>
          <cell r="J3325" t="str">
            <v>LUCIANA MARTINS</v>
          </cell>
          <cell r="K3325" t="str">
            <v>ITAMBÉ</v>
          </cell>
          <cell r="L3325" t="str">
            <v>RODRIGO</v>
          </cell>
          <cell r="M3325" t="str">
            <v>JESSICA</v>
          </cell>
        </row>
        <row r="3326">
          <cell r="B3326">
            <v>5366256</v>
          </cell>
          <cell r="C3326" t="str">
            <v>36658281 THATIANE HECHT ANDRADE</v>
          </cell>
          <cell r="D3326" t="str">
            <v>7001</v>
          </cell>
          <cell r="E3326" t="str">
            <v>0749</v>
          </cell>
          <cell r="F3326" t="str">
            <v>C5</v>
          </cell>
          <cell r="G3326" t="str">
            <v>SP</v>
          </cell>
          <cell r="H3326" t="str">
            <v>DISTRIBUIÇÃO</v>
          </cell>
          <cell r="I3326" t="str">
            <v>FOOD SERVICE</v>
          </cell>
          <cell r="J3326" t="str">
            <v>FLAC 5</v>
          </cell>
          <cell r="K3326" t="str">
            <v>LACTALIS</v>
          </cell>
          <cell r="L3326" t="str">
            <v>RODRIGO</v>
          </cell>
          <cell r="M3326" t="str">
            <v>RAQUEL BARBOSA</v>
          </cell>
        </row>
        <row r="3327">
          <cell r="B3327">
            <v>5247353</v>
          </cell>
          <cell r="C3327" t="str">
            <v>FINE LINEA PAES E DOCES LTDA</v>
          </cell>
          <cell r="D3327" t="str">
            <v>7001</v>
          </cell>
          <cell r="E3327" t="str">
            <v>0749</v>
          </cell>
          <cell r="F3327" t="str">
            <v>C5</v>
          </cell>
          <cell r="G3327" t="str">
            <v>SP</v>
          </cell>
          <cell r="H3327" t="str">
            <v>DISTRIBUIÇÃO</v>
          </cell>
          <cell r="I3327" t="str">
            <v>FOOD SERVICE</v>
          </cell>
          <cell r="J3327" t="str">
            <v>FLAC 6</v>
          </cell>
          <cell r="K3327" t="str">
            <v>LACTALIS</v>
          </cell>
          <cell r="L3327" t="str">
            <v>RODRIGO</v>
          </cell>
          <cell r="M3327" t="str">
            <v>RAQUEL BARBOSA</v>
          </cell>
        </row>
        <row r="3328">
          <cell r="B3328">
            <v>5311441</v>
          </cell>
          <cell r="C3328" t="str">
            <v>PIZ E CHUR TOMASELLI E MINICELLI LTDA</v>
          </cell>
          <cell r="D3328" t="str">
            <v>7001</v>
          </cell>
          <cell r="E3328" t="str">
            <v>0749</v>
          </cell>
          <cell r="F3328" t="str">
            <v>C5</v>
          </cell>
          <cell r="G3328" t="str">
            <v>SP</v>
          </cell>
          <cell r="H3328" t="str">
            <v>DISTRIBUIÇÃO</v>
          </cell>
          <cell r="I3328" t="str">
            <v>FOOD SERVICE</v>
          </cell>
          <cell r="J3328" t="str">
            <v>FLAC 4</v>
          </cell>
          <cell r="K3328" t="str">
            <v>LACTALIS</v>
          </cell>
          <cell r="L3328" t="str">
            <v>RODRIGO</v>
          </cell>
          <cell r="M3328" t="str">
            <v>RAQUEL BARBOSA</v>
          </cell>
        </row>
        <row r="3329">
          <cell r="B3329">
            <v>5367720</v>
          </cell>
          <cell r="C3329" t="str">
            <v>CENTRAL DO ACAI COM CHANTILLY LTDA</v>
          </cell>
          <cell r="D3329" t="str">
            <v>6001</v>
          </cell>
          <cell r="E3329" t="str">
            <v>6169</v>
          </cell>
          <cell r="F3329" t="str">
            <v>C1</v>
          </cell>
          <cell r="G3329" t="str">
            <v>RJ</v>
          </cell>
          <cell r="H3329" t="str">
            <v>DISTRIBUIÇÃO</v>
          </cell>
          <cell r="I3329" t="str">
            <v>FOOD SERVICE</v>
          </cell>
          <cell r="J3329" t="str">
            <v>JULIANA CORDEIRO</v>
          </cell>
          <cell r="K3329" t="str">
            <v>ITAMBÉ</v>
          </cell>
          <cell r="L3329" t="str">
            <v>RODRIGO</v>
          </cell>
          <cell r="M3329" t="str">
            <v>JESSICA</v>
          </cell>
        </row>
        <row r="3330">
          <cell r="B3330">
            <v>5367828</v>
          </cell>
          <cell r="C3330" t="str">
            <v>SANTO GRAO LTDA</v>
          </cell>
          <cell r="D3330" t="str">
            <v>7001</v>
          </cell>
          <cell r="E3330" t="str">
            <v>0749</v>
          </cell>
          <cell r="F3330" t="str">
            <v>C5</v>
          </cell>
          <cell r="G3330" t="str">
            <v>SP</v>
          </cell>
          <cell r="H3330" t="str">
            <v>DISTRIBUIÇÃO</v>
          </cell>
          <cell r="I3330" t="str">
            <v>FOOD SERVICE</v>
          </cell>
          <cell r="J3330" t="str">
            <v>FLAC 6</v>
          </cell>
          <cell r="K3330" t="str">
            <v>LACTALIS</v>
          </cell>
          <cell r="L3330" t="str">
            <v>RODRIGO</v>
          </cell>
          <cell r="M3330" t="str">
            <v>RAQUEL BARBOSA</v>
          </cell>
        </row>
        <row r="3331">
          <cell r="B3331">
            <v>5166529</v>
          </cell>
          <cell r="C3331" t="str">
            <v>BONJARDIM PAULISTA COM DE ALIM LTDA</v>
          </cell>
          <cell r="D3331" t="str">
            <v>6001</v>
          </cell>
          <cell r="E3331" t="str">
            <v>6125</v>
          </cell>
          <cell r="F3331" t="str">
            <v>C1</v>
          </cell>
          <cell r="G3331" t="str">
            <v>SP</v>
          </cell>
          <cell r="H3331" t="str">
            <v>DISTRIBUIÇÃO</v>
          </cell>
          <cell r="I3331" t="str">
            <v>FOOD SERVICE</v>
          </cell>
          <cell r="J3331" t="str">
            <v>FLAC 2</v>
          </cell>
          <cell r="K3331" t="str">
            <v>ITAMBÉ</v>
          </cell>
          <cell r="L3331" t="str">
            <v>RODRIGO</v>
          </cell>
          <cell r="M3331" t="str">
            <v>RAQUEL BARBOSA</v>
          </cell>
        </row>
        <row r="3332">
          <cell r="B3332">
            <v>5203870</v>
          </cell>
          <cell r="C3332" t="str">
            <v>REDE DE DISTRIBUICAO ZEFERINO LTDA</v>
          </cell>
          <cell r="D3332" t="str">
            <v>3001</v>
          </cell>
          <cell r="E3332" t="str">
            <v>0125</v>
          </cell>
          <cell r="F3332" t="str">
            <v>C1</v>
          </cell>
          <cell r="G3332" t="str">
            <v>SP</v>
          </cell>
          <cell r="H3332" t="str">
            <v>OUTROS</v>
          </cell>
          <cell r="I3332" t="str">
            <v>OUTROS</v>
          </cell>
          <cell r="J3332" t="str">
            <v>OUTROS</v>
          </cell>
          <cell r="K3332" t="str">
            <v>OUTROS</v>
          </cell>
          <cell r="L3332" t="str">
            <v>OUTROS</v>
          </cell>
          <cell r="M3332" t="str">
            <v>OUTROS</v>
          </cell>
        </row>
        <row r="3333">
          <cell r="B3333">
            <v>5264357</v>
          </cell>
          <cell r="C3333" t="str">
            <v>CHILI PEPPERS IND DE ALIM LTDA</v>
          </cell>
          <cell r="D3333" t="str">
            <v>7001</v>
          </cell>
          <cell r="E3333" t="str">
            <v>0749</v>
          </cell>
          <cell r="F3333" t="str">
            <v>C5</v>
          </cell>
          <cell r="G3333" t="str">
            <v>SP</v>
          </cell>
          <cell r="H3333" t="str">
            <v>DISTRIBUIÇÃO</v>
          </cell>
          <cell r="I3333" t="str">
            <v>FOOD SERVICE</v>
          </cell>
          <cell r="J3333" t="str">
            <v>FLAC 6</v>
          </cell>
          <cell r="K3333" t="str">
            <v>LACTALIS</v>
          </cell>
          <cell r="L3333" t="str">
            <v>RODRIGO</v>
          </cell>
          <cell r="M3333" t="str">
            <v>RAQUEL BARBOSA</v>
          </cell>
        </row>
        <row r="3334">
          <cell r="B3334">
            <v>5336237</v>
          </cell>
          <cell r="C3334" t="str">
            <v>TRINITY SUPPLY LTDA</v>
          </cell>
          <cell r="D3334" t="str">
            <v>7001</v>
          </cell>
          <cell r="E3334" t="str">
            <v>0722</v>
          </cell>
          <cell r="F3334" t="str">
            <v>C1</v>
          </cell>
          <cell r="G3334" t="str">
            <v>SP</v>
          </cell>
          <cell r="H3334" t="str">
            <v>DISTRIBUIÇÃO</v>
          </cell>
          <cell r="I3334" t="str">
            <v>FOOD SERVICE</v>
          </cell>
          <cell r="J3334" t="str">
            <v>GUILHERME NASCIMENTO</v>
          </cell>
          <cell r="K3334" t="str">
            <v>LACTALIS</v>
          </cell>
          <cell r="L3334" t="str">
            <v>RODRIGO</v>
          </cell>
          <cell r="M3334" t="str">
            <v>ALEXANDRO</v>
          </cell>
        </row>
        <row r="3335">
          <cell r="B3335">
            <v>5357324</v>
          </cell>
          <cell r="C3335" t="str">
            <v>OESA COMERCIO E REPRESENTACOES S A</v>
          </cell>
          <cell r="D3335" t="str">
            <v>7001</v>
          </cell>
          <cell r="E3335" t="str">
            <v>0564</v>
          </cell>
          <cell r="F3335" t="str">
            <v>C5</v>
          </cell>
          <cell r="G3335" t="str">
            <v>MT</v>
          </cell>
          <cell r="H3335" t="str">
            <v>DISTRIBUIÇÃO</v>
          </cell>
          <cell r="I3335" t="str">
            <v>FOOD SERVICE</v>
          </cell>
          <cell r="J3335" t="str">
            <v>CLAUDIO JORGE</v>
          </cell>
          <cell r="K3335" t="str">
            <v>LACTALIS</v>
          </cell>
          <cell r="L3335" t="str">
            <v>RODRIGO</v>
          </cell>
          <cell r="M3335" t="str">
            <v>MARCO AURELIO</v>
          </cell>
        </row>
        <row r="3336">
          <cell r="B3336">
            <v>5192430</v>
          </cell>
          <cell r="C3336" t="str">
            <v>RAVLA RESTAURANTES LTDA</v>
          </cell>
          <cell r="D3336" t="str">
            <v>7001</v>
          </cell>
          <cell r="E3336" t="str">
            <v>0722</v>
          </cell>
          <cell r="F3336" t="str">
            <v>C1</v>
          </cell>
          <cell r="G3336" t="str">
            <v>SP</v>
          </cell>
          <cell r="H3336" t="str">
            <v>QSR</v>
          </cell>
          <cell r="I3336" t="str">
            <v>FOOD SERVICE</v>
          </cell>
          <cell r="J3336" t="str">
            <v>ANA MENIQUETE</v>
          </cell>
          <cell r="K3336" t="str">
            <v>LACTALIS</v>
          </cell>
          <cell r="L3336" t="str">
            <v>PEDRO</v>
          </cell>
          <cell r="M3336" t="str">
            <v>ANA MENIQUETE</v>
          </cell>
        </row>
        <row r="3337">
          <cell r="B3337">
            <v>5367464</v>
          </cell>
          <cell r="C3337" t="str">
            <v>48510670 DANILO SILVA VIEIRA LIMA</v>
          </cell>
          <cell r="D3337" t="str">
            <v>7001</v>
          </cell>
          <cell r="E3337" t="str">
            <v>0749</v>
          </cell>
          <cell r="F3337" t="str">
            <v>C5</v>
          </cell>
          <cell r="G3337" t="str">
            <v>SP</v>
          </cell>
          <cell r="H3337" t="str">
            <v>DISTRIBUIÇÃO</v>
          </cell>
          <cell r="I3337" t="str">
            <v>FOOD SERVICE</v>
          </cell>
          <cell r="J3337" t="str">
            <v>FLAC 10</v>
          </cell>
          <cell r="K3337" t="str">
            <v>LACTALIS</v>
          </cell>
          <cell r="L3337" t="str">
            <v>RODRIGO</v>
          </cell>
          <cell r="M3337" t="str">
            <v>RAQUEL BARBOSA</v>
          </cell>
        </row>
        <row r="3338">
          <cell r="B3338">
            <v>5279462</v>
          </cell>
          <cell r="C3338" t="str">
            <v>RFG COMERCIO TRANSPORTES E SERVICOS</v>
          </cell>
          <cell r="D3338" t="str">
            <v>4001</v>
          </cell>
          <cell r="E3338" t="str">
            <v>0437</v>
          </cell>
          <cell r="F3338" t="str">
            <v>C1</v>
          </cell>
          <cell r="G3338" t="str">
            <v>SP</v>
          </cell>
          <cell r="H3338" t="str">
            <v>MC DONALDS</v>
          </cell>
          <cell r="I3338" t="str">
            <v>MC DONALDS</v>
          </cell>
          <cell r="J3338" t="str">
            <v>MAURICIO GALLI</v>
          </cell>
          <cell r="K3338" t="str">
            <v>LACTALIS</v>
          </cell>
          <cell r="L3338" t="str">
            <v>MAURICIO</v>
          </cell>
          <cell r="M3338" t="str">
            <v>MAURICIO</v>
          </cell>
        </row>
        <row r="3339">
          <cell r="B3339">
            <v>5263907</v>
          </cell>
          <cell r="C3339" t="str">
            <v>SPECIAL CATERING LTDA ME</v>
          </cell>
          <cell r="D3339" t="str">
            <v>7001</v>
          </cell>
          <cell r="E3339" t="str">
            <v>0749</v>
          </cell>
          <cell r="F3339" t="str">
            <v>C5</v>
          </cell>
          <cell r="G3339" t="str">
            <v>SP</v>
          </cell>
          <cell r="H3339" t="str">
            <v>DISTRIBUIÇÃO</v>
          </cell>
          <cell r="I3339" t="str">
            <v>FOOD SERVICE</v>
          </cell>
          <cell r="J3339" t="str">
            <v>FLAC 6</v>
          </cell>
          <cell r="K3339" t="str">
            <v>LACTALIS</v>
          </cell>
          <cell r="L3339" t="str">
            <v>RODRIGO</v>
          </cell>
          <cell r="M3339" t="str">
            <v>RAQUEL BARBOSA</v>
          </cell>
        </row>
        <row r="3340">
          <cell r="B3340">
            <v>5365090</v>
          </cell>
          <cell r="C3340" t="str">
            <v>NSA COMERCIO LTDA</v>
          </cell>
          <cell r="D3340" t="str">
            <v>7001</v>
          </cell>
          <cell r="E3340" t="str">
            <v>0749</v>
          </cell>
          <cell r="F3340" t="str">
            <v>C5</v>
          </cell>
          <cell r="G3340" t="str">
            <v>SP</v>
          </cell>
          <cell r="H3340" t="str">
            <v>DISTRIBUIÇÃO</v>
          </cell>
          <cell r="I3340" t="str">
            <v>FOOD SERVICE</v>
          </cell>
          <cell r="J3340" t="str">
            <v>FLAC 2</v>
          </cell>
          <cell r="K3340" t="str">
            <v>LACTALIS</v>
          </cell>
          <cell r="L3340" t="str">
            <v>RODRIGO</v>
          </cell>
          <cell r="M3340" t="str">
            <v>RAQUEL BARBOSA</v>
          </cell>
        </row>
        <row r="3341">
          <cell r="B3341">
            <v>5366370</v>
          </cell>
          <cell r="C3341" t="str">
            <v>COMERCIO AT E VAR DE AL NORMA LTDA</v>
          </cell>
          <cell r="D3341" t="str">
            <v>4001</v>
          </cell>
          <cell r="E3341" t="str">
            <v>0531</v>
          </cell>
          <cell r="F3341" t="str">
            <v>C5</v>
          </cell>
          <cell r="G3341" t="str">
            <v>AM</v>
          </cell>
          <cell r="H3341" t="str">
            <v>DISTRIBUIÇÃO</v>
          </cell>
          <cell r="I3341" t="str">
            <v>FOOD SERVICE</v>
          </cell>
          <cell r="J3341" t="str">
            <v>CLAUDIO JORGE</v>
          </cell>
          <cell r="K3341" t="str">
            <v>LACTALIS</v>
          </cell>
          <cell r="L3341" t="str">
            <v>RODRIGO</v>
          </cell>
          <cell r="M3341" t="str">
            <v>MARCO AURELIO</v>
          </cell>
        </row>
        <row r="3342">
          <cell r="B3342">
            <v>5366605</v>
          </cell>
          <cell r="C3342" t="str">
            <v>CURSINO COMERCIO DE ALIMENTOS LTDA</v>
          </cell>
          <cell r="D3342" t="str">
            <v>7001</v>
          </cell>
          <cell r="E3342" t="str">
            <v>0749</v>
          </cell>
          <cell r="F3342" t="str">
            <v>C5</v>
          </cell>
          <cell r="G3342" t="str">
            <v>SP</v>
          </cell>
          <cell r="H3342" t="str">
            <v>DISTRIBUIÇÃO</v>
          </cell>
          <cell r="I3342" t="str">
            <v>FOOD SERVICE</v>
          </cell>
          <cell r="J3342" t="str">
            <v>FLAC 4</v>
          </cell>
          <cell r="K3342" t="str">
            <v>LACTALIS</v>
          </cell>
          <cell r="L3342" t="str">
            <v>RODRIGO</v>
          </cell>
          <cell r="M3342" t="str">
            <v>RAQUEL BARBOSA</v>
          </cell>
        </row>
        <row r="3343">
          <cell r="B3343">
            <v>5036562</v>
          </cell>
          <cell r="C3343" t="str">
            <v>SUPER DOCES MARIGA LTDA</v>
          </cell>
          <cell r="D3343" t="str">
            <v>6001</v>
          </cell>
          <cell r="E3343" t="str">
            <v>6125</v>
          </cell>
          <cell r="F3343" t="str">
            <v>C1</v>
          </cell>
          <cell r="G3343" t="str">
            <v>SP</v>
          </cell>
          <cell r="H3343" t="str">
            <v>DISTRIBUIÇÃO</v>
          </cell>
          <cell r="I3343" t="str">
            <v>FOOD SERVICE</v>
          </cell>
          <cell r="J3343" t="str">
            <v>GUILHERME NASCIMENTO</v>
          </cell>
          <cell r="K3343" t="str">
            <v>ITAMBÉ</v>
          </cell>
          <cell r="L3343" t="str">
            <v>RODRIGO</v>
          </cell>
          <cell r="M3343" t="str">
            <v>ALEXANDRO</v>
          </cell>
        </row>
        <row r="3344">
          <cell r="B3344">
            <v>5343766</v>
          </cell>
          <cell r="C3344" t="str">
            <v>FONTENELLE INDUSTRIA E COM LTDA</v>
          </cell>
          <cell r="D3344" t="str">
            <v>6001</v>
          </cell>
          <cell r="E3344" t="str">
            <v>6127</v>
          </cell>
          <cell r="F3344" t="str">
            <v>C1</v>
          </cell>
          <cell r="G3344" t="str">
            <v>CE</v>
          </cell>
          <cell r="H3344" t="str">
            <v>DISTRIBUIÇÃO</v>
          </cell>
          <cell r="I3344" t="str">
            <v>FOOD SERVICE</v>
          </cell>
          <cell r="J3344" t="str">
            <v>WH FOOD SERVICE CE</v>
          </cell>
          <cell r="K3344" t="str">
            <v>ITAMBÉ</v>
          </cell>
          <cell r="L3344" t="str">
            <v>RODRIGO</v>
          </cell>
          <cell r="M3344" t="str">
            <v>MARIA LOURDES</v>
          </cell>
        </row>
        <row r="3345">
          <cell r="B3345">
            <v>5368028</v>
          </cell>
          <cell r="C3345" t="str">
            <v>CB JOINVILLE COMERCIO DE ALIMENTOS LTDA</v>
          </cell>
          <cell r="D3345" t="str">
            <v>3001</v>
          </cell>
          <cell r="E3345" t="str">
            <v>0126</v>
          </cell>
          <cell r="F3345" t="str">
            <v>C1</v>
          </cell>
          <cell r="G3345" t="str">
            <v>SC</v>
          </cell>
          <cell r="H3345" t="str">
            <v>DISTRIBUIÇÃO</v>
          </cell>
          <cell r="I3345" t="str">
            <v>FOOD SERVICE</v>
          </cell>
          <cell r="J3345" t="str">
            <v>ANGELICA BATISTELA</v>
          </cell>
          <cell r="K3345" t="str">
            <v>ITAMBÉ</v>
          </cell>
          <cell r="L3345" t="str">
            <v>RODRIGO</v>
          </cell>
          <cell r="M3345" t="str">
            <v>ANGELICA BATISTELA</v>
          </cell>
        </row>
        <row r="3346">
          <cell r="B3346">
            <v>5220345</v>
          </cell>
          <cell r="C3346" t="str">
            <v>MOREAL IND E COM LATICINIOS LTDA</v>
          </cell>
          <cell r="D3346" t="str">
            <v>4001</v>
          </cell>
          <cell r="E3346" t="str">
            <v>0437</v>
          </cell>
          <cell r="F3346" t="str">
            <v>C1</v>
          </cell>
          <cell r="G3346" t="str">
            <v>MG</v>
          </cell>
          <cell r="H3346" t="str">
            <v>OUTROS</v>
          </cell>
          <cell r="I3346" t="str">
            <v>OUTROS</v>
          </cell>
          <cell r="J3346" t="str">
            <v>OUTROS</v>
          </cell>
          <cell r="K3346" t="str">
            <v>OUTROS</v>
          </cell>
          <cell r="L3346" t="str">
            <v>OUTROS</v>
          </cell>
          <cell r="M3346" t="str">
            <v>OUTROS</v>
          </cell>
        </row>
        <row r="3347">
          <cell r="B3347">
            <v>5077852</v>
          </cell>
          <cell r="C3347" t="str">
            <v>RODRIGO FITZGERALD LUPIANHES LTDA</v>
          </cell>
          <cell r="D3347" t="str">
            <v>7001</v>
          </cell>
          <cell r="E3347" t="str">
            <v>0749</v>
          </cell>
          <cell r="F3347" t="str">
            <v>C5</v>
          </cell>
          <cell r="G3347" t="str">
            <v>SP</v>
          </cell>
          <cell r="H3347" t="str">
            <v>DISTRIBUIÇÃO</v>
          </cell>
          <cell r="I3347" t="str">
            <v>FOOD SERVICE</v>
          </cell>
          <cell r="J3347" t="str">
            <v>FLAC 1</v>
          </cell>
          <cell r="K3347" t="str">
            <v>LACTALIS</v>
          </cell>
          <cell r="L3347" t="str">
            <v>RODRIGO</v>
          </cell>
          <cell r="M3347" t="str">
            <v>RAQUEL BARBOSA</v>
          </cell>
        </row>
        <row r="3348">
          <cell r="B3348">
            <v>5165710</v>
          </cell>
          <cell r="C3348" t="str">
            <v>EMBALACENTER COM REP DE EMB PAPEL</v>
          </cell>
          <cell r="D3348" t="str">
            <v>6001</v>
          </cell>
          <cell r="E3348" t="str">
            <v>6028</v>
          </cell>
          <cell r="F3348" t="str">
            <v>C1</v>
          </cell>
          <cell r="G3348" t="str">
            <v>SE</v>
          </cell>
          <cell r="H3348" t="str">
            <v>INGREDIENTS</v>
          </cell>
          <cell r="I3348" t="str">
            <v>INGREDIENTS</v>
          </cell>
          <cell r="J3348" t="str">
            <v>BA ITB FS L B REPRES LTDA</v>
          </cell>
          <cell r="K3348" t="str">
            <v>ITAMBÉ</v>
          </cell>
          <cell r="L3348" t="str">
            <v>MAURICIO</v>
          </cell>
          <cell r="M3348" t="str">
            <v>JOEL</v>
          </cell>
        </row>
        <row r="3349">
          <cell r="B3349">
            <v>5175512</v>
          </cell>
          <cell r="C3349" t="str">
            <v>STA RESTAURANTE E COM DE ALIM LTDA</v>
          </cell>
          <cell r="D3349" t="str">
            <v>6001</v>
          </cell>
          <cell r="E3349" t="str">
            <v>6125</v>
          </cell>
          <cell r="F3349" t="str">
            <v>C1</v>
          </cell>
          <cell r="G3349" t="str">
            <v>SP</v>
          </cell>
          <cell r="H3349" t="str">
            <v>DISTRIBUIÇÃO</v>
          </cell>
          <cell r="I3349" t="str">
            <v>FOOD SERVICE</v>
          </cell>
          <cell r="J3349" t="str">
            <v>SP ITB FS FLAC REP.E COMERCIO</v>
          </cell>
          <cell r="K3349" t="str">
            <v>ITAMBÉ</v>
          </cell>
          <cell r="L3349" t="str">
            <v>RODRIGO</v>
          </cell>
          <cell r="M3349" t="str">
            <v>RAQUEL BARBOSA</v>
          </cell>
        </row>
        <row r="3350">
          <cell r="B3350">
            <v>5348247</v>
          </cell>
          <cell r="C3350" t="str">
            <v>UTAH COMERCIO DE SORVETES LTDA</v>
          </cell>
          <cell r="D3350" t="str">
            <v>7001</v>
          </cell>
          <cell r="E3350" t="str">
            <v>0722</v>
          </cell>
          <cell r="F3350" t="str">
            <v>C1</v>
          </cell>
          <cell r="G3350" t="str">
            <v>SP</v>
          </cell>
          <cell r="H3350" t="str">
            <v>QSR</v>
          </cell>
          <cell r="I3350" t="str">
            <v>FOOD SERVICE</v>
          </cell>
          <cell r="J3350" t="str">
            <v>VAGO QSR</v>
          </cell>
          <cell r="K3350" t="str">
            <v>LACTALIS</v>
          </cell>
          <cell r="L3350" t="str">
            <v>PEDRO</v>
          </cell>
          <cell r="M3350" t="str">
            <v>VAGO QSR</v>
          </cell>
        </row>
        <row r="3351">
          <cell r="B3351">
            <v>5363521</v>
          </cell>
          <cell r="C3351" t="str">
            <v>RP COMERCIO DE ALIMENTOS LTDA</v>
          </cell>
          <cell r="D3351" t="str">
            <v>7001</v>
          </cell>
          <cell r="E3351" t="str">
            <v>0749</v>
          </cell>
          <cell r="F3351" t="str">
            <v>C5</v>
          </cell>
          <cell r="G3351" t="str">
            <v>SP</v>
          </cell>
          <cell r="H3351" t="str">
            <v>DISTRIBUIÇÃO</v>
          </cell>
          <cell r="I3351" t="str">
            <v>FOOD SERVICE</v>
          </cell>
          <cell r="J3351" t="str">
            <v>FLAC 5</v>
          </cell>
          <cell r="K3351" t="str">
            <v>LACTALIS</v>
          </cell>
          <cell r="L3351" t="str">
            <v>RODRIGO</v>
          </cell>
          <cell r="M3351" t="str">
            <v>RAQUEL BARBOSA</v>
          </cell>
        </row>
        <row r="3352">
          <cell r="B3352">
            <v>5364497</v>
          </cell>
          <cell r="C3352" t="str">
            <v>45708399 LORRAINE OLIVEIRA DE ANDRADE</v>
          </cell>
          <cell r="D3352" t="str">
            <v>3001</v>
          </cell>
          <cell r="E3352" t="str">
            <v>0028</v>
          </cell>
          <cell r="F3352" t="str">
            <v>C1</v>
          </cell>
          <cell r="G3352" t="str">
            <v>MG</v>
          </cell>
          <cell r="H3352" t="str">
            <v>INGREDIENTS</v>
          </cell>
          <cell r="I3352" t="str">
            <v>INGREDIENTS</v>
          </cell>
          <cell r="J3352" t="str">
            <v>MG ITB FS KLINK'S REPRESENTACOES</v>
          </cell>
          <cell r="K3352" t="str">
            <v>ITAMBÉ</v>
          </cell>
          <cell r="L3352" t="str">
            <v>MAURICIO</v>
          </cell>
          <cell r="M3352" t="str">
            <v>JOEL</v>
          </cell>
        </row>
        <row r="3353">
          <cell r="B3353">
            <v>5366503</v>
          </cell>
          <cell r="C3353" t="str">
            <v>MEGA CAFFE LTDA</v>
          </cell>
          <cell r="D3353" t="str">
            <v>7001</v>
          </cell>
          <cell r="E3353" t="str">
            <v>0749</v>
          </cell>
          <cell r="F3353" t="str">
            <v>C5</v>
          </cell>
          <cell r="G3353" t="str">
            <v>SP</v>
          </cell>
          <cell r="H3353" t="str">
            <v>DISTRIBUIÇÃO</v>
          </cell>
          <cell r="I3353" t="str">
            <v>FOOD SERVICE</v>
          </cell>
          <cell r="J3353" t="str">
            <v>FLAC 7</v>
          </cell>
          <cell r="K3353" t="str">
            <v>LACTALIS</v>
          </cell>
          <cell r="L3353" t="str">
            <v>RODRIGO</v>
          </cell>
          <cell r="M3353" t="str">
            <v>RAQUEL BARBOSA</v>
          </cell>
        </row>
        <row r="3354">
          <cell r="B3354">
            <v>5368220</v>
          </cell>
          <cell r="C3354" t="str">
            <v>PADRISERV COMERCIO E SERVICOS LTDA</v>
          </cell>
          <cell r="D3354" t="str">
            <v>7001</v>
          </cell>
          <cell r="E3354" t="str">
            <v>0749</v>
          </cell>
          <cell r="F3354" t="str">
            <v>C5</v>
          </cell>
          <cell r="G3354" t="str">
            <v>SP</v>
          </cell>
          <cell r="H3354" t="str">
            <v>DISTRIBUIÇÃO</v>
          </cell>
          <cell r="I3354" t="str">
            <v>FOOD SERVICE</v>
          </cell>
          <cell r="J3354" t="str">
            <v>FLAC 5</v>
          </cell>
          <cell r="K3354" t="str">
            <v>LACTALIS</v>
          </cell>
          <cell r="L3354" t="str">
            <v>RODRIGO</v>
          </cell>
          <cell r="M3354" t="str">
            <v>RAQUEL BARBOSA</v>
          </cell>
        </row>
        <row r="3355">
          <cell r="B3355">
            <v>5307722</v>
          </cell>
          <cell r="C3355" t="str">
            <v>SELECTO CACAU IND E COM PR ALIM LTD</v>
          </cell>
          <cell r="D3355" t="str">
            <v>7001</v>
          </cell>
          <cell r="E3355" t="str">
            <v>0737</v>
          </cell>
          <cell r="F3355" t="str">
            <v>C1</v>
          </cell>
          <cell r="G3355" t="str">
            <v>SP</v>
          </cell>
          <cell r="H3355" t="str">
            <v>INGREDIENTS</v>
          </cell>
          <cell r="I3355" t="str">
            <v>INGREDIENTS</v>
          </cell>
          <cell r="J3355" t="str">
            <v>TATIANA NITTA</v>
          </cell>
          <cell r="K3355" t="str">
            <v>LACTALIS</v>
          </cell>
          <cell r="L3355" t="str">
            <v>MAURICIO</v>
          </cell>
          <cell r="M3355" t="str">
            <v>TATIANA NITTA</v>
          </cell>
        </row>
        <row r="3356">
          <cell r="B3356">
            <v>5149070</v>
          </cell>
          <cell r="C3356" t="str">
            <v>FILIPINA DELI COMERCIO DE ALIMENTOS</v>
          </cell>
          <cell r="D3356" t="str">
            <v>7001</v>
          </cell>
          <cell r="E3356" t="str">
            <v>0739</v>
          </cell>
          <cell r="F3356" t="str">
            <v>C1</v>
          </cell>
          <cell r="G3356" t="str">
            <v>RJ</v>
          </cell>
          <cell r="H3356" t="str">
            <v>DISTRIBUIÇÃO</v>
          </cell>
          <cell r="I3356" t="str">
            <v>FOOD SERVICE</v>
          </cell>
          <cell r="J3356" t="str">
            <v>LUCIANA MARTINS</v>
          </cell>
          <cell r="K3356" t="str">
            <v>LACTALIS</v>
          </cell>
          <cell r="L3356" t="str">
            <v>RODRIGO</v>
          </cell>
          <cell r="M3356" t="str">
            <v>JESSICA</v>
          </cell>
        </row>
        <row r="3357">
          <cell r="B3357">
            <v>5233873</v>
          </cell>
          <cell r="C3357" t="str">
            <v>AMAZON SERV DE VAR DO BRASIL LT</v>
          </cell>
          <cell r="D3357" t="str">
            <v>7001</v>
          </cell>
          <cell r="E3357" t="str">
            <v>0588</v>
          </cell>
          <cell r="F3357" t="str">
            <v>C6</v>
          </cell>
          <cell r="G3357" t="str">
            <v>RJ</v>
          </cell>
          <cell r="H3357" t="str">
            <v>OUTROS</v>
          </cell>
          <cell r="I3357" t="str">
            <v>OUTROS</v>
          </cell>
          <cell r="J3357" t="str">
            <v>OUTROS</v>
          </cell>
          <cell r="K3357" t="str">
            <v>OUTROS</v>
          </cell>
          <cell r="L3357" t="str">
            <v>OUTROS</v>
          </cell>
          <cell r="M3357" t="str">
            <v>OUTROS</v>
          </cell>
        </row>
        <row r="3358">
          <cell r="B3358">
            <v>5313338</v>
          </cell>
          <cell r="C3358" t="str">
            <v>CLUBE DO CONFEITEIRO LTDA</v>
          </cell>
          <cell r="D3358" t="str">
            <v>6001</v>
          </cell>
          <cell r="E3358" t="str">
            <v>6125</v>
          </cell>
          <cell r="F3358" t="str">
            <v>C1</v>
          </cell>
          <cell r="G3358" t="str">
            <v>SP</v>
          </cell>
          <cell r="H3358" t="str">
            <v>DISTRIBUIÇÃO</v>
          </cell>
          <cell r="I3358" t="str">
            <v>FOOD SERVICE</v>
          </cell>
          <cell r="J3358" t="str">
            <v>SP ITB FS FLAC REP.E COMERCIO</v>
          </cell>
          <cell r="K3358" t="str">
            <v>ITAMBÉ</v>
          </cell>
          <cell r="L3358" t="str">
            <v>RODRIGO</v>
          </cell>
          <cell r="M3358" t="str">
            <v>RAQUEL BARBOSA</v>
          </cell>
        </row>
        <row r="3359">
          <cell r="B3359">
            <v>5351160</v>
          </cell>
          <cell r="C3359" t="str">
            <v>EDUARDO DA COSTA M E CIA LTDA</v>
          </cell>
          <cell r="D3359" t="str">
            <v>7001</v>
          </cell>
          <cell r="E3359" t="str">
            <v>0737</v>
          </cell>
          <cell r="F3359" t="str">
            <v>C1</v>
          </cell>
          <cell r="G3359" t="str">
            <v>SP</v>
          </cell>
          <cell r="H3359" t="str">
            <v>INGREDIENTS</v>
          </cell>
          <cell r="I3359" t="str">
            <v>INGREDIENTS</v>
          </cell>
          <cell r="J3359" t="str">
            <v>TATIANA NITTA</v>
          </cell>
          <cell r="K3359" t="str">
            <v>LACTALIS</v>
          </cell>
          <cell r="L3359" t="str">
            <v>MAURICIO</v>
          </cell>
          <cell r="M3359" t="str">
            <v>TATIANA NITTA</v>
          </cell>
        </row>
        <row r="3360">
          <cell r="B3360">
            <v>5367187</v>
          </cell>
          <cell r="C3360" t="str">
            <v>CONFEITARIA ESTRELA CITY NORTH</v>
          </cell>
          <cell r="D3360" t="str">
            <v>7001</v>
          </cell>
          <cell r="E3360" t="str">
            <v>0749</v>
          </cell>
          <cell r="F3360" t="str">
            <v>C5</v>
          </cell>
          <cell r="G3360" t="str">
            <v>SP</v>
          </cell>
          <cell r="H3360" t="str">
            <v>DISTRIBUIÇÃO</v>
          </cell>
          <cell r="I3360" t="str">
            <v>FOOD SERVICE</v>
          </cell>
          <cell r="J3360" t="str">
            <v>FLAC 4</v>
          </cell>
          <cell r="K3360" t="str">
            <v>LACTALIS</v>
          </cell>
          <cell r="L3360" t="str">
            <v>RODRIGO</v>
          </cell>
          <cell r="M3360" t="str">
            <v>RAQUEL BARBOSA</v>
          </cell>
        </row>
        <row r="3361">
          <cell r="B3361">
            <v>5094302</v>
          </cell>
          <cell r="C3361" t="str">
            <v>TOURINHO ALIMENTOS LTDA</v>
          </cell>
          <cell r="D3361" t="str">
            <v>4001</v>
          </cell>
          <cell r="E3361" t="str">
            <v>0458</v>
          </cell>
          <cell r="F3361" t="str">
            <v>C1</v>
          </cell>
          <cell r="G3361" t="str">
            <v>MG</v>
          </cell>
          <cell r="H3361" t="str">
            <v>INGREDIENTS</v>
          </cell>
          <cell r="I3361" t="str">
            <v>INGREDIENTS</v>
          </cell>
          <cell r="J3361" t="str">
            <v>HENRIQUE FERREIRA</v>
          </cell>
          <cell r="K3361" t="str">
            <v>LACTALIS</v>
          </cell>
          <cell r="L3361" t="str">
            <v>MAURICIO</v>
          </cell>
          <cell r="M3361" t="str">
            <v>JOEL</v>
          </cell>
        </row>
        <row r="3362">
          <cell r="B3362">
            <v>5367122</v>
          </cell>
          <cell r="C3362" t="str">
            <v>59296938 ELDA SILVERIO COSTA</v>
          </cell>
          <cell r="D3362" t="str">
            <v>7001</v>
          </cell>
          <cell r="E3362" t="str">
            <v>0749</v>
          </cell>
          <cell r="F3362" t="str">
            <v>C5</v>
          </cell>
          <cell r="G3362" t="str">
            <v>SP</v>
          </cell>
          <cell r="H3362" t="str">
            <v>DISTRIBUIÇÃO</v>
          </cell>
          <cell r="I3362" t="str">
            <v>FOOD SERVICE</v>
          </cell>
          <cell r="J3362" t="str">
            <v>FLAC 10</v>
          </cell>
          <cell r="K3362" t="str">
            <v>LACTALIS</v>
          </cell>
          <cell r="L3362" t="str">
            <v>RODRIGO</v>
          </cell>
          <cell r="M3362" t="str">
            <v>RAQUEL BARBOSA</v>
          </cell>
        </row>
        <row r="3363">
          <cell r="B3363">
            <v>5221443</v>
          </cell>
          <cell r="C3363" t="str">
            <v>TATHI C DE D E SALG P FES EM G LTDA</v>
          </cell>
          <cell r="D3363" t="str">
            <v>7001</v>
          </cell>
          <cell r="E3363" t="str">
            <v>0749</v>
          </cell>
          <cell r="F3363" t="str">
            <v>C5</v>
          </cell>
          <cell r="G3363" t="str">
            <v>SP</v>
          </cell>
          <cell r="H3363" t="str">
            <v>DISTRIBUIÇÃO</v>
          </cell>
          <cell r="I3363" t="str">
            <v>FOOD SERVICE</v>
          </cell>
          <cell r="J3363" t="str">
            <v>FLAC 4</v>
          </cell>
          <cell r="K3363" t="str">
            <v>LACTALIS</v>
          </cell>
          <cell r="L3363" t="str">
            <v>RODRIGO</v>
          </cell>
          <cell r="M3363" t="str">
            <v>RAQUEL BARBOSA</v>
          </cell>
        </row>
        <row r="3364">
          <cell r="B3364">
            <v>5278463</v>
          </cell>
          <cell r="C3364" t="str">
            <v>PANIFICADORA E CONFEITARIA SORA</v>
          </cell>
          <cell r="D3364" t="str">
            <v>7001</v>
          </cell>
          <cell r="E3364" t="str">
            <v>0749</v>
          </cell>
          <cell r="F3364" t="str">
            <v>C5</v>
          </cell>
          <cell r="G3364" t="str">
            <v>SP</v>
          </cell>
          <cell r="H3364" t="str">
            <v>DISTRIBUIÇÃO</v>
          </cell>
          <cell r="I3364" t="str">
            <v>FOOD SERVICE</v>
          </cell>
          <cell r="J3364" t="str">
            <v>FLAC 5</v>
          </cell>
          <cell r="K3364" t="str">
            <v>LACTALIS</v>
          </cell>
          <cell r="L3364" t="str">
            <v>RODRIGO</v>
          </cell>
          <cell r="M3364" t="str">
            <v>RAQUEL BARBOSA</v>
          </cell>
        </row>
        <row r="3365">
          <cell r="B3365">
            <v>5303069</v>
          </cell>
          <cell r="C3365" t="str">
            <v>LAGHETTO HOTEIS LTDA</v>
          </cell>
          <cell r="D3365" t="str">
            <v>6001</v>
          </cell>
          <cell r="E3365" t="str">
            <v>6125</v>
          </cell>
          <cell r="F3365" t="str">
            <v>C1</v>
          </cell>
          <cell r="G3365" t="str">
            <v>SP</v>
          </cell>
          <cell r="H3365" t="str">
            <v>DISTRIBUIÇÃO</v>
          </cell>
          <cell r="I3365" t="str">
            <v>FOOD SERVICE</v>
          </cell>
          <cell r="J3365" t="str">
            <v>SP ITB FS FLAC REP.E COMERCIO</v>
          </cell>
          <cell r="K3365" t="str">
            <v>ITAMBÉ</v>
          </cell>
          <cell r="L3365" t="str">
            <v>RODRIGO</v>
          </cell>
          <cell r="M3365" t="str">
            <v>RAQUEL BARBOSA</v>
          </cell>
        </row>
        <row r="3366">
          <cell r="B3366">
            <v>5366835</v>
          </cell>
          <cell r="C3366" t="str">
            <v>ESPACO LILLO LTDA</v>
          </cell>
          <cell r="D3366" t="str">
            <v>7001</v>
          </cell>
          <cell r="E3366" t="str">
            <v>0749</v>
          </cell>
          <cell r="F3366" t="str">
            <v>C5</v>
          </cell>
          <cell r="G3366" t="str">
            <v>SP</v>
          </cell>
          <cell r="H3366" t="str">
            <v>DISTRIBUIÇÃO</v>
          </cell>
          <cell r="I3366" t="str">
            <v>FOOD SERVICE</v>
          </cell>
          <cell r="J3366" t="str">
            <v>FLAC 3</v>
          </cell>
          <cell r="K3366" t="str">
            <v>LACTALIS</v>
          </cell>
          <cell r="L3366" t="str">
            <v>RODRIGO</v>
          </cell>
          <cell r="M3366" t="str">
            <v>RAQUEL BARBOSA</v>
          </cell>
        </row>
        <row r="3367">
          <cell r="B3367">
            <v>5367394</v>
          </cell>
          <cell r="C3367" t="str">
            <v>NATALIA SALVE DAMASCENO 3256521</v>
          </cell>
          <cell r="D3367" t="str">
            <v>6001</v>
          </cell>
          <cell r="E3367" t="str">
            <v>6125</v>
          </cell>
          <cell r="F3367" t="str">
            <v>C1</v>
          </cell>
          <cell r="G3367" t="str">
            <v>SP</v>
          </cell>
          <cell r="H3367" t="str">
            <v>DISTRIBUIÇÃO</v>
          </cell>
          <cell r="I3367" t="str">
            <v>FOOD SERVICE</v>
          </cell>
          <cell r="J3367" t="str">
            <v>SP ITB FS FLAC REP.E COMERCIO</v>
          </cell>
          <cell r="K3367" t="str">
            <v>ITAMBÉ</v>
          </cell>
          <cell r="L3367" t="str">
            <v>RODRIGO</v>
          </cell>
          <cell r="M3367" t="str">
            <v>RAQUEL BARBOSA</v>
          </cell>
        </row>
        <row r="3368">
          <cell r="B3368">
            <v>5337773</v>
          </cell>
          <cell r="C3368" t="str">
            <v>CAFE PACIFICO LTDA</v>
          </cell>
          <cell r="D3368" t="str">
            <v>4001</v>
          </cell>
          <cell r="E3368" t="str">
            <v>0546</v>
          </cell>
          <cell r="F3368" t="str">
            <v>C1</v>
          </cell>
          <cell r="G3368" t="str">
            <v>SP</v>
          </cell>
          <cell r="H3368" t="str">
            <v>QSR</v>
          </cell>
          <cell r="I3368" t="str">
            <v>FOOD SERVICE</v>
          </cell>
          <cell r="J3368" t="str">
            <v>ANA MENIQUETE</v>
          </cell>
          <cell r="K3368" t="str">
            <v>LACTALIS</v>
          </cell>
          <cell r="L3368" t="str">
            <v>PEDRO</v>
          </cell>
          <cell r="M3368" t="str">
            <v>ANA MENIQUETE</v>
          </cell>
        </row>
        <row r="3369">
          <cell r="B3369">
            <v>5358671</v>
          </cell>
          <cell r="C3369" t="str">
            <v>CAFE PACIFICO SA</v>
          </cell>
          <cell r="D3369" t="str">
            <v>4001</v>
          </cell>
          <cell r="E3369" t="str">
            <v>0546</v>
          </cell>
          <cell r="F3369" t="str">
            <v>C1</v>
          </cell>
          <cell r="G3369" t="str">
            <v>SP</v>
          </cell>
          <cell r="H3369" t="str">
            <v>QSR</v>
          </cell>
          <cell r="I3369" t="str">
            <v>FOOD SERVICE</v>
          </cell>
          <cell r="J3369" t="str">
            <v>ANA MENIQUETE</v>
          </cell>
          <cell r="K3369" t="str">
            <v>LACTALIS</v>
          </cell>
          <cell r="L3369" t="str">
            <v>PEDRO</v>
          </cell>
          <cell r="M3369" t="str">
            <v>ANA MENIQUETE</v>
          </cell>
        </row>
        <row r="3370">
          <cell r="B3370">
            <v>5368586</v>
          </cell>
          <cell r="C3370" t="str">
            <v>66165054 LUCAS GALVAO PINTO</v>
          </cell>
          <cell r="D3370" t="str">
            <v>7001</v>
          </cell>
          <cell r="E3370" t="str">
            <v>0749</v>
          </cell>
          <cell r="F3370" t="str">
            <v>C5</v>
          </cell>
          <cell r="G3370" t="str">
            <v>SP</v>
          </cell>
          <cell r="H3370" t="str">
            <v>DISTRIBUIÇÃO</v>
          </cell>
          <cell r="I3370" t="str">
            <v>FOOD SERVICE</v>
          </cell>
          <cell r="J3370" t="str">
            <v>FLAC 2</v>
          </cell>
          <cell r="K3370" t="str">
            <v>LACTALIS</v>
          </cell>
          <cell r="L3370" t="str">
            <v>RODRIGO</v>
          </cell>
          <cell r="M3370" t="str">
            <v>RAQUEL BARBOSA</v>
          </cell>
        </row>
        <row r="3371">
          <cell r="B3371">
            <v>5247948</v>
          </cell>
          <cell r="C3371" t="str">
            <v>GOLDEN TOWER HOTEIS E TURISMO L</v>
          </cell>
          <cell r="D3371" t="str">
            <v>7001</v>
          </cell>
          <cell r="E3371" t="str">
            <v>0749</v>
          </cell>
          <cell r="F3371" t="str">
            <v>C5</v>
          </cell>
          <cell r="G3371" t="str">
            <v>SP</v>
          </cell>
          <cell r="H3371" t="str">
            <v>DISTRIBUIÇÃO</v>
          </cell>
          <cell r="I3371" t="str">
            <v>FOOD SERVICE</v>
          </cell>
          <cell r="J3371" t="str">
            <v>FLAC 5</v>
          </cell>
          <cell r="K3371" t="str">
            <v>LACTALIS</v>
          </cell>
          <cell r="L3371" t="str">
            <v>RODRIGO</v>
          </cell>
          <cell r="M3371" t="str">
            <v>RAQUEL BARBOSA</v>
          </cell>
        </row>
        <row r="3372">
          <cell r="B3372">
            <v>5350936</v>
          </cell>
          <cell r="C3372" t="str">
            <v>SEARA ALIMENTOS LTDA</v>
          </cell>
          <cell r="D3372" t="str">
            <v>4001</v>
          </cell>
          <cell r="E3372" t="str">
            <v>0437</v>
          </cell>
          <cell r="F3372" t="str">
            <v>C1</v>
          </cell>
          <cell r="G3372" t="str">
            <v>MS</v>
          </cell>
          <cell r="H3372" t="str">
            <v>INGREDIENTS</v>
          </cell>
          <cell r="I3372" t="str">
            <v>INGREDIENTS</v>
          </cell>
          <cell r="J3372" t="str">
            <v>JOEL ELEOTÉRIO</v>
          </cell>
          <cell r="K3372" t="str">
            <v>LACTALIS</v>
          </cell>
          <cell r="L3372" t="str">
            <v>MAURICIO</v>
          </cell>
          <cell r="M3372" t="str">
            <v>JOEL</v>
          </cell>
        </row>
        <row r="3373">
          <cell r="B3373">
            <v>5368518</v>
          </cell>
          <cell r="C3373" t="str">
            <v>48603934 AMANDA FRANC DE OL AND</v>
          </cell>
          <cell r="D3373" t="str">
            <v>7001</v>
          </cell>
          <cell r="E3373" t="str">
            <v>0749</v>
          </cell>
          <cell r="F3373" t="str">
            <v>C5</v>
          </cell>
          <cell r="G3373" t="str">
            <v>SP</v>
          </cell>
          <cell r="H3373" t="str">
            <v>DISTRIBUIÇÃO</v>
          </cell>
          <cell r="I3373" t="str">
            <v>FOOD SERVICE</v>
          </cell>
          <cell r="J3373" t="str">
            <v>FLAC 7</v>
          </cell>
          <cell r="K3373" t="str">
            <v>LACTALIS</v>
          </cell>
          <cell r="L3373" t="str">
            <v>RODRIGO</v>
          </cell>
          <cell r="M3373" t="str">
            <v>RAQUEL BARBOSA</v>
          </cell>
        </row>
        <row r="3374">
          <cell r="B3374">
            <v>5368646</v>
          </cell>
          <cell r="C3374" t="str">
            <v>FISCALE PAES E ALIMENTOS LTDA</v>
          </cell>
          <cell r="D3374" t="str">
            <v>7001</v>
          </cell>
          <cell r="E3374" t="str">
            <v>0749</v>
          </cell>
          <cell r="F3374" t="str">
            <v>C5</v>
          </cell>
          <cell r="G3374" t="str">
            <v>SP</v>
          </cell>
          <cell r="H3374" t="str">
            <v>DISTRIBUIÇÃO</v>
          </cell>
          <cell r="I3374" t="str">
            <v>FOOD SERVICE</v>
          </cell>
          <cell r="J3374" t="str">
            <v>FLAC 6</v>
          </cell>
          <cell r="K3374" t="str">
            <v>LACTALIS</v>
          </cell>
          <cell r="L3374" t="str">
            <v>RODRIGO</v>
          </cell>
          <cell r="M3374" t="str">
            <v>RAQUEL BARBOSA</v>
          </cell>
        </row>
        <row r="3375">
          <cell r="B3375">
            <v>5194247</v>
          </cell>
          <cell r="C3375" t="str">
            <v>GRANBELLO ALIMENTOS LTDA</v>
          </cell>
          <cell r="D3375" t="str">
            <v>3001</v>
          </cell>
          <cell r="E3375" t="str">
            <v>0028</v>
          </cell>
          <cell r="F3375" t="str">
            <v>C1</v>
          </cell>
          <cell r="G3375" t="str">
            <v>SC</v>
          </cell>
          <cell r="H3375" t="str">
            <v>INGREDIENTS</v>
          </cell>
          <cell r="I3375" t="str">
            <v>INGREDIENTS</v>
          </cell>
          <cell r="J3375" t="str">
            <v>MARCELO RODRIGUES</v>
          </cell>
          <cell r="K3375" t="str">
            <v>ITAMBÉ</v>
          </cell>
          <cell r="L3375" t="str">
            <v>MAURICIO</v>
          </cell>
          <cell r="M3375" t="str">
            <v>MARCELO</v>
          </cell>
        </row>
        <row r="3376">
          <cell r="B3376">
            <v>5355177</v>
          </cell>
          <cell r="C3376" t="str">
            <v>BUY MARKET MINIMERCADOS LTDA</v>
          </cell>
          <cell r="D3376" t="str">
            <v>7001</v>
          </cell>
          <cell r="E3376" t="str">
            <v>0749</v>
          </cell>
          <cell r="F3376" t="str">
            <v>C5</v>
          </cell>
          <cell r="G3376" t="str">
            <v>SP</v>
          </cell>
          <cell r="H3376" t="str">
            <v>DISTRIBUIÇÃO</v>
          </cell>
          <cell r="I3376" t="str">
            <v>FOOD SERVICE</v>
          </cell>
          <cell r="J3376" t="str">
            <v>FLAC 6</v>
          </cell>
          <cell r="K3376" t="str">
            <v>LACTALIS</v>
          </cell>
          <cell r="L3376" t="str">
            <v>RODRIGO</v>
          </cell>
          <cell r="M3376" t="str">
            <v>RAQUEL BARBOSA</v>
          </cell>
        </row>
        <row r="3377">
          <cell r="B3377">
            <v>5004685</v>
          </cell>
          <cell r="C3377" t="str">
            <v>DINIZ COM ATAC DE PROD ALIM LTDA</v>
          </cell>
          <cell r="D3377" t="str">
            <v>6001</v>
          </cell>
          <cell r="E3377" t="str">
            <v>0125</v>
          </cell>
          <cell r="F3377" t="str">
            <v>C1</v>
          </cell>
          <cell r="G3377" t="str">
            <v>SP</v>
          </cell>
          <cell r="H3377" t="str">
            <v>DISTRIBUIÇÃO</v>
          </cell>
          <cell r="I3377" t="str">
            <v>FOOD SERVICE</v>
          </cell>
          <cell r="J3377" t="str">
            <v>ALEXANDRO RODRIGUES</v>
          </cell>
          <cell r="K3377" t="str">
            <v>ITAMBÉ</v>
          </cell>
          <cell r="L3377" t="str">
            <v>RODRIGO</v>
          </cell>
          <cell r="M3377" t="str">
            <v>ALEXANDRO</v>
          </cell>
        </row>
        <row r="3378">
          <cell r="B3378">
            <v>5006978</v>
          </cell>
          <cell r="C3378" t="str">
            <v>DISTRIBUIDORA E IMP IRMAOS AVELINO</v>
          </cell>
          <cell r="D3378" t="str">
            <v>6001</v>
          </cell>
          <cell r="E3378" t="str">
            <v>0125</v>
          </cell>
          <cell r="F3378" t="str">
            <v>C1</v>
          </cell>
          <cell r="G3378" t="str">
            <v>SP</v>
          </cell>
          <cell r="H3378" t="str">
            <v>DISTRIBUIÇÃO</v>
          </cell>
          <cell r="I3378" t="str">
            <v>FOOD SERVICE</v>
          </cell>
          <cell r="J3378" t="str">
            <v>RAQUEL BARBOSA</v>
          </cell>
          <cell r="K3378" t="str">
            <v>ITAMBÉ</v>
          </cell>
          <cell r="L3378" t="str">
            <v>RODRIGO</v>
          </cell>
          <cell r="M3378" t="str">
            <v>RAQUEL BARBOSA</v>
          </cell>
        </row>
        <row r="3379">
          <cell r="B3379">
            <v>5008636</v>
          </cell>
          <cell r="C3379" t="str">
            <v>GR SERVICOS E ALIMENTACAO LTDA</v>
          </cell>
          <cell r="D3379" t="str">
            <v>6001</v>
          </cell>
          <cell r="E3379" t="str">
            <v>0028</v>
          </cell>
          <cell r="F3379" t="str">
            <v>C1</v>
          </cell>
          <cell r="G3379" t="str">
            <v>RJ</v>
          </cell>
          <cell r="H3379" t="str">
            <v>QSR</v>
          </cell>
          <cell r="I3379" t="str">
            <v>FOOD SERVICE</v>
          </cell>
          <cell r="J3379" t="str">
            <v>NUTRI</v>
          </cell>
          <cell r="K3379" t="str">
            <v>ITAMBÉ</v>
          </cell>
          <cell r="L3379" t="str">
            <v>PEDRO</v>
          </cell>
          <cell r="M3379" t="str">
            <v>VAGO QSR</v>
          </cell>
        </row>
        <row r="3380">
          <cell r="B3380">
            <v>5009420</v>
          </cell>
          <cell r="C3380" t="str">
            <v>BASF SA</v>
          </cell>
          <cell r="D3380" t="str">
            <v>6001</v>
          </cell>
          <cell r="E3380" t="str">
            <v>0028</v>
          </cell>
          <cell r="F3380" t="str">
            <v>C1</v>
          </cell>
          <cell r="G3380" t="str">
            <v>SP</v>
          </cell>
          <cell r="H3380" t="str">
            <v>INGREDIENTS</v>
          </cell>
          <cell r="I3380" t="str">
            <v>INGREDIENTS</v>
          </cell>
          <cell r="J3380" t="str">
            <v>HENRIQUE FERREIRA</v>
          </cell>
          <cell r="K3380" t="str">
            <v>ITAMBÉ</v>
          </cell>
          <cell r="L3380" t="str">
            <v>MAURICIO</v>
          </cell>
          <cell r="M3380" t="str">
            <v>JOEL</v>
          </cell>
        </row>
        <row r="3381">
          <cell r="B3381">
            <v>5011698</v>
          </cell>
          <cell r="C3381" t="str">
            <v>CASA DO SACHET LTDA</v>
          </cell>
          <cell r="D3381" t="str">
            <v>6001</v>
          </cell>
          <cell r="E3381" t="str">
            <v>0123</v>
          </cell>
          <cell r="F3381" t="str">
            <v>C1</v>
          </cell>
          <cell r="G3381" t="str">
            <v>MS</v>
          </cell>
          <cell r="H3381" t="str">
            <v>DISTRIBUIÇÃO</v>
          </cell>
          <cell r="I3381" t="str">
            <v>FOOD SERVICE</v>
          </cell>
          <cell r="J3381" t="str">
            <v>CLAUDIO JORGE</v>
          </cell>
          <cell r="K3381" t="str">
            <v>ITAMBÉ</v>
          </cell>
          <cell r="L3381" t="str">
            <v>RODRIGO</v>
          </cell>
          <cell r="M3381" t="str">
            <v>MARCO AURELIO</v>
          </cell>
        </row>
        <row r="3382">
          <cell r="B3382">
            <v>5012641</v>
          </cell>
          <cell r="C3382" t="str">
            <v>COM LOURO DE FRIOS E SALGADOS LTDA</v>
          </cell>
          <cell r="D3382" t="str">
            <v>6001</v>
          </cell>
          <cell r="E3382" t="str">
            <v>0125</v>
          </cell>
          <cell r="F3382" t="str">
            <v>C1</v>
          </cell>
          <cell r="G3382" t="str">
            <v>SP</v>
          </cell>
          <cell r="H3382" t="str">
            <v>DISTRIBUIÇÃO</v>
          </cell>
          <cell r="I3382" t="str">
            <v>FOOD SERVICE</v>
          </cell>
          <cell r="J3382" t="str">
            <v>GUILHERME NASCIMENTO</v>
          </cell>
          <cell r="K3382" t="str">
            <v>ITAMBÉ</v>
          </cell>
          <cell r="L3382" t="str">
            <v>RODRIGO</v>
          </cell>
          <cell r="M3382" t="str">
            <v>ALEXANDRO</v>
          </cell>
        </row>
        <row r="3383">
          <cell r="B3383">
            <v>5017576</v>
          </cell>
          <cell r="C3383" t="str">
            <v>COMERCIAL DISKPAN LTDA</v>
          </cell>
          <cell r="D3383" t="str">
            <v>6001</v>
          </cell>
          <cell r="E3383" t="str">
            <v>0169</v>
          </cell>
          <cell r="F3383" t="str">
            <v>C1</v>
          </cell>
          <cell r="G3383" t="str">
            <v>ES</v>
          </cell>
          <cell r="H3383" t="str">
            <v>DISTRIBUIÇÃO</v>
          </cell>
          <cell r="I3383" t="str">
            <v>FOOD SERVICE</v>
          </cell>
          <cell r="J3383" t="str">
            <v>MARCELO DUARTE</v>
          </cell>
          <cell r="K3383" t="str">
            <v>ITAMBÉ</v>
          </cell>
          <cell r="L3383" t="str">
            <v>RODRIGO</v>
          </cell>
          <cell r="M3383" t="str">
            <v>JESSICA</v>
          </cell>
        </row>
        <row r="3384">
          <cell r="B3384">
            <v>5019126</v>
          </cell>
          <cell r="C3384" t="str">
            <v>ROCHA PAN INDUSTRIA E COMERCIO LTDA</v>
          </cell>
          <cell r="D3384" t="str">
            <v>6001</v>
          </cell>
          <cell r="E3384" t="str">
            <v>0125</v>
          </cell>
          <cell r="F3384" t="str">
            <v>C1</v>
          </cell>
          <cell r="G3384" t="str">
            <v>SP</v>
          </cell>
          <cell r="H3384" t="str">
            <v>DISTRIBUIÇÃO</v>
          </cell>
          <cell r="I3384" t="str">
            <v>FOOD SERVICE</v>
          </cell>
          <cell r="J3384" t="str">
            <v>VAGO SP</v>
          </cell>
          <cell r="K3384" t="str">
            <v>ITAMBÉ</v>
          </cell>
          <cell r="L3384" t="str">
            <v>RODRIGO</v>
          </cell>
          <cell r="M3384" t="str">
            <v>RAQUEL BARBOSA</v>
          </cell>
        </row>
        <row r="3385">
          <cell r="B3385">
            <v>5019640</v>
          </cell>
          <cell r="C3385" t="str">
            <v>BIG CHURROS DE PIRACICABA LTDA</v>
          </cell>
          <cell r="D3385" t="str">
            <v>6001</v>
          </cell>
          <cell r="E3385" t="str">
            <v>0125</v>
          </cell>
          <cell r="F3385" t="str">
            <v>C1</v>
          </cell>
          <cell r="G3385" t="str">
            <v>SP</v>
          </cell>
          <cell r="H3385" t="str">
            <v>INGREDIENTS</v>
          </cell>
          <cell r="I3385" t="str">
            <v>INGREDIENTS</v>
          </cell>
          <cell r="J3385" t="str">
            <v>HENRIQUE FERREIRA</v>
          </cell>
          <cell r="K3385" t="str">
            <v>ITAMBÉ</v>
          </cell>
          <cell r="L3385" t="str">
            <v>MAURICIO</v>
          </cell>
          <cell r="M3385" t="str">
            <v>JOEL</v>
          </cell>
        </row>
        <row r="3386">
          <cell r="B3386">
            <v>5020319</v>
          </cell>
          <cell r="C3386" t="str">
            <v>SOST IND E COM DE ALIMENTOS EIRELI</v>
          </cell>
          <cell r="D3386" t="str">
            <v>6001</v>
          </cell>
          <cell r="E3386" t="str">
            <v>0127</v>
          </cell>
          <cell r="F3386" t="str">
            <v>C1</v>
          </cell>
          <cell r="G3386" t="str">
            <v>BA</v>
          </cell>
          <cell r="H3386" t="str">
            <v>DISTRIBUIÇÃO</v>
          </cell>
          <cell r="I3386" t="str">
            <v>FOOD SERVICE</v>
          </cell>
          <cell r="J3386" t="str">
            <v>CLAUDIO JORGE/LUIZ</v>
          </cell>
          <cell r="K3386" t="str">
            <v>ITAMBÉ</v>
          </cell>
          <cell r="L3386" t="str">
            <v>RODRIGO</v>
          </cell>
          <cell r="M3386" t="str">
            <v>MARIA LOURDES</v>
          </cell>
        </row>
        <row r="3387">
          <cell r="B3387">
            <v>5020347</v>
          </cell>
          <cell r="C3387" t="str">
            <v>SVP COMERCIO DE ALIMENTOS LTDA</v>
          </cell>
          <cell r="D3387" t="str">
            <v>6001</v>
          </cell>
          <cell r="E3387" t="str">
            <v>0125</v>
          </cell>
          <cell r="F3387" t="str">
            <v>C1</v>
          </cell>
          <cell r="G3387" t="str">
            <v>SP</v>
          </cell>
          <cell r="H3387" t="str">
            <v>DISTRIBUIÇÃO</v>
          </cell>
          <cell r="I3387" t="str">
            <v>FOOD SERVICE</v>
          </cell>
          <cell r="J3387" t="str">
            <v>GUILHERME NASCIMENTO</v>
          </cell>
          <cell r="K3387" t="str">
            <v>ITAMBÉ</v>
          </cell>
          <cell r="L3387" t="str">
            <v>RODRIGO</v>
          </cell>
          <cell r="M3387" t="str">
            <v>ALEXANDRO</v>
          </cell>
        </row>
        <row r="3388">
          <cell r="B3388">
            <v>5020352</v>
          </cell>
          <cell r="C3388" t="str">
            <v>SPAN VALE COM DE PROD ALIM LTDA</v>
          </cell>
          <cell r="D3388" t="str">
            <v>6001</v>
          </cell>
          <cell r="E3388" t="str">
            <v>0125</v>
          </cell>
          <cell r="F3388" t="str">
            <v>C1</v>
          </cell>
          <cell r="G3388" t="str">
            <v>SP</v>
          </cell>
          <cell r="H3388" t="str">
            <v>DISTRIBUIÇÃO</v>
          </cell>
          <cell r="I3388" t="str">
            <v>FOOD SERVICE</v>
          </cell>
          <cell r="J3388" t="str">
            <v>GUILHERME NASCIMENTO</v>
          </cell>
          <cell r="K3388" t="str">
            <v>ITAMBÉ</v>
          </cell>
          <cell r="L3388" t="str">
            <v>RODRIGO</v>
          </cell>
          <cell r="M3388" t="str">
            <v>ALEXANDRO</v>
          </cell>
        </row>
        <row r="3389">
          <cell r="B3389">
            <v>5023334</v>
          </cell>
          <cell r="C3389" t="str">
            <v>S P PRODUTOS LTDA</v>
          </cell>
          <cell r="D3389" t="str">
            <v>6001</v>
          </cell>
          <cell r="E3389" t="str">
            <v>0169</v>
          </cell>
          <cell r="F3389" t="str">
            <v>C1</v>
          </cell>
          <cell r="G3389" t="str">
            <v>ES</v>
          </cell>
          <cell r="H3389" t="str">
            <v>DISTRIBUIÇÃO</v>
          </cell>
          <cell r="I3389" t="str">
            <v>FOOD SERVICE</v>
          </cell>
          <cell r="J3389" t="str">
            <v>MARCELO DUARTE</v>
          </cell>
          <cell r="K3389" t="str">
            <v>ITAMBÉ</v>
          </cell>
          <cell r="L3389" t="str">
            <v>RODRIGO</v>
          </cell>
          <cell r="M3389" t="str">
            <v>JESSICA</v>
          </cell>
        </row>
        <row r="3390">
          <cell r="B3390">
            <v>5023770</v>
          </cell>
          <cell r="C3390" t="str">
            <v>SOLMAR DIST DE ALIMENTOS LTDA</v>
          </cell>
          <cell r="D3390" t="str">
            <v>6001</v>
          </cell>
          <cell r="E3390" t="str">
            <v>0127</v>
          </cell>
          <cell r="F3390" t="str">
            <v>C1</v>
          </cell>
          <cell r="G3390" t="str">
            <v>CE</v>
          </cell>
          <cell r="H3390" t="str">
            <v>DISTRIBUIÇÃO</v>
          </cell>
          <cell r="I3390" t="str">
            <v>FOOD SERVICE</v>
          </cell>
          <cell r="J3390" t="str">
            <v>WH FOOD SERVICE CE</v>
          </cell>
          <cell r="K3390" t="str">
            <v>ITAMBÉ</v>
          </cell>
          <cell r="L3390" t="str">
            <v>RODRIGO</v>
          </cell>
          <cell r="M3390" t="str">
            <v>MARIA LOURDES</v>
          </cell>
        </row>
        <row r="3391">
          <cell r="B3391">
            <v>5023831</v>
          </cell>
          <cell r="C3391" t="str">
            <v>DORIVALI COM DIST DE PROD ALIM LTDA</v>
          </cell>
          <cell r="D3391" t="str">
            <v>6001</v>
          </cell>
          <cell r="E3391" t="str">
            <v>0125</v>
          </cell>
          <cell r="F3391" t="str">
            <v>C1</v>
          </cell>
          <cell r="G3391" t="str">
            <v>SP</v>
          </cell>
          <cell r="H3391" t="str">
            <v>DISTRIBUIÇÃO</v>
          </cell>
          <cell r="I3391" t="str">
            <v>FOOD SERVICE</v>
          </cell>
          <cell r="J3391" t="str">
            <v>VAGO SP</v>
          </cell>
          <cell r="K3391" t="str">
            <v>ITAMBÉ</v>
          </cell>
          <cell r="L3391" t="str">
            <v>RODRIGO</v>
          </cell>
          <cell r="M3391" t="str">
            <v>RAQUEL BARBOSA</v>
          </cell>
        </row>
        <row r="3392">
          <cell r="B3392">
            <v>5024011</v>
          </cell>
          <cell r="C3392" t="str">
            <v>M C MORAES ME</v>
          </cell>
          <cell r="D3392" t="str">
            <v>6001</v>
          </cell>
          <cell r="E3392" t="str">
            <v>0169</v>
          </cell>
          <cell r="F3392" t="str">
            <v>C1</v>
          </cell>
          <cell r="G3392" t="str">
            <v>ES</v>
          </cell>
          <cell r="H3392" t="str">
            <v>DISTRIBUIÇÃO</v>
          </cell>
          <cell r="I3392" t="str">
            <v>FOOD SERVICE</v>
          </cell>
          <cell r="J3392" t="str">
            <v>MARCELO DUARTE</v>
          </cell>
          <cell r="K3392" t="str">
            <v>ITAMBÉ</v>
          </cell>
          <cell r="L3392" t="str">
            <v>RODRIGO</v>
          </cell>
          <cell r="M3392" t="str">
            <v>JESSICA</v>
          </cell>
        </row>
        <row r="3393">
          <cell r="B3393">
            <v>5026399</v>
          </cell>
          <cell r="C3393" t="str">
            <v>RIO QUALITY COMERCIO DE ALIMENTOS</v>
          </cell>
          <cell r="D3393" t="str">
            <v>6001</v>
          </cell>
          <cell r="E3393" t="str">
            <v>0169</v>
          </cell>
          <cell r="F3393" t="str">
            <v>C1</v>
          </cell>
          <cell r="G3393" t="str">
            <v>RJ</v>
          </cell>
          <cell r="H3393" t="str">
            <v>DISTRIBUIÇÃO</v>
          </cell>
          <cell r="I3393" t="str">
            <v>FOOD SERVICE</v>
          </cell>
          <cell r="J3393" t="str">
            <v>JESSICA CARLA</v>
          </cell>
          <cell r="K3393" t="str">
            <v>ITAMBÉ</v>
          </cell>
          <cell r="L3393" t="str">
            <v>RODRIGO</v>
          </cell>
          <cell r="M3393" t="str">
            <v>JESSICA</v>
          </cell>
        </row>
        <row r="3394">
          <cell r="B3394">
            <v>5026768</v>
          </cell>
          <cell r="C3394" t="str">
            <v>FORTALI DIST DE ALIMENTOS LTDA</v>
          </cell>
          <cell r="D3394" t="str">
            <v>6001</v>
          </cell>
          <cell r="E3394" t="str">
            <v>0127</v>
          </cell>
          <cell r="F3394" t="str">
            <v>C1</v>
          </cell>
          <cell r="G3394" t="str">
            <v>CE</v>
          </cell>
          <cell r="H3394" t="str">
            <v>DISTRIBUIÇÃO</v>
          </cell>
          <cell r="I3394" t="str">
            <v>FOOD SERVICE</v>
          </cell>
          <cell r="J3394" t="str">
            <v>WH FOOD SERVICE CE</v>
          </cell>
          <cell r="K3394" t="str">
            <v>ITAMBÉ</v>
          </cell>
          <cell r="L3394" t="str">
            <v>RODRIGO</v>
          </cell>
          <cell r="M3394" t="str">
            <v>MARIA LOURDES</v>
          </cell>
        </row>
        <row r="3395">
          <cell r="B3395">
            <v>5028457</v>
          </cell>
          <cell r="C3395" t="str">
            <v>F L EMBALAGENS LTDA</v>
          </cell>
          <cell r="D3395" t="str">
            <v>6001</v>
          </cell>
          <cell r="E3395" t="str">
            <v>0169</v>
          </cell>
          <cell r="F3395" t="str">
            <v>C1</v>
          </cell>
          <cell r="G3395" t="str">
            <v>ES</v>
          </cell>
          <cell r="H3395" t="str">
            <v>DISTRIBUIÇÃO</v>
          </cell>
          <cell r="I3395" t="str">
            <v>FOOD SERVICE</v>
          </cell>
          <cell r="J3395" t="str">
            <v>MARCELO DUARTE</v>
          </cell>
          <cell r="K3395" t="str">
            <v>ITAMBÉ</v>
          </cell>
          <cell r="L3395" t="str">
            <v>RODRIGO</v>
          </cell>
          <cell r="M3395" t="str">
            <v>JESSICA</v>
          </cell>
        </row>
        <row r="3396">
          <cell r="B3396">
            <v>5031156</v>
          </cell>
          <cell r="C3396" t="str">
            <v>SIRLEI MENDES DE OLIVEIRA</v>
          </cell>
          <cell r="D3396" t="str">
            <v>6001</v>
          </cell>
          <cell r="E3396" t="str">
            <v>0125</v>
          </cell>
          <cell r="F3396" t="str">
            <v>C1</v>
          </cell>
          <cell r="G3396" t="str">
            <v>SP</v>
          </cell>
          <cell r="H3396" t="str">
            <v>DISTRIBUIÇÃO</v>
          </cell>
          <cell r="I3396" t="str">
            <v>FOOD SERVICE</v>
          </cell>
          <cell r="J3396" t="str">
            <v>SP ITB FS FLAC REP.E COMERCIO</v>
          </cell>
          <cell r="K3396" t="str">
            <v>ITAMBÉ</v>
          </cell>
          <cell r="L3396" t="str">
            <v>RODRIGO</v>
          </cell>
          <cell r="M3396" t="str">
            <v>RAQUEL BARBOSA</v>
          </cell>
        </row>
        <row r="3397">
          <cell r="B3397">
            <v>5032480</v>
          </cell>
          <cell r="C3397" t="str">
            <v>ATACADO E DISTRIBUIDORA MARITER</v>
          </cell>
          <cell r="D3397" t="str">
            <v>6001</v>
          </cell>
          <cell r="E3397" t="str">
            <v>0169</v>
          </cell>
          <cell r="F3397" t="str">
            <v>C1</v>
          </cell>
          <cell r="G3397" t="str">
            <v>ES</v>
          </cell>
          <cell r="H3397" t="str">
            <v>DISTRIBUIÇÃO</v>
          </cell>
          <cell r="I3397" t="str">
            <v>FOOD SERVICE</v>
          </cell>
          <cell r="J3397" t="str">
            <v>MARCELO DUARTE</v>
          </cell>
          <cell r="K3397" t="str">
            <v>ITAMBÉ</v>
          </cell>
          <cell r="L3397" t="str">
            <v>RODRIGO</v>
          </cell>
          <cell r="M3397" t="str">
            <v>JESSICA</v>
          </cell>
        </row>
        <row r="3398">
          <cell r="B3398">
            <v>5033323</v>
          </cell>
          <cell r="C3398" t="str">
            <v>SORVESHOPES COMERCIAL LTDA</v>
          </cell>
          <cell r="D3398" t="str">
            <v>6001</v>
          </cell>
          <cell r="E3398" t="str">
            <v>0028</v>
          </cell>
          <cell r="F3398" t="str">
            <v>C1</v>
          </cell>
          <cell r="G3398" t="str">
            <v>ES</v>
          </cell>
          <cell r="H3398" t="str">
            <v>DISTRIBUIÇÃO</v>
          </cell>
          <cell r="I3398" t="str">
            <v>FOOD SERVICE</v>
          </cell>
          <cell r="J3398" t="str">
            <v>MARCELO DUARTE</v>
          </cell>
          <cell r="K3398" t="str">
            <v>ITAMBÉ</v>
          </cell>
          <cell r="L3398" t="str">
            <v>RODRIGO</v>
          </cell>
          <cell r="M3398" t="str">
            <v>JESSICA</v>
          </cell>
        </row>
        <row r="3399">
          <cell r="B3399">
            <v>5038591</v>
          </cell>
          <cell r="C3399" t="str">
            <v>TRIGAL IMP EXP PROD ALIM LTDA</v>
          </cell>
          <cell r="D3399" t="str">
            <v>6001</v>
          </cell>
          <cell r="E3399" t="str">
            <v>0127</v>
          </cell>
          <cell r="F3399" t="str">
            <v>C1</v>
          </cell>
          <cell r="G3399" t="str">
            <v>BA</v>
          </cell>
          <cell r="H3399" t="str">
            <v>DISTRIBUIÇÃO</v>
          </cell>
          <cell r="I3399" t="str">
            <v>FOOD SERVICE</v>
          </cell>
          <cell r="J3399" t="str">
            <v>CLAUDIO JORGE/LUIZ</v>
          </cell>
          <cell r="K3399" t="str">
            <v>ITAMBÉ</v>
          </cell>
          <cell r="L3399" t="str">
            <v>RODRIGO</v>
          </cell>
          <cell r="M3399" t="str">
            <v>MARIA LOURDES</v>
          </cell>
        </row>
        <row r="3400">
          <cell r="B3400">
            <v>5040108</v>
          </cell>
          <cell r="C3400" t="str">
            <v>CCN COMERCIO CENTRO NORTE ALIM LTDA</v>
          </cell>
          <cell r="D3400" t="str">
            <v>6001</v>
          </cell>
          <cell r="E3400" t="str">
            <v>0169</v>
          </cell>
          <cell r="F3400" t="str">
            <v>C1</v>
          </cell>
          <cell r="G3400" t="str">
            <v>RJ</v>
          </cell>
          <cell r="H3400" t="str">
            <v>DISTRIBUIÇÃO</v>
          </cell>
          <cell r="I3400" t="str">
            <v>FOOD SERVICE</v>
          </cell>
          <cell r="J3400" t="str">
            <v>CLAUDIO JORGE</v>
          </cell>
          <cell r="K3400" t="str">
            <v>ITAMBÉ</v>
          </cell>
          <cell r="L3400" t="str">
            <v>RODRIGO</v>
          </cell>
          <cell r="M3400" t="str">
            <v>JESSICA</v>
          </cell>
        </row>
        <row r="3401">
          <cell r="B3401">
            <v>5045012</v>
          </cell>
          <cell r="C3401" t="str">
            <v>BEBIDAS NOVA ENGENHOCA EILERI</v>
          </cell>
          <cell r="D3401" t="str">
            <v>6001</v>
          </cell>
          <cell r="E3401" t="str">
            <v>0125</v>
          </cell>
          <cell r="F3401" t="str">
            <v>C1</v>
          </cell>
          <cell r="G3401" t="str">
            <v>SP</v>
          </cell>
          <cell r="H3401" t="str">
            <v>INGREDIENTS</v>
          </cell>
          <cell r="I3401" t="str">
            <v>INGREDIENTS</v>
          </cell>
          <cell r="J3401" t="str">
            <v>TATIANA NITTA</v>
          </cell>
          <cell r="K3401" t="str">
            <v>ITAMBÉ</v>
          </cell>
          <cell r="L3401" t="str">
            <v>MAURICIO</v>
          </cell>
          <cell r="M3401" t="str">
            <v>TATIANA NITTA</v>
          </cell>
        </row>
        <row r="3402">
          <cell r="B3402">
            <v>5058881</v>
          </cell>
          <cell r="C3402" t="str">
            <v>GR SERVICOS E ALIMENTACAO LTDA</v>
          </cell>
          <cell r="D3402" t="str">
            <v>6001</v>
          </cell>
          <cell r="E3402" t="str">
            <v>0028</v>
          </cell>
          <cell r="F3402" t="str">
            <v>C1</v>
          </cell>
          <cell r="G3402" t="str">
            <v>SP</v>
          </cell>
          <cell r="H3402" t="str">
            <v>QSR</v>
          </cell>
          <cell r="I3402" t="str">
            <v>FOOD SERVICE</v>
          </cell>
          <cell r="J3402" t="str">
            <v>NUTRI</v>
          </cell>
          <cell r="K3402" t="str">
            <v>ITAMBÉ</v>
          </cell>
          <cell r="L3402" t="str">
            <v>PEDRO</v>
          </cell>
          <cell r="M3402" t="str">
            <v>VAGO QSR</v>
          </cell>
        </row>
        <row r="3403">
          <cell r="B3403">
            <v>5059971</v>
          </cell>
          <cell r="C3403" t="str">
            <v>GATE GOURMET LT</v>
          </cell>
          <cell r="D3403" t="str">
            <v>6001</v>
          </cell>
          <cell r="E3403" t="str">
            <v>0125</v>
          </cell>
          <cell r="F3403" t="str">
            <v>C1</v>
          </cell>
          <cell r="G3403" t="str">
            <v>SP</v>
          </cell>
          <cell r="H3403" t="str">
            <v>QSR</v>
          </cell>
          <cell r="I3403" t="str">
            <v>FOOD SERVICE</v>
          </cell>
          <cell r="J3403" t="str">
            <v>ANA MENIQUETE</v>
          </cell>
          <cell r="K3403" t="str">
            <v>ITAMBÉ</v>
          </cell>
          <cell r="L3403" t="str">
            <v>PEDRO</v>
          </cell>
          <cell r="M3403" t="str">
            <v>ANA MENIQUETE</v>
          </cell>
        </row>
        <row r="3404">
          <cell r="B3404">
            <v>5070522</v>
          </cell>
          <cell r="C3404" t="str">
            <v>WEA COM DE PROD DE PANIF LTDA</v>
          </cell>
          <cell r="D3404" t="str">
            <v>6001</v>
          </cell>
          <cell r="E3404" t="str">
            <v>0125</v>
          </cell>
          <cell r="F3404" t="str">
            <v>C1</v>
          </cell>
          <cell r="G3404" t="str">
            <v>SP</v>
          </cell>
          <cell r="H3404" t="str">
            <v>DISTRIBUIÇÃO</v>
          </cell>
          <cell r="I3404" t="str">
            <v>FOOD SERVICE</v>
          </cell>
          <cell r="J3404" t="str">
            <v>GUILHERME NASCIMENTO</v>
          </cell>
          <cell r="K3404" t="str">
            <v>ITAMBÉ</v>
          </cell>
          <cell r="L3404" t="str">
            <v>RODRIGO</v>
          </cell>
          <cell r="M3404" t="str">
            <v>ALEXANDRO</v>
          </cell>
        </row>
        <row r="3405">
          <cell r="B3405">
            <v>5077852</v>
          </cell>
          <cell r="C3405" t="str">
            <v>RODRIGO FITZGERALD LUPIANHES</v>
          </cell>
          <cell r="D3405" t="str">
            <v>6001</v>
          </cell>
          <cell r="E3405" t="str">
            <v>0125</v>
          </cell>
          <cell r="F3405" t="str">
            <v>C1</v>
          </cell>
          <cell r="G3405" t="str">
            <v>SP</v>
          </cell>
          <cell r="H3405" t="str">
            <v>DISTRIBUIÇÃO</v>
          </cell>
          <cell r="I3405" t="str">
            <v>FOOD SERVICE</v>
          </cell>
          <cell r="J3405" t="str">
            <v>ALEXANDRE BONANI</v>
          </cell>
          <cell r="K3405" t="str">
            <v>ITAMBÉ</v>
          </cell>
          <cell r="L3405" t="str">
            <v>RODRIGO</v>
          </cell>
          <cell r="M3405" t="str">
            <v>ALEXANDRE BONANI</v>
          </cell>
        </row>
        <row r="3406">
          <cell r="B3406">
            <v>5083008</v>
          </cell>
          <cell r="C3406" t="str">
            <v>ADRIPAN PRODUTOS PARA PANIFICACAO L</v>
          </cell>
          <cell r="D3406" t="str">
            <v>6001</v>
          </cell>
          <cell r="E3406" t="str">
            <v>0125</v>
          </cell>
          <cell r="F3406" t="str">
            <v>C1</v>
          </cell>
          <cell r="G3406" t="str">
            <v>SP</v>
          </cell>
          <cell r="H3406" t="str">
            <v>DISTRIBUIÇÃO</v>
          </cell>
          <cell r="I3406" t="str">
            <v>FOOD SERVICE</v>
          </cell>
          <cell r="J3406" t="str">
            <v>ALEXANDRE BONANI</v>
          </cell>
          <cell r="K3406" t="str">
            <v>ITAMBÉ</v>
          </cell>
          <cell r="L3406" t="str">
            <v>RODRIGO</v>
          </cell>
          <cell r="M3406" t="str">
            <v>ALEXANDRE BONANI</v>
          </cell>
        </row>
        <row r="3407">
          <cell r="B3407">
            <v>5083201</v>
          </cell>
          <cell r="C3407" t="str">
            <v>SILVA BRAGA COML DE ALIMENTOS LTDA</v>
          </cell>
          <cell r="D3407" t="str">
            <v>6001</v>
          </cell>
          <cell r="E3407" t="str">
            <v>0127</v>
          </cell>
          <cell r="F3407" t="str">
            <v>C1</v>
          </cell>
          <cell r="G3407" t="str">
            <v>CE</v>
          </cell>
          <cell r="H3407" t="str">
            <v>DISTRIBUIÇÃO</v>
          </cell>
          <cell r="I3407" t="str">
            <v>FOOD SERVICE</v>
          </cell>
          <cell r="J3407" t="str">
            <v>WH FOOD SERVICE CE</v>
          </cell>
          <cell r="K3407" t="str">
            <v>ITAMBÉ</v>
          </cell>
          <cell r="L3407" t="str">
            <v>RODRIGO</v>
          </cell>
          <cell r="M3407" t="str">
            <v>MARIA LOURDES</v>
          </cell>
        </row>
        <row r="3408">
          <cell r="B3408">
            <v>5105392</v>
          </cell>
          <cell r="C3408" t="str">
            <v>PEC COM DE DOCES E ORG DE FESTAS LT</v>
          </cell>
          <cell r="D3408" t="str">
            <v>6001</v>
          </cell>
          <cell r="E3408" t="str">
            <v>0125</v>
          </cell>
          <cell r="F3408" t="str">
            <v>C1</v>
          </cell>
          <cell r="G3408" t="str">
            <v>SP</v>
          </cell>
          <cell r="H3408" t="str">
            <v>DISTRIBUIÇÃO</v>
          </cell>
          <cell r="I3408" t="str">
            <v>FOOD SERVICE</v>
          </cell>
          <cell r="J3408" t="str">
            <v>SP ITB FS FLAC REP.E COMERCIO</v>
          </cell>
          <cell r="K3408" t="str">
            <v>ITAMBÉ</v>
          </cell>
          <cell r="L3408" t="str">
            <v>RODRIGO</v>
          </cell>
          <cell r="M3408" t="str">
            <v>RAQUEL BARBOSA</v>
          </cell>
        </row>
        <row r="3409">
          <cell r="B3409">
            <v>5105940</v>
          </cell>
          <cell r="C3409" t="str">
            <v>MERCANTIL PRIMAR LTDA</v>
          </cell>
          <cell r="D3409" t="str">
            <v>6001</v>
          </cell>
          <cell r="E3409" t="str">
            <v>0125</v>
          </cell>
          <cell r="F3409" t="str">
            <v>C1</v>
          </cell>
          <cell r="G3409" t="str">
            <v>SP</v>
          </cell>
          <cell r="H3409" t="str">
            <v>DISTRIBUIÇÃO</v>
          </cell>
          <cell r="I3409" t="str">
            <v>FOOD SERVICE</v>
          </cell>
          <cell r="J3409" t="str">
            <v>VAGO SP</v>
          </cell>
          <cell r="K3409" t="str">
            <v>ITAMBÉ</v>
          </cell>
          <cell r="L3409" t="str">
            <v>RODRIGO</v>
          </cell>
          <cell r="M3409" t="str">
            <v>RAQUEL BARBOSA</v>
          </cell>
        </row>
        <row r="3410">
          <cell r="B3410">
            <v>5107112</v>
          </cell>
          <cell r="C3410" t="str">
            <v>MACPAN COM E DIST DE PROD ALIM LT M</v>
          </cell>
          <cell r="D3410" t="str">
            <v>6001</v>
          </cell>
          <cell r="E3410" t="str">
            <v>0125</v>
          </cell>
          <cell r="F3410" t="str">
            <v>C1</v>
          </cell>
          <cell r="G3410" t="str">
            <v>SP</v>
          </cell>
          <cell r="H3410" t="str">
            <v>DISTRIBUIÇÃO</v>
          </cell>
          <cell r="I3410" t="str">
            <v>FOOD SERVICE</v>
          </cell>
          <cell r="J3410" t="str">
            <v>GUILHERME NASCIMENTO</v>
          </cell>
          <cell r="K3410" t="str">
            <v>ITAMBÉ</v>
          </cell>
          <cell r="L3410" t="str">
            <v>RODRIGO</v>
          </cell>
          <cell r="M3410" t="str">
            <v>ALEXANDRO</v>
          </cell>
        </row>
        <row r="3411">
          <cell r="B3411">
            <v>5109334</v>
          </cell>
          <cell r="C3411" t="str">
            <v>CENTRAL OSASCO DIST ALIM E BEBI</v>
          </cell>
          <cell r="D3411" t="str">
            <v>6001</v>
          </cell>
          <cell r="E3411" t="str">
            <v>0125</v>
          </cell>
          <cell r="F3411" t="str">
            <v>C1</v>
          </cell>
          <cell r="G3411" t="str">
            <v>SP</v>
          </cell>
          <cell r="H3411" t="str">
            <v>DISTRIBUIÇÃO</v>
          </cell>
          <cell r="I3411" t="str">
            <v>FOOD SERVICE</v>
          </cell>
          <cell r="J3411" t="str">
            <v>SP ITB FS FLAC REP.E COMERCIO</v>
          </cell>
          <cell r="K3411" t="str">
            <v>ITAMBÉ</v>
          </cell>
          <cell r="L3411" t="str">
            <v>RODRIGO</v>
          </cell>
          <cell r="M3411" t="str">
            <v>RAQUEL BARBOSA</v>
          </cell>
        </row>
        <row r="3412">
          <cell r="B3412">
            <v>5109656</v>
          </cell>
          <cell r="C3412" t="str">
            <v>RIBERFOODS PRODUTOS ALIMENTICIOS LT</v>
          </cell>
          <cell r="D3412" t="str">
            <v>6001</v>
          </cell>
          <cell r="E3412" t="str">
            <v>0125</v>
          </cell>
          <cell r="F3412" t="str">
            <v>C1</v>
          </cell>
          <cell r="G3412" t="str">
            <v>SP</v>
          </cell>
          <cell r="H3412" t="str">
            <v>DISTRIBUIÇÃO</v>
          </cell>
          <cell r="I3412" t="str">
            <v>FOOD SERVICE</v>
          </cell>
          <cell r="J3412" t="str">
            <v>ALEXANDRE BONANI</v>
          </cell>
          <cell r="K3412" t="str">
            <v>ITAMBÉ</v>
          </cell>
          <cell r="L3412" t="str">
            <v>RODRIGO</v>
          </cell>
          <cell r="M3412" t="str">
            <v>ALEXANDRE BONANI</v>
          </cell>
        </row>
        <row r="3413">
          <cell r="B3413">
            <v>5109682</v>
          </cell>
          <cell r="C3413" t="str">
            <v>FERPEREZ COMERCIO DE ALIMENTOS</v>
          </cell>
          <cell r="D3413" t="str">
            <v>6001</v>
          </cell>
          <cell r="E3413" t="str">
            <v>0125</v>
          </cell>
          <cell r="F3413" t="str">
            <v>C1</v>
          </cell>
          <cell r="G3413" t="str">
            <v>SP</v>
          </cell>
          <cell r="H3413" t="str">
            <v>DISTRIBUIÇÃO</v>
          </cell>
          <cell r="I3413" t="str">
            <v>FOOD SERVICE</v>
          </cell>
          <cell r="J3413" t="str">
            <v>VAGO SP</v>
          </cell>
          <cell r="K3413" t="str">
            <v>ITAMBÉ</v>
          </cell>
          <cell r="L3413" t="str">
            <v>RODRIGO</v>
          </cell>
          <cell r="M3413" t="str">
            <v>RAQUEL BARBOSA</v>
          </cell>
        </row>
        <row r="3414">
          <cell r="B3414">
            <v>5110498</v>
          </cell>
          <cell r="C3414" t="str">
            <v>ZANEPAN COM ATAC DE GENEROS ALIM EI</v>
          </cell>
          <cell r="D3414" t="str">
            <v>6001</v>
          </cell>
          <cell r="E3414" t="str">
            <v>0169</v>
          </cell>
          <cell r="F3414" t="str">
            <v>C1</v>
          </cell>
          <cell r="G3414" t="str">
            <v>ES</v>
          </cell>
          <cell r="H3414" t="str">
            <v>DISTRIBUIÇÃO</v>
          </cell>
          <cell r="I3414" t="str">
            <v>FOOD SERVICE</v>
          </cell>
          <cell r="J3414" t="str">
            <v>MARCELO DUARTE</v>
          </cell>
          <cell r="K3414" t="str">
            <v>ITAMBÉ</v>
          </cell>
          <cell r="L3414" t="str">
            <v>RODRIGO</v>
          </cell>
          <cell r="M3414" t="str">
            <v>JESSICA</v>
          </cell>
        </row>
        <row r="3415">
          <cell r="B3415">
            <v>5110662</v>
          </cell>
          <cell r="C3415" t="str">
            <v>CANELA E CIA RESTAURANTE LTDA</v>
          </cell>
          <cell r="D3415" t="str">
            <v>6001</v>
          </cell>
          <cell r="E3415" t="str">
            <v>0127</v>
          </cell>
          <cell r="F3415" t="str">
            <v>C1</v>
          </cell>
          <cell r="G3415" t="str">
            <v>BA</v>
          </cell>
          <cell r="H3415" t="str">
            <v>DISTRIBUIÇÃO</v>
          </cell>
          <cell r="I3415" t="str">
            <v>FOOD SERVICE</v>
          </cell>
          <cell r="J3415" t="str">
            <v>CLAUDIO JORGE/LUIZ</v>
          </cell>
          <cell r="K3415" t="str">
            <v>ITAMBÉ</v>
          </cell>
          <cell r="L3415" t="str">
            <v>RODRIGO</v>
          </cell>
          <cell r="M3415" t="str">
            <v>MARIA LOURDES</v>
          </cell>
        </row>
        <row r="3416">
          <cell r="B3416">
            <v>5111398</v>
          </cell>
          <cell r="C3416" t="str">
            <v>SCANIA LATIN AMERICA LTDA</v>
          </cell>
          <cell r="D3416" t="str">
            <v>6001</v>
          </cell>
          <cell r="E3416" t="str">
            <v>0125</v>
          </cell>
          <cell r="F3416" t="str">
            <v>C1</v>
          </cell>
          <cell r="G3416" t="str">
            <v>SP</v>
          </cell>
          <cell r="H3416" t="str">
            <v>QSR</v>
          </cell>
          <cell r="I3416" t="str">
            <v>FOOD SERVICE</v>
          </cell>
          <cell r="J3416" t="str">
            <v>VAGO QSR</v>
          </cell>
          <cell r="K3416" t="str">
            <v>ITAMBÉ</v>
          </cell>
          <cell r="L3416" t="str">
            <v>PEDRO</v>
          </cell>
          <cell r="M3416" t="str">
            <v>VAGO QSR</v>
          </cell>
        </row>
        <row r="3417">
          <cell r="B3417">
            <v>5114387</v>
          </cell>
          <cell r="C3417" t="str">
            <v>JAQUELINI CARDOSO COSTA DA SILV</v>
          </cell>
          <cell r="D3417" t="str">
            <v>6001</v>
          </cell>
          <cell r="E3417" t="str">
            <v>0125</v>
          </cell>
          <cell r="F3417" t="str">
            <v>C1</v>
          </cell>
          <cell r="G3417" t="str">
            <v>SP</v>
          </cell>
          <cell r="H3417" t="str">
            <v>INGREDIENTS</v>
          </cell>
          <cell r="I3417" t="str">
            <v>INGREDIENTS</v>
          </cell>
          <cell r="J3417" t="str">
            <v>HENRIQUE FERREIRA</v>
          </cell>
          <cell r="K3417" t="str">
            <v>ITAMBÉ</v>
          </cell>
          <cell r="L3417" t="str">
            <v>MAURICIO</v>
          </cell>
          <cell r="M3417" t="str">
            <v>JOEL</v>
          </cell>
        </row>
        <row r="3418">
          <cell r="B3418">
            <v>5114882</v>
          </cell>
          <cell r="C3418" t="str">
            <v>SORVEDOCES IND E COM DE PROD ALIM L</v>
          </cell>
          <cell r="D3418" t="str">
            <v>6001</v>
          </cell>
          <cell r="E3418" t="str">
            <v>0169</v>
          </cell>
          <cell r="F3418" t="str">
            <v>C1</v>
          </cell>
          <cell r="G3418" t="str">
            <v>ES</v>
          </cell>
          <cell r="H3418" t="str">
            <v>DISTRIBUIÇÃO</v>
          </cell>
          <cell r="I3418" t="str">
            <v>FOOD SERVICE</v>
          </cell>
          <cell r="J3418" t="str">
            <v>MARCELO DUARTE</v>
          </cell>
          <cell r="K3418" t="str">
            <v>ITAMBÉ</v>
          </cell>
          <cell r="L3418" t="str">
            <v>RODRIGO</v>
          </cell>
          <cell r="M3418" t="str">
            <v>JESSICA</v>
          </cell>
        </row>
        <row r="3419">
          <cell r="B3419">
            <v>5115019</v>
          </cell>
          <cell r="C3419" t="str">
            <v>J ARAUJO DISTRIBUIDORA IMP E EXP SA</v>
          </cell>
          <cell r="D3419" t="str">
            <v>6001</v>
          </cell>
          <cell r="E3419" t="str">
            <v>0169</v>
          </cell>
          <cell r="F3419" t="str">
            <v>C1</v>
          </cell>
          <cell r="G3419" t="str">
            <v>RJ</v>
          </cell>
          <cell r="H3419" t="str">
            <v>DISTRIBUIÇÃO</v>
          </cell>
          <cell r="I3419" t="str">
            <v>FOOD SERVICE</v>
          </cell>
          <cell r="J3419" t="str">
            <v>JESSICA CARLA</v>
          </cell>
          <cell r="K3419" t="str">
            <v>ITAMBÉ</v>
          </cell>
          <cell r="L3419" t="str">
            <v>RODRIGO</v>
          </cell>
          <cell r="M3419" t="str">
            <v>JESSICA</v>
          </cell>
        </row>
        <row r="3420">
          <cell r="B3420">
            <v>5115814</v>
          </cell>
          <cell r="C3420" t="str">
            <v>HAND BAKER DIST DE PROD P PANIF EIR</v>
          </cell>
          <cell r="D3420" t="str">
            <v>6001</v>
          </cell>
          <cell r="E3420" t="str">
            <v>0169</v>
          </cell>
          <cell r="F3420" t="str">
            <v>C1</v>
          </cell>
          <cell r="G3420" t="str">
            <v>RJ</v>
          </cell>
          <cell r="H3420" t="str">
            <v>DISTRIBUIÇÃO</v>
          </cell>
          <cell r="I3420" t="str">
            <v>FOOD SERVICE</v>
          </cell>
          <cell r="J3420" t="str">
            <v>JULIANA CORDEIRO</v>
          </cell>
          <cell r="K3420" t="str">
            <v>ITAMBÉ</v>
          </cell>
          <cell r="L3420" t="str">
            <v>RODRIGO</v>
          </cell>
          <cell r="M3420" t="str">
            <v>JESSICA</v>
          </cell>
        </row>
        <row r="3421">
          <cell r="B3421">
            <v>5118346</v>
          </cell>
          <cell r="C3421" t="str">
            <v>CONFESPAN COMERCIO E DISTRIBUICAO L</v>
          </cell>
          <cell r="D3421" t="str">
            <v>6001</v>
          </cell>
          <cell r="E3421" t="str">
            <v>0125</v>
          </cell>
          <cell r="F3421" t="str">
            <v>C1</v>
          </cell>
          <cell r="G3421" t="str">
            <v>SP</v>
          </cell>
          <cell r="H3421" t="str">
            <v>DISTRIBUIÇÃO</v>
          </cell>
          <cell r="I3421" t="str">
            <v>FOOD SERVICE</v>
          </cell>
          <cell r="J3421" t="str">
            <v>VAGO SP</v>
          </cell>
          <cell r="K3421" t="str">
            <v>ITAMBÉ</v>
          </cell>
          <cell r="L3421" t="str">
            <v>RODRIGO</v>
          </cell>
          <cell r="M3421" t="str">
            <v>RAQUEL BARBOSA</v>
          </cell>
        </row>
        <row r="3422">
          <cell r="B3422">
            <v>5122245</v>
          </cell>
          <cell r="C3422" t="str">
            <v>NOVAMIX FOOD SERVICE COM DE ALIM LT</v>
          </cell>
          <cell r="D3422" t="str">
            <v>6001</v>
          </cell>
          <cell r="E3422" t="str">
            <v>0169</v>
          </cell>
          <cell r="F3422" t="str">
            <v>C1</v>
          </cell>
          <cell r="G3422" t="str">
            <v>RJ</v>
          </cell>
          <cell r="H3422" t="str">
            <v>DISTRIBUIÇÃO</v>
          </cell>
          <cell r="I3422" t="str">
            <v>FOOD SERVICE</v>
          </cell>
          <cell r="J3422" t="str">
            <v>JULIANA CORDEIRO</v>
          </cell>
          <cell r="K3422" t="str">
            <v>ITAMBÉ</v>
          </cell>
          <cell r="L3422" t="str">
            <v>RODRIGO</v>
          </cell>
          <cell r="M3422" t="str">
            <v>JESSICA</v>
          </cell>
        </row>
        <row r="3423">
          <cell r="B3423">
            <v>5127549</v>
          </cell>
          <cell r="C3423" t="str">
            <v>SECOMANDI IND E COM DE SORVETES LTD</v>
          </cell>
          <cell r="D3423" t="str">
            <v>6001</v>
          </cell>
          <cell r="E3423" t="str">
            <v>0122</v>
          </cell>
          <cell r="F3423" t="str">
            <v>C1</v>
          </cell>
          <cell r="G3423" t="str">
            <v>ES</v>
          </cell>
          <cell r="H3423" t="str">
            <v>INGREDIENTS</v>
          </cell>
          <cell r="I3423" t="str">
            <v>INGREDIENTS</v>
          </cell>
          <cell r="J3423" t="str">
            <v>HENRIQUE FERREIRA</v>
          </cell>
          <cell r="K3423" t="str">
            <v>ITAMBÉ</v>
          </cell>
          <cell r="L3423" t="str">
            <v>MAURICIO</v>
          </cell>
          <cell r="M3423" t="str">
            <v>JOEL</v>
          </cell>
        </row>
        <row r="3424">
          <cell r="B3424">
            <v>5130343</v>
          </cell>
          <cell r="C3424" t="str">
            <v>CDI BARRA PROD IMP E EXPORTACAO LTD</v>
          </cell>
          <cell r="D3424" t="str">
            <v>6001</v>
          </cell>
          <cell r="E3424" t="str">
            <v>0125</v>
          </cell>
          <cell r="F3424" t="str">
            <v>C1</v>
          </cell>
          <cell r="G3424" t="str">
            <v>SP</v>
          </cell>
          <cell r="H3424" t="str">
            <v>DISTRIBUIÇÃO</v>
          </cell>
          <cell r="I3424" t="str">
            <v>FOOD SERVICE</v>
          </cell>
          <cell r="J3424" t="str">
            <v>SP ITB FS FLAC REP.E COMERCIO</v>
          </cell>
          <cell r="K3424" t="str">
            <v>ITAMBÉ</v>
          </cell>
          <cell r="L3424" t="str">
            <v>RODRIGO</v>
          </cell>
          <cell r="M3424" t="str">
            <v>RAQUEL BARBOSA</v>
          </cell>
        </row>
        <row r="3425">
          <cell r="B3425">
            <v>5130738</v>
          </cell>
          <cell r="C3425" t="str">
            <v>ODAIR JOSE DA SILVA COUTO 882126105</v>
          </cell>
          <cell r="D3425" t="str">
            <v>6001</v>
          </cell>
          <cell r="E3425" t="str">
            <v>0127</v>
          </cell>
          <cell r="F3425" t="str">
            <v>C1</v>
          </cell>
          <cell r="G3425" t="str">
            <v>BA</v>
          </cell>
          <cell r="H3425" t="str">
            <v>DISTRIBUIÇÃO</v>
          </cell>
          <cell r="I3425" t="str">
            <v>FOOD SERVICE</v>
          </cell>
          <cell r="J3425" t="str">
            <v>CLAUDIO JORGE/LUIZ</v>
          </cell>
          <cell r="K3425" t="str">
            <v>ITAMBÉ</v>
          </cell>
          <cell r="L3425" t="str">
            <v>RODRIGO</v>
          </cell>
          <cell r="M3425" t="str">
            <v>MARIA LOURDES</v>
          </cell>
        </row>
        <row r="3426">
          <cell r="B3426">
            <v>5131101</v>
          </cell>
          <cell r="C3426" t="str">
            <v>GRANO NICOLETTI COM ALIM LTDA</v>
          </cell>
          <cell r="D3426" t="str">
            <v>6001</v>
          </cell>
          <cell r="E3426" t="str">
            <v>0125</v>
          </cell>
          <cell r="F3426" t="str">
            <v>C1</v>
          </cell>
          <cell r="G3426" t="str">
            <v>SP</v>
          </cell>
          <cell r="H3426" t="str">
            <v>DISTRIBUIÇÃO</v>
          </cell>
          <cell r="I3426" t="str">
            <v>FOOD SERVICE</v>
          </cell>
          <cell r="J3426" t="str">
            <v>VAGO SP</v>
          </cell>
          <cell r="K3426" t="str">
            <v>ITAMBÉ</v>
          </cell>
          <cell r="L3426" t="str">
            <v>RODRIGO</v>
          </cell>
          <cell r="M3426" t="str">
            <v>RAQUEL BARBOSA</v>
          </cell>
        </row>
        <row r="3427">
          <cell r="B3427">
            <v>5141420</v>
          </cell>
          <cell r="C3427" t="str">
            <v>UNIPAN COMERCIO DE PROD ALIM LT</v>
          </cell>
          <cell r="D3427" t="str">
            <v>6001</v>
          </cell>
          <cell r="E3427" t="str">
            <v>0123</v>
          </cell>
          <cell r="F3427" t="str">
            <v>C1</v>
          </cell>
          <cell r="G3427" t="str">
            <v>DF</v>
          </cell>
          <cell r="H3427" t="str">
            <v>DISTRIBUIÇÃO</v>
          </cell>
          <cell r="I3427" t="str">
            <v>FOOD SERVICE</v>
          </cell>
          <cell r="J3427" t="str">
            <v>CLAUDIO JORGE</v>
          </cell>
          <cell r="K3427" t="str">
            <v>ITAMBÉ</v>
          </cell>
          <cell r="L3427" t="str">
            <v>RODRIGO</v>
          </cell>
          <cell r="M3427" t="str">
            <v>MARCO AURELIO</v>
          </cell>
        </row>
        <row r="3428">
          <cell r="B3428">
            <v>5144654</v>
          </cell>
          <cell r="C3428" t="str">
            <v>SAUIPE SA</v>
          </cell>
          <cell r="D3428" t="str">
            <v>6001</v>
          </cell>
          <cell r="E3428" t="str">
            <v>0127</v>
          </cell>
          <cell r="F3428" t="str">
            <v>C1</v>
          </cell>
          <cell r="G3428" t="str">
            <v>BA</v>
          </cell>
          <cell r="H3428" t="str">
            <v>DISTRIBUIÇÃO</v>
          </cell>
          <cell r="I3428" t="str">
            <v>FOOD SERVICE</v>
          </cell>
          <cell r="J3428" t="str">
            <v>CLAUDIO JORGE/LUIZ</v>
          </cell>
          <cell r="K3428" t="str">
            <v>ITAMBÉ</v>
          </cell>
          <cell r="L3428" t="str">
            <v>RODRIGO</v>
          </cell>
          <cell r="M3428" t="str">
            <v>MARIA LOURDES</v>
          </cell>
        </row>
        <row r="3429">
          <cell r="B3429">
            <v>5147462</v>
          </cell>
          <cell r="C3429" t="str">
            <v>NOVAMIX FOOD SERV COM DE ALIM LTDA</v>
          </cell>
          <cell r="D3429" t="str">
            <v>6001</v>
          </cell>
          <cell r="E3429" t="str">
            <v>0169</v>
          </cell>
          <cell r="F3429" t="str">
            <v>C1</v>
          </cell>
          <cell r="G3429" t="str">
            <v>RJ</v>
          </cell>
          <cell r="H3429" t="str">
            <v>DISTRIBUIÇÃO</v>
          </cell>
          <cell r="I3429" t="str">
            <v>FOOD SERVICE</v>
          </cell>
          <cell r="J3429" t="str">
            <v>JULIANA CORDEIRO</v>
          </cell>
          <cell r="K3429" t="str">
            <v>ITAMBÉ</v>
          </cell>
          <cell r="L3429" t="str">
            <v>RODRIGO</v>
          </cell>
          <cell r="M3429" t="str">
            <v>JESSICA</v>
          </cell>
        </row>
        <row r="3430">
          <cell r="B3430">
            <v>5147526</v>
          </cell>
          <cell r="C3430" t="str">
            <v>SAPORE SA</v>
          </cell>
          <cell r="D3430" t="str">
            <v>6001</v>
          </cell>
          <cell r="E3430" t="str">
            <v>0028</v>
          </cell>
          <cell r="F3430" t="str">
            <v>C1</v>
          </cell>
          <cell r="G3430" t="str">
            <v>RJ</v>
          </cell>
          <cell r="H3430" t="str">
            <v>QSR</v>
          </cell>
          <cell r="I3430" t="str">
            <v>FOOD SERVICE</v>
          </cell>
          <cell r="J3430" t="str">
            <v>NUTRI</v>
          </cell>
          <cell r="K3430" t="str">
            <v>ITAMBÉ</v>
          </cell>
          <cell r="L3430" t="str">
            <v>PEDRO</v>
          </cell>
          <cell r="M3430" t="str">
            <v>VAGO QSR</v>
          </cell>
        </row>
        <row r="3431">
          <cell r="B3431">
            <v>5149985</v>
          </cell>
          <cell r="C3431" t="str">
            <v>AROUMAR DISTRIB DE PRODUTOS ALIM LT</v>
          </cell>
          <cell r="D3431" t="str">
            <v>6001</v>
          </cell>
          <cell r="E3431" t="str">
            <v>0125</v>
          </cell>
          <cell r="F3431" t="str">
            <v>C1</v>
          </cell>
          <cell r="G3431" t="str">
            <v>SP</v>
          </cell>
          <cell r="H3431" t="str">
            <v>DISTRIBUIÇÃO</v>
          </cell>
          <cell r="I3431" t="str">
            <v>FOOD SERVICE</v>
          </cell>
          <cell r="J3431" t="str">
            <v>GUILHERME NASCIMENTO</v>
          </cell>
          <cell r="K3431" t="str">
            <v>ITAMBÉ</v>
          </cell>
          <cell r="L3431" t="str">
            <v>RODRIGO</v>
          </cell>
          <cell r="M3431" t="str">
            <v>ALEXANDRO</v>
          </cell>
        </row>
        <row r="3432">
          <cell r="B3432">
            <v>5150495</v>
          </cell>
          <cell r="C3432" t="str">
            <v>CASA DE BOLOS DIST LTDA EPP</v>
          </cell>
          <cell r="D3432" t="str">
            <v>6001</v>
          </cell>
          <cell r="E3432" t="str">
            <v>0125</v>
          </cell>
          <cell r="F3432" t="str">
            <v>C1</v>
          </cell>
          <cell r="G3432" t="str">
            <v>SP</v>
          </cell>
          <cell r="H3432" t="str">
            <v>DISTRIBUIÇÃO</v>
          </cell>
          <cell r="I3432" t="str">
            <v>FOOD SERVICE</v>
          </cell>
          <cell r="J3432" t="str">
            <v>GUILHERME NASCIMENTO</v>
          </cell>
          <cell r="K3432" t="str">
            <v>ITAMBÉ</v>
          </cell>
          <cell r="L3432" t="str">
            <v>RODRIGO</v>
          </cell>
          <cell r="M3432" t="str">
            <v>ALEXANDRO</v>
          </cell>
        </row>
        <row r="3433">
          <cell r="B3433">
            <v>5157891</v>
          </cell>
          <cell r="C3433" t="str">
            <v>NOVA MEGA G ATACADISTA DE ALIM SA</v>
          </cell>
          <cell r="D3433" t="str">
            <v>6001</v>
          </cell>
          <cell r="E3433" t="str">
            <v>0169</v>
          </cell>
          <cell r="F3433" t="str">
            <v>C1</v>
          </cell>
          <cell r="G3433" t="str">
            <v>SP</v>
          </cell>
          <cell r="H3433" t="str">
            <v>DISTRIBUIÇÃO</v>
          </cell>
          <cell r="I3433" t="str">
            <v>FOOD SERVICE</v>
          </cell>
          <cell r="J3433" t="str">
            <v>RAQUEL BARBOSA</v>
          </cell>
          <cell r="K3433" t="str">
            <v>ITAMBÉ</v>
          </cell>
          <cell r="L3433" t="str">
            <v>RODRIGO</v>
          </cell>
          <cell r="M3433" t="str">
            <v>RAQUEL BARBOSA</v>
          </cell>
        </row>
        <row r="3434">
          <cell r="B3434">
            <v>5159289</v>
          </cell>
          <cell r="C3434" t="str">
            <v>FUNCHAL IND COM DE PAPEIS LT</v>
          </cell>
          <cell r="D3434" t="str">
            <v>6001</v>
          </cell>
          <cell r="E3434" t="str">
            <v>0125</v>
          </cell>
          <cell r="F3434" t="str">
            <v>C1</v>
          </cell>
          <cell r="G3434" t="str">
            <v>SP</v>
          </cell>
          <cell r="H3434" t="str">
            <v>DISTRIBUIÇÃO</v>
          </cell>
          <cell r="I3434" t="str">
            <v>FOOD SERVICE</v>
          </cell>
          <cell r="J3434" t="str">
            <v>VAGO SP</v>
          </cell>
          <cell r="K3434" t="str">
            <v>ITAMBÉ</v>
          </cell>
          <cell r="L3434" t="str">
            <v>RODRIGO</v>
          </cell>
          <cell r="M3434" t="str">
            <v>RAQUEL BARBOSA</v>
          </cell>
        </row>
        <row r="3435">
          <cell r="B3435">
            <v>5161386</v>
          </cell>
          <cell r="C3435" t="str">
            <v>TOP ALTO PARTICIPACOES E COM LTDA</v>
          </cell>
          <cell r="D3435" t="str">
            <v>6001</v>
          </cell>
          <cell r="E3435" t="str">
            <v>0169</v>
          </cell>
          <cell r="F3435" t="str">
            <v>C1</v>
          </cell>
          <cell r="G3435" t="str">
            <v>RJ</v>
          </cell>
          <cell r="H3435" t="str">
            <v>DISTRIBUIÇÃO</v>
          </cell>
          <cell r="I3435" t="str">
            <v>FOOD SERVICE</v>
          </cell>
          <cell r="J3435" t="str">
            <v>JESSICA CARLA</v>
          </cell>
          <cell r="K3435" t="str">
            <v>ITAMBÉ</v>
          </cell>
          <cell r="L3435" t="str">
            <v>RODRIGO</v>
          </cell>
          <cell r="M3435" t="str">
            <v>JESSICA</v>
          </cell>
        </row>
        <row r="3436">
          <cell r="B3436">
            <v>5161469</v>
          </cell>
          <cell r="C3436" t="str">
            <v>FORCA TOTAL DIST DE GENE ALIM L</v>
          </cell>
          <cell r="D3436" t="str">
            <v>6001</v>
          </cell>
          <cell r="E3436" t="str">
            <v>0169</v>
          </cell>
          <cell r="F3436" t="str">
            <v>C1</v>
          </cell>
          <cell r="G3436" t="str">
            <v>RJ</v>
          </cell>
          <cell r="H3436" t="str">
            <v>DISTRIBUIÇÃO</v>
          </cell>
          <cell r="I3436" t="str">
            <v>FOOD SERVICE</v>
          </cell>
          <cell r="J3436" t="str">
            <v>LUCIANA MARTINS</v>
          </cell>
          <cell r="K3436" t="str">
            <v>ITAMBÉ</v>
          </cell>
          <cell r="L3436" t="str">
            <v>RODRIGO</v>
          </cell>
          <cell r="M3436" t="str">
            <v>JESSICA</v>
          </cell>
        </row>
        <row r="3437">
          <cell r="B3437">
            <v>5161583</v>
          </cell>
          <cell r="C3437" t="str">
            <v>DOHLER AMERICA LATINA LTDA</v>
          </cell>
          <cell r="D3437" t="str">
            <v>6001</v>
          </cell>
          <cell r="E3437" t="str">
            <v>0125</v>
          </cell>
          <cell r="F3437" t="str">
            <v>C1</v>
          </cell>
          <cell r="G3437" t="str">
            <v>SP</v>
          </cell>
          <cell r="H3437" t="str">
            <v>INGREDIENTS</v>
          </cell>
          <cell r="I3437" t="str">
            <v>INGREDIENTS</v>
          </cell>
          <cell r="J3437" t="str">
            <v>HENRIQUE FERREIRA</v>
          </cell>
          <cell r="K3437" t="str">
            <v>ITAMBÉ</v>
          </cell>
          <cell r="L3437" t="str">
            <v>MAURICIO</v>
          </cell>
          <cell r="M3437" t="str">
            <v>JOEL</v>
          </cell>
        </row>
        <row r="3438">
          <cell r="B3438">
            <v>5164717</v>
          </cell>
          <cell r="C3438" t="str">
            <v>HENDUPAN COM DE PROD CON LTDA</v>
          </cell>
          <cell r="D3438" t="str">
            <v>6001</v>
          </cell>
          <cell r="E3438" t="str">
            <v>0125</v>
          </cell>
          <cell r="F3438" t="str">
            <v>C1</v>
          </cell>
          <cell r="G3438" t="str">
            <v>SP</v>
          </cell>
          <cell r="H3438" t="str">
            <v>DISTRIBUIÇÃO</v>
          </cell>
          <cell r="I3438" t="str">
            <v>FOOD SERVICE</v>
          </cell>
          <cell r="J3438" t="str">
            <v>SP ITB FS FLAC REP.E COMERCIO</v>
          </cell>
          <cell r="K3438" t="str">
            <v>ITAMBÉ</v>
          </cell>
          <cell r="L3438" t="str">
            <v>RODRIGO</v>
          </cell>
          <cell r="M3438" t="str">
            <v>RAQUEL BARBOSA</v>
          </cell>
        </row>
        <row r="3439">
          <cell r="B3439">
            <v>5166159</v>
          </cell>
          <cell r="C3439" t="str">
            <v>JME RAUTA COM DIST LTDA</v>
          </cell>
          <cell r="D3439" t="str">
            <v>6001</v>
          </cell>
          <cell r="E3439" t="str">
            <v>0028</v>
          </cell>
          <cell r="F3439" t="str">
            <v>C1</v>
          </cell>
          <cell r="G3439" t="str">
            <v>RJ</v>
          </cell>
          <cell r="H3439" t="str">
            <v>DISTRIBUIÇÃO</v>
          </cell>
          <cell r="I3439" t="str">
            <v>FOOD SERVICE</v>
          </cell>
          <cell r="J3439" t="str">
            <v>LUCIANA MARTINS</v>
          </cell>
          <cell r="K3439" t="str">
            <v>ITAMBÉ</v>
          </cell>
          <cell r="L3439" t="str">
            <v>RODRIGO</v>
          </cell>
          <cell r="M3439" t="str">
            <v>JESSICA</v>
          </cell>
        </row>
        <row r="3440">
          <cell r="B3440">
            <v>5168811</v>
          </cell>
          <cell r="C3440" t="str">
            <v>ESPACO CHEF COM PROD ALIM DOM LTDA</v>
          </cell>
          <cell r="D3440" t="str">
            <v>6001</v>
          </cell>
          <cell r="E3440" t="str">
            <v>0127</v>
          </cell>
          <cell r="F3440" t="str">
            <v>C1</v>
          </cell>
          <cell r="G3440" t="str">
            <v>CE</v>
          </cell>
          <cell r="H3440" t="str">
            <v>DISTRIBUIÇÃO</v>
          </cell>
          <cell r="I3440" t="str">
            <v>FOOD SERVICE</v>
          </cell>
          <cell r="J3440" t="str">
            <v>WH FOOD SERVICE CE</v>
          </cell>
          <cell r="K3440" t="str">
            <v>ITAMBÉ</v>
          </cell>
          <cell r="L3440" t="str">
            <v>RODRIGO</v>
          </cell>
          <cell r="M3440" t="str">
            <v>MARIA LOURDES</v>
          </cell>
        </row>
        <row r="3441">
          <cell r="B3441">
            <v>5168877</v>
          </cell>
          <cell r="C3441" t="str">
            <v>GILSON PIMENTEL DA SILVA SORVETERIA</v>
          </cell>
          <cell r="D3441" t="str">
            <v>6001</v>
          </cell>
          <cell r="E3441" t="str">
            <v>0028</v>
          </cell>
          <cell r="F3441" t="str">
            <v>C1</v>
          </cell>
          <cell r="G3441" t="str">
            <v>RJ</v>
          </cell>
          <cell r="H3441" t="str">
            <v>INGREDIENTS</v>
          </cell>
          <cell r="I3441" t="str">
            <v>INGREDIENTS</v>
          </cell>
          <cell r="J3441" t="str">
            <v>RJ ITB FS L T MARTINS</v>
          </cell>
          <cell r="K3441" t="str">
            <v>ITAMBÉ</v>
          </cell>
          <cell r="L3441" t="str">
            <v>MAURICIO</v>
          </cell>
          <cell r="M3441" t="str">
            <v>TATIANA NITTA</v>
          </cell>
        </row>
        <row r="3442">
          <cell r="B3442">
            <v>5169592</v>
          </cell>
          <cell r="C3442" t="str">
            <v>ESQUILOS ACAI LTDA ME</v>
          </cell>
          <cell r="D3442" t="str">
            <v>6001</v>
          </cell>
          <cell r="E3442" t="str">
            <v>0028</v>
          </cell>
          <cell r="F3442" t="str">
            <v>C1</v>
          </cell>
          <cell r="G3442" t="str">
            <v>SP</v>
          </cell>
          <cell r="H3442" t="str">
            <v>INGREDIENTS</v>
          </cell>
          <cell r="I3442" t="str">
            <v>INGREDIENTS</v>
          </cell>
          <cell r="J3442" t="str">
            <v>SP ITB FS LUIZ PEREIRA</v>
          </cell>
          <cell r="K3442" t="str">
            <v>ITAMBÉ</v>
          </cell>
          <cell r="L3442" t="str">
            <v>MAURICIO</v>
          </cell>
          <cell r="M3442" t="str">
            <v>TATIANA NITTA</v>
          </cell>
        </row>
        <row r="3443">
          <cell r="B3443">
            <v>5169969</v>
          </cell>
          <cell r="C3443" t="str">
            <v>WCN COM E REPRESENTACAO DE ALIM LTD</v>
          </cell>
          <cell r="D3443" t="str">
            <v>6001</v>
          </cell>
          <cell r="E3443" t="str">
            <v>0127</v>
          </cell>
          <cell r="F3443" t="str">
            <v>C1</v>
          </cell>
          <cell r="G3443" t="str">
            <v>BA</v>
          </cell>
          <cell r="H3443" t="str">
            <v>DISTRIBUIÇÃO</v>
          </cell>
          <cell r="I3443" t="str">
            <v>FOOD SERVICE</v>
          </cell>
          <cell r="J3443" t="str">
            <v>CLAUDIO JORGE/LUIZ</v>
          </cell>
          <cell r="K3443" t="str">
            <v>ITAMBÉ</v>
          </cell>
          <cell r="L3443" t="str">
            <v>RODRIGO</v>
          </cell>
          <cell r="M3443" t="str">
            <v>MARIA LOURDES</v>
          </cell>
        </row>
        <row r="3444">
          <cell r="B3444">
            <v>5170033</v>
          </cell>
          <cell r="C3444" t="str">
            <v>SORVETERIA SANTIAGO LTDA</v>
          </cell>
          <cell r="D3444" t="str">
            <v>6001</v>
          </cell>
          <cell r="E3444" t="str">
            <v>0028</v>
          </cell>
          <cell r="F3444" t="str">
            <v>C1</v>
          </cell>
          <cell r="G3444" t="str">
            <v>BA</v>
          </cell>
          <cell r="H3444" t="str">
            <v>INGREDIENTS</v>
          </cell>
          <cell r="I3444" t="str">
            <v>INGREDIENTS</v>
          </cell>
          <cell r="J3444" t="str">
            <v>BA ITB FS ML FLAVORS</v>
          </cell>
          <cell r="K3444" t="str">
            <v>ITAMBÉ</v>
          </cell>
          <cell r="L3444" t="str">
            <v>MAURICIO</v>
          </cell>
          <cell r="M3444" t="str">
            <v>JOEL</v>
          </cell>
        </row>
        <row r="3445">
          <cell r="B3445">
            <v>5170377</v>
          </cell>
          <cell r="C3445" t="str">
            <v>NUTRIBOM SORVETES EILRELI ME</v>
          </cell>
          <cell r="D3445" t="str">
            <v>6001</v>
          </cell>
          <cell r="E3445" t="str">
            <v>0028</v>
          </cell>
          <cell r="F3445" t="str">
            <v>C1</v>
          </cell>
          <cell r="G3445" t="str">
            <v>RJ</v>
          </cell>
          <cell r="H3445" t="str">
            <v>INGREDIENTS</v>
          </cell>
          <cell r="I3445" t="str">
            <v>INGREDIENTS</v>
          </cell>
          <cell r="J3445" t="str">
            <v>RJ ITB FS L T MARTINS</v>
          </cell>
          <cell r="K3445" t="str">
            <v>ITAMBÉ</v>
          </cell>
          <cell r="L3445" t="str">
            <v>MAURICIO</v>
          </cell>
          <cell r="M3445" t="str">
            <v>TATIANA NITTA</v>
          </cell>
        </row>
        <row r="3446">
          <cell r="B3446">
            <v>5171558</v>
          </cell>
          <cell r="C3446" t="str">
            <v>CASCA E BOLA SORVETERIA LTDA</v>
          </cell>
          <cell r="D3446" t="str">
            <v>6001</v>
          </cell>
          <cell r="E3446" t="str">
            <v>0169</v>
          </cell>
          <cell r="F3446" t="str">
            <v>C1</v>
          </cell>
          <cell r="G3446" t="str">
            <v>RJ</v>
          </cell>
          <cell r="H3446" t="str">
            <v>INGREDIENTS</v>
          </cell>
          <cell r="I3446" t="str">
            <v>INGREDIENTS</v>
          </cell>
          <cell r="J3446" t="str">
            <v>RJ ITB FS CDR REPRESENTAÇÕES</v>
          </cell>
          <cell r="K3446" t="str">
            <v>ITAMBÉ</v>
          </cell>
          <cell r="L3446" t="str">
            <v>MAURICIO</v>
          </cell>
          <cell r="M3446" t="str">
            <v>TATIANA NITTA</v>
          </cell>
        </row>
        <row r="3447">
          <cell r="B3447">
            <v>5172699</v>
          </cell>
          <cell r="C3447" t="str">
            <v>ATOS PAN COM DE PROD ALIM EIRELI</v>
          </cell>
          <cell r="D3447" t="str">
            <v>6001</v>
          </cell>
          <cell r="E3447" t="str">
            <v>0125</v>
          </cell>
          <cell r="F3447" t="str">
            <v>C1</v>
          </cell>
          <cell r="G3447" t="str">
            <v>SP</v>
          </cell>
          <cell r="H3447" t="str">
            <v>DISTRIBUIÇÃO</v>
          </cell>
          <cell r="I3447" t="str">
            <v>FOOD SERVICE</v>
          </cell>
          <cell r="J3447" t="str">
            <v>SP ITB FS FLAC REP.E COMERCIO</v>
          </cell>
          <cell r="K3447" t="str">
            <v>ITAMBÉ</v>
          </cell>
          <cell r="L3447" t="str">
            <v>RODRIGO</v>
          </cell>
          <cell r="M3447" t="str">
            <v>RAQUEL BARBOSA</v>
          </cell>
        </row>
        <row r="3448">
          <cell r="B3448">
            <v>5174259</v>
          </cell>
          <cell r="C3448" t="str">
            <v>MIX TUDO COMERCIO E SERVICOS EI</v>
          </cell>
          <cell r="D3448" t="str">
            <v>6001</v>
          </cell>
          <cell r="E3448" t="str">
            <v>0169</v>
          </cell>
          <cell r="F3448" t="str">
            <v>C1</v>
          </cell>
          <cell r="G3448" t="str">
            <v>ES</v>
          </cell>
          <cell r="H3448" t="str">
            <v>DISTRIBUIÇÃO</v>
          </cell>
          <cell r="I3448" t="str">
            <v>FOOD SERVICE</v>
          </cell>
          <cell r="J3448" t="str">
            <v>MARCELO DUARTE</v>
          </cell>
          <cell r="K3448" t="str">
            <v>ITAMBÉ</v>
          </cell>
          <cell r="L3448" t="str">
            <v>RODRIGO</v>
          </cell>
          <cell r="M3448" t="str">
            <v>JESSICA</v>
          </cell>
        </row>
        <row r="3449">
          <cell r="B3449">
            <v>5174274</v>
          </cell>
          <cell r="C3449" t="str">
            <v>PIMENTA VERDE ALIMENTOS LTDA</v>
          </cell>
          <cell r="D3449" t="str">
            <v>6001</v>
          </cell>
          <cell r="E3449" t="str">
            <v>0125</v>
          </cell>
          <cell r="F3449" t="str">
            <v>C1</v>
          </cell>
          <cell r="G3449" t="str">
            <v>SP</v>
          </cell>
          <cell r="H3449" t="str">
            <v>QSR</v>
          </cell>
          <cell r="I3449" t="str">
            <v>FOOD SERVICE</v>
          </cell>
          <cell r="J3449" t="str">
            <v>VAGO QSR</v>
          </cell>
          <cell r="K3449" t="str">
            <v>ITAMBÉ</v>
          </cell>
          <cell r="L3449" t="str">
            <v>PEDRO</v>
          </cell>
          <cell r="M3449" t="str">
            <v>VAGO QSR</v>
          </cell>
        </row>
        <row r="3450">
          <cell r="B3450">
            <v>5174977</v>
          </cell>
          <cell r="C3450" t="str">
            <v>MARTINS DA COSTA E CIA LTDA</v>
          </cell>
          <cell r="D3450" t="str">
            <v>6001</v>
          </cell>
          <cell r="E3450" t="str">
            <v>0125</v>
          </cell>
          <cell r="F3450" t="str">
            <v>C1</v>
          </cell>
          <cell r="G3450" t="str">
            <v>SP</v>
          </cell>
          <cell r="H3450" t="str">
            <v>QSR</v>
          </cell>
          <cell r="I3450" t="str">
            <v>FOOD SERVICE</v>
          </cell>
          <cell r="J3450" t="str">
            <v>ANA MENIQUETE</v>
          </cell>
          <cell r="K3450" t="str">
            <v>ITAMBÉ</v>
          </cell>
          <cell r="L3450" t="str">
            <v>PEDRO</v>
          </cell>
          <cell r="M3450" t="str">
            <v>ANA MENIQUETE</v>
          </cell>
        </row>
        <row r="3451">
          <cell r="B3451">
            <v>5175205</v>
          </cell>
          <cell r="C3451" t="str">
            <v>CANELA VERDE DIST E TRANSP LTDA ME</v>
          </cell>
          <cell r="D3451" t="str">
            <v>6001</v>
          </cell>
          <cell r="E3451" t="str">
            <v>0169</v>
          </cell>
          <cell r="F3451" t="str">
            <v>C1</v>
          </cell>
          <cell r="G3451" t="str">
            <v>ES</v>
          </cell>
          <cell r="H3451" t="str">
            <v>DISTRIBUIÇÃO</v>
          </cell>
          <cell r="I3451" t="str">
            <v>FOOD SERVICE</v>
          </cell>
          <cell r="J3451" t="str">
            <v>MARCELO DUARTE</v>
          </cell>
          <cell r="K3451" t="str">
            <v>ITAMBÉ</v>
          </cell>
          <cell r="L3451" t="str">
            <v>RODRIGO</v>
          </cell>
          <cell r="M3451" t="str">
            <v>JESSICA</v>
          </cell>
        </row>
        <row r="3452">
          <cell r="B3452">
            <v>5175227</v>
          </cell>
          <cell r="C3452" t="str">
            <v>MASSIMA SOLUCOES EM ALIMENTACAO</v>
          </cell>
          <cell r="D3452" t="str">
            <v>6001</v>
          </cell>
          <cell r="E3452" t="str">
            <v>0125</v>
          </cell>
          <cell r="F3452" t="str">
            <v>C1</v>
          </cell>
          <cell r="G3452" t="str">
            <v>SP</v>
          </cell>
          <cell r="H3452" t="str">
            <v>QSR</v>
          </cell>
          <cell r="I3452" t="str">
            <v>FOOD SERVICE</v>
          </cell>
          <cell r="J3452" t="str">
            <v>NUTRI</v>
          </cell>
          <cell r="K3452" t="str">
            <v>ITAMBÉ</v>
          </cell>
          <cell r="L3452" t="str">
            <v>PEDRO</v>
          </cell>
          <cell r="M3452" t="str">
            <v>VAGO QSR</v>
          </cell>
        </row>
        <row r="3453">
          <cell r="B3453">
            <v>5176053</v>
          </cell>
          <cell r="C3453" t="str">
            <v>BAKELS BRASIL INGREDIENT PARA P</v>
          </cell>
          <cell r="D3453" t="str">
            <v>6001</v>
          </cell>
          <cell r="E3453" t="str">
            <v>0125</v>
          </cell>
          <cell r="F3453" t="str">
            <v>C1</v>
          </cell>
          <cell r="G3453" t="str">
            <v>SP</v>
          </cell>
          <cell r="H3453" t="str">
            <v>INGREDIENTS</v>
          </cell>
          <cell r="I3453" t="str">
            <v>INGREDIENTS</v>
          </cell>
          <cell r="J3453" t="str">
            <v>TATIANA NITTA</v>
          </cell>
          <cell r="K3453" t="str">
            <v>ITAMBÉ</v>
          </cell>
          <cell r="L3453" t="str">
            <v>MAURICIO</v>
          </cell>
          <cell r="M3453" t="str">
            <v>TATIANA NITTA</v>
          </cell>
        </row>
        <row r="3454">
          <cell r="B3454">
            <v>5176952</v>
          </cell>
          <cell r="C3454" t="str">
            <v>CLUBE DO CONFEITEIRO LTDA</v>
          </cell>
          <cell r="D3454" t="str">
            <v>6001</v>
          </cell>
          <cell r="E3454" t="str">
            <v>0125</v>
          </cell>
          <cell r="F3454" t="str">
            <v>C1</v>
          </cell>
          <cell r="G3454" t="str">
            <v>SP</v>
          </cell>
          <cell r="H3454" t="str">
            <v>DISTRIBUIÇÃO</v>
          </cell>
          <cell r="I3454" t="str">
            <v>FOOD SERVICE</v>
          </cell>
          <cell r="J3454" t="str">
            <v>SP ITB FS FLAC REP.E COMERCIO</v>
          </cell>
          <cell r="K3454" t="str">
            <v>ITAMBÉ</v>
          </cell>
          <cell r="L3454" t="str">
            <v>RODRIGO</v>
          </cell>
          <cell r="M3454" t="str">
            <v>RAQUEL BARBOSA</v>
          </cell>
        </row>
        <row r="3455">
          <cell r="B3455">
            <v>5177629</v>
          </cell>
          <cell r="C3455" t="str">
            <v>BFS DISTRIB DE PRODUT ALIMENTIC</v>
          </cell>
          <cell r="D3455" t="str">
            <v>6001</v>
          </cell>
          <cell r="E3455" t="str">
            <v>0127</v>
          </cell>
          <cell r="F3455" t="str">
            <v>C1</v>
          </cell>
          <cell r="G3455" t="str">
            <v>BA</v>
          </cell>
          <cell r="H3455" t="str">
            <v>DISTRIBUIÇÃO</v>
          </cell>
          <cell r="I3455" t="str">
            <v>FOOD SERVICE</v>
          </cell>
          <cell r="J3455" t="str">
            <v>CLAUDIO JORGE/LUIZ</v>
          </cell>
          <cell r="K3455" t="str">
            <v>ITAMBÉ</v>
          </cell>
          <cell r="L3455" t="str">
            <v>RODRIGO</v>
          </cell>
          <cell r="M3455" t="str">
            <v>MARIA LOURDES</v>
          </cell>
        </row>
        <row r="3456">
          <cell r="B3456">
            <v>5178518</v>
          </cell>
          <cell r="C3456" t="str">
            <v>NECHIO COMERCIO DISTRIB DE ALIMENT</v>
          </cell>
          <cell r="D3456" t="str">
            <v>6001</v>
          </cell>
          <cell r="E3456" t="str">
            <v>0169</v>
          </cell>
          <cell r="F3456" t="str">
            <v>C1</v>
          </cell>
          <cell r="G3456" t="str">
            <v>RJ</v>
          </cell>
          <cell r="H3456" t="str">
            <v>DISTRIBUIÇÃO</v>
          </cell>
          <cell r="I3456" t="str">
            <v>FOOD SERVICE</v>
          </cell>
          <cell r="J3456" t="str">
            <v>LUCIANA MARTINS</v>
          </cell>
          <cell r="K3456" t="str">
            <v>ITAMBÉ</v>
          </cell>
          <cell r="L3456" t="str">
            <v>RODRIGO</v>
          </cell>
          <cell r="M3456" t="str">
            <v>JESSICA</v>
          </cell>
        </row>
        <row r="3457">
          <cell r="B3457">
            <v>5179610</v>
          </cell>
          <cell r="C3457" t="str">
            <v>GP EMBALAGENS EIRELI EPP</v>
          </cell>
          <cell r="D3457" t="str">
            <v>6001</v>
          </cell>
          <cell r="E3457" t="str">
            <v>0123</v>
          </cell>
          <cell r="F3457" t="str">
            <v>C1</v>
          </cell>
          <cell r="G3457" t="str">
            <v>MS</v>
          </cell>
          <cell r="H3457" t="str">
            <v>DISTRIBUIÇÃO</v>
          </cell>
          <cell r="I3457" t="str">
            <v>FOOD SERVICE</v>
          </cell>
          <cell r="J3457" t="str">
            <v>CLAUDIO JORGE</v>
          </cell>
          <cell r="K3457" t="str">
            <v>ITAMBÉ</v>
          </cell>
          <cell r="L3457" t="str">
            <v>RODRIGO</v>
          </cell>
          <cell r="M3457" t="str">
            <v>MARCO AURELIO</v>
          </cell>
        </row>
        <row r="3458">
          <cell r="B3458">
            <v>5181722</v>
          </cell>
          <cell r="C3458" t="str">
            <v>CINDERELA SORVETES LTDA ME</v>
          </cell>
          <cell r="D3458" t="str">
            <v>6001</v>
          </cell>
          <cell r="E3458" t="str">
            <v>0028</v>
          </cell>
          <cell r="F3458" t="str">
            <v>C1</v>
          </cell>
          <cell r="G3458" t="str">
            <v>ES</v>
          </cell>
          <cell r="H3458" t="str">
            <v>INGREDIENTS</v>
          </cell>
          <cell r="I3458" t="str">
            <v>INGREDIENTS</v>
          </cell>
          <cell r="J3458" t="str">
            <v>ES ITB FS RADTKE REPRES</v>
          </cell>
          <cell r="K3458" t="str">
            <v>ITAMBÉ</v>
          </cell>
          <cell r="L3458" t="str">
            <v>MAURICIO</v>
          </cell>
          <cell r="M3458" t="str">
            <v>JOEL</v>
          </cell>
        </row>
        <row r="3459">
          <cell r="B3459">
            <v>5182195</v>
          </cell>
          <cell r="C3459" t="str">
            <v>VR BUZIM COMERCIO PROD ALIMENTICIOS</v>
          </cell>
          <cell r="D3459" t="str">
            <v>6001</v>
          </cell>
          <cell r="E3459" t="str">
            <v>0169</v>
          </cell>
          <cell r="F3459" t="str">
            <v>C1</v>
          </cell>
          <cell r="G3459" t="str">
            <v>ES</v>
          </cell>
          <cell r="H3459" t="str">
            <v>DISTRIBUIÇÃO</v>
          </cell>
          <cell r="I3459" t="str">
            <v>FOOD SERVICE</v>
          </cell>
          <cell r="J3459" t="str">
            <v>MARCELO DUARTE</v>
          </cell>
          <cell r="K3459" t="str">
            <v>ITAMBÉ</v>
          </cell>
          <cell r="L3459" t="str">
            <v>RODRIGO</v>
          </cell>
          <cell r="M3459" t="str">
            <v>JESSICA</v>
          </cell>
        </row>
        <row r="3460">
          <cell r="B3460">
            <v>5182318</v>
          </cell>
          <cell r="C3460" t="str">
            <v>MARQUISE EMPREENDIMENTOS SA</v>
          </cell>
          <cell r="D3460" t="str">
            <v>6001</v>
          </cell>
          <cell r="E3460" t="str">
            <v>0127</v>
          </cell>
          <cell r="F3460" t="str">
            <v>C1</v>
          </cell>
          <cell r="G3460" t="str">
            <v>CE</v>
          </cell>
          <cell r="H3460" t="str">
            <v>DISTRIBUIÇÃO</v>
          </cell>
          <cell r="I3460" t="str">
            <v>FOOD SERVICE</v>
          </cell>
          <cell r="J3460" t="str">
            <v>WH FOOD SERVICE CE</v>
          </cell>
          <cell r="K3460" t="str">
            <v>ITAMBÉ</v>
          </cell>
          <cell r="L3460" t="str">
            <v>RODRIGO</v>
          </cell>
          <cell r="M3460" t="str">
            <v>MARIA LOURDES</v>
          </cell>
        </row>
        <row r="3461">
          <cell r="B3461">
            <v>5182435</v>
          </cell>
          <cell r="C3461" t="str">
            <v>NOVAMIX FOOD SERVICE COM DE ALIM LT</v>
          </cell>
          <cell r="D3461" t="str">
            <v>6001</v>
          </cell>
          <cell r="E3461" t="str">
            <v>0169</v>
          </cell>
          <cell r="F3461" t="str">
            <v>C1</v>
          </cell>
          <cell r="G3461" t="str">
            <v>RJ</v>
          </cell>
          <cell r="H3461" t="str">
            <v>DISTRIBUIÇÃO</v>
          </cell>
          <cell r="I3461" t="str">
            <v>FOOD SERVICE</v>
          </cell>
          <cell r="J3461" t="str">
            <v>JULIANA CORDEIRO</v>
          </cell>
          <cell r="K3461" t="str">
            <v>ITAMBÉ</v>
          </cell>
          <cell r="L3461" t="str">
            <v>RODRIGO</v>
          </cell>
          <cell r="M3461" t="str">
            <v>JESSICA</v>
          </cell>
        </row>
        <row r="3462">
          <cell r="B3462">
            <v>5182512</v>
          </cell>
          <cell r="C3462" t="str">
            <v>DOCA COMERCIO DE PROD ALIM LTDA</v>
          </cell>
          <cell r="D3462" t="str">
            <v>6001</v>
          </cell>
          <cell r="E3462" t="str">
            <v>0127</v>
          </cell>
          <cell r="F3462" t="str">
            <v>C1</v>
          </cell>
          <cell r="G3462" t="str">
            <v>CE</v>
          </cell>
          <cell r="H3462" t="str">
            <v>DISTRIBUIÇÃO</v>
          </cell>
          <cell r="I3462" t="str">
            <v>FOOD SERVICE</v>
          </cell>
          <cell r="J3462" t="str">
            <v>WH FOOD SERVICE CE</v>
          </cell>
          <cell r="K3462" t="str">
            <v>ITAMBÉ</v>
          </cell>
          <cell r="L3462" t="str">
            <v>RODRIGO</v>
          </cell>
          <cell r="M3462" t="str">
            <v>MARIA LOURDES</v>
          </cell>
        </row>
        <row r="3463">
          <cell r="B3463">
            <v>5182718</v>
          </cell>
          <cell r="C3463" t="str">
            <v>BARAO DO ACAI COMERCIAL LTDA ME</v>
          </cell>
          <cell r="D3463" t="str">
            <v>6001</v>
          </cell>
          <cell r="E3463" t="str">
            <v>0122</v>
          </cell>
          <cell r="F3463" t="str">
            <v>C1</v>
          </cell>
          <cell r="G3463" t="str">
            <v>ES</v>
          </cell>
          <cell r="H3463" t="str">
            <v>DISTRIBUIÇÃO</v>
          </cell>
          <cell r="I3463" t="str">
            <v>FOOD SERVICE</v>
          </cell>
          <cell r="J3463" t="str">
            <v>MARCELO DUARTE</v>
          </cell>
          <cell r="K3463" t="str">
            <v>ITAMBÉ</v>
          </cell>
          <cell r="L3463" t="str">
            <v>RODRIGO</v>
          </cell>
          <cell r="M3463" t="str">
            <v>JESSICA</v>
          </cell>
        </row>
        <row r="3464">
          <cell r="B3464">
            <v>5182903</v>
          </cell>
          <cell r="C3464" t="str">
            <v>CERVINO E MARTINEZ LTDA</v>
          </cell>
          <cell r="D3464" t="str">
            <v>6001</v>
          </cell>
          <cell r="E3464" t="str">
            <v>0127</v>
          </cell>
          <cell r="F3464" t="str">
            <v>C1</v>
          </cell>
          <cell r="G3464" t="str">
            <v>BA</v>
          </cell>
          <cell r="H3464" t="str">
            <v>DISTRIBUIÇÃO</v>
          </cell>
          <cell r="I3464" t="str">
            <v>FOOD SERVICE</v>
          </cell>
          <cell r="J3464" t="str">
            <v>CLAUDIO JORGE/LUIZ</v>
          </cell>
          <cell r="K3464" t="str">
            <v>ITAMBÉ</v>
          </cell>
          <cell r="L3464" t="str">
            <v>RODRIGO</v>
          </cell>
          <cell r="M3464" t="str">
            <v>MARIA LOURDES</v>
          </cell>
        </row>
        <row r="3465">
          <cell r="B3465">
            <v>5184715</v>
          </cell>
          <cell r="C3465" t="str">
            <v>CARLOS GEOVANE ALMEIDA DE PAULA LTDA</v>
          </cell>
          <cell r="D3465" t="str">
            <v>6001</v>
          </cell>
          <cell r="E3465" t="str">
            <v>0028</v>
          </cell>
          <cell r="F3465" t="str">
            <v>C1</v>
          </cell>
          <cell r="G3465" t="str">
            <v>MS</v>
          </cell>
          <cell r="H3465" t="str">
            <v>INGREDIENTS</v>
          </cell>
          <cell r="I3465" t="str">
            <v>INGREDIENTS</v>
          </cell>
          <cell r="J3465" t="str">
            <v>DUAS RODAS</v>
          </cell>
          <cell r="K3465" t="str">
            <v>ITAMBÉ</v>
          </cell>
          <cell r="L3465" t="str">
            <v>MAURICIO</v>
          </cell>
          <cell r="M3465" t="str">
            <v>MARCELO</v>
          </cell>
        </row>
        <row r="3466">
          <cell r="B3466">
            <v>5184851</v>
          </cell>
          <cell r="C3466" t="str">
            <v>ALLPAN COM DE PROD ALIMENTICIOS</v>
          </cell>
          <cell r="D3466" t="str">
            <v>6001</v>
          </cell>
          <cell r="E3466" t="str">
            <v>0125</v>
          </cell>
          <cell r="F3466" t="str">
            <v>C1</v>
          </cell>
          <cell r="G3466" t="str">
            <v>SP</v>
          </cell>
          <cell r="H3466" t="str">
            <v>DISTRIBUIÇÃO</v>
          </cell>
          <cell r="I3466" t="str">
            <v>FOOD SERVICE</v>
          </cell>
          <cell r="J3466" t="str">
            <v>ALEXANDRE BONANI</v>
          </cell>
          <cell r="K3466" t="str">
            <v>ITAMBÉ</v>
          </cell>
          <cell r="L3466" t="str">
            <v>RODRIGO</v>
          </cell>
          <cell r="M3466" t="str">
            <v>ALEXANDRE BONANI</v>
          </cell>
        </row>
        <row r="3467">
          <cell r="B3467">
            <v>5184917</v>
          </cell>
          <cell r="C3467" t="str">
            <v>BARONIN IND E COM DE SORVETES LTDA</v>
          </cell>
          <cell r="D3467" t="str">
            <v>6001</v>
          </cell>
          <cell r="E3467" t="str">
            <v>0028</v>
          </cell>
          <cell r="F3467" t="str">
            <v>C1</v>
          </cell>
          <cell r="G3467" t="str">
            <v>SP</v>
          </cell>
          <cell r="H3467" t="str">
            <v>INGREDIENTS</v>
          </cell>
          <cell r="I3467" t="str">
            <v>INGREDIENTS</v>
          </cell>
          <cell r="J3467" t="str">
            <v>DUAS RODAS</v>
          </cell>
          <cell r="K3467" t="str">
            <v>ITAMBÉ</v>
          </cell>
          <cell r="L3467" t="str">
            <v>MAURICIO</v>
          </cell>
          <cell r="M3467" t="str">
            <v>MARCELO</v>
          </cell>
        </row>
        <row r="3468">
          <cell r="B3468">
            <v>5185042</v>
          </cell>
          <cell r="C3468" t="str">
            <v>GA INDUSTRIA E COMERCIO DE ALIMENTO</v>
          </cell>
          <cell r="D3468" t="str">
            <v>6001</v>
          </cell>
          <cell r="E3468" t="str">
            <v>0127</v>
          </cell>
          <cell r="F3468" t="str">
            <v>C1</v>
          </cell>
          <cell r="G3468" t="str">
            <v>BA</v>
          </cell>
          <cell r="H3468" t="str">
            <v>DISTRIBUIÇÃO</v>
          </cell>
          <cell r="I3468" t="str">
            <v>FOOD SERVICE</v>
          </cell>
          <cell r="J3468" t="str">
            <v>CLAUDIO JORGE/LUIZ</v>
          </cell>
          <cell r="K3468" t="str">
            <v>ITAMBÉ</v>
          </cell>
          <cell r="L3468" t="str">
            <v>RODRIGO</v>
          </cell>
          <cell r="M3468" t="str">
            <v>MARIA LOURDES</v>
          </cell>
        </row>
        <row r="3469">
          <cell r="B3469">
            <v>5185642</v>
          </cell>
          <cell r="C3469" t="str">
            <v>CASA DO PADEIRO COM DE PROD ALIM LT</v>
          </cell>
          <cell r="D3469" t="str">
            <v>6001</v>
          </cell>
          <cell r="E3469" t="str">
            <v>0125</v>
          </cell>
          <cell r="F3469" t="str">
            <v>C1</v>
          </cell>
          <cell r="G3469" t="str">
            <v>SP</v>
          </cell>
          <cell r="H3469" t="str">
            <v>DISTRIBUIÇÃO</v>
          </cell>
          <cell r="I3469" t="str">
            <v>FOOD SERVICE</v>
          </cell>
          <cell r="J3469" t="str">
            <v>VAGO SP</v>
          </cell>
          <cell r="K3469" t="str">
            <v>ITAMBÉ</v>
          </cell>
          <cell r="L3469" t="str">
            <v>RODRIGO</v>
          </cell>
          <cell r="M3469" t="str">
            <v>RAQUEL BARBOSA</v>
          </cell>
        </row>
        <row r="3470">
          <cell r="B3470">
            <v>5186251</v>
          </cell>
          <cell r="C3470" t="str">
            <v>GABRIELA MACHADO MATOS</v>
          </cell>
          <cell r="D3470" t="str">
            <v>6001</v>
          </cell>
          <cell r="E3470" t="str">
            <v>0028</v>
          </cell>
          <cell r="F3470" t="str">
            <v>C1</v>
          </cell>
          <cell r="G3470" t="str">
            <v>MS</v>
          </cell>
          <cell r="H3470" t="str">
            <v>INGREDIENTS</v>
          </cell>
          <cell r="I3470" t="str">
            <v>INGREDIENTS</v>
          </cell>
          <cell r="J3470" t="str">
            <v>DUAS RODAS</v>
          </cell>
          <cell r="K3470" t="str">
            <v>ITAMBÉ</v>
          </cell>
          <cell r="L3470" t="str">
            <v>MAURICIO</v>
          </cell>
          <cell r="M3470" t="str">
            <v>MARCELO</v>
          </cell>
        </row>
        <row r="3471">
          <cell r="B3471">
            <v>5188800</v>
          </cell>
          <cell r="C3471" t="str">
            <v>DIEGO CESAR GOMES DA SILVA</v>
          </cell>
          <cell r="D3471" t="str">
            <v>6001</v>
          </cell>
          <cell r="E3471" t="str">
            <v>0125</v>
          </cell>
          <cell r="F3471" t="str">
            <v>C1</v>
          </cell>
          <cell r="G3471" t="str">
            <v>SP</v>
          </cell>
          <cell r="H3471" t="str">
            <v>INGREDIENTS</v>
          </cell>
          <cell r="I3471" t="str">
            <v>INGREDIENTS</v>
          </cell>
          <cell r="J3471" t="str">
            <v>HENRIQUE FERREIRA</v>
          </cell>
          <cell r="K3471" t="str">
            <v>ITAMBÉ</v>
          </cell>
          <cell r="L3471" t="str">
            <v>MAURICIO</v>
          </cell>
          <cell r="M3471" t="str">
            <v>JOEL</v>
          </cell>
        </row>
        <row r="3472">
          <cell r="B3472">
            <v>5191490</v>
          </cell>
          <cell r="C3472" t="str">
            <v>G S LIMA ALIMENTOS</v>
          </cell>
          <cell r="D3472" t="str">
            <v>6001</v>
          </cell>
          <cell r="E3472" t="str">
            <v>0127</v>
          </cell>
          <cell r="F3472" t="str">
            <v>C1</v>
          </cell>
          <cell r="G3472" t="str">
            <v>CE</v>
          </cell>
          <cell r="H3472" t="str">
            <v>DISTRIBUIÇÃO</v>
          </cell>
          <cell r="I3472" t="str">
            <v>FOOD SERVICE</v>
          </cell>
          <cell r="J3472" t="str">
            <v>WH FOOD SERVICE CE</v>
          </cell>
          <cell r="K3472" t="str">
            <v>ITAMBÉ</v>
          </cell>
          <cell r="L3472" t="str">
            <v>RODRIGO</v>
          </cell>
          <cell r="M3472" t="str">
            <v>MARIA LOURDES</v>
          </cell>
        </row>
        <row r="3473">
          <cell r="B3473">
            <v>5192611</v>
          </cell>
          <cell r="C3473" t="str">
            <v>VALENTE E CASTRO DIST DE ALIMENTOS</v>
          </cell>
          <cell r="D3473" t="str">
            <v>6001</v>
          </cell>
          <cell r="E3473" t="str">
            <v>0169</v>
          </cell>
          <cell r="F3473" t="str">
            <v>C1</v>
          </cell>
          <cell r="G3473" t="str">
            <v>RJ</v>
          </cell>
          <cell r="H3473" t="str">
            <v>DISTRIBUIÇÃO</v>
          </cell>
          <cell r="I3473" t="str">
            <v>FOOD SERVICE</v>
          </cell>
          <cell r="J3473" t="str">
            <v>JULIANA CORDEIRO</v>
          </cell>
          <cell r="K3473" t="str">
            <v>ITAMBÉ</v>
          </cell>
          <cell r="L3473" t="str">
            <v>RODRIGO</v>
          </cell>
          <cell r="M3473" t="str">
            <v>JESSICA</v>
          </cell>
        </row>
        <row r="3474">
          <cell r="B3474">
            <v>5192822</v>
          </cell>
          <cell r="C3474" t="str">
            <v>T T F ALIMENTOS SOROCABA LTDA</v>
          </cell>
          <cell r="D3474" t="str">
            <v>6001</v>
          </cell>
          <cell r="E3474" t="str">
            <v>0125</v>
          </cell>
          <cell r="F3474" t="str">
            <v>C1</v>
          </cell>
          <cell r="G3474" t="str">
            <v>SP</v>
          </cell>
          <cell r="H3474" t="str">
            <v>DISTRIBUIÇÃO</v>
          </cell>
          <cell r="I3474" t="str">
            <v>FOOD SERVICE</v>
          </cell>
          <cell r="J3474" t="str">
            <v>VAGO SP</v>
          </cell>
          <cell r="K3474" t="str">
            <v>ITAMBÉ</v>
          </cell>
          <cell r="L3474" t="str">
            <v>RODRIGO</v>
          </cell>
          <cell r="M3474" t="str">
            <v>RAQUEL BARBOSA</v>
          </cell>
        </row>
        <row r="3475">
          <cell r="B3475">
            <v>5194018</v>
          </cell>
          <cell r="C3475" t="str">
            <v>GURIRI EMBALAGENS LTDA ME</v>
          </cell>
          <cell r="D3475" t="str">
            <v>6001</v>
          </cell>
          <cell r="E3475" t="str">
            <v>0169</v>
          </cell>
          <cell r="F3475" t="str">
            <v>C1</v>
          </cell>
          <cell r="G3475" t="str">
            <v>ES</v>
          </cell>
          <cell r="H3475" t="str">
            <v>DISTRIBUIÇÃO</v>
          </cell>
          <cell r="I3475" t="str">
            <v>FOOD SERVICE</v>
          </cell>
          <cell r="J3475" t="str">
            <v>MARCELO DUARTE</v>
          </cell>
          <cell r="K3475" t="str">
            <v>ITAMBÉ</v>
          </cell>
          <cell r="L3475" t="str">
            <v>RODRIGO</v>
          </cell>
          <cell r="M3475" t="str">
            <v>JESSICA</v>
          </cell>
        </row>
        <row r="3476">
          <cell r="B3476">
            <v>5194319</v>
          </cell>
          <cell r="C3476" t="str">
            <v>PIMENTA VERDE ALIMENTOS LTDA</v>
          </cell>
          <cell r="D3476" t="str">
            <v>6001</v>
          </cell>
          <cell r="E3476" t="str">
            <v>0125</v>
          </cell>
          <cell r="F3476" t="str">
            <v>C1</v>
          </cell>
          <cell r="G3476" t="str">
            <v>SP</v>
          </cell>
          <cell r="H3476" t="str">
            <v>QSR</v>
          </cell>
          <cell r="I3476" t="str">
            <v>FOOD SERVICE</v>
          </cell>
          <cell r="J3476" t="str">
            <v>VAGO QSR</v>
          </cell>
          <cell r="K3476" t="str">
            <v>ITAMBÉ</v>
          </cell>
          <cell r="L3476" t="str">
            <v>PEDRO</v>
          </cell>
          <cell r="M3476" t="str">
            <v>VAGO QSR</v>
          </cell>
        </row>
        <row r="3477">
          <cell r="B3477">
            <v>5194510</v>
          </cell>
          <cell r="C3477" t="str">
            <v>ALEGRO ALIMENTOS LTDA</v>
          </cell>
          <cell r="D3477" t="str">
            <v>6001</v>
          </cell>
          <cell r="E3477" t="str">
            <v>0127</v>
          </cell>
          <cell r="F3477" t="str">
            <v>C1</v>
          </cell>
          <cell r="G3477" t="str">
            <v>BA</v>
          </cell>
          <cell r="H3477" t="str">
            <v>DISTRIBUIÇÃO</v>
          </cell>
          <cell r="I3477" t="str">
            <v>FOOD SERVICE</v>
          </cell>
          <cell r="J3477" t="str">
            <v>CLAUDIO JORGE/LUIZ</v>
          </cell>
          <cell r="K3477" t="str">
            <v>ITAMBÉ</v>
          </cell>
          <cell r="L3477" t="str">
            <v>RODRIGO</v>
          </cell>
          <cell r="M3477" t="str">
            <v>MARIA LOURDES</v>
          </cell>
        </row>
        <row r="3478">
          <cell r="B3478">
            <v>5194644</v>
          </cell>
          <cell r="C3478" t="str">
            <v>L F S COM E IMP DE ALIM LTDA</v>
          </cell>
          <cell r="D3478" t="str">
            <v>6001</v>
          </cell>
          <cell r="E3478" t="str">
            <v>0127</v>
          </cell>
          <cell r="F3478" t="str">
            <v>C1</v>
          </cell>
          <cell r="G3478" t="str">
            <v>CE</v>
          </cell>
          <cell r="H3478" t="str">
            <v>QSR</v>
          </cell>
          <cell r="I3478" t="str">
            <v>FOOD SERVICE</v>
          </cell>
          <cell r="J3478" t="str">
            <v>NUTRI</v>
          </cell>
          <cell r="K3478" t="str">
            <v>ITAMBÉ</v>
          </cell>
          <cell r="L3478" t="str">
            <v>PEDRO</v>
          </cell>
          <cell r="M3478" t="str">
            <v>VAGO QSR</v>
          </cell>
        </row>
        <row r="3479">
          <cell r="B3479">
            <v>5195605</v>
          </cell>
          <cell r="C3479" t="str">
            <v>PLANETA DOCES E ALIMENTICIOS EIRELI</v>
          </cell>
          <cell r="D3479" t="str">
            <v>6001</v>
          </cell>
          <cell r="E3479" t="str">
            <v>0125</v>
          </cell>
          <cell r="F3479" t="str">
            <v>C1</v>
          </cell>
          <cell r="G3479" t="str">
            <v>SP</v>
          </cell>
          <cell r="H3479" t="str">
            <v>DISTRIBUIÇÃO</v>
          </cell>
          <cell r="I3479" t="str">
            <v>FOOD SERVICE</v>
          </cell>
          <cell r="J3479" t="str">
            <v>SP ITB FS FLAC REP.E COMERCIO</v>
          </cell>
          <cell r="K3479" t="str">
            <v>ITAMBÉ</v>
          </cell>
          <cell r="L3479" t="str">
            <v>RODRIGO</v>
          </cell>
          <cell r="M3479" t="str">
            <v>RAQUEL BARBOSA</v>
          </cell>
        </row>
        <row r="3480">
          <cell r="B3480">
            <v>5196867</v>
          </cell>
          <cell r="C3480" t="str">
            <v>DEPOSITO DE DOCES MALU LTDA</v>
          </cell>
          <cell r="D3480" t="str">
            <v>6001</v>
          </cell>
          <cell r="E3480" t="str">
            <v>0125</v>
          </cell>
          <cell r="F3480" t="str">
            <v>C1</v>
          </cell>
          <cell r="G3480" t="str">
            <v>SP</v>
          </cell>
          <cell r="H3480" t="str">
            <v>DISTRIBUIÇÃO</v>
          </cell>
          <cell r="I3480" t="str">
            <v>FOOD SERVICE</v>
          </cell>
          <cell r="J3480" t="str">
            <v>SP ITB FS FLAC REP.E COMERCIO</v>
          </cell>
          <cell r="K3480" t="str">
            <v>ITAMBÉ</v>
          </cell>
          <cell r="L3480" t="str">
            <v>RODRIGO</v>
          </cell>
          <cell r="M3480" t="str">
            <v>RAQUEL BARBOSA</v>
          </cell>
        </row>
        <row r="3481">
          <cell r="B3481">
            <v>5196998</v>
          </cell>
          <cell r="C3481" t="str">
            <v>CROISSANT IND E COM DE SALGADOS LTD</v>
          </cell>
          <cell r="D3481" t="str">
            <v>6001</v>
          </cell>
          <cell r="E3481" t="str">
            <v>0125</v>
          </cell>
          <cell r="F3481" t="str">
            <v>C1</v>
          </cell>
          <cell r="G3481" t="str">
            <v>SP</v>
          </cell>
          <cell r="H3481" t="str">
            <v>INGREDIENTS</v>
          </cell>
          <cell r="I3481" t="str">
            <v>INGREDIENTS</v>
          </cell>
          <cell r="J3481" t="str">
            <v>HENRIQUE FERREIRA</v>
          </cell>
          <cell r="K3481" t="str">
            <v>ITAMBÉ</v>
          </cell>
          <cell r="L3481" t="str">
            <v>MAURICIO</v>
          </cell>
          <cell r="M3481" t="str">
            <v>JOEL</v>
          </cell>
        </row>
        <row r="3482">
          <cell r="B3482">
            <v>5198698</v>
          </cell>
          <cell r="C3482" t="str">
            <v>PANDURATA ALIMENTOS LTDA</v>
          </cell>
          <cell r="D3482" t="str">
            <v>6001</v>
          </cell>
          <cell r="E3482" t="str">
            <v>0028</v>
          </cell>
          <cell r="F3482" t="str">
            <v>C1</v>
          </cell>
          <cell r="G3482" t="str">
            <v>SP</v>
          </cell>
          <cell r="H3482" t="str">
            <v>INGREDIENTS</v>
          </cell>
          <cell r="I3482" t="str">
            <v>INGREDIENTS</v>
          </cell>
          <cell r="J3482" t="str">
            <v>JOEL ELEOTÉRIO</v>
          </cell>
          <cell r="K3482" t="str">
            <v>ITAMBÉ</v>
          </cell>
          <cell r="L3482" t="str">
            <v>MAURICIO</v>
          </cell>
          <cell r="M3482" t="str">
            <v>JOEL</v>
          </cell>
        </row>
        <row r="3483">
          <cell r="B3483">
            <v>5200068</v>
          </cell>
          <cell r="C3483" t="str">
            <v>GULA COM DE REF E BEB LTDA</v>
          </cell>
          <cell r="D3483" t="str">
            <v>6001</v>
          </cell>
          <cell r="E3483" t="str">
            <v>0127</v>
          </cell>
          <cell r="F3483" t="str">
            <v>C1</v>
          </cell>
          <cell r="G3483" t="str">
            <v>CE</v>
          </cell>
          <cell r="H3483" t="str">
            <v>DISTRIBUIÇÃO</v>
          </cell>
          <cell r="I3483" t="str">
            <v>FOOD SERVICE</v>
          </cell>
          <cell r="J3483" t="str">
            <v>WH FOOD SERVICE CE</v>
          </cell>
          <cell r="K3483" t="str">
            <v>ITAMBÉ</v>
          </cell>
          <cell r="L3483" t="str">
            <v>RODRIGO</v>
          </cell>
          <cell r="M3483" t="str">
            <v>MARIA LOURDES</v>
          </cell>
        </row>
        <row r="3484">
          <cell r="B3484">
            <v>5200125</v>
          </cell>
          <cell r="C3484" t="str">
            <v>DOCA COM DE EMB LTDA</v>
          </cell>
          <cell r="D3484" t="str">
            <v>6001</v>
          </cell>
          <cell r="E3484" t="str">
            <v>0127</v>
          </cell>
          <cell r="F3484" t="str">
            <v>C1</v>
          </cell>
          <cell r="G3484" t="str">
            <v>CE</v>
          </cell>
          <cell r="H3484" t="str">
            <v>DISTRIBUIÇÃO</v>
          </cell>
          <cell r="I3484" t="str">
            <v>FOOD SERVICE</v>
          </cell>
          <cell r="J3484" t="str">
            <v>WH FOOD SERVICE CE</v>
          </cell>
          <cell r="K3484" t="str">
            <v>ITAMBÉ</v>
          </cell>
          <cell r="L3484" t="str">
            <v>RODRIGO</v>
          </cell>
          <cell r="M3484" t="str">
            <v>MARIA LOURDES</v>
          </cell>
        </row>
        <row r="3485">
          <cell r="B3485">
            <v>5201973</v>
          </cell>
          <cell r="C3485" t="str">
            <v>HARUS COM VAREJ DE COSM LTDA</v>
          </cell>
          <cell r="D3485" t="str">
            <v>6001</v>
          </cell>
          <cell r="E3485" t="str">
            <v>0127</v>
          </cell>
          <cell r="F3485" t="str">
            <v>C1</v>
          </cell>
          <cell r="G3485" t="str">
            <v>CE</v>
          </cell>
          <cell r="H3485" t="str">
            <v>DISTRIBUIÇÃO</v>
          </cell>
          <cell r="I3485" t="str">
            <v>FOOD SERVICE</v>
          </cell>
          <cell r="J3485" t="str">
            <v>WH FOOD SERVICE CE</v>
          </cell>
          <cell r="K3485" t="str">
            <v>ITAMBÉ</v>
          </cell>
          <cell r="L3485" t="str">
            <v>RODRIGO</v>
          </cell>
          <cell r="M3485" t="str">
            <v>MARIA LOURDES</v>
          </cell>
        </row>
        <row r="3486">
          <cell r="B3486">
            <v>5204180</v>
          </cell>
          <cell r="C3486" t="str">
            <v>E E MODOLO ME</v>
          </cell>
          <cell r="D3486" t="str">
            <v>6001</v>
          </cell>
          <cell r="E3486" t="str">
            <v>0169</v>
          </cell>
          <cell r="F3486" t="str">
            <v>C1</v>
          </cell>
          <cell r="G3486" t="str">
            <v>ES</v>
          </cell>
          <cell r="H3486" t="str">
            <v>DISTRIBUIÇÃO</v>
          </cell>
          <cell r="I3486" t="str">
            <v>FOOD SERVICE</v>
          </cell>
          <cell r="J3486" t="str">
            <v>MARCELO DUARTE</v>
          </cell>
          <cell r="K3486" t="str">
            <v>ITAMBÉ</v>
          </cell>
          <cell r="L3486" t="str">
            <v>RODRIGO</v>
          </cell>
          <cell r="M3486" t="str">
            <v>JESSICA</v>
          </cell>
        </row>
        <row r="3487">
          <cell r="B3487">
            <v>5204235</v>
          </cell>
          <cell r="C3487" t="str">
            <v>NUTRIALIMENTAR INDUSTRIA LTDA</v>
          </cell>
          <cell r="D3487" t="str">
            <v>6001</v>
          </cell>
          <cell r="E3487" t="str">
            <v>0028</v>
          </cell>
          <cell r="F3487" t="str">
            <v>C1</v>
          </cell>
          <cell r="G3487" t="str">
            <v>SP</v>
          </cell>
          <cell r="H3487" t="str">
            <v>INGREDIENTS</v>
          </cell>
          <cell r="I3487" t="str">
            <v>INGREDIENTS</v>
          </cell>
          <cell r="J3487" t="str">
            <v>TATIANA NITTA</v>
          </cell>
          <cell r="K3487" t="str">
            <v>ITAMBÉ</v>
          </cell>
          <cell r="L3487" t="str">
            <v>MAURICIO</v>
          </cell>
          <cell r="M3487" t="str">
            <v>TATIANA NITTA</v>
          </cell>
        </row>
        <row r="3488">
          <cell r="B3488">
            <v>5206787</v>
          </cell>
          <cell r="C3488" t="str">
            <v>CS FABRICACAO DE ALIMENTOS</v>
          </cell>
          <cell r="D3488" t="str">
            <v>6001</v>
          </cell>
          <cell r="E3488" t="str">
            <v>0125</v>
          </cell>
          <cell r="F3488" t="str">
            <v>C1</v>
          </cell>
          <cell r="G3488" t="str">
            <v>SP</v>
          </cell>
          <cell r="H3488" t="str">
            <v>QSR</v>
          </cell>
          <cell r="I3488" t="str">
            <v>FOOD SERVICE</v>
          </cell>
          <cell r="J3488" t="str">
            <v>ANA MENIQUETE</v>
          </cell>
          <cell r="K3488" t="str">
            <v>ITAMBÉ</v>
          </cell>
          <cell r="L3488" t="str">
            <v>PEDRO</v>
          </cell>
          <cell r="M3488" t="str">
            <v>ANA MENIQUETE</v>
          </cell>
        </row>
        <row r="3489">
          <cell r="B3489">
            <v>5207394</v>
          </cell>
          <cell r="C3489" t="str">
            <v>NEWREST BRASIL S A AO T AEREO LTDA</v>
          </cell>
          <cell r="D3489" t="str">
            <v>6001</v>
          </cell>
          <cell r="E3489" t="str">
            <v>0169</v>
          </cell>
          <cell r="F3489" t="str">
            <v>C1</v>
          </cell>
          <cell r="G3489" t="str">
            <v>RJ</v>
          </cell>
          <cell r="H3489" t="str">
            <v>QSR</v>
          </cell>
          <cell r="I3489" t="str">
            <v>FOOD SERVICE</v>
          </cell>
          <cell r="J3489" t="str">
            <v>ANA MENIQUETE</v>
          </cell>
          <cell r="K3489" t="str">
            <v>ITAMBÉ</v>
          </cell>
          <cell r="L3489" t="str">
            <v>PEDRO</v>
          </cell>
          <cell r="M3489" t="str">
            <v>ANA MENIQUETE</v>
          </cell>
        </row>
        <row r="3490">
          <cell r="B3490">
            <v>5208028</v>
          </cell>
          <cell r="C3490" t="str">
            <v>MISTUREX COMERCIO ATACA DE ALIMENT</v>
          </cell>
          <cell r="D3490" t="str">
            <v>6001</v>
          </cell>
          <cell r="E3490" t="str">
            <v>0169</v>
          </cell>
          <cell r="F3490" t="str">
            <v>C1</v>
          </cell>
          <cell r="G3490" t="str">
            <v>ES</v>
          </cell>
          <cell r="H3490" t="str">
            <v>INGREDIENTS</v>
          </cell>
          <cell r="I3490" t="str">
            <v>INGREDIENTS</v>
          </cell>
          <cell r="J3490" t="str">
            <v>TATIANA NITTA</v>
          </cell>
          <cell r="K3490" t="str">
            <v>ITAMBÉ</v>
          </cell>
          <cell r="L3490" t="str">
            <v>MAURICIO</v>
          </cell>
          <cell r="M3490" t="str">
            <v>TATIANA NITTA</v>
          </cell>
        </row>
        <row r="3491">
          <cell r="B3491">
            <v>5209002</v>
          </cell>
          <cell r="C3491" t="str">
            <v>DOCA COME DE PROD ALIMEN LTDA</v>
          </cell>
          <cell r="D3491" t="str">
            <v>6001</v>
          </cell>
          <cell r="E3491" t="str">
            <v>0127</v>
          </cell>
          <cell r="F3491" t="str">
            <v>C1</v>
          </cell>
          <cell r="G3491" t="str">
            <v>CE</v>
          </cell>
          <cell r="H3491" t="str">
            <v>DISTRIBUIÇÃO</v>
          </cell>
          <cell r="I3491" t="str">
            <v>FOOD SERVICE</v>
          </cell>
          <cell r="J3491" t="str">
            <v>WH FOOD SERVICE CE</v>
          </cell>
          <cell r="K3491" t="str">
            <v>ITAMBÉ</v>
          </cell>
          <cell r="L3491" t="str">
            <v>RODRIGO</v>
          </cell>
          <cell r="M3491" t="str">
            <v>MARIA LOURDES</v>
          </cell>
        </row>
        <row r="3492">
          <cell r="B3492">
            <v>5210640</v>
          </cell>
          <cell r="C3492" t="str">
            <v>SALT PIE INDUSTRIA COMERCIO</v>
          </cell>
          <cell r="D3492" t="str">
            <v>6001</v>
          </cell>
          <cell r="E3492" t="str">
            <v>0125</v>
          </cell>
          <cell r="F3492" t="str">
            <v>C1</v>
          </cell>
          <cell r="G3492" t="str">
            <v>SP</v>
          </cell>
          <cell r="H3492" t="str">
            <v>INGREDIENTS</v>
          </cell>
          <cell r="I3492" t="str">
            <v>INGREDIENTS</v>
          </cell>
          <cell r="J3492" t="str">
            <v>HENRIQUE FERREIRA</v>
          </cell>
          <cell r="K3492" t="str">
            <v>ITAMBÉ</v>
          </cell>
          <cell r="L3492" t="str">
            <v>MAURICIO</v>
          </cell>
          <cell r="M3492" t="str">
            <v>JOEL</v>
          </cell>
        </row>
        <row r="3493">
          <cell r="B3493">
            <v>5211344</v>
          </cell>
          <cell r="C3493" t="str">
            <v>DISTRIB E IMPORT IRMAOS AVELINO</v>
          </cell>
          <cell r="D3493" t="str">
            <v>6001</v>
          </cell>
          <cell r="E3493" t="str">
            <v>0125</v>
          </cell>
          <cell r="F3493" t="str">
            <v>C1</v>
          </cell>
          <cell r="G3493" t="str">
            <v>SP</v>
          </cell>
          <cell r="H3493" t="str">
            <v>DISTRIBUIÇÃO</v>
          </cell>
          <cell r="I3493" t="str">
            <v>FOOD SERVICE</v>
          </cell>
          <cell r="J3493" t="str">
            <v>RAQUEL BARBOSA</v>
          </cell>
          <cell r="K3493" t="str">
            <v>ITAMBÉ</v>
          </cell>
          <cell r="L3493" t="str">
            <v>RODRIGO</v>
          </cell>
          <cell r="M3493" t="str">
            <v>RAQUEL BARBOSA</v>
          </cell>
        </row>
        <row r="3494">
          <cell r="B3494">
            <v>5213484</v>
          </cell>
          <cell r="C3494" t="str">
            <v>HAVANA COMERCIO DE BEBIDAS LTDA</v>
          </cell>
          <cell r="D3494" t="str">
            <v>6001</v>
          </cell>
          <cell r="E3494" t="str">
            <v>0125</v>
          </cell>
          <cell r="F3494" t="str">
            <v>C1</v>
          </cell>
          <cell r="G3494" t="str">
            <v>SP</v>
          </cell>
          <cell r="H3494" t="str">
            <v>DISTRIBUIÇÃO</v>
          </cell>
          <cell r="I3494" t="str">
            <v>FOOD SERVICE</v>
          </cell>
          <cell r="J3494" t="str">
            <v>SP ITB FS FLAC REP.E COMERCIO</v>
          </cell>
          <cell r="K3494" t="str">
            <v>ITAMBÉ</v>
          </cell>
          <cell r="L3494" t="str">
            <v>RODRIGO</v>
          </cell>
          <cell r="M3494" t="str">
            <v>RAQUEL BARBOSA</v>
          </cell>
        </row>
        <row r="3495">
          <cell r="B3495">
            <v>5213905</v>
          </cell>
          <cell r="C3495" t="str">
            <v>COLORADO FESTAS LTDA</v>
          </cell>
          <cell r="D3495" t="str">
            <v>6001</v>
          </cell>
          <cell r="E3495" t="str">
            <v>0169</v>
          </cell>
          <cell r="F3495" t="str">
            <v>C1</v>
          </cell>
          <cell r="G3495" t="str">
            <v>ES</v>
          </cell>
          <cell r="H3495" t="str">
            <v>DISTRIBUIÇÃO</v>
          </cell>
          <cell r="I3495" t="str">
            <v>FOOD SERVICE</v>
          </cell>
          <cell r="J3495" t="str">
            <v>MARCELO DUARTE</v>
          </cell>
          <cell r="K3495" t="str">
            <v>ITAMBÉ</v>
          </cell>
          <cell r="L3495" t="str">
            <v>RODRIGO</v>
          </cell>
          <cell r="M3495" t="str">
            <v>JESSICA</v>
          </cell>
        </row>
        <row r="3496">
          <cell r="B3496">
            <v>5214670</v>
          </cell>
          <cell r="C3496" t="str">
            <v>LORENZ COMERCIO E DIST DE ALIM LTDA</v>
          </cell>
          <cell r="D3496" t="str">
            <v>6001</v>
          </cell>
          <cell r="E3496" t="str">
            <v>0123</v>
          </cell>
          <cell r="F3496" t="str">
            <v>C1</v>
          </cell>
          <cell r="G3496" t="str">
            <v>MS</v>
          </cell>
          <cell r="H3496" t="str">
            <v>DISTRIBUIÇÃO</v>
          </cell>
          <cell r="I3496" t="str">
            <v>FOOD SERVICE</v>
          </cell>
          <cell r="J3496" t="str">
            <v>CLAUDIO JORGE</v>
          </cell>
          <cell r="K3496" t="str">
            <v>ITAMBÉ</v>
          </cell>
          <cell r="L3496" t="str">
            <v>RODRIGO</v>
          </cell>
          <cell r="M3496" t="str">
            <v>MARCO AURELIO</v>
          </cell>
        </row>
        <row r="3497">
          <cell r="B3497">
            <v>5217293</v>
          </cell>
          <cell r="C3497" t="str">
            <v>OESA COMERCIO E REPRESENTACOES SA</v>
          </cell>
          <cell r="D3497" t="str">
            <v>6001</v>
          </cell>
          <cell r="E3497" t="str">
            <v>0125</v>
          </cell>
          <cell r="F3497" t="str">
            <v>C1</v>
          </cell>
          <cell r="G3497" t="str">
            <v>SP</v>
          </cell>
          <cell r="H3497" t="str">
            <v>DISTRIBUIÇÃO</v>
          </cell>
          <cell r="I3497" t="str">
            <v>FOOD SERVICE</v>
          </cell>
          <cell r="J3497" t="str">
            <v>VAGO SP</v>
          </cell>
          <cell r="K3497" t="str">
            <v>ITAMBÉ</v>
          </cell>
          <cell r="L3497" t="str">
            <v>RODRIGO</v>
          </cell>
          <cell r="M3497" t="str">
            <v>RAQUEL BARBOSA</v>
          </cell>
        </row>
        <row r="3498">
          <cell r="B3498">
            <v>5219741</v>
          </cell>
          <cell r="C3498" t="str">
            <v>CASABLANCA CAFES LTDA</v>
          </cell>
          <cell r="D3498" t="str">
            <v>6001</v>
          </cell>
          <cell r="E3498" t="str">
            <v>0169</v>
          </cell>
          <cell r="F3498" t="str">
            <v>C1</v>
          </cell>
          <cell r="G3498" t="str">
            <v>ES</v>
          </cell>
          <cell r="H3498" t="str">
            <v>DISTRIBUIÇÃO</v>
          </cell>
          <cell r="I3498" t="str">
            <v>FOOD SERVICE</v>
          </cell>
          <cell r="J3498" t="str">
            <v>MARCELO DUARTE</v>
          </cell>
          <cell r="K3498" t="str">
            <v>ITAMBÉ</v>
          </cell>
          <cell r="L3498" t="str">
            <v>RODRIGO</v>
          </cell>
          <cell r="M3498" t="str">
            <v>JESSICA</v>
          </cell>
        </row>
        <row r="3499">
          <cell r="B3499">
            <v>5220627</v>
          </cell>
          <cell r="C3499" t="str">
            <v>JME RAUTA COMERCIAL DISTRIBUIDORA</v>
          </cell>
          <cell r="D3499" t="str">
            <v>6001</v>
          </cell>
          <cell r="E3499" t="str">
            <v>0028</v>
          </cell>
          <cell r="F3499" t="str">
            <v>C1</v>
          </cell>
          <cell r="G3499" t="str">
            <v>RJ</v>
          </cell>
          <cell r="H3499" t="str">
            <v>DISTRIBUIÇÃO</v>
          </cell>
          <cell r="I3499" t="str">
            <v>FOOD SERVICE</v>
          </cell>
          <cell r="J3499" t="str">
            <v>LUCIANA MARTINS</v>
          </cell>
          <cell r="K3499" t="str">
            <v>ITAMBÉ</v>
          </cell>
          <cell r="L3499" t="str">
            <v>RODRIGO</v>
          </cell>
          <cell r="M3499" t="str">
            <v>JESSICA</v>
          </cell>
        </row>
        <row r="3500">
          <cell r="B3500">
            <v>5220998</v>
          </cell>
          <cell r="C3500" t="str">
            <v>GELADOM SORVETES LTDA</v>
          </cell>
          <cell r="D3500" t="str">
            <v>6001</v>
          </cell>
          <cell r="E3500" t="str">
            <v>0127</v>
          </cell>
          <cell r="F3500" t="str">
            <v>C1</v>
          </cell>
          <cell r="G3500" t="str">
            <v>BA</v>
          </cell>
          <cell r="H3500" t="str">
            <v>DISTRIBUIÇÃO</v>
          </cell>
          <cell r="I3500" t="str">
            <v>FOOD SERVICE</v>
          </cell>
          <cell r="J3500" t="str">
            <v>CLAUDIO JORGE/LUIZ</v>
          </cell>
          <cell r="K3500" t="str">
            <v>ITAMBÉ</v>
          </cell>
          <cell r="L3500" t="str">
            <v>RODRIGO</v>
          </cell>
          <cell r="M3500" t="str">
            <v>MARIA LOURDES</v>
          </cell>
        </row>
        <row r="3501">
          <cell r="B3501">
            <v>5221391</v>
          </cell>
          <cell r="C3501" t="str">
            <v>LEONARDO RODRIGO SILVA SANTOS M</v>
          </cell>
          <cell r="D3501" t="str">
            <v>6001</v>
          </cell>
          <cell r="E3501" t="str">
            <v>0169</v>
          </cell>
          <cell r="F3501" t="str">
            <v>C1</v>
          </cell>
          <cell r="G3501" t="str">
            <v>RJ</v>
          </cell>
          <cell r="H3501" t="str">
            <v>DISTRIBUIÇÃO</v>
          </cell>
          <cell r="I3501" t="str">
            <v>FOOD SERVICE</v>
          </cell>
          <cell r="J3501" t="str">
            <v>JULIANA CORDEIRO</v>
          </cell>
          <cell r="K3501" t="str">
            <v>ITAMBÉ</v>
          </cell>
          <cell r="L3501" t="str">
            <v>RODRIGO</v>
          </cell>
          <cell r="M3501" t="str">
            <v>JESSICA</v>
          </cell>
        </row>
        <row r="3502">
          <cell r="B3502">
            <v>5223419</v>
          </cell>
          <cell r="C3502" t="str">
            <v>OESA COMERCIO E REPRESENTACOES</v>
          </cell>
          <cell r="D3502" t="str">
            <v>6001</v>
          </cell>
          <cell r="E3502" t="str">
            <v>0123</v>
          </cell>
          <cell r="F3502" t="str">
            <v>C1</v>
          </cell>
          <cell r="G3502" t="str">
            <v>DF</v>
          </cell>
          <cell r="H3502" t="str">
            <v>DISTRIBUIÇÃO</v>
          </cell>
          <cell r="I3502" t="str">
            <v>FOOD SERVICE</v>
          </cell>
          <cell r="J3502" t="str">
            <v>CLAUDIO JORGE</v>
          </cell>
          <cell r="K3502" t="str">
            <v>ITAMBÉ</v>
          </cell>
          <cell r="L3502" t="str">
            <v>RODRIGO</v>
          </cell>
          <cell r="M3502" t="str">
            <v>MARCO AURELIO</v>
          </cell>
        </row>
        <row r="3503">
          <cell r="B3503">
            <v>5223996</v>
          </cell>
          <cell r="C3503" t="str">
            <v>PLASTIC DISTRIBUIDORA LTDA</v>
          </cell>
          <cell r="D3503" t="str">
            <v>6001</v>
          </cell>
          <cell r="E3503" t="str">
            <v>0028</v>
          </cell>
          <cell r="F3503" t="str">
            <v>C1</v>
          </cell>
          <cell r="G3503" t="str">
            <v>ES</v>
          </cell>
          <cell r="H3503" t="str">
            <v>INGREDIENTS</v>
          </cell>
          <cell r="I3503" t="str">
            <v>INGREDIENTS</v>
          </cell>
          <cell r="J3503" t="str">
            <v>ES ITB FS RADTKE REPRES</v>
          </cell>
          <cell r="K3503" t="str">
            <v>ITAMBÉ</v>
          </cell>
          <cell r="L3503" t="str">
            <v>MAURICIO</v>
          </cell>
          <cell r="M3503" t="str">
            <v>JOEL</v>
          </cell>
        </row>
        <row r="3504">
          <cell r="B3504">
            <v>5224070</v>
          </cell>
          <cell r="C3504" t="str">
            <v>DISTRIBUIDORA JJ DE ALIMENTOS</v>
          </cell>
          <cell r="D3504" t="str">
            <v>6001</v>
          </cell>
          <cell r="E3504" t="str">
            <v>0127</v>
          </cell>
          <cell r="F3504" t="str">
            <v>C1</v>
          </cell>
          <cell r="G3504" t="str">
            <v>CE</v>
          </cell>
          <cell r="H3504" t="str">
            <v>DISTRIBUIÇÃO</v>
          </cell>
          <cell r="I3504" t="str">
            <v>FOOD SERVICE</v>
          </cell>
          <cell r="J3504" t="str">
            <v>WH FOOD SERVICE CE</v>
          </cell>
          <cell r="K3504" t="str">
            <v>ITAMBÉ</v>
          </cell>
          <cell r="L3504" t="str">
            <v>RODRIGO</v>
          </cell>
          <cell r="M3504" t="str">
            <v>MARIA LOURDES</v>
          </cell>
        </row>
        <row r="3505">
          <cell r="B3505">
            <v>5226499</v>
          </cell>
          <cell r="C3505" t="str">
            <v>NEWREST BR SERV AUX AO TRANS AEREO</v>
          </cell>
          <cell r="D3505" t="str">
            <v>6001</v>
          </cell>
          <cell r="E3505" t="str">
            <v>0125</v>
          </cell>
          <cell r="F3505" t="str">
            <v>C1</v>
          </cell>
          <cell r="G3505" t="str">
            <v>SP</v>
          </cell>
          <cell r="H3505" t="str">
            <v>QSR</v>
          </cell>
          <cell r="I3505" t="str">
            <v>FOOD SERVICE</v>
          </cell>
          <cell r="J3505" t="str">
            <v>ANA MENIQUETE</v>
          </cell>
          <cell r="K3505" t="str">
            <v>ITAMBÉ</v>
          </cell>
          <cell r="L3505" t="str">
            <v>PEDRO</v>
          </cell>
          <cell r="M3505" t="str">
            <v>ANA MENIQUETE</v>
          </cell>
        </row>
        <row r="3506">
          <cell r="B3506">
            <v>5226500</v>
          </cell>
          <cell r="C3506" t="str">
            <v>GARRA COMERCIO ATACADISTA DE ALIM L</v>
          </cell>
          <cell r="D3506" t="str">
            <v>6001</v>
          </cell>
          <cell r="E3506" t="str">
            <v>0123</v>
          </cell>
          <cell r="F3506" t="str">
            <v>C1</v>
          </cell>
          <cell r="G3506" t="str">
            <v>DF</v>
          </cell>
          <cell r="H3506" t="str">
            <v>DISTRIBUIÇÃO</v>
          </cell>
          <cell r="I3506" t="str">
            <v>FOOD SERVICE</v>
          </cell>
          <cell r="J3506" t="str">
            <v>CLAUDIO JORGE</v>
          </cell>
          <cell r="K3506" t="str">
            <v>ITAMBÉ</v>
          </cell>
          <cell r="L3506" t="str">
            <v>RODRIGO</v>
          </cell>
          <cell r="M3506" t="str">
            <v>MARCO AURELIO</v>
          </cell>
        </row>
        <row r="3507">
          <cell r="B3507">
            <v>5226531</v>
          </cell>
          <cell r="C3507" t="str">
            <v>NOBREDO COMERCIO E LOGISTICA LTDA</v>
          </cell>
          <cell r="D3507" t="str">
            <v>6001</v>
          </cell>
          <cell r="E3507" t="str">
            <v>0169</v>
          </cell>
          <cell r="F3507" t="str">
            <v>C1</v>
          </cell>
          <cell r="G3507" t="str">
            <v>RJ</v>
          </cell>
          <cell r="H3507" t="str">
            <v>DISTRIBUIÇÃO</v>
          </cell>
          <cell r="I3507" t="str">
            <v>FOOD SERVICE</v>
          </cell>
          <cell r="J3507" t="str">
            <v>LUCIANA MARTINS</v>
          </cell>
          <cell r="K3507" t="str">
            <v>ITAMBÉ</v>
          </cell>
          <cell r="L3507" t="str">
            <v>RODRIGO</v>
          </cell>
          <cell r="M3507" t="str">
            <v>JESSICA</v>
          </cell>
        </row>
        <row r="3508">
          <cell r="B3508">
            <v>5226643</v>
          </cell>
          <cell r="C3508" t="str">
            <v>HOSPITAL MATER DEI SA</v>
          </cell>
          <cell r="D3508" t="str">
            <v>6001</v>
          </cell>
          <cell r="E3508" t="str">
            <v>0127</v>
          </cell>
          <cell r="F3508" t="str">
            <v>C1</v>
          </cell>
          <cell r="G3508" t="str">
            <v>BA</v>
          </cell>
          <cell r="H3508" t="str">
            <v>DISTRIBUIÇÃO</v>
          </cell>
          <cell r="I3508" t="str">
            <v>FOOD SERVICE</v>
          </cell>
          <cell r="J3508" t="str">
            <v>CLAUDIO JORGE/LUIZ</v>
          </cell>
          <cell r="K3508" t="str">
            <v>ITAMBÉ</v>
          </cell>
          <cell r="L3508" t="str">
            <v>RODRIGO</v>
          </cell>
          <cell r="M3508" t="str">
            <v>MARIA LOURDES</v>
          </cell>
        </row>
        <row r="3509">
          <cell r="B3509">
            <v>5226985</v>
          </cell>
          <cell r="C3509" t="str">
            <v>DISTRIBUIDORA E IMP IRMAOS AVELINO</v>
          </cell>
          <cell r="D3509" t="str">
            <v>6001</v>
          </cell>
          <cell r="E3509" t="str">
            <v>0125</v>
          </cell>
          <cell r="F3509" t="str">
            <v>C1</v>
          </cell>
          <cell r="G3509" t="str">
            <v>SP</v>
          </cell>
          <cell r="H3509" t="str">
            <v>DISTRIBUIÇÃO</v>
          </cell>
          <cell r="I3509" t="str">
            <v>FOOD SERVICE</v>
          </cell>
          <cell r="J3509" t="str">
            <v>RAQUEL BARBOSA</v>
          </cell>
          <cell r="K3509" t="str">
            <v>ITAMBÉ</v>
          </cell>
          <cell r="L3509" t="str">
            <v>RODRIGO</v>
          </cell>
          <cell r="M3509" t="str">
            <v>RAQUEL BARBOSA</v>
          </cell>
        </row>
        <row r="3510">
          <cell r="B3510">
            <v>5227156</v>
          </cell>
          <cell r="C3510" t="str">
            <v>GELARTE ACAI MIX IND E COM DE S LTD</v>
          </cell>
          <cell r="D3510" t="str">
            <v>6001</v>
          </cell>
          <cell r="E3510" t="str">
            <v>0028</v>
          </cell>
          <cell r="F3510" t="str">
            <v>C1</v>
          </cell>
          <cell r="G3510" t="str">
            <v>RJ</v>
          </cell>
          <cell r="H3510" t="str">
            <v>INGREDIENTS</v>
          </cell>
          <cell r="I3510" t="str">
            <v>INGREDIENTS</v>
          </cell>
          <cell r="J3510" t="str">
            <v>RJ ITB FS CDR REPRESENTAÇÕES</v>
          </cell>
          <cell r="K3510" t="str">
            <v>ITAMBÉ</v>
          </cell>
          <cell r="L3510" t="str">
            <v>MAURICIO</v>
          </cell>
          <cell r="M3510" t="str">
            <v>TATIANA NITTA</v>
          </cell>
        </row>
        <row r="3511">
          <cell r="B3511">
            <v>5227253</v>
          </cell>
          <cell r="C3511" t="str">
            <v>PLATLOG IMPORTACAO LOG DIST LTDA</v>
          </cell>
          <cell r="D3511" t="str">
            <v>6001</v>
          </cell>
          <cell r="E3511" t="str">
            <v>0125</v>
          </cell>
          <cell r="F3511" t="str">
            <v>C1</v>
          </cell>
          <cell r="G3511" t="str">
            <v>SP</v>
          </cell>
          <cell r="H3511" t="str">
            <v>QSR</v>
          </cell>
          <cell r="I3511" t="str">
            <v>FOOD SERVICE</v>
          </cell>
          <cell r="J3511" t="str">
            <v>ANA MENIQUETE</v>
          </cell>
          <cell r="K3511" t="str">
            <v>ITAMBÉ</v>
          </cell>
          <cell r="L3511" t="str">
            <v>PEDRO</v>
          </cell>
          <cell r="M3511" t="str">
            <v>ANA MENIQUETE</v>
          </cell>
        </row>
        <row r="3512">
          <cell r="B3512">
            <v>5228827</v>
          </cell>
          <cell r="C3512" t="str">
            <v>FABRICA ACAI MAGNIFICO LTDA</v>
          </cell>
          <cell r="D3512" t="str">
            <v>6001</v>
          </cell>
          <cell r="E3512" t="str">
            <v>0125</v>
          </cell>
          <cell r="F3512" t="str">
            <v>C1</v>
          </cell>
          <cell r="G3512" t="str">
            <v>SP</v>
          </cell>
          <cell r="H3512" t="str">
            <v>INGREDIENTS</v>
          </cell>
          <cell r="I3512" t="str">
            <v>INGREDIENTS</v>
          </cell>
          <cell r="J3512" t="str">
            <v>HENRIQUE FERREIRA</v>
          </cell>
          <cell r="K3512" t="str">
            <v>ITAMBÉ</v>
          </cell>
          <cell r="L3512" t="str">
            <v>MAURICIO</v>
          </cell>
          <cell r="M3512" t="str">
            <v>JOEL</v>
          </cell>
        </row>
        <row r="3513">
          <cell r="B3513">
            <v>5229130</v>
          </cell>
          <cell r="C3513" t="str">
            <v>PLATLOG IMPORTACAO LOGISTICA E DIST</v>
          </cell>
          <cell r="D3513" t="str">
            <v>6001</v>
          </cell>
          <cell r="E3513" t="str">
            <v>0125</v>
          </cell>
          <cell r="F3513" t="str">
            <v>C1</v>
          </cell>
          <cell r="G3513" t="str">
            <v>SP</v>
          </cell>
          <cell r="H3513" t="str">
            <v>QSR</v>
          </cell>
          <cell r="I3513" t="str">
            <v>FOOD SERVICE</v>
          </cell>
          <cell r="J3513" t="str">
            <v>ANA MENIQUETE</v>
          </cell>
          <cell r="K3513" t="str">
            <v>ITAMBÉ</v>
          </cell>
          <cell r="L3513" t="str">
            <v>PEDRO</v>
          </cell>
          <cell r="M3513" t="str">
            <v>ANA MENIQUETE</v>
          </cell>
        </row>
        <row r="3514">
          <cell r="B3514">
            <v>5229510</v>
          </cell>
          <cell r="C3514" t="str">
            <v>DLVA DISTRIB DE PROD ALIMEN LTD</v>
          </cell>
          <cell r="D3514" t="str">
            <v>6001</v>
          </cell>
          <cell r="E3514" t="str">
            <v>0028</v>
          </cell>
          <cell r="F3514" t="str">
            <v>C1</v>
          </cell>
          <cell r="G3514" t="str">
            <v>SP</v>
          </cell>
          <cell r="H3514" t="str">
            <v>INGREDIENTS</v>
          </cell>
          <cell r="I3514" t="str">
            <v>INGREDIENTS</v>
          </cell>
          <cell r="J3514" t="str">
            <v>ITB FS SPLENDI REPRESENTAÇÕES</v>
          </cell>
          <cell r="K3514" t="str">
            <v>ITAMBÉ</v>
          </cell>
          <cell r="L3514" t="str">
            <v>MAURICIO</v>
          </cell>
          <cell r="M3514" t="str">
            <v>TATIANA NITTA</v>
          </cell>
        </row>
        <row r="3515">
          <cell r="B3515">
            <v>5229985</v>
          </cell>
          <cell r="C3515" t="str">
            <v>FRANCISCO C LIMA DISTRIB DE ALI</v>
          </cell>
          <cell r="D3515" t="str">
            <v>6001</v>
          </cell>
          <cell r="E3515" t="str">
            <v>0127</v>
          </cell>
          <cell r="F3515" t="str">
            <v>C1</v>
          </cell>
          <cell r="G3515" t="str">
            <v>CE</v>
          </cell>
          <cell r="H3515" t="str">
            <v>DISTRIBUIÇÃO</v>
          </cell>
          <cell r="I3515" t="str">
            <v>FOOD SERVICE</v>
          </cell>
          <cell r="J3515" t="str">
            <v>WH FOOD SERVICE CE</v>
          </cell>
          <cell r="K3515" t="str">
            <v>ITAMBÉ</v>
          </cell>
          <cell r="L3515" t="str">
            <v>RODRIGO</v>
          </cell>
          <cell r="M3515" t="str">
            <v>MARIA LOURDES</v>
          </cell>
        </row>
        <row r="3516">
          <cell r="B3516">
            <v>5230141</v>
          </cell>
          <cell r="C3516" t="str">
            <v>DADALTO E SILVA LTDA</v>
          </cell>
          <cell r="D3516" t="str">
            <v>6001</v>
          </cell>
          <cell r="E3516" t="str">
            <v>0169</v>
          </cell>
          <cell r="F3516" t="str">
            <v>C1</v>
          </cell>
          <cell r="G3516" t="str">
            <v>ES</v>
          </cell>
          <cell r="H3516" t="str">
            <v>DISTRIBUIÇÃO</v>
          </cell>
          <cell r="I3516" t="str">
            <v>FOOD SERVICE</v>
          </cell>
          <cell r="J3516" t="str">
            <v>MARCELO DUARTE</v>
          </cell>
          <cell r="K3516" t="str">
            <v>ITAMBÉ</v>
          </cell>
          <cell r="L3516" t="str">
            <v>RODRIGO</v>
          </cell>
          <cell r="M3516" t="str">
            <v>JESSICA</v>
          </cell>
        </row>
        <row r="3517">
          <cell r="B3517">
            <v>5231303</v>
          </cell>
          <cell r="C3517" t="str">
            <v>SUPER VINHOS DISTRIBUIDORA S A</v>
          </cell>
          <cell r="D3517" t="str">
            <v>6001</v>
          </cell>
          <cell r="E3517" t="str">
            <v>0169</v>
          </cell>
          <cell r="F3517" t="str">
            <v>C1</v>
          </cell>
          <cell r="G3517" t="str">
            <v>RJ</v>
          </cell>
          <cell r="H3517" t="str">
            <v>DISTRIBUIÇÃO</v>
          </cell>
          <cell r="I3517" t="str">
            <v>FOOD SERVICE</v>
          </cell>
          <cell r="J3517" t="str">
            <v>LUCIANA MARTINS</v>
          </cell>
          <cell r="K3517" t="str">
            <v>ITAMBÉ</v>
          </cell>
          <cell r="L3517" t="str">
            <v>RODRIGO</v>
          </cell>
          <cell r="M3517" t="str">
            <v>JESSICA</v>
          </cell>
        </row>
        <row r="3518">
          <cell r="B3518">
            <v>5232460</v>
          </cell>
          <cell r="C3518" t="str">
            <v>GELATO LUCE COMERCIO LTDA</v>
          </cell>
          <cell r="D3518" t="str">
            <v>6001</v>
          </cell>
          <cell r="E3518" t="str">
            <v>0127</v>
          </cell>
          <cell r="F3518" t="str">
            <v>C1</v>
          </cell>
          <cell r="G3518" t="str">
            <v>BA</v>
          </cell>
          <cell r="H3518" t="str">
            <v>DISTRIBUIÇÃO</v>
          </cell>
          <cell r="I3518" t="str">
            <v>FOOD SERVICE</v>
          </cell>
          <cell r="J3518" t="str">
            <v>CLAUDIO JORGE/LUIZ</v>
          </cell>
          <cell r="K3518" t="str">
            <v>ITAMBÉ</v>
          </cell>
          <cell r="L3518" t="str">
            <v>RODRIGO</v>
          </cell>
          <cell r="M3518" t="str">
            <v>MARIA LOURDES</v>
          </cell>
        </row>
        <row r="3519">
          <cell r="B3519">
            <v>5233833</v>
          </cell>
          <cell r="C3519" t="str">
            <v>CBAF COMERCIO DE ALIMENTOS LTDA</v>
          </cell>
          <cell r="D3519" t="str">
            <v>6001</v>
          </cell>
          <cell r="E3519" t="str">
            <v>0125</v>
          </cell>
          <cell r="F3519" t="str">
            <v>C1</v>
          </cell>
          <cell r="G3519" t="str">
            <v>SP</v>
          </cell>
          <cell r="H3519" t="str">
            <v>QSR</v>
          </cell>
          <cell r="I3519" t="str">
            <v>FOOD SERVICE</v>
          </cell>
          <cell r="J3519" t="str">
            <v>VAGO QSR</v>
          </cell>
          <cell r="K3519" t="str">
            <v>ITAMBÉ</v>
          </cell>
          <cell r="L3519" t="str">
            <v>PEDRO</v>
          </cell>
          <cell r="M3519" t="str">
            <v>VAGO QSR</v>
          </cell>
        </row>
        <row r="3520">
          <cell r="B3520">
            <v>5255804</v>
          </cell>
          <cell r="C3520" t="str">
            <v>COMFRIO FOOD SERVICE LTDA</v>
          </cell>
          <cell r="D3520" t="str">
            <v>6001</v>
          </cell>
          <cell r="E3520" t="str">
            <v>0125</v>
          </cell>
          <cell r="F3520" t="str">
            <v>C1</v>
          </cell>
          <cell r="G3520" t="str">
            <v>SP</v>
          </cell>
          <cell r="H3520" t="str">
            <v>QSR</v>
          </cell>
          <cell r="I3520" t="str">
            <v>FOOD SERVICE</v>
          </cell>
          <cell r="J3520" t="str">
            <v>VAGO QSR</v>
          </cell>
          <cell r="K3520" t="str">
            <v>ITAMBÉ</v>
          </cell>
          <cell r="L3520" t="str">
            <v>PEDRO</v>
          </cell>
          <cell r="M3520" t="str">
            <v>VAGO QSR</v>
          </cell>
        </row>
        <row r="3521">
          <cell r="B3521">
            <v>5256539</v>
          </cell>
          <cell r="C3521" t="str">
            <v>MAGAZZINO DIST DE ALIMENTOS LTD</v>
          </cell>
          <cell r="D3521" t="str">
            <v>6001</v>
          </cell>
          <cell r="E3521" t="str">
            <v>0169</v>
          </cell>
          <cell r="F3521" t="str">
            <v>C1</v>
          </cell>
          <cell r="G3521" t="str">
            <v>RJ</v>
          </cell>
          <cell r="H3521" t="str">
            <v>QSR</v>
          </cell>
          <cell r="I3521" t="str">
            <v>FOOD SERVICE</v>
          </cell>
          <cell r="J3521" t="str">
            <v>VAGO QSR</v>
          </cell>
          <cell r="K3521" t="str">
            <v>ITAMBÉ</v>
          </cell>
          <cell r="L3521" t="str">
            <v>PEDRO</v>
          </cell>
          <cell r="M3521" t="str">
            <v>VAGO QSR</v>
          </cell>
        </row>
        <row r="3522">
          <cell r="B3522">
            <v>5259915</v>
          </cell>
          <cell r="C3522" t="str">
            <v>PAMA COM DE GENEROS ALIMENTICIOS LT</v>
          </cell>
          <cell r="D3522" t="str">
            <v>6001</v>
          </cell>
          <cell r="E3522" t="str">
            <v>0125</v>
          </cell>
          <cell r="F3522" t="str">
            <v>C1</v>
          </cell>
          <cell r="G3522" t="str">
            <v>SP</v>
          </cell>
          <cell r="H3522" t="str">
            <v>DISTRIBUIÇÃO</v>
          </cell>
          <cell r="I3522" t="str">
            <v>FOOD SERVICE</v>
          </cell>
          <cell r="J3522" t="str">
            <v>GUILHERME NASCIMENTO</v>
          </cell>
          <cell r="K3522" t="str">
            <v>ITAMBÉ</v>
          </cell>
          <cell r="L3522" t="str">
            <v>RODRIGO</v>
          </cell>
          <cell r="M3522" t="str">
            <v>ALEXANDRO</v>
          </cell>
        </row>
        <row r="3523">
          <cell r="B3523">
            <v>5261089</v>
          </cell>
          <cell r="C3523" t="str">
            <v>INTERFRIOS COM FRIOS LATCINIOS</v>
          </cell>
          <cell r="D3523" t="str">
            <v>6001</v>
          </cell>
          <cell r="E3523" t="str">
            <v>0125</v>
          </cell>
          <cell r="F3523" t="str">
            <v>C1</v>
          </cell>
          <cell r="G3523" t="str">
            <v>SP</v>
          </cell>
          <cell r="H3523" t="str">
            <v>DISTRIBUIÇÃO</v>
          </cell>
          <cell r="I3523" t="str">
            <v>FOOD SERVICE</v>
          </cell>
          <cell r="J3523" t="str">
            <v>GUILHERME NASCIMENTO</v>
          </cell>
          <cell r="K3523" t="str">
            <v>ITAMBÉ</v>
          </cell>
          <cell r="L3523" t="str">
            <v>RODRIGO</v>
          </cell>
          <cell r="M3523" t="str">
            <v>ALEXANDRO</v>
          </cell>
        </row>
        <row r="3524">
          <cell r="B3524">
            <v>5266097</v>
          </cell>
          <cell r="C3524" t="str">
            <v>CAPITAL DAS CESTAS LTDA</v>
          </cell>
          <cell r="D3524" t="str">
            <v>7001</v>
          </cell>
          <cell r="E3524" t="str">
            <v>0749</v>
          </cell>
          <cell r="F3524" t="str">
            <v>C5</v>
          </cell>
          <cell r="G3524" t="str">
            <v>SP</v>
          </cell>
          <cell r="H3524" t="str">
            <v>DISTRIBUIÇÃO</v>
          </cell>
          <cell r="I3524" t="str">
            <v>FOOD SERVICE</v>
          </cell>
          <cell r="J3524" t="str">
            <v>FLAC 1</v>
          </cell>
          <cell r="K3524" t="str">
            <v>LACTALIS</v>
          </cell>
          <cell r="L3524" t="str">
            <v>RODRIGO</v>
          </cell>
          <cell r="M3524" t="str">
            <v>RAQUEL BARBOSA</v>
          </cell>
        </row>
        <row r="3525">
          <cell r="B3525">
            <v>5271447</v>
          </cell>
          <cell r="C3525" t="str">
            <v>NOBREDO COMERCIO E LOGISTICA LT</v>
          </cell>
          <cell r="D3525" t="str">
            <v>6001</v>
          </cell>
          <cell r="E3525" t="str">
            <v>0169</v>
          </cell>
          <cell r="F3525" t="str">
            <v>C1</v>
          </cell>
          <cell r="G3525" t="str">
            <v>ES</v>
          </cell>
          <cell r="H3525" t="str">
            <v>DISTRIBUIÇÃO</v>
          </cell>
          <cell r="I3525" t="str">
            <v>FOOD SERVICE</v>
          </cell>
          <cell r="J3525" t="str">
            <v>LUCIANA MARTINS</v>
          </cell>
          <cell r="K3525" t="str">
            <v>ITAMBÉ</v>
          </cell>
          <cell r="L3525" t="str">
            <v>RODRIGO</v>
          </cell>
          <cell r="M3525" t="str">
            <v>JESSICA</v>
          </cell>
        </row>
        <row r="3526">
          <cell r="B3526">
            <v>5272524</v>
          </cell>
          <cell r="C3526" t="str">
            <v>ANDRE REGIANI</v>
          </cell>
          <cell r="D3526" t="str">
            <v>6001</v>
          </cell>
          <cell r="E3526" t="str">
            <v>0125</v>
          </cell>
          <cell r="F3526" t="str">
            <v>C1</v>
          </cell>
          <cell r="G3526" t="str">
            <v>SP</v>
          </cell>
          <cell r="H3526" t="str">
            <v>OUTROS</v>
          </cell>
          <cell r="I3526" t="str">
            <v>OUTROS</v>
          </cell>
          <cell r="J3526" t="str">
            <v>OUTROS</v>
          </cell>
          <cell r="K3526" t="str">
            <v>ITAMBÉ</v>
          </cell>
          <cell r="L3526" t="str">
            <v>OUTROS</v>
          </cell>
          <cell r="M3526" t="str">
            <v>OUTROS</v>
          </cell>
        </row>
        <row r="3527">
          <cell r="B3527">
            <v>5307722</v>
          </cell>
          <cell r="C3527" t="str">
            <v>SELECTO CACAU IND E COM PR ALIM</v>
          </cell>
          <cell r="D3527" t="str">
            <v>6001</v>
          </cell>
          <cell r="E3527" t="str">
            <v>0125</v>
          </cell>
          <cell r="F3527" t="str">
            <v>C1</v>
          </cell>
          <cell r="G3527" t="str">
            <v>SP</v>
          </cell>
          <cell r="H3527" t="str">
            <v>INGREDIENTS</v>
          </cell>
          <cell r="I3527" t="str">
            <v>INGREDIENTS</v>
          </cell>
          <cell r="J3527" t="str">
            <v>TATIANA NITTA</v>
          </cell>
          <cell r="K3527" t="str">
            <v>ITAMBÉ</v>
          </cell>
          <cell r="L3527" t="str">
            <v>MAURICIO</v>
          </cell>
          <cell r="M3527" t="str">
            <v>TATIANA NITTA</v>
          </cell>
        </row>
        <row r="3528">
          <cell r="B3528">
            <v>5310560</v>
          </cell>
          <cell r="C3528" t="str">
            <v>ARTPAN COMERCIO DE ALIMENTOS LTDA</v>
          </cell>
          <cell r="D3528" t="str">
            <v>6001</v>
          </cell>
          <cell r="E3528" t="str">
            <v>0123</v>
          </cell>
          <cell r="F3528" t="str">
            <v>C1</v>
          </cell>
          <cell r="G3528" t="str">
            <v>MS</v>
          </cell>
          <cell r="H3528" t="str">
            <v>DISTRIBUIÇÃO</v>
          </cell>
          <cell r="I3528" t="str">
            <v>FOOD SERVICE</v>
          </cell>
          <cell r="J3528" t="str">
            <v>CLAUDIO JORGE</v>
          </cell>
          <cell r="K3528" t="str">
            <v>ITAMBÉ</v>
          </cell>
          <cell r="L3528" t="str">
            <v>RODRIGO</v>
          </cell>
          <cell r="M3528" t="str">
            <v>MARCO AURELIO</v>
          </cell>
        </row>
        <row r="3529">
          <cell r="B3529">
            <v>5313456</v>
          </cell>
          <cell r="C3529" t="str">
            <v>PORTEFRIO DISTRIBUIDORA DE GENEROS</v>
          </cell>
          <cell r="D3529" t="str">
            <v>6001</v>
          </cell>
          <cell r="E3529" t="str">
            <v>0169</v>
          </cell>
          <cell r="F3529" t="str">
            <v>C1</v>
          </cell>
          <cell r="G3529" t="str">
            <v>RJ</v>
          </cell>
          <cell r="H3529" t="str">
            <v>DISTRIBUIÇÃO</v>
          </cell>
          <cell r="I3529" t="str">
            <v>FOOD SERVICE</v>
          </cell>
          <cell r="J3529" t="str">
            <v>JULIANA CORDEIRO</v>
          </cell>
          <cell r="K3529" t="str">
            <v>ITAMBÉ</v>
          </cell>
          <cell r="L3529" t="str">
            <v>RODRIGO</v>
          </cell>
          <cell r="M3529" t="str">
            <v>JESSICA</v>
          </cell>
        </row>
        <row r="3530">
          <cell r="B3530">
            <v>5315925</v>
          </cell>
          <cell r="C3530" t="str">
            <v>CB VITORIA COMERCIO DE ALIMENTO</v>
          </cell>
          <cell r="D3530" t="str">
            <v>6001</v>
          </cell>
          <cell r="E3530" t="str">
            <v>0169</v>
          </cell>
          <cell r="F3530" t="str">
            <v>C1</v>
          </cell>
          <cell r="G3530" t="str">
            <v>ES</v>
          </cell>
          <cell r="H3530" t="str">
            <v>QSR</v>
          </cell>
          <cell r="I3530" t="str">
            <v>FOOD SERVICE</v>
          </cell>
          <cell r="J3530" t="str">
            <v>VAGO QSR</v>
          </cell>
          <cell r="K3530" t="str">
            <v>ITAMBÉ</v>
          </cell>
          <cell r="L3530" t="str">
            <v>PEDRO</v>
          </cell>
          <cell r="M3530" t="str">
            <v>VAGO QSR</v>
          </cell>
        </row>
        <row r="3531">
          <cell r="B3531">
            <v>5316223</v>
          </cell>
          <cell r="C3531" t="str">
            <v>DM MERCADO LTDA</v>
          </cell>
          <cell r="D3531" t="str">
            <v>6001</v>
          </cell>
          <cell r="E3531" t="str">
            <v>0125</v>
          </cell>
          <cell r="F3531" t="str">
            <v>C1</v>
          </cell>
          <cell r="G3531" t="str">
            <v>SP</v>
          </cell>
          <cell r="H3531" t="str">
            <v>DISTRIBUIÇÃO</v>
          </cell>
          <cell r="I3531" t="str">
            <v>FOOD SERVICE</v>
          </cell>
          <cell r="J3531" t="str">
            <v>SP ITB FS FLAC REP.E COMERCIO</v>
          </cell>
          <cell r="K3531" t="str">
            <v>ITAMBÉ</v>
          </cell>
          <cell r="L3531" t="str">
            <v>RODRIGO</v>
          </cell>
          <cell r="M3531" t="str">
            <v>RAQUEL BARBOSA</v>
          </cell>
        </row>
        <row r="3532">
          <cell r="B3532">
            <v>5317846</v>
          </cell>
          <cell r="C3532" t="str">
            <v>ACAI GRUMARI AVARE LTDA</v>
          </cell>
          <cell r="D3532" t="str">
            <v>6001</v>
          </cell>
          <cell r="E3532" t="str">
            <v>0028</v>
          </cell>
          <cell r="F3532" t="str">
            <v>C1</v>
          </cell>
          <cell r="G3532" t="str">
            <v>RJ</v>
          </cell>
          <cell r="H3532" t="str">
            <v>INGREDIENTS</v>
          </cell>
          <cell r="I3532" t="str">
            <v>INGREDIENTS</v>
          </cell>
          <cell r="J3532" t="str">
            <v>RJ ITB FS CDR REPRESENTAÇÕES</v>
          </cell>
          <cell r="K3532" t="str">
            <v>ITAMBÉ</v>
          </cell>
          <cell r="L3532" t="str">
            <v>MAURICIO</v>
          </cell>
          <cell r="M3532" t="str">
            <v>TATIANA NITTA</v>
          </cell>
        </row>
        <row r="3533">
          <cell r="B3533">
            <v>5320070</v>
          </cell>
          <cell r="C3533" t="str">
            <v>MON CHOU COM IMPORTACAO E EXPOR</v>
          </cell>
          <cell r="D3533" t="str">
            <v>6001</v>
          </cell>
          <cell r="E3533" t="str">
            <v>0169</v>
          </cell>
          <cell r="F3533" t="str">
            <v>C1</v>
          </cell>
          <cell r="G3533" t="str">
            <v>RJ</v>
          </cell>
          <cell r="H3533" t="str">
            <v>DISTRIBUIÇÃO</v>
          </cell>
          <cell r="I3533" t="str">
            <v>FOOD SERVICE</v>
          </cell>
          <cell r="J3533" t="str">
            <v>LUCIANA MARTINS</v>
          </cell>
          <cell r="K3533" t="str">
            <v>ITAMBÉ</v>
          </cell>
          <cell r="L3533" t="str">
            <v>RODRIGO</v>
          </cell>
          <cell r="M3533" t="str">
            <v>JESSICA</v>
          </cell>
        </row>
        <row r="3534">
          <cell r="B3534">
            <v>5324461</v>
          </cell>
          <cell r="C3534" t="str">
            <v>RODOLUKI COMERCIO LOGISTICA</v>
          </cell>
          <cell r="D3534" t="str">
            <v>6001</v>
          </cell>
          <cell r="E3534" t="str">
            <v>0125</v>
          </cell>
          <cell r="F3534" t="str">
            <v>C1</v>
          </cell>
          <cell r="G3534" t="str">
            <v>SP</v>
          </cell>
          <cell r="H3534" t="str">
            <v>QSR</v>
          </cell>
          <cell r="I3534" t="str">
            <v>FOOD SERVICE</v>
          </cell>
          <cell r="J3534" t="str">
            <v>ANA MENIQUETE</v>
          </cell>
          <cell r="K3534" t="str">
            <v>ITAMBÉ</v>
          </cell>
          <cell r="L3534" t="str">
            <v>PEDRO</v>
          </cell>
          <cell r="M3534" t="str">
            <v>ANA MENIQUETE</v>
          </cell>
        </row>
        <row r="3535">
          <cell r="B3535">
            <v>5330552</v>
          </cell>
          <cell r="C3535" t="str">
            <v>ML FLAVORS COMERCIO</v>
          </cell>
          <cell r="D3535" t="str">
            <v>6001</v>
          </cell>
          <cell r="E3535" t="str">
            <v>0127</v>
          </cell>
          <cell r="F3535" t="str">
            <v>C1</v>
          </cell>
          <cell r="G3535" t="str">
            <v>BA</v>
          </cell>
          <cell r="H3535" t="str">
            <v>INGREDIENTS</v>
          </cell>
          <cell r="I3535" t="str">
            <v>INGREDIENTS</v>
          </cell>
          <cell r="J3535" t="str">
            <v>BA ITB FS ML FLAVORS</v>
          </cell>
          <cell r="K3535" t="str">
            <v>ITAMBÉ</v>
          </cell>
          <cell r="L3535" t="str">
            <v>MAURICIO</v>
          </cell>
          <cell r="M3535" t="str">
            <v>JOEL</v>
          </cell>
        </row>
        <row r="3536">
          <cell r="B3536">
            <v>5335635</v>
          </cell>
          <cell r="C3536" t="str">
            <v>SUSANA SALES SIQUEIRA 159179698</v>
          </cell>
          <cell r="D3536" t="str">
            <v>6001</v>
          </cell>
          <cell r="E3536" t="str">
            <v>0028</v>
          </cell>
          <cell r="F3536" t="str">
            <v>C1</v>
          </cell>
          <cell r="G3536" t="str">
            <v>BA</v>
          </cell>
          <cell r="H3536" t="str">
            <v>INGREDIENTS</v>
          </cell>
          <cell r="I3536" t="str">
            <v>INGREDIENTS</v>
          </cell>
          <cell r="J3536" t="str">
            <v>BA ITB FS ML FLAVORS</v>
          </cell>
          <cell r="K3536" t="str">
            <v>ITAMBÉ</v>
          </cell>
          <cell r="L3536" t="str">
            <v>MAURICIO</v>
          </cell>
          <cell r="M3536" t="str">
            <v>JOEL</v>
          </cell>
        </row>
        <row r="3537">
          <cell r="B3537">
            <v>5336828</v>
          </cell>
          <cell r="C3537" t="str">
            <v>MILANO COMERCIO VAREJISTA DE ALIM SA</v>
          </cell>
          <cell r="D3537" t="str">
            <v>6001</v>
          </cell>
          <cell r="E3537" t="str">
            <v>0125</v>
          </cell>
          <cell r="F3537" t="str">
            <v>C1</v>
          </cell>
          <cell r="G3537" t="str">
            <v>SP</v>
          </cell>
          <cell r="H3537" t="str">
            <v>QSR</v>
          </cell>
          <cell r="I3537" t="str">
            <v>FOOD SERVICE</v>
          </cell>
          <cell r="J3537" t="str">
            <v>ANA MENIQUETE</v>
          </cell>
          <cell r="K3537" t="str">
            <v>ITAMBÉ</v>
          </cell>
          <cell r="L3537" t="str">
            <v>PEDRO</v>
          </cell>
          <cell r="M3537" t="str">
            <v>ANA MENIQUETE</v>
          </cell>
        </row>
        <row r="3538">
          <cell r="B3538">
            <v>5336831</v>
          </cell>
          <cell r="C3538" t="str">
            <v>COMERCIO VAREJISTA DE SORVETES</v>
          </cell>
          <cell r="D3538" t="str">
            <v>6001</v>
          </cell>
          <cell r="E3538" t="str">
            <v>0125</v>
          </cell>
          <cell r="F3538" t="str">
            <v>C1</v>
          </cell>
          <cell r="G3538" t="str">
            <v>SP</v>
          </cell>
          <cell r="H3538" t="str">
            <v>QSR</v>
          </cell>
          <cell r="I3538" t="str">
            <v>FOOD SERVICE</v>
          </cell>
          <cell r="J3538" t="str">
            <v>NUTRI</v>
          </cell>
          <cell r="K3538" t="str">
            <v>ITAMBÉ</v>
          </cell>
          <cell r="L3538" t="str">
            <v>PEDRO</v>
          </cell>
          <cell r="M3538" t="str">
            <v>VAGO QSR</v>
          </cell>
        </row>
        <row r="3539">
          <cell r="B3539">
            <v>5336832</v>
          </cell>
          <cell r="C3539" t="str">
            <v>COLORADO COMERCIO DE SORVETES LTDA</v>
          </cell>
          <cell r="D3539" t="str">
            <v>6001</v>
          </cell>
          <cell r="E3539" t="str">
            <v>0125</v>
          </cell>
          <cell r="F3539" t="str">
            <v>C1</v>
          </cell>
          <cell r="G3539" t="str">
            <v>SP</v>
          </cell>
          <cell r="H3539" t="str">
            <v>QSR</v>
          </cell>
          <cell r="I3539" t="str">
            <v>FOOD SERVICE</v>
          </cell>
          <cell r="J3539" t="str">
            <v>NUTRI</v>
          </cell>
          <cell r="K3539" t="str">
            <v>ITAMBÉ</v>
          </cell>
          <cell r="L3539" t="str">
            <v>PEDRO</v>
          </cell>
          <cell r="M3539" t="str">
            <v>VAGO QSR</v>
          </cell>
        </row>
        <row r="3540">
          <cell r="B3540">
            <v>5337138</v>
          </cell>
          <cell r="C3540" t="str">
            <v>VSG DISTRIBUIDORA LTDA</v>
          </cell>
          <cell r="D3540" t="str">
            <v>3001</v>
          </cell>
          <cell r="E3540" t="str">
            <v>0028</v>
          </cell>
          <cell r="F3540" t="str">
            <v>C1</v>
          </cell>
          <cell r="G3540" t="str">
            <v>PR</v>
          </cell>
          <cell r="H3540" t="str">
            <v>INGREDIENTS</v>
          </cell>
          <cell r="I3540" t="str">
            <v>INGREDIENTS</v>
          </cell>
          <cell r="J3540" t="str">
            <v>MARCELO RODRIGUES</v>
          </cell>
          <cell r="K3540" t="str">
            <v>ITAMBÉ</v>
          </cell>
          <cell r="L3540" t="str">
            <v>MAURICIO</v>
          </cell>
          <cell r="M3540" t="str">
            <v>MARCELO</v>
          </cell>
        </row>
        <row r="3541">
          <cell r="B3541">
            <v>5338003</v>
          </cell>
          <cell r="C3541" t="str">
            <v>WGS COMERCIO DE PROD ALIMENTICI</v>
          </cell>
          <cell r="D3541" t="str">
            <v>6001</v>
          </cell>
          <cell r="E3541" t="str">
            <v>0127</v>
          </cell>
          <cell r="F3541" t="str">
            <v>C1</v>
          </cell>
          <cell r="G3541" t="str">
            <v>BA</v>
          </cell>
          <cell r="H3541" t="str">
            <v>DISTRIBUIÇÃO</v>
          </cell>
          <cell r="I3541" t="str">
            <v>FOOD SERVICE</v>
          </cell>
          <cell r="J3541" t="str">
            <v>CLAUDIO JORGE/LUIZ</v>
          </cell>
          <cell r="K3541" t="str">
            <v>ITAMBÉ</v>
          </cell>
          <cell r="L3541" t="str">
            <v>RODRIGO</v>
          </cell>
          <cell r="M3541" t="str">
            <v>MARIA LOURDES</v>
          </cell>
        </row>
        <row r="3542">
          <cell r="B3542">
            <v>5338214</v>
          </cell>
          <cell r="C3542" t="str">
            <v>GAPEIXOTO DIST DE PROD ALIM LTD</v>
          </cell>
          <cell r="D3542" t="str">
            <v>6001</v>
          </cell>
          <cell r="E3542" t="str">
            <v>0125</v>
          </cell>
          <cell r="F3542" t="str">
            <v>C1</v>
          </cell>
          <cell r="G3542" t="str">
            <v>SP</v>
          </cell>
          <cell r="H3542" t="str">
            <v>DISTRIBUIÇÃO</v>
          </cell>
          <cell r="I3542" t="str">
            <v>FOOD SERVICE</v>
          </cell>
          <cell r="J3542" t="str">
            <v>VAGO SP</v>
          </cell>
          <cell r="K3542" t="str">
            <v>ITAMBÉ</v>
          </cell>
          <cell r="L3542" t="str">
            <v>RODRIGO</v>
          </cell>
          <cell r="M3542" t="str">
            <v>RAQUEL BARBOSA</v>
          </cell>
        </row>
        <row r="3543">
          <cell r="B3543">
            <v>5339140</v>
          </cell>
          <cell r="C3543" t="str">
            <v>SORVETERIA NORONHA LTDA</v>
          </cell>
          <cell r="D3543" t="str">
            <v>6001</v>
          </cell>
          <cell r="E3543" t="str">
            <v>0028</v>
          </cell>
          <cell r="F3543" t="str">
            <v>C1</v>
          </cell>
          <cell r="G3543" t="str">
            <v>MS</v>
          </cell>
          <cell r="H3543" t="str">
            <v>INGREDIENTS</v>
          </cell>
          <cell r="I3543" t="str">
            <v>INGREDIENTS</v>
          </cell>
          <cell r="J3543" t="str">
            <v>DUAS RODAS</v>
          </cell>
          <cell r="K3543" t="str">
            <v>ITAMBÉ</v>
          </cell>
          <cell r="L3543" t="str">
            <v>MAURICIO</v>
          </cell>
          <cell r="M3543" t="str">
            <v>MARCELO</v>
          </cell>
        </row>
        <row r="3544">
          <cell r="B3544">
            <v>5339186</v>
          </cell>
          <cell r="C3544" t="str">
            <v>ISRAEL YAMANISHI DOS REIS</v>
          </cell>
          <cell r="D3544" t="str">
            <v>6001</v>
          </cell>
          <cell r="E3544" t="str">
            <v>0028</v>
          </cell>
          <cell r="F3544" t="str">
            <v>C1</v>
          </cell>
          <cell r="G3544" t="str">
            <v>SP</v>
          </cell>
          <cell r="H3544" t="str">
            <v>INGREDIENTS</v>
          </cell>
          <cell r="I3544" t="str">
            <v>INGREDIENTS</v>
          </cell>
          <cell r="J3544" t="str">
            <v>ITB FS SPLENDI REPRESENTAÇÕES</v>
          </cell>
          <cell r="K3544" t="str">
            <v>ITAMBÉ</v>
          </cell>
          <cell r="L3544" t="str">
            <v>MAURICIO</v>
          </cell>
          <cell r="M3544" t="str">
            <v>TATIANA NITTA</v>
          </cell>
        </row>
        <row r="3545">
          <cell r="B3545">
            <v>5339674</v>
          </cell>
          <cell r="C3545" t="str">
            <v>LANCH E REST BAMBARAS LTDA</v>
          </cell>
          <cell r="D3545" t="str">
            <v>6001</v>
          </cell>
          <cell r="E3545" t="str">
            <v>0125</v>
          </cell>
          <cell r="F3545" t="str">
            <v>C1</v>
          </cell>
          <cell r="G3545" t="str">
            <v>SP</v>
          </cell>
          <cell r="H3545" t="str">
            <v>DISTRIBUIÇÃO</v>
          </cell>
          <cell r="I3545" t="str">
            <v>FOOD SERVICE</v>
          </cell>
          <cell r="J3545" t="str">
            <v>SP ITB FS FLAC REP.E COMERCIO</v>
          </cell>
          <cell r="K3545" t="str">
            <v>ITAMBÉ</v>
          </cell>
          <cell r="L3545" t="str">
            <v>RODRIGO</v>
          </cell>
          <cell r="M3545" t="str">
            <v>RAQUEL BARBOSA</v>
          </cell>
        </row>
        <row r="3546">
          <cell r="B3546">
            <v>5340507</v>
          </cell>
          <cell r="C3546" t="str">
            <v>SUAVE SABOR DOCERIA LTDA</v>
          </cell>
          <cell r="D3546" t="str">
            <v>6001</v>
          </cell>
          <cell r="E3546" t="str">
            <v>0028</v>
          </cell>
          <cell r="F3546" t="str">
            <v>C1</v>
          </cell>
          <cell r="G3546" t="str">
            <v>SP</v>
          </cell>
          <cell r="H3546" t="str">
            <v>INGREDIENTS</v>
          </cell>
          <cell r="I3546" t="str">
            <v>INGREDIENTS</v>
          </cell>
          <cell r="J3546" t="str">
            <v>TATIANA NITTA</v>
          </cell>
          <cell r="K3546" t="str">
            <v>ITAMBÉ</v>
          </cell>
          <cell r="L3546" t="str">
            <v>MAURICIO</v>
          </cell>
          <cell r="M3546" t="str">
            <v>TATIANA NITTA</v>
          </cell>
        </row>
        <row r="3547">
          <cell r="B3547">
            <v>5340656</v>
          </cell>
          <cell r="C3547" t="str">
            <v>ATRIA PRODUTOS ALIMENTICIOS LTD</v>
          </cell>
          <cell r="D3547" t="str">
            <v>6001</v>
          </cell>
          <cell r="E3547" t="str">
            <v>0125</v>
          </cell>
          <cell r="F3547" t="str">
            <v>C1</v>
          </cell>
          <cell r="G3547" t="str">
            <v>SP</v>
          </cell>
          <cell r="H3547" t="str">
            <v>DISTRIBUIÇÃO</v>
          </cell>
          <cell r="I3547" t="str">
            <v>FOOD SERVICE</v>
          </cell>
          <cell r="J3547" t="str">
            <v>GUILHERME NASCIMENTO</v>
          </cell>
          <cell r="K3547" t="str">
            <v>ITAMBÉ</v>
          </cell>
          <cell r="L3547" t="str">
            <v>RODRIGO</v>
          </cell>
          <cell r="M3547" t="str">
            <v>ALEXANDRO</v>
          </cell>
        </row>
        <row r="3548">
          <cell r="B3548">
            <v>5347237</v>
          </cell>
          <cell r="C3548" t="str">
            <v>MEXICALETTA SORVETES LTDA</v>
          </cell>
          <cell r="D3548" t="str">
            <v>6001</v>
          </cell>
          <cell r="E3548" t="str">
            <v>0028</v>
          </cell>
          <cell r="F3548" t="str">
            <v>C1</v>
          </cell>
          <cell r="G3548" t="str">
            <v>SP</v>
          </cell>
          <cell r="H3548" t="str">
            <v>INGREDIENTS</v>
          </cell>
          <cell r="I3548" t="str">
            <v>INGREDIENTS</v>
          </cell>
          <cell r="J3548" t="str">
            <v>SP ITB FS LUIZ PEREIRA</v>
          </cell>
          <cell r="K3548" t="str">
            <v>ITAMBÉ</v>
          </cell>
          <cell r="L3548" t="str">
            <v>MAURICIO</v>
          </cell>
          <cell r="M3548" t="str">
            <v>TATIANA NITTA</v>
          </cell>
        </row>
        <row r="3549">
          <cell r="B3549">
            <v>5347568</v>
          </cell>
          <cell r="C3549" t="str">
            <v>VEP ALIMENTOS LTDA</v>
          </cell>
          <cell r="D3549" t="str">
            <v>6001</v>
          </cell>
          <cell r="E3549" t="str">
            <v>0028</v>
          </cell>
          <cell r="F3549" t="str">
            <v>C1</v>
          </cell>
          <cell r="G3549" t="str">
            <v>SP</v>
          </cell>
          <cell r="H3549" t="str">
            <v>INGREDIENTS</v>
          </cell>
          <cell r="I3549" t="str">
            <v>INGREDIENTS</v>
          </cell>
          <cell r="J3549" t="str">
            <v>TATIANA NITTA</v>
          </cell>
          <cell r="K3549" t="str">
            <v>ITAMBÉ</v>
          </cell>
          <cell r="L3549" t="str">
            <v>MAURICIO</v>
          </cell>
          <cell r="M3549" t="str">
            <v>TATIANA NITTA</v>
          </cell>
        </row>
        <row r="3550">
          <cell r="B3550">
            <v>5348324</v>
          </cell>
          <cell r="C3550" t="str">
            <v>DIST NORD DE CONFEIT E PANIF LT</v>
          </cell>
          <cell r="D3550" t="str">
            <v>6001</v>
          </cell>
          <cell r="E3550" t="str">
            <v>0127</v>
          </cell>
          <cell r="F3550" t="str">
            <v>C1</v>
          </cell>
          <cell r="G3550" t="str">
            <v>BA</v>
          </cell>
          <cell r="H3550" t="str">
            <v>DISTRIBUIÇÃO</v>
          </cell>
          <cell r="I3550" t="str">
            <v>FOOD SERVICE</v>
          </cell>
          <cell r="J3550" t="str">
            <v>CLAUDIO JORGE</v>
          </cell>
          <cell r="K3550" t="str">
            <v>ITAMBÉ</v>
          </cell>
          <cell r="L3550" t="str">
            <v>RODRIGO</v>
          </cell>
          <cell r="M3550" t="str">
            <v>MARIA LOURDES</v>
          </cell>
        </row>
        <row r="3551">
          <cell r="B3551">
            <v>5348916</v>
          </cell>
          <cell r="C3551" t="str">
            <v>TOTAL CREAM</v>
          </cell>
          <cell r="D3551" t="str">
            <v>6001</v>
          </cell>
          <cell r="E3551" t="str">
            <v>0028</v>
          </cell>
          <cell r="F3551" t="str">
            <v>C1</v>
          </cell>
          <cell r="G3551" t="str">
            <v>SP</v>
          </cell>
          <cell r="H3551" t="str">
            <v>INGREDIENTS</v>
          </cell>
          <cell r="I3551" t="str">
            <v>INGREDIENTS</v>
          </cell>
          <cell r="J3551" t="str">
            <v>SP ITB FS LUIZ PEREIRA</v>
          </cell>
          <cell r="K3551" t="str">
            <v>ITAMBÉ</v>
          </cell>
          <cell r="L3551" t="str">
            <v>MAURICIO</v>
          </cell>
          <cell r="M3551" t="str">
            <v>TATIANA NITTA</v>
          </cell>
        </row>
        <row r="3552">
          <cell r="B3552">
            <v>5349074</v>
          </cell>
          <cell r="C3552" t="str">
            <v>FUNCHAL IND E COM DE PAPEIS LTD</v>
          </cell>
          <cell r="D3552" t="str">
            <v>6001</v>
          </cell>
          <cell r="E3552" t="str">
            <v>0125</v>
          </cell>
          <cell r="F3552" t="str">
            <v>C1</v>
          </cell>
          <cell r="G3552" t="str">
            <v>SP</v>
          </cell>
          <cell r="H3552" t="str">
            <v>DISTRIBUIÇÃO</v>
          </cell>
          <cell r="I3552" t="str">
            <v>FOOD SERVICE</v>
          </cell>
          <cell r="J3552" t="str">
            <v>VAGO SP</v>
          </cell>
          <cell r="K3552" t="str">
            <v>ITAMBÉ</v>
          </cell>
          <cell r="L3552" t="str">
            <v>RODRIGO</v>
          </cell>
          <cell r="M3552" t="str">
            <v>RAQUEL BARBOSA</v>
          </cell>
        </row>
        <row r="3553">
          <cell r="B3553">
            <v>5350654</v>
          </cell>
          <cell r="C3553" t="str">
            <v>CB ANHEMBI COMERCIO DE ALIMENTO</v>
          </cell>
          <cell r="D3553" t="str">
            <v>6001</v>
          </cell>
          <cell r="E3553" t="str">
            <v>0125</v>
          </cell>
          <cell r="F3553" t="str">
            <v>C1</v>
          </cell>
          <cell r="G3553" t="str">
            <v>SP</v>
          </cell>
          <cell r="H3553" t="str">
            <v>QSR</v>
          </cell>
          <cell r="I3553" t="str">
            <v>FOOD SERVICE</v>
          </cell>
          <cell r="J3553" t="str">
            <v>VAGO QSR</v>
          </cell>
          <cell r="K3553" t="str">
            <v>ITAMBÉ</v>
          </cell>
          <cell r="L3553" t="str">
            <v>PEDRO</v>
          </cell>
          <cell r="M3553" t="str">
            <v>VAGO QSR</v>
          </cell>
        </row>
        <row r="3554">
          <cell r="B3554">
            <v>5350655</v>
          </cell>
          <cell r="C3554" t="str">
            <v>CB CAMPINAS COM DE ALIMEN LTDA</v>
          </cell>
          <cell r="D3554" t="str">
            <v>6001</v>
          </cell>
          <cell r="E3554" t="str">
            <v>0125</v>
          </cell>
          <cell r="F3554" t="str">
            <v>C1</v>
          </cell>
          <cell r="G3554" t="str">
            <v>SP</v>
          </cell>
          <cell r="H3554" t="str">
            <v>QSR</v>
          </cell>
          <cell r="I3554" t="str">
            <v>FOOD SERVICE</v>
          </cell>
          <cell r="J3554" t="str">
            <v>VAGO QSR</v>
          </cell>
          <cell r="K3554" t="str">
            <v>ITAMBÉ</v>
          </cell>
          <cell r="L3554" t="str">
            <v>PEDRO</v>
          </cell>
          <cell r="M3554" t="str">
            <v>VAGO QSR</v>
          </cell>
        </row>
        <row r="3555">
          <cell r="B3555">
            <v>5350677</v>
          </cell>
          <cell r="C3555" t="str">
            <v>CB GUARULHOS COMER DE ALIMEN LT</v>
          </cell>
          <cell r="D3555" t="str">
            <v>6001</v>
          </cell>
          <cell r="E3555" t="str">
            <v>0125</v>
          </cell>
          <cell r="F3555" t="str">
            <v>C1</v>
          </cell>
          <cell r="G3555" t="str">
            <v>SP</v>
          </cell>
          <cell r="H3555" t="str">
            <v>QSR</v>
          </cell>
          <cell r="I3555" t="str">
            <v>FOOD SERVICE</v>
          </cell>
          <cell r="J3555" t="str">
            <v>VAGO QSR</v>
          </cell>
          <cell r="K3555" t="str">
            <v>ITAMBÉ</v>
          </cell>
          <cell r="L3555" t="str">
            <v>PEDRO</v>
          </cell>
          <cell r="M3555" t="str">
            <v>VAGO QSR</v>
          </cell>
        </row>
        <row r="3556">
          <cell r="B3556">
            <v>5350695</v>
          </cell>
          <cell r="C3556" t="str">
            <v>CB JUNDIAI COMERCIO DE ALIMEN L</v>
          </cell>
          <cell r="D3556" t="str">
            <v>6001</v>
          </cell>
          <cell r="E3556" t="str">
            <v>0125</v>
          </cell>
          <cell r="F3556" t="str">
            <v>C1</v>
          </cell>
          <cell r="G3556" t="str">
            <v>SP</v>
          </cell>
          <cell r="H3556" t="str">
            <v>QSR</v>
          </cell>
          <cell r="I3556" t="str">
            <v>FOOD SERVICE</v>
          </cell>
          <cell r="J3556" t="str">
            <v>VAGO QSR</v>
          </cell>
          <cell r="K3556" t="str">
            <v>ITAMBÉ</v>
          </cell>
          <cell r="L3556" t="str">
            <v>PEDRO</v>
          </cell>
          <cell r="M3556" t="str">
            <v>VAGO QSR</v>
          </cell>
        </row>
        <row r="3557">
          <cell r="B3557">
            <v>5350696</v>
          </cell>
          <cell r="C3557" t="str">
            <v>CB JUNDIAI COMERCIO DE ALIMEN L</v>
          </cell>
          <cell r="D3557" t="str">
            <v>6001</v>
          </cell>
          <cell r="E3557" t="str">
            <v>0125</v>
          </cell>
          <cell r="F3557" t="str">
            <v>C1</v>
          </cell>
          <cell r="G3557" t="str">
            <v>SP</v>
          </cell>
          <cell r="H3557" t="str">
            <v>QSR</v>
          </cell>
          <cell r="I3557" t="str">
            <v>FOOD SERVICE</v>
          </cell>
          <cell r="J3557" t="str">
            <v>VAGO QSR</v>
          </cell>
          <cell r="K3557" t="str">
            <v>ITAMBÉ</v>
          </cell>
          <cell r="L3557" t="str">
            <v>PEDRO</v>
          </cell>
          <cell r="M3557" t="str">
            <v>VAGO QSR</v>
          </cell>
        </row>
        <row r="3558">
          <cell r="B3558">
            <v>5350697</v>
          </cell>
          <cell r="C3558" t="str">
            <v>CB MARKET PLACE COM DE ALI LTDA</v>
          </cell>
          <cell r="D3558" t="str">
            <v>6001</v>
          </cell>
          <cell r="E3558" t="str">
            <v>0125</v>
          </cell>
          <cell r="F3558" t="str">
            <v>C1</v>
          </cell>
          <cell r="G3558" t="str">
            <v>SP</v>
          </cell>
          <cell r="H3558" t="str">
            <v>QSR</v>
          </cell>
          <cell r="I3558" t="str">
            <v>FOOD SERVICE</v>
          </cell>
          <cell r="J3558" t="str">
            <v>VAGO QSR</v>
          </cell>
          <cell r="K3558" t="str">
            <v>ITAMBÉ</v>
          </cell>
          <cell r="L3558" t="str">
            <v>PEDRO</v>
          </cell>
          <cell r="M3558" t="str">
            <v>VAGO QSR</v>
          </cell>
        </row>
        <row r="3559">
          <cell r="B3559">
            <v>5350699</v>
          </cell>
          <cell r="C3559" t="str">
            <v>CB OSASCO COMERCIO DE ALIMENTOS</v>
          </cell>
          <cell r="D3559" t="str">
            <v>6001</v>
          </cell>
          <cell r="E3559" t="str">
            <v>0125</v>
          </cell>
          <cell r="F3559" t="str">
            <v>C1</v>
          </cell>
          <cell r="G3559" t="str">
            <v>SP</v>
          </cell>
          <cell r="H3559" t="str">
            <v>QSR</v>
          </cell>
          <cell r="I3559" t="str">
            <v>FOOD SERVICE</v>
          </cell>
          <cell r="J3559" t="str">
            <v>VAGO QSR</v>
          </cell>
          <cell r="K3559" t="str">
            <v>ITAMBÉ</v>
          </cell>
          <cell r="L3559" t="str">
            <v>PEDRO</v>
          </cell>
          <cell r="M3559" t="str">
            <v>VAGO QSR</v>
          </cell>
        </row>
        <row r="3560">
          <cell r="B3560">
            <v>5350701</v>
          </cell>
          <cell r="C3560" t="str">
            <v>CB SANTO ANDRE COMERCIO DE ALIM</v>
          </cell>
          <cell r="D3560" t="str">
            <v>6001</v>
          </cell>
          <cell r="E3560" t="str">
            <v>0125</v>
          </cell>
          <cell r="F3560" t="str">
            <v>C1</v>
          </cell>
          <cell r="G3560" t="str">
            <v>SP</v>
          </cell>
          <cell r="H3560" t="str">
            <v>QSR</v>
          </cell>
          <cell r="I3560" t="str">
            <v>FOOD SERVICE</v>
          </cell>
          <cell r="J3560" t="str">
            <v>VAGO QSR</v>
          </cell>
          <cell r="K3560" t="str">
            <v>ITAMBÉ</v>
          </cell>
          <cell r="L3560" t="str">
            <v>PEDRO</v>
          </cell>
          <cell r="M3560" t="str">
            <v>VAGO QSR</v>
          </cell>
        </row>
        <row r="3561">
          <cell r="B3561">
            <v>5350702</v>
          </cell>
          <cell r="C3561" t="str">
            <v>CB SAO JOSE DO RIO PRETO COM DE</v>
          </cell>
          <cell r="D3561" t="str">
            <v>6001</v>
          </cell>
          <cell r="E3561" t="str">
            <v>0125</v>
          </cell>
          <cell r="F3561" t="str">
            <v>C1</v>
          </cell>
          <cell r="G3561" t="str">
            <v>SP</v>
          </cell>
          <cell r="H3561" t="str">
            <v>QSR</v>
          </cell>
          <cell r="I3561" t="str">
            <v>FOOD SERVICE</v>
          </cell>
          <cell r="J3561" t="str">
            <v>VAGO QSR</v>
          </cell>
          <cell r="K3561" t="str">
            <v>ITAMBÉ</v>
          </cell>
          <cell r="L3561" t="str">
            <v>PEDRO</v>
          </cell>
          <cell r="M3561" t="str">
            <v>VAGO QSR</v>
          </cell>
        </row>
        <row r="3562">
          <cell r="B3562">
            <v>5350703</v>
          </cell>
          <cell r="C3562" t="str">
            <v>CB S JOSE DOS CAMPOS COM DE AL</v>
          </cell>
          <cell r="D3562" t="str">
            <v>6001</v>
          </cell>
          <cell r="E3562" t="str">
            <v>0125</v>
          </cell>
          <cell r="F3562" t="str">
            <v>C1</v>
          </cell>
          <cell r="G3562" t="str">
            <v>SP</v>
          </cell>
          <cell r="H3562" t="str">
            <v>QSR</v>
          </cell>
          <cell r="I3562" t="str">
            <v>FOOD SERVICE</v>
          </cell>
          <cell r="J3562" t="str">
            <v>VAGO QSR</v>
          </cell>
          <cell r="K3562" t="str">
            <v>ITAMBÉ</v>
          </cell>
          <cell r="L3562" t="str">
            <v>PEDRO</v>
          </cell>
          <cell r="M3562" t="str">
            <v>VAGO QSR</v>
          </cell>
        </row>
        <row r="3563">
          <cell r="B3563">
            <v>5350704</v>
          </cell>
          <cell r="C3563" t="str">
            <v>CB SOROCABA COMERCIO DE ALIMENT</v>
          </cell>
          <cell r="D3563" t="str">
            <v>6001</v>
          </cell>
          <cell r="E3563" t="str">
            <v>0125</v>
          </cell>
          <cell r="F3563" t="str">
            <v>C1</v>
          </cell>
          <cell r="G3563" t="str">
            <v>SP</v>
          </cell>
          <cell r="H3563" t="str">
            <v>QSR</v>
          </cell>
          <cell r="I3563" t="str">
            <v>FOOD SERVICE</v>
          </cell>
          <cell r="J3563" t="str">
            <v>VAGO QSR</v>
          </cell>
          <cell r="K3563" t="str">
            <v>ITAMBÉ</v>
          </cell>
          <cell r="L3563" t="str">
            <v>PEDRO</v>
          </cell>
          <cell r="M3563" t="str">
            <v>VAGO QSR</v>
          </cell>
        </row>
        <row r="3564">
          <cell r="B3564">
            <v>5350705</v>
          </cell>
          <cell r="C3564" t="str">
            <v>CB SP MARKET COMERCIO DE ALIMEN</v>
          </cell>
          <cell r="D3564" t="str">
            <v>6001</v>
          </cell>
          <cell r="E3564" t="str">
            <v>0125</v>
          </cell>
          <cell r="F3564" t="str">
            <v>C1</v>
          </cell>
          <cell r="G3564" t="str">
            <v>SP</v>
          </cell>
          <cell r="H3564" t="str">
            <v>QSR</v>
          </cell>
          <cell r="I3564" t="str">
            <v>FOOD SERVICE</v>
          </cell>
          <cell r="J3564" t="str">
            <v>VAGO QSR</v>
          </cell>
          <cell r="K3564" t="str">
            <v>ITAMBÉ</v>
          </cell>
          <cell r="L3564" t="str">
            <v>PEDRO</v>
          </cell>
          <cell r="M3564" t="str">
            <v>VAGO QSR</v>
          </cell>
        </row>
        <row r="3565">
          <cell r="B3565">
            <v>5350810</v>
          </cell>
          <cell r="C3565" t="str">
            <v>COMERCIO DE ALIM NOVA PITOKO LT</v>
          </cell>
          <cell r="D3565" t="str">
            <v>6001</v>
          </cell>
          <cell r="E3565" t="str">
            <v>0169</v>
          </cell>
          <cell r="F3565" t="str">
            <v>C1</v>
          </cell>
          <cell r="G3565" t="str">
            <v>RJ</v>
          </cell>
          <cell r="H3565" t="str">
            <v>DISTRIBUIÇÃO</v>
          </cell>
          <cell r="I3565" t="str">
            <v>FOOD SERVICE</v>
          </cell>
          <cell r="J3565" t="str">
            <v>JULIANA CORDEIRO</v>
          </cell>
          <cell r="K3565" t="str">
            <v>ITAMBÉ</v>
          </cell>
          <cell r="L3565" t="str">
            <v>RODRIGO</v>
          </cell>
          <cell r="M3565" t="str">
            <v>JESSICA</v>
          </cell>
        </row>
        <row r="3566">
          <cell r="B3566">
            <v>5351160</v>
          </cell>
          <cell r="C3566" t="str">
            <v>EDUARDO DA COSTA M E CIA LTDA</v>
          </cell>
          <cell r="D3566" t="str">
            <v>6001</v>
          </cell>
          <cell r="E3566" t="str">
            <v>0028</v>
          </cell>
          <cell r="F3566" t="str">
            <v>C1</v>
          </cell>
          <cell r="G3566" t="str">
            <v>SP</v>
          </cell>
          <cell r="H3566" t="str">
            <v>INGREDIENTS</v>
          </cell>
          <cell r="I3566" t="str">
            <v>INGREDIENTS</v>
          </cell>
          <cell r="J3566" t="str">
            <v>TATIANA NITTA</v>
          </cell>
          <cell r="K3566" t="str">
            <v>ITAMBÉ</v>
          </cell>
          <cell r="L3566" t="str">
            <v>MAURICIO</v>
          </cell>
          <cell r="M3566" t="str">
            <v>TATIANA NITTA</v>
          </cell>
        </row>
        <row r="3567">
          <cell r="B3567">
            <v>5351261</v>
          </cell>
          <cell r="C3567" t="str">
            <v>NOVAMIX F SERVICE COM DE AL L</v>
          </cell>
          <cell r="D3567" t="str">
            <v>6001</v>
          </cell>
          <cell r="E3567" t="str">
            <v>0169</v>
          </cell>
          <cell r="F3567" t="str">
            <v>C1</v>
          </cell>
          <cell r="G3567" t="str">
            <v>RJ</v>
          </cell>
          <cell r="H3567" t="str">
            <v>DISTRIBUIÇÃO</v>
          </cell>
          <cell r="I3567" t="str">
            <v>FOOD SERVICE</v>
          </cell>
          <cell r="J3567" t="str">
            <v>JULIANA CORDEIRO</v>
          </cell>
          <cell r="K3567" t="str">
            <v>ITAMBÉ</v>
          </cell>
          <cell r="L3567" t="str">
            <v>RODRIGO</v>
          </cell>
          <cell r="M3567" t="str">
            <v>JESSICA</v>
          </cell>
        </row>
        <row r="3568">
          <cell r="B3568">
            <v>5351708</v>
          </cell>
          <cell r="C3568" t="str">
            <v>CB RIO NORTE SHOP COM DE ALI LT</v>
          </cell>
          <cell r="D3568" t="str">
            <v>6001</v>
          </cell>
          <cell r="E3568" t="str">
            <v>0169</v>
          </cell>
          <cell r="F3568" t="str">
            <v>C1</v>
          </cell>
          <cell r="G3568" t="str">
            <v>RJ</v>
          </cell>
          <cell r="H3568" t="str">
            <v>QSR</v>
          </cell>
          <cell r="I3568" t="str">
            <v>FOOD SERVICE</v>
          </cell>
          <cell r="J3568" t="str">
            <v>VAGO QSR</v>
          </cell>
          <cell r="K3568" t="str">
            <v>ITAMBÉ</v>
          </cell>
          <cell r="L3568" t="str">
            <v>PEDRO</v>
          </cell>
          <cell r="M3568" t="str">
            <v>VAGO QSR</v>
          </cell>
        </row>
        <row r="3569">
          <cell r="B3569">
            <v>5351894</v>
          </cell>
          <cell r="C3569" t="str">
            <v>CB RIO NITEROI COMER DE ALIM LT</v>
          </cell>
          <cell r="D3569" t="str">
            <v>6001</v>
          </cell>
          <cell r="E3569" t="str">
            <v>0169</v>
          </cell>
          <cell r="F3569" t="str">
            <v>C1</v>
          </cell>
          <cell r="G3569" t="str">
            <v>RJ</v>
          </cell>
          <cell r="H3569" t="str">
            <v>QSR</v>
          </cell>
          <cell r="I3569" t="str">
            <v>FOOD SERVICE</v>
          </cell>
          <cell r="J3569" t="str">
            <v>VAGO QSR</v>
          </cell>
          <cell r="K3569" t="str">
            <v>ITAMBÉ</v>
          </cell>
          <cell r="L3569" t="str">
            <v>PEDRO</v>
          </cell>
          <cell r="M3569" t="str">
            <v>VAGO QSR</v>
          </cell>
        </row>
        <row r="3570">
          <cell r="B3570">
            <v>5351895</v>
          </cell>
          <cell r="C3570" t="str">
            <v>CB RIO NORTE SHOP COM DE ALI LT</v>
          </cell>
          <cell r="D3570" t="str">
            <v>6001</v>
          </cell>
          <cell r="E3570" t="str">
            <v>0169</v>
          </cell>
          <cell r="F3570" t="str">
            <v>C1</v>
          </cell>
          <cell r="G3570" t="str">
            <v>RJ</v>
          </cell>
          <cell r="H3570" t="str">
            <v>QSR</v>
          </cell>
          <cell r="I3570" t="str">
            <v>FOOD SERVICE</v>
          </cell>
          <cell r="J3570" t="str">
            <v>VAGO QSR</v>
          </cell>
          <cell r="K3570" t="str">
            <v>ITAMBÉ</v>
          </cell>
          <cell r="L3570" t="str">
            <v>PEDRO</v>
          </cell>
          <cell r="M3570" t="str">
            <v>VAGO QSR</v>
          </cell>
        </row>
        <row r="3571">
          <cell r="B3571">
            <v>5352110</v>
          </cell>
          <cell r="C3571" t="str">
            <v>COCO BAMBU F DO M COM DE AL LTD</v>
          </cell>
          <cell r="D3571" t="str">
            <v>6001</v>
          </cell>
          <cell r="E3571" t="str">
            <v>0127</v>
          </cell>
          <cell r="F3571" t="str">
            <v>C1</v>
          </cell>
          <cell r="G3571" t="str">
            <v>CE</v>
          </cell>
          <cell r="H3571" t="str">
            <v>QSR</v>
          </cell>
          <cell r="I3571" t="str">
            <v>FOOD SERVICE</v>
          </cell>
          <cell r="J3571" t="str">
            <v>VAGO QSR</v>
          </cell>
          <cell r="K3571" t="str">
            <v>ITAMBÉ</v>
          </cell>
          <cell r="L3571" t="str">
            <v>PEDRO</v>
          </cell>
          <cell r="M3571" t="str">
            <v>VAGO QSR</v>
          </cell>
        </row>
        <row r="3572">
          <cell r="B3572">
            <v>5352111</v>
          </cell>
          <cell r="C3572" t="str">
            <v>COCO BAMBU PIZZARIA LTDA</v>
          </cell>
          <cell r="D3572" t="str">
            <v>6001</v>
          </cell>
          <cell r="E3572" t="str">
            <v>0127</v>
          </cell>
          <cell r="F3572" t="str">
            <v>C1</v>
          </cell>
          <cell r="G3572" t="str">
            <v>CE</v>
          </cell>
          <cell r="H3572" t="str">
            <v>QSR</v>
          </cell>
          <cell r="I3572" t="str">
            <v>FOOD SERVICE</v>
          </cell>
          <cell r="J3572" t="str">
            <v>VAGO QSR</v>
          </cell>
          <cell r="K3572" t="str">
            <v>ITAMBÉ</v>
          </cell>
          <cell r="L3572" t="str">
            <v>PEDRO</v>
          </cell>
          <cell r="M3572" t="str">
            <v>VAGO QSR</v>
          </cell>
        </row>
        <row r="3573">
          <cell r="B3573">
            <v>5352113</v>
          </cell>
          <cell r="C3573" t="str">
            <v>VUPI ALIMENTOS LTDA</v>
          </cell>
          <cell r="D3573" t="str">
            <v>6001</v>
          </cell>
          <cell r="E3573" t="str">
            <v>0125</v>
          </cell>
          <cell r="F3573" t="str">
            <v>C1</v>
          </cell>
          <cell r="G3573" t="str">
            <v>SP</v>
          </cell>
          <cell r="H3573" t="str">
            <v>DISTRIBUIÇÃO</v>
          </cell>
          <cell r="I3573" t="str">
            <v>FOOD SERVICE</v>
          </cell>
          <cell r="J3573" t="str">
            <v>VAGO SP</v>
          </cell>
          <cell r="K3573" t="str">
            <v>ITAMBÉ</v>
          </cell>
          <cell r="L3573" t="str">
            <v>RODRIGO</v>
          </cell>
          <cell r="M3573" t="str">
            <v>RAQUEL BARBOSA</v>
          </cell>
        </row>
        <row r="3574">
          <cell r="B3574">
            <v>5352254</v>
          </cell>
          <cell r="C3574" t="str">
            <v>COCO BAMBU SUL PIZZARIA LTDA</v>
          </cell>
          <cell r="D3574" t="str">
            <v>6001</v>
          </cell>
          <cell r="E3574" t="str">
            <v>0127</v>
          </cell>
          <cell r="F3574" t="str">
            <v>C1</v>
          </cell>
          <cell r="G3574" t="str">
            <v>CE</v>
          </cell>
          <cell r="H3574" t="str">
            <v>QSR</v>
          </cell>
          <cell r="I3574" t="str">
            <v>FOOD SERVICE</v>
          </cell>
          <cell r="J3574" t="str">
            <v>VAGO QSR</v>
          </cell>
          <cell r="K3574" t="str">
            <v>ITAMBÉ</v>
          </cell>
          <cell r="L3574" t="str">
            <v>PEDRO</v>
          </cell>
          <cell r="M3574" t="str">
            <v>VAGO QSR</v>
          </cell>
        </row>
        <row r="3575">
          <cell r="B3575">
            <v>5352264</v>
          </cell>
          <cell r="C3575" t="str">
            <v>DOM PASTEL ALIMENTOS LTDA</v>
          </cell>
          <cell r="D3575" t="str">
            <v>6001</v>
          </cell>
          <cell r="E3575" t="str">
            <v>0127</v>
          </cell>
          <cell r="F3575" t="str">
            <v>C1</v>
          </cell>
          <cell r="G3575" t="str">
            <v>CE</v>
          </cell>
          <cell r="H3575" t="str">
            <v>QSR</v>
          </cell>
          <cell r="I3575" t="str">
            <v>FOOD SERVICE</v>
          </cell>
          <cell r="J3575" t="str">
            <v>VAGO QSR</v>
          </cell>
          <cell r="K3575" t="str">
            <v>ITAMBÉ</v>
          </cell>
          <cell r="L3575" t="str">
            <v>PEDRO</v>
          </cell>
          <cell r="M3575" t="str">
            <v>VAGO QSR</v>
          </cell>
        </row>
        <row r="3576">
          <cell r="B3576">
            <v>5352345</v>
          </cell>
          <cell r="C3576" t="str">
            <v>CB CUIABA COMERCIO DE ALIMENT L</v>
          </cell>
          <cell r="D3576" t="str">
            <v>6001</v>
          </cell>
          <cell r="E3576" t="str">
            <v>0123</v>
          </cell>
          <cell r="F3576" t="str">
            <v>C1</v>
          </cell>
          <cell r="G3576" t="str">
            <v>MT</v>
          </cell>
          <cell r="H3576" t="str">
            <v>QSR</v>
          </cell>
          <cell r="I3576" t="str">
            <v>FOOD SERVICE</v>
          </cell>
          <cell r="J3576" t="str">
            <v>VAGO QSR</v>
          </cell>
          <cell r="K3576" t="str">
            <v>ITAMBÉ</v>
          </cell>
          <cell r="L3576" t="str">
            <v>PEDRO</v>
          </cell>
          <cell r="M3576" t="str">
            <v>VAGO QSR</v>
          </cell>
        </row>
        <row r="3577">
          <cell r="B3577">
            <v>5352346</v>
          </cell>
          <cell r="C3577" t="str">
            <v>FGF ALIMENTOS LTDA</v>
          </cell>
          <cell r="D3577" t="str">
            <v>6001</v>
          </cell>
          <cell r="E3577" t="str">
            <v>0127</v>
          </cell>
          <cell r="F3577" t="str">
            <v>C1</v>
          </cell>
          <cell r="G3577" t="str">
            <v>BA</v>
          </cell>
          <cell r="H3577" t="str">
            <v>QSR</v>
          </cell>
          <cell r="I3577" t="str">
            <v>FOOD SERVICE</v>
          </cell>
          <cell r="J3577" t="str">
            <v>VAGO QSR</v>
          </cell>
          <cell r="K3577" t="str">
            <v>ITAMBÉ</v>
          </cell>
          <cell r="L3577" t="str">
            <v>PEDRO</v>
          </cell>
          <cell r="M3577" t="str">
            <v>VAGO QSR</v>
          </cell>
        </row>
        <row r="3578">
          <cell r="B3578">
            <v>5352420</v>
          </cell>
          <cell r="C3578" t="str">
            <v>CB AGUAS CLARAS COM DE ALIM LTDA</v>
          </cell>
          <cell r="D3578" t="str">
            <v>6001</v>
          </cell>
          <cell r="E3578" t="str">
            <v>0123</v>
          </cell>
          <cell r="F3578" t="str">
            <v>C1</v>
          </cell>
          <cell r="G3578" t="str">
            <v>DF</v>
          </cell>
          <cell r="H3578" t="str">
            <v>QSR</v>
          </cell>
          <cell r="I3578" t="str">
            <v>FOOD SERVICE</v>
          </cell>
          <cell r="J3578" t="str">
            <v>VAGO QSR</v>
          </cell>
          <cell r="K3578" t="str">
            <v>ITAMBÉ</v>
          </cell>
          <cell r="L3578" t="str">
            <v>PEDRO</v>
          </cell>
          <cell r="M3578" t="str">
            <v>VAGO QSR</v>
          </cell>
        </row>
        <row r="3579">
          <cell r="B3579">
            <v>5352421</v>
          </cell>
          <cell r="C3579" t="str">
            <v>CB AGUAS CLARAS COM DE ALIMENTO</v>
          </cell>
          <cell r="D3579" t="str">
            <v>6001</v>
          </cell>
          <cell r="E3579" t="str">
            <v>0123</v>
          </cell>
          <cell r="F3579" t="str">
            <v>C1</v>
          </cell>
          <cell r="G3579" t="str">
            <v>DF</v>
          </cell>
          <cell r="H3579" t="str">
            <v>QSR</v>
          </cell>
          <cell r="I3579" t="str">
            <v>FOOD SERVICE</v>
          </cell>
          <cell r="J3579" t="str">
            <v>VAGO QSR</v>
          </cell>
          <cell r="K3579" t="str">
            <v>ITAMBÉ</v>
          </cell>
          <cell r="L3579" t="str">
            <v>PEDRO</v>
          </cell>
          <cell r="M3579" t="str">
            <v>VAGO QSR</v>
          </cell>
        </row>
        <row r="3580">
          <cell r="B3580">
            <v>5352422</v>
          </cell>
          <cell r="C3580" t="str">
            <v>CB LAGO NORTE COM DE ALIM LTDA</v>
          </cell>
          <cell r="D3580" t="str">
            <v>6001</v>
          </cell>
          <cell r="E3580" t="str">
            <v>0123</v>
          </cell>
          <cell r="F3580" t="str">
            <v>C1</v>
          </cell>
          <cell r="G3580" t="str">
            <v>DF</v>
          </cell>
          <cell r="H3580" t="str">
            <v>QSR</v>
          </cell>
          <cell r="I3580" t="str">
            <v>FOOD SERVICE</v>
          </cell>
          <cell r="J3580" t="str">
            <v>VAGO QSR</v>
          </cell>
          <cell r="K3580" t="str">
            <v>ITAMBÉ</v>
          </cell>
          <cell r="L3580" t="str">
            <v>PEDRO</v>
          </cell>
          <cell r="M3580" t="str">
            <v>VAGO QSR</v>
          </cell>
        </row>
        <row r="3581">
          <cell r="B3581">
            <v>5352423</v>
          </cell>
          <cell r="C3581" t="str">
            <v>CB LAGO SUL COMERCIO DE ALIMEN</v>
          </cell>
          <cell r="D3581" t="str">
            <v>6001</v>
          </cell>
          <cell r="E3581" t="str">
            <v>0123</v>
          </cell>
          <cell r="F3581" t="str">
            <v>C1</v>
          </cell>
          <cell r="G3581" t="str">
            <v>DF</v>
          </cell>
          <cell r="H3581" t="str">
            <v>QSR</v>
          </cell>
          <cell r="I3581" t="str">
            <v>FOOD SERVICE</v>
          </cell>
          <cell r="J3581" t="str">
            <v>VAGO QSR</v>
          </cell>
          <cell r="K3581" t="str">
            <v>ITAMBÉ</v>
          </cell>
          <cell r="L3581" t="str">
            <v>PEDRO</v>
          </cell>
          <cell r="M3581" t="str">
            <v>VAGO QSR</v>
          </cell>
        </row>
        <row r="3582">
          <cell r="B3582">
            <v>5352459</v>
          </cell>
          <cell r="C3582" t="str">
            <v>CB PARK SHOPPING COMER DE ALIM</v>
          </cell>
          <cell r="D3582" t="str">
            <v>6001</v>
          </cell>
          <cell r="E3582" t="str">
            <v>0123</v>
          </cell>
          <cell r="F3582" t="str">
            <v>C1</v>
          </cell>
          <cell r="G3582" t="str">
            <v>DF</v>
          </cell>
          <cell r="H3582" t="str">
            <v>QSR</v>
          </cell>
          <cell r="I3582" t="str">
            <v>FOOD SERVICE</v>
          </cell>
          <cell r="J3582" t="str">
            <v>VAGO QSR</v>
          </cell>
          <cell r="K3582" t="str">
            <v>ITAMBÉ</v>
          </cell>
          <cell r="L3582" t="str">
            <v>PEDRO</v>
          </cell>
          <cell r="M3582" t="str">
            <v>VAGO QSR</v>
          </cell>
        </row>
        <row r="3583">
          <cell r="B3583">
            <v>5353685</v>
          </cell>
          <cell r="C3583" t="str">
            <v>GANTE COMERCIO DE DOCES LTDA</v>
          </cell>
          <cell r="D3583" t="str">
            <v>6001</v>
          </cell>
          <cell r="E3583" t="str">
            <v>0028</v>
          </cell>
          <cell r="F3583" t="str">
            <v>C1</v>
          </cell>
          <cell r="G3583" t="str">
            <v>SP</v>
          </cell>
          <cell r="H3583" t="str">
            <v>INGREDIENTS</v>
          </cell>
          <cell r="I3583" t="str">
            <v>INGREDIENTS</v>
          </cell>
          <cell r="J3583" t="str">
            <v>HENRIQUE FERREIRA</v>
          </cell>
          <cell r="K3583" t="str">
            <v>ITAMBÉ</v>
          </cell>
          <cell r="L3583" t="str">
            <v>MAURICIO</v>
          </cell>
          <cell r="M3583" t="str">
            <v>JOEL</v>
          </cell>
        </row>
        <row r="3584">
          <cell r="B3584">
            <v>5355986</v>
          </cell>
          <cell r="C3584" t="str">
            <v>FUNCHAL IND E COM DE PAPEIS LTD</v>
          </cell>
          <cell r="D3584" t="str">
            <v>6001</v>
          </cell>
          <cell r="E3584" t="str">
            <v>0125</v>
          </cell>
          <cell r="F3584" t="str">
            <v>C1</v>
          </cell>
          <cell r="G3584" t="str">
            <v>SP</v>
          </cell>
          <cell r="H3584" t="str">
            <v>DISTRIBUIÇÃO</v>
          </cell>
          <cell r="I3584" t="str">
            <v>FOOD SERVICE</v>
          </cell>
          <cell r="J3584" t="str">
            <v>VAGO SP</v>
          </cell>
          <cell r="K3584" t="str">
            <v>ITAMBÉ</v>
          </cell>
          <cell r="L3584" t="str">
            <v>RODRIGO</v>
          </cell>
          <cell r="M3584" t="str">
            <v>RAQUEL BARBOSA</v>
          </cell>
        </row>
        <row r="3585">
          <cell r="B3585">
            <v>5357614</v>
          </cell>
          <cell r="C3585" t="str">
            <v>ACAI ISLAND COMERCIO E DISTRIBU</v>
          </cell>
          <cell r="D3585" t="str">
            <v>6001</v>
          </cell>
          <cell r="E3585" t="str">
            <v>0028</v>
          </cell>
          <cell r="F3585" t="str">
            <v>C1</v>
          </cell>
          <cell r="G3585" t="str">
            <v>SP</v>
          </cell>
          <cell r="H3585" t="str">
            <v>INGREDIENTS</v>
          </cell>
          <cell r="I3585" t="str">
            <v>INGREDIENTS</v>
          </cell>
          <cell r="J3585" t="str">
            <v>TATIANA NITTA</v>
          </cell>
          <cell r="K3585" t="str">
            <v>ITAMBÉ</v>
          </cell>
          <cell r="L3585" t="str">
            <v>MAURICIO</v>
          </cell>
          <cell r="M3585" t="str">
            <v>TATIANA NITTA</v>
          </cell>
        </row>
        <row r="3586">
          <cell r="B3586">
            <v>5357700</v>
          </cell>
          <cell r="C3586" t="str">
            <v>NOVA ERA COMERCIAL DE ALIMEN LTDA</v>
          </cell>
          <cell r="D3586" t="str">
            <v>6001</v>
          </cell>
          <cell r="E3586" t="str">
            <v>0127</v>
          </cell>
          <cell r="F3586" t="str">
            <v>C1</v>
          </cell>
          <cell r="G3586" t="str">
            <v>BA</v>
          </cell>
          <cell r="H3586" t="str">
            <v>DISTRIBUIÇÃO</v>
          </cell>
          <cell r="I3586" t="str">
            <v>FOOD SERVICE</v>
          </cell>
          <cell r="J3586" t="str">
            <v>CLAUDIO JORGE/LUIZ</v>
          </cell>
          <cell r="K3586" t="str">
            <v>ITAMBÉ</v>
          </cell>
          <cell r="L3586" t="str">
            <v>RODRIGO</v>
          </cell>
          <cell r="M3586" t="str">
            <v>MARIA LOURDES</v>
          </cell>
        </row>
        <row r="3587">
          <cell r="B3587">
            <v>5358195</v>
          </cell>
          <cell r="C3587" t="str">
            <v>BELLA COMERCIO DE EMBALAGENS LT</v>
          </cell>
          <cell r="D3587" t="str">
            <v>6001</v>
          </cell>
          <cell r="E3587" t="str">
            <v>0169</v>
          </cell>
          <cell r="F3587" t="str">
            <v>C1</v>
          </cell>
          <cell r="G3587" t="str">
            <v>ES</v>
          </cell>
          <cell r="H3587" t="str">
            <v>DISTRIBUIÇÃO</v>
          </cell>
          <cell r="I3587" t="str">
            <v>FOOD SERVICE</v>
          </cell>
          <cell r="J3587" t="str">
            <v>MARCELO DUARTE</v>
          </cell>
          <cell r="K3587" t="str">
            <v>ITAMBÉ</v>
          </cell>
          <cell r="L3587" t="str">
            <v>RODRIGO</v>
          </cell>
          <cell r="M3587" t="str">
            <v>JESSICA</v>
          </cell>
        </row>
        <row r="3588">
          <cell r="B3588">
            <v>5359869</v>
          </cell>
          <cell r="C3588" t="str">
            <v>BIG CHURROS KENNEDY LTDA</v>
          </cell>
          <cell r="D3588" t="str">
            <v>6001</v>
          </cell>
          <cell r="E3588" t="str">
            <v>0028</v>
          </cell>
          <cell r="F3588" t="str">
            <v>C1</v>
          </cell>
          <cell r="G3588" t="str">
            <v>SP</v>
          </cell>
          <cell r="H3588" t="str">
            <v>INGREDIENTS</v>
          </cell>
          <cell r="I3588" t="str">
            <v>INGREDIENTS</v>
          </cell>
          <cell r="J3588" t="str">
            <v>HENRIQUE FERREIRA</v>
          </cell>
          <cell r="K3588" t="str">
            <v>ITAMBÉ</v>
          </cell>
          <cell r="L3588" t="str">
            <v>MAURICIO</v>
          </cell>
          <cell r="M3588" t="str">
            <v>JOEL</v>
          </cell>
        </row>
        <row r="3589">
          <cell r="B3589">
            <v>5361020</v>
          </cell>
          <cell r="C3589" t="str">
            <v>CASA DO SORVETEIRO LTDA</v>
          </cell>
          <cell r="D3589" t="str">
            <v>6001</v>
          </cell>
          <cell r="E3589" t="str">
            <v>0169</v>
          </cell>
          <cell r="F3589" t="str">
            <v>C1</v>
          </cell>
          <cell r="G3589" t="str">
            <v>ES</v>
          </cell>
          <cell r="H3589" t="str">
            <v>DISTRIBUIÇÃO</v>
          </cell>
          <cell r="I3589" t="str">
            <v>FOOD SERVICE</v>
          </cell>
          <cell r="J3589" t="str">
            <v>MARCELO DUARTE</v>
          </cell>
          <cell r="K3589" t="str">
            <v>ITAMBÉ</v>
          </cell>
          <cell r="L3589" t="str">
            <v>RODRIGO</v>
          </cell>
          <cell r="M3589" t="str">
            <v>JESSICA</v>
          </cell>
        </row>
        <row r="3590">
          <cell r="B3590">
            <v>5363590</v>
          </cell>
          <cell r="C3590" t="str">
            <v>CB RIO BARRA DA TIJ COM D ALIM</v>
          </cell>
          <cell r="D3590" t="str">
            <v>6001</v>
          </cell>
          <cell r="E3590" t="str">
            <v>0169</v>
          </cell>
          <cell r="F3590" t="str">
            <v>C1</v>
          </cell>
          <cell r="G3590" t="str">
            <v>RJ</v>
          </cell>
          <cell r="H3590" t="str">
            <v>QSR</v>
          </cell>
          <cell r="I3590" t="str">
            <v>FOOD SERVICE</v>
          </cell>
          <cell r="J3590" t="str">
            <v>VAGO QSR</v>
          </cell>
          <cell r="K3590" t="str">
            <v>ITAMBÉ</v>
          </cell>
          <cell r="L3590" t="str">
            <v>PEDRO</v>
          </cell>
          <cell r="M3590" t="str">
            <v>VAGO QSR</v>
          </cell>
        </row>
        <row r="3591">
          <cell r="B3591">
            <v>5363592</v>
          </cell>
          <cell r="C3591" t="str">
            <v>CBAF COMERCIO DE ALIMENTOS LTDA</v>
          </cell>
          <cell r="D3591" t="str">
            <v>6001</v>
          </cell>
          <cell r="E3591" t="str">
            <v>0125</v>
          </cell>
          <cell r="F3591" t="str">
            <v>C1</v>
          </cell>
          <cell r="G3591" t="str">
            <v>SP</v>
          </cell>
          <cell r="H3591" t="str">
            <v>QSR</v>
          </cell>
          <cell r="I3591" t="str">
            <v>FOOD SERVICE</v>
          </cell>
          <cell r="J3591" t="str">
            <v>VAGO QSR</v>
          </cell>
          <cell r="K3591" t="str">
            <v>ITAMBÉ</v>
          </cell>
          <cell r="L3591" t="str">
            <v>PEDRO</v>
          </cell>
          <cell r="M3591" t="str">
            <v>VAGO QSR</v>
          </cell>
        </row>
        <row r="3592">
          <cell r="B3592">
            <v>5363595</v>
          </cell>
          <cell r="C3592" t="str">
            <v>CBAF COMERCIO DE ALIMENTOS LTDA</v>
          </cell>
          <cell r="D3592" t="str">
            <v>6001</v>
          </cell>
          <cell r="E3592" t="str">
            <v>0125</v>
          </cell>
          <cell r="F3592" t="str">
            <v>C1</v>
          </cell>
          <cell r="G3592" t="str">
            <v>SP</v>
          </cell>
          <cell r="H3592" t="str">
            <v>QSR</v>
          </cell>
          <cell r="I3592" t="str">
            <v>FOOD SERVICE</v>
          </cell>
          <cell r="J3592" t="str">
            <v>VAGO QSR</v>
          </cell>
          <cell r="K3592" t="str">
            <v>ITAMBÉ</v>
          </cell>
          <cell r="L3592" t="str">
            <v>PEDRO</v>
          </cell>
          <cell r="M3592" t="str">
            <v>VAGO QSR</v>
          </cell>
        </row>
        <row r="3593">
          <cell r="B3593">
            <v>5363598</v>
          </cell>
          <cell r="C3593" t="str">
            <v>CB RIO VOLTA REDONDA COM DE AL</v>
          </cell>
          <cell r="D3593" t="str">
            <v>6001</v>
          </cell>
          <cell r="E3593" t="str">
            <v>0169</v>
          </cell>
          <cell r="F3593" t="str">
            <v>C1</v>
          </cell>
          <cell r="G3593" t="str">
            <v>RJ</v>
          </cell>
          <cell r="H3593" t="str">
            <v>QSR</v>
          </cell>
          <cell r="I3593" t="str">
            <v>FOOD SERVICE</v>
          </cell>
          <cell r="J3593" t="str">
            <v>VAGO QSR</v>
          </cell>
          <cell r="K3593" t="str">
            <v>ITAMBÉ</v>
          </cell>
          <cell r="L3593" t="str">
            <v>PEDRO</v>
          </cell>
          <cell r="M3593" t="str">
            <v>VAGO QSR</v>
          </cell>
        </row>
        <row r="3594">
          <cell r="B3594">
            <v>5363949</v>
          </cell>
          <cell r="C3594" t="str">
            <v>FUNCHAL INDUSTRIA E COMERC DE P</v>
          </cell>
          <cell r="D3594" t="str">
            <v>6001</v>
          </cell>
          <cell r="E3594" t="str">
            <v>0125</v>
          </cell>
          <cell r="F3594" t="str">
            <v>C1</v>
          </cell>
          <cell r="G3594" t="str">
            <v>SP</v>
          </cell>
          <cell r="H3594" t="str">
            <v>DISTRIBUIÇÃO</v>
          </cell>
          <cell r="I3594" t="str">
            <v>FOOD SERVICE</v>
          </cell>
          <cell r="J3594" t="str">
            <v>VAGO SP</v>
          </cell>
          <cell r="K3594" t="str">
            <v>ITAMBÉ</v>
          </cell>
          <cell r="L3594" t="str">
            <v>RODRIGO</v>
          </cell>
          <cell r="M3594" t="str">
            <v>RAQUEL BARBOSA</v>
          </cell>
        </row>
        <row r="3595">
          <cell r="B3595">
            <v>5363950</v>
          </cell>
          <cell r="C3595" t="str">
            <v>FUNCHAL INDUSTRIA E COMERCIO DE PAP</v>
          </cell>
          <cell r="D3595" t="str">
            <v>6001</v>
          </cell>
          <cell r="E3595" t="str">
            <v>0125</v>
          </cell>
          <cell r="F3595" t="str">
            <v>C1</v>
          </cell>
          <cell r="G3595" t="str">
            <v>SP</v>
          </cell>
          <cell r="H3595" t="str">
            <v>DISTRIBUIÇÃO</v>
          </cell>
          <cell r="I3595" t="str">
            <v>FOOD SERVICE</v>
          </cell>
          <cell r="J3595" t="str">
            <v>VAGO SP</v>
          </cell>
          <cell r="K3595" t="str">
            <v>ITAMBÉ</v>
          </cell>
          <cell r="L3595" t="str">
            <v>RODRIGO</v>
          </cell>
          <cell r="M3595" t="str">
            <v>RAQUEL BARBOSA</v>
          </cell>
        </row>
        <row r="3596">
          <cell r="B3596">
            <v>5364495</v>
          </cell>
          <cell r="C3596" t="str">
            <v>3D SALGADOS LTDA</v>
          </cell>
          <cell r="D3596" t="str">
            <v>6001</v>
          </cell>
          <cell r="E3596" t="str">
            <v>0028</v>
          </cell>
          <cell r="F3596" t="str">
            <v>C1</v>
          </cell>
          <cell r="G3596" t="str">
            <v>RJ</v>
          </cell>
          <cell r="H3596" t="str">
            <v>INGREDIENTS</v>
          </cell>
          <cell r="I3596" t="str">
            <v>INGREDIENTS</v>
          </cell>
          <cell r="J3596" t="str">
            <v>RJ ITB FS L T MARTINS</v>
          </cell>
          <cell r="K3596" t="str">
            <v>ITAMBÉ</v>
          </cell>
          <cell r="L3596" t="str">
            <v>MAURICIO</v>
          </cell>
          <cell r="M3596" t="str">
            <v>TATIANA NITTA</v>
          </cell>
        </row>
        <row r="3597">
          <cell r="B3597">
            <v>5364496</v>
          </cell>
          <cell r="C3597" t="str">
            <v>CONVENIENCIA DABELA DE COELH DA</v>
          </cell>
          <cell r="D3597" t="str">
            <v>6001</v>
          </cell>
          <cell r="E3597" t="str">
            <v>0028</v>
          </cell>
          <cell r="F3597" t="str">
            <v>C1</v>
          </cell>
          <cell r="G3597" t="str">
            <v>RJ</v>
          </cell>
          <cell r="H3597" t="str">
            <v>INGREDIENTS</v>
          </cell>
          <cell r="I3597" t="str">
            <v>INGREDIENTS</v>
          </cell>
          <cell r="J3597" t="str">
            <v>RJ ITB FS L T MARTINS</v>
          </cell>
          <cell r="K3597" t="str">
            <v>ITAMBÉ</v>
          </cell>
          <cell r="L3597" t="str">
            <v>MAURICIO</v>
          </cell>
          <cell r="M3597" t="str">
            <v>TATIANA NITTA</v>
          </cell>
        </row>
        <row r="3598">
          <cell r="B3598">
            <v>5364697</v>
          </cell>
          <cell r="C3598" t="str">
            <v>REI DOS GELADOS LTDA</v>
          </cell>
          <cell r="D3598" t="str">
            <v>6001</v>
          </cell>
          <cell r="E3598" t="str">
            <v>0028</v>
          </cell>
          <cell r="F3598" t="str">
            <v>C1</v>
          </cell>
          <cell r="G3598" t="str">
            <v>RJ</v>
          </cell>
          <cell r="H3598" t="str">
            <v>INGREDIENTS</v>
          </cell>
          <cell r="I3598" t="str">
            <v>INGREDIENTS</v>
          </cell>
          <cell r="J3598" t="str">
            <v>RJ ITB FS L T MARTINS</v>
          </cell>
          <cell r="K3598" t="str">
            <v>ITAMBÉ</v>
          </cell>
          <cell r="L3598" t="str">
            <v>MAURICIO</v>
          </cell>
          <cell r="M3598" t="str">
            <v>TATIANA NITTA</v>
          </cell>
        </row>
        <row r="3599">
          <cell r="B3599">
            <v>5300879</v>
          </cell>
          <cell r="C3599" t="str">
            <v>HOTELARIA ACCORINVEST BRASIL S A</v>
          </cell>
          <cell r="D3599" t="str">
            <v>7001</v>
          </cell>
          <cell r="E3599" t="str">
            <v>0749</v>
          </cell>
          <cell r="F3599" t="str">
            <v>C5</v>
          </cell>
          <cell r="G3599" t="str">
            <v>SP</v>
          </cell>
          <cell r="H3599" t="str">
            <v>DISTRIBUIÇÃO</v>
          </cell>
          <cell r="I3599" t="str">
            <v>FOOD SERVICE</v>
          </cell>
          <cell r="J3599" t="str">
            <v>FLAC 1</v>
          </cell>
          <cell r="K3599" t="str">
            <v>LACTALIS</v>
          </cell>
          <cell r="L3599" t="str">
            <v>RODRIGO</v>
          </cell>
          <cell r="M3599" t="str">
            <v>RAQUEL BARBOSA</v>
          </cell>
        </row>
        <row r="3600">
          <cell r="B3600">
            <v>5368301</v>
          </cell>
          <cell r="C3600" t="str">
            <v>SUDARIO TRANSP COM E DIST LTDA</v>
          </cell>
          <cell r="D3600" t="str">
            <v>7001</v>
          </cell>
          <cell r="E3600" t="str">
            <v>0722</v>
          </cell>
          <cell r="F3600" t="str">
            <v>C1</v>
          </cell>
          <cell r="G3600" t="str">
            <v>SP</v>
          </cell>
          <cell r="H3600" t="str">
            <v>DISTRIBUIÇÃO</v>
          </cell>
          <cell r="I3600" t="str">
            <v>FOOD SERVICE</v>
          </cell>
          <cell r="J3600" t="str">
            <v>RAQUEL BARBOSA</v>
          </cell>
          <cell r="K3600" t="str">
            <v>LACTALIS</v>
          </cell>
          <cell r="L3600" t="str">
            <v>RODRIGO</v>
          </cell>
          <cell r="M3600" t="str">
            <v>RAQUEL BARBOSA</v>
          </cell>
        </row>
        <row r="3601">
          <cell r="B3601">
            <v>5013236</v>
          </cell>
          <cell r="C3601" t="str">
            <v>CLUBE DO CONFEITEIRO LTDA</v>
          </cell>
          <cell r="D3601" t="str">
            <v>6001</v>
          </cell>
          <cell r="E3601" t="str">
            <v>6125</v>
          </cell>
          <cell r="F3601" t="str">
            <v>C1</v>
          </cell>
          <cell r="G3601" t="str">
            <v>SP</v>
          </cell>
          <cell r="H3601" t="str">
            <v>DISTRIBUIÇÃO</v>
          </cell>
          <cell r="I3601" t="str">
            <v>FOOD SERVICE</v>
          </cell>
          <cell r="J3601" t="str">
            <v>SP ITB FS FLAC REP.E COMERCIO</v>
          </cell>
          <cell r="K3601" t="str">
            <v>ITAMBÉ</v>
          </cell>
          <cell r="L3601" t="str">
            <v>RODRIGO</v>
          </cell>
          <cell r="M3601" t="str">
            <v>RAQUEL BARBOSA</v>
          </cell>
        </row>
        <row r="3602">
          <cell r="B3602">
            <v>5181144</v>
          </cell>
          <cell r="C3602" t="str">
            <v>INDUSTRIA DE SORVETES CAMAGIVA</v>
          </cell>
          <cell r="D3602" t="str">
            <v>7001</v>
          </cell>
          <cell r="E3602" t="str">
            <v>0722</v>
          </cell>
          <cell r="F3602" t="str">
            <v>C1</v>
          </cell>
          <cell r="G3602" t="str">
            <v>SP</v>
          </cell>
          <cell r="H3602" t="str">
            <v>QSR</v>
          </cell>
          <cell r="I3602" t="str">
            <v>FOOD SERVICE</v>
          </cell>
          <cell r="J3602" t="str">
            <v>ANA MENIQUETE</v>
          </cell>
          <cell r="K3602" t="str">
            <v>LACTALIS</v>
          </cell>
          <cell r="L3602" t="str">
            <v>PEDRO</v>
          </cell>
          <cell r="M3602" t="str">
            <v>ANA MENIQUETE</v>
          </cell>
        </row>
        <row r="3603">
          <cell r="B3603">
            <v>5181766</v>
          </cell>
          <cell r="C3603" t="str">
            <v>BRASIL NUTRI AMBIENTAL LTDA</v>
          </cell>
          <cell r="D3603" t="str">
            <v>4001</v>
          </cell>
          <cell r="E3603" t="str">
            <v>0454</v>
          </cell>
          <cell r="F3603" t="str">
            <v>C1</v>
          </cell>
          <cell r="G3603" t="str">
            <v>BA</v>
          </cell>
          <cell r="H3603" t="str">
            <v>INGREDIENTS</v>
          </cell>
          <cell r="I3603" t="str">
            <v>INGREDIENTS</v>
          </cell>
          <cell r="J3603" t="str">
            <v>HENRIQUE FERREIRA</v>
          </cell>
          <cell r="K3603" t="str">
            <v>LACTALIS</v>
          </cell>
          <cell r="L3603" t="str">
            <v>MAURICIO</v>
          </cell>
          <cell r="M3603" t="str">
            <v>JOEL</v>
          </cell>
        </row>
        <row r="3604">
          <cell r="B3604">
            <v>5369097</v>
          </cell>
          <cell r="C3604" t="str">
            <v>FARES GROUP LTDA</v>
          </cell>
          <cell r="D3604" t="str">
            <v>7001</v>
          </cell>
          <cell r="E3604" t="str">
            <v>0749</v>
          </cell>
          <cell r="F3604" t="str">
            <v>C5</v>
          </cell>
          <cell r="G3604" t="str">
            <v>SP</v>
          </cell>
          <cell r="H3604" t="str">
            <v>DISTRIBUIÇÃO</v>
          </cell>
          <cell r="I3604" t="str">
            <v>FOOD SERVICE</v>
          </cell>
          <cell r="J3604" t="str">
            <v>FLAC 2</v>
          </cell>
          <cell r="K3604" t="str">
            <v>LACTALIS</v>
          </cell>
          <cell r="L3604" t="str">
            <v>RODRIGO</v>
          </cell>
          <cell r="M3604" t="str">
            <v>RAQUEL BARBOSA</v>
          </cell>
        </row>
        <row r="3605">
          <cell r="B3605">
            <v>5130343</v>
          </cell>
          <cell r="C3605" t="str">
            <v>CDI BARRA PROD IMP E EXPORTACAO LTD</v>
          </cell>
          <cell r="D3605" t="str">
            <v>7001</v>
          </cell>
          <cell r="E3605" t="str">
            <v>0722</v>
          </cell>
          <cell r="F3605" t="str">
            <v>C1</v>
          </cell>
          <cell r="G3605" t="str">
            <v>SP</v>
          </cell>
          <cell r="H3605" t="str">
            <v>DISTRIBUIÇÃO</v>
          </cell>
          <cell r="I3605" t="str">
            <v>FOOD SERVICE</v>
          </cell>
          <cell r="J3605" t="str">
            <v>VAGO SP</v>
          </cell>
          <cell r="K3605" t="str">
            <v>LACTALIS</v>
          </cell>
          <cell r="L3605" t="str">
            <v>RODRIGO</v>
          </cell>
          <cell r="M3605" t="str">
            <v>RAQUEL BARBOSA</v>
          </cell>
        </row>
        <row r="3606">
          <cell r="B3606">
            <v>5369001</v>
          </cell>
          <cell r="C3606" t="str">
            <v>46805736 EDUARDO ANTONIO DA SILVA</v>
          </cell>
          <cell r="D3606" t="str">
            <v>7001</v>
          </cell>
          <cell r="E3606" t="str">
            <v>0749</v>
          </cell>
          <cell r="F3606" t="str">
            <v>C5</v>
          </cell>
          <cell r="G3606" t="str">
            <v>SP</v>
          </cell>
          <cell r="H3606" t="str">
            <v>DISTRIBUIÇÃO</v>
          </cell>
          <cell r="I3606" t="str">
            <v>FOOD SERVICE</v>
          </cell>
          <cell r="J3606" t="str">
            <v>FLAC 3</v>
          </cell>
          <cell r="K3606" t="str">
            <v>LACTALIS</v>
          </cell>
          <cell r="L3606" t="str">
            <v>RODRIGO</v>
          </cell>
          <cell r="M3606" t="str">
            <v>RAQUEL BARBOSA</v>
          </cell>
        </row>
        <row r="3607">
          <cell r="B3607">
            <v>5354705</v>
          </cell>
          <cell r="C3607" t="str">
            <v>DR IND E COM IMP E EXP DE AL LTDA</v>
          </cell>
          <cell r="D3607" t="str">
            <v>6001</v>
          </cell>
          <cell r="E3607" t="str">
            <v>6028</v>
          </cell>
          <cell r="F3607" t="str">
            <v>C1</v>
          </cell>
          <cell r="G3607" t="str">
            <v>MS</v>
          </cell>
          <cell r="H3607" t="str">
            <v>INGREDIENTS</v>
          </cell>
          <cell r="I3607" t="str">
            <v>INGREDIENTS</v>
          </cell>
          <cell r="J3607" t="str">
            <v>MS ITB FS MAWIL REPRESENTAÇÕES</v>
          </cell>
          <cell r="K3607" t="str">
            <v>ITAMBÉ</v>
          </cell>
          <cell r="L3607" t="str">
            <v>MAURICIO</v>
          </cell>
          <cell r="M3607" t="str">
            <v>MARCELO</v>
          </cell>
        </row>
        <row r="3608">
          <cell r="B3608">
            <v>5367921</v>
          </cell>
          <cell r="C3608" t="str">
            <v>60574443 WILLIAM F DE SOUZA</v>
          </cell>
          <cell r="D3608" t="str">
            <v>7001</v>
          </cell>
          <cell r="E3608" t="str">
            <v>0749</v>
          </cell>
          <cell r="F3608" t="str">
            <v>C5</v>
          </cell>
          <cell r="G3608" t="str">
            <v>SP</v>
          </cell>
          <cell r="H3608" t="str">
            <v>DISTRIBUIÇÃO</v>
          </cell>
          <cell r="I3608" t="str">
            <v>FOOD SERVICE</v>
          </cell>
          <cell r="J3608" t="str">
            <v>FLAC 3</v>
          </cell>
          <cell r="K3608" t="str">
            <v>LACTALIS</v>
          </cell>
          <cell r="L3608" t="str">
            <v>RODRIGO</v>
          </cell>
          <cell r="M3608" t="str">
            <v>RAQUEL BARBOSA</v>
          </cell>
        </row>
        <row r="3609">
          <cell r="B3609">
            <v>5368988</v>
          </cell>
          <cell r="C3609" t="str">
            <v>JB DISTRIBUIDORA LTDA</v>
          </cell>
          <cell r="D3609" t="str">
            <v>3001</v>
          </cell>
          <cell r="E3609" t="str">
            <v>0028</v>
          </cell>
          <cell r="F3609" t="str">
            <v>C1</v>
          </cell>
          <cell r="G3609" t="str">
            <v>SC</v>
          </cell>
          <cell r="H3609" t="str">
            <v>INGREDIENTS</v>
          </cell>
          <cell r="I3609" t="str">
            <v>INGREDIENTS</v>
          </cell>
          <cell r="J3609" t="str">
            <v>MARCELO RODRIGUES</v>
          </cell>
          <cell r="K3609" t="str">
            <v>ITAMBÉ</v>
          </cell>
          <cell r="L3609" t="str">
            <v>MAURICIO</v>
          </cell>
          <cell r="M3609" t="str">
            <v>MARCELO</v>
          </cell>
        </row>
        <row r="3610">
          <cell r="B3610">
            <v>5213905</v>
          </cell>
          <cell r="C3610" t="str">
            <v>COLORADO FESTAS LTDA</v>
          </cell>
          <cell r="D3610" t="str">
            <v>7001</v>
          </cell>
          <cell r="E3610" t="str">
            <v>0739</v>
          </cell>
          <cell r="F3610" t="str">
            <v>C1</v>
          </cell>
          <cell r="G3610" t="str">
            <v>ES</v>
          </cell>
          <cell r="H3610" t="str">
            <v>DISTRIBUIÇÃO</v>
          </cell>
          <cell r="I3610" t="str">
            <v>FOOD SERVICE</v>
          </cell>
          <cell r="J3610" t="str">
            <v>MARCELO DUARTE</v>
          </cell>
          <cell r="K3610" t="str">
            <v>LACTALIS</v>
          </cell>
          <cell r="L3610" t="str">
            <v>RODRIGO</v>
          </cell>
          <cell r="M3610" t="str">
            <v>JESSICA</v>
          </cell>
        </row>
        <row r="3611">
          <cell r="B3611">
            <v>5254009</v>
          </cell>
          <cell r="C3611" t="str">
            <v>DAOCA IND E COM DE ALIM LTDA</v>
          </cell>
          <cell r="D3611" t="str">
            <v>7001</v>
          </cell>
          <cell r="E3611" t="str">
            <v>0749</v>
          </cell>
          <cell r="F3611" t="str">
            <v>C5</v>
          </cell>
          <cell r="G3611" t="str">
            <v>SP</v>
          </cell>
          <cell r="H3611" t="str">
            <v>DISTRIBUIÇÃO</v>
          </cell>
          <cell r="I3611" t="str">
            <v>FOOD SERVICE</v>
          </cell>
          <cell r="J3611" t="str">
            <v>FLAC 7</v>
          </cell>
          <cell r="K3611" t="str">
            <v>LACTALIS</v>
          </cell>
          <cell r="L3611" t="str">
            <v>RODRIGO</v>
          </cell>
          <cell r="M3611" t="str">
            <v>RAQUEL BARBOSA</v>
          </cell>
        </row>
        <row r="3612">
          <cell r="B3612">
            <v>5369249</v>
          </cell>
          <cell r="C3612" t="str">
            <v>BRUXELAS DOCES LTDA</v>
          </cell>
          <cell r="D3612" t="str">
            <v>6001</v>
          </cell>
          <cell r="E3612" t="str">
            <v>6028</v>
          </cell>
          <cell r="F3612" t="str">
            <v>C1</v>
          </cell>
          <cell r="G3612" t="str">
            <v>SP</v>
          </cell>
          <cell r="H3612" t="str">
            <v>INGREDIENTS</v>
          </cell>
          <cell r="I3612" t="str">
            <v>INGREDIENTS</v>
          </cell>
          <cell r="J3612" t="str">
            <v>HENRIQUE FERREIRA</v>
          </cell>
          <cell r="K3612" t="str">
            <v>ITAMBÉ</v>
          </cell>
          <cell r="L3612" t="str">
            <v>MAURICIO</v>
          </cell>
          <cell r="M3612" t="str">
            <v>JOEL</v>
          </cell>
        </row>
        <row r="3613">
          <cell r="B3613">
            <v>5366906</v>
          </cell>
          <cell r="C3613" t="str">
            <v>LATICINIOS BELA VISTA SA</v>
          </cell>
          <cell r="D3613" t="str">
            <v>3001</v>
          </cell>
          <cell r="E3613" t="str">
            <v>0028</v>
          </cell>
          <cell r="F3613" t="str">
            <v>C1</v>
          </cell>
          <cell r="G3613" t="str">
            <v>MG</v>
          </cell>
          <cell r="H3613" t="str">
            <v>INGREDIENTS</v>
          </cell>
          <cell r="I3613" t="str">
            <v>INGREDIENTS</v>
          </cell>
          <cell r="J3613" t="str">
            <v>HENRIQUE FERREIRA</v>
          </cell>
          <cell r="K3613" t="str">
            <v>ITAMBÉ</v>
          </cell>
          <cell r="L3613" t="str">
            <v>MAURICIO</v>
          </cell>
          <cell r="M3613" t="str">
            <v>JOEL</v>
          </cell>
        </row>
        <row r="3614">
          <cell r="B3614">
            <v>5369376</v>
          </cell>
          <cell r="C3614" t="str">
            <v>DELICATESSEN PARAISO LTDA</v>
          </cell>
          <cell r="D3614" t="str">
            <v>7001</v>
          </cell>
          <cell r="E3614" t="str">
            <v>0749</v>
          </cell>
          <cell r="F3614" t="str">
            <v>C5</v>
          </cell>
          <cell r="G3614" t="str">
            <v>SP</v>
          </cell>
          <cell r="H3614" t="str">
            <v>DISTRIBUIÇÃO</v>
          </cell>
          <cell r="I3614" t="str">
            <v>FOOD SERVICE</v>
          </cell>
          <cell r="J3614" t="str">
            <v>FLAC 10</v>
          </cell>
          <cell r="K3614" t="str">
            <v>LACTALIS</v>
          </cell>
          <cell r="L3614" t="str">
            <v>RODRIGO</v>
          </cell>
          <cell r="M3614" t="str">
            <v>RAQUEL BARBOSA</v>
          </cell>
        </row>
        <row r="3615">
          <cell r="B3615">
            <v>5181144</v>
          </cell>
          <cell r="C3615" t="str">
            <v>INDUSTRIA DE SORVETES CAMAGIVA</v>
          </cell>
          <cell r="D3615" t="str">
            <v>6001</v>
          </cell>
          <cell r="E3615" t="str">
            <v>6125</v>
          </cell>
          <cell r="F3615" t="str">
            <v>C1</v>
          </cell>
          <cell r="G3615" t="str">
            <v>SP</v>
          </cell>
          <cell r="H3615" t="str">
            <v>QSR</v>
          </cell>
          <cell r="I3615" t="str">
            <v>FOOD SERVICE</v>
          </cell>
          <cell r="J3615" t="str">
            <v>ANA MENIQUETE</v>
          </cell>
          <cell r="K3615" t="str">
            <v>ITAMBÉ</v>
          </cell>
          <cell r="L3615" t="str">
            <v>PEDRO</v>
          </cell>
          <cell r="M3615" t="str">
            <v>ANA MENIQUETE</v>
          </cell>
        </row>
        <row r="3616">
          <cell r="B3616">
            <v>5188355</v>
          </cell>
          <cell r="C3616" t="str">
            <v>TUDOBOM COMERCIAL LTDA</v>
          </cell>
          <cell r="D3616" t="str">
            <v>3001</v>
          </cell>
          <cell r="E3616" t="str">
            <v>0122</v>
          </cell>
          <cell r="F3616" t="str">
            <v>C1</v>
          </cell>
          <cell r="G3616" t="str">
            <v>MG</v>
          </cell>
          <cell r="H3616" t="str">
            <v>DISTRIBUIÇÃO</v>
          </cell>
          <cell r="I3616" t="str">
            <v>FOOD SERVICE</v>
          </cell>
          <cell r="J3616" t="str">
            <v>MARCELO SILVA</v>
          </cell>
          <cell r="K3616" t="str">
            <v>ITAMBÉ</v>
          </cell>
          <cell r="L3616" t="str">
            <v>RODRIGO</v>
          </cell>
          <cell r="M3616" t="str">
            <v>CELIO MARTINS</v>
          </cell>
        </row>
        <row r="3617">
          <cell r="B3617">
            <v>5356221</v>
          </cell>
          <cell r="C3617" t="str">
            <v>AFFARE GESTAO DE NEGOCIOS LTDA</v>
          </cell>
          <cell r="D3617" t="str">
            <v>7001</v>
          </cell>
          <cell r="E3617" t="str">
            <v>0749</v>
          </cell>
          <cell r="F3617" t="str">
            <v>C5</v>
          </cell>
          <cell r="G3617" t="str">
            <v>SP</v>
          </cell>
          <cell r="H3617" t="str">
            <v>DISTRIBUIÇÃO</v>
          </cell>
          <cell r="I3617" t="str">
            <v>FOOD SERVICE</v>
          </cell>
          <cell r="J3617" t="str">
            <v>FLAC 2</v>
          </cell>
          <cell r="K3617" t="str">
            <v>LACTALIS</v>
          </cell>
          <cell r="L3617" t="str">
            <v>RODRIGO</v>
          </cell>
          <cell r="M3617" t="str">
            <v>RAQUEL BARBOSA</v>
          </cell>
        </row>
        <row r="3618">
          <cell r="B3618">
            <v>5369416</v>
          </cell>
          <cell r="C3618" t="str">
            <v>NUTRIDORO REFEICOES LTDA</v>
          </cell>
          <cell r="D3618" t="str">
            <v>7001</v>
          </cell>
          <cell r="E3618" t="str">
            <v>0749</v>
          </cell>
          <cell r="F3618" t="str">
            <v>C5</v>
          </cell>
          <cell r="G3618" t="str">
            <v>SP</v>
          </cell>
          <cell r="H3618" t="str">
            <v>DISTRIBUIÇÃO</v>
          </cell>
          <cell r="I3618" t="str">
            <v>FOOD SERVICE</v>
          </cell>
          <cell r="J3618" t="str">
            <v>FLAC 2</v>
          </cell>
          <cell r="K3618" t="str">
            <v>LACTALIS</v>
          </cell>
          <cell r="L3618" t="str">
            <v>RODRIGO</v>
          </cell>
          <cell r="M3618" t="str">
            <v>RAQUEL BARBOSA</v>
          </cell>
        </row>
        <row r="3619">
          <cell r="B3619">
            <v>5021546</v>
          </cell>
          <cell r="C3619" t="str">
            <v>SUPERMERCADO GEN LTDA</v>
          </cell>
          <cell r="D3619" t="str">
            <v>6001</v>
          </cell>
          <cell r="E3619" t="str">
            <v>6127</v>
          </cell>
          <cell r="F3619" t="str">
            <v>C1</v>
          </cell>
          <cell r="G3619" t="str">
            <v>CE</v>
          </cell>
          <cell r="H3619" t="str">
            <v>DISTRIBUIÇÃO</v>
          </cell>
          <cell r="I3619" t="str">
            <v>FOOD SERVICE</v>
          </cell>
          <cell r="J3619" t="str">
            <v>WH FOOD SERVICE CE</v>
          </cell>
          <cell r="K3619" t="str">
            <v>ITAMBÉ</v>
          </cell>
          <cell r="L3619" t="str">
            <v>RODRIGO</v>
          </cell>
          <cell r="M3619" t="str">
            <v>MARIA LOURDES</v>
          </cell>
        </row>
        <row r="3620">
          <cell r="B3620">
            <v>5024813</v>
          </cell>
          <cell r="C3620" t="str">
            <v>PORTELA SUPERMERCADO LTDA</v>
          </cell>
          <cell r="D3620" t="str">
            <v>6001</v>
          </cell>
          <cell r="E3620" t="str">
            <v>6127</v>
          </cell>
          <cell r="F3620" t="str">
            <v>C1</v>
          </cell>
          <cell r="G3620" t="str">
            <v>CE</v>
          </cell>
          <cell r="H3620" t="str">
            <v>DISTRIBUIÇÃO</v>
          </cell>
          <cell r="I3620" t="str">
            <v>FOOD SERVICE</v>
          </cell>
          <cell r="J3620" t="str">
            <v>WH FOOD SERVICE CE</v>
          </cell>
          <cell r="K3620" t="str">
            <v>ITAMBÉ</v>
          </cell>
          <cell r="L3620" t="str">
            <v>RODRIGO</v>
          </cell>
          <cell r="M3620" t="str">
            <v>MARIA LOURDES</v>
          </cell>
        </row>
        <row r="3621">
          <cell r="B3621">
            <v>5173438</v>
          </cell>
          <cell r="C3621" t="str">
            <v>MERCANTIL FONSECA LTDA</v>
          </cell>
          <cell r="D3621" t="str">
            <v>6001</v>
          </cell>
          <cell r="E3621" t="str">
            <v>6127</v>
          </cell>
          <cell r="F3621" t="str">
            <v>C1</v>
          </cell>
          <cell r="G3621" t="str">
            <v>CE</v>
          </cell>
          <cell r="H3621" t="str">
            <v>DISTRIBUIÇÃO</v>
          </cell>
          <cell r="I3621" t="str">
            <v>FOOD SERVICE</v>
          </cell>
          <cell r="J3621" t="str">
            <v>WH FOOD SERVICE CE</v>
          </cell>
          <cell r="K3621" t="str">
            <v>ITAMBÉ</v>
          </cell>
          <cell r="L3621" t="str">
            <v>RODRIGO</v>
          </cell>
          <cell r="M3621" t="str">
            <v>MARIA LOURDES</v>
          </cell>
        </row>
        <row r="3622">
          <cell r="B3622">
            <v>5184634</v>
          </cell>
          <cell r="C3622" t="str">
            <v>G E N SUPREMERCADO LTDA ME</v>
          </cell>
          <cell r="D3622" t="str">
            <v>6001</v>
          </cell>
          <cell r="E3622" t="str">
            <v>6127</v>
          </cell>
          <cell r="F3622" t="str">
            <v>C1</v>
          </cell>
          <cell r="G3622" t="str">
            <v>CE</v>
          </cell>
          <cell r="H3622" t="str">
            <v>DISTRIBUIÇÃO</v>
          </cell>
          <cell r="I3622" t="str">
            <v>FOOD SERVICE</v>
          </cell>
          <cell r="J3622" t="str">
            <v>WH FOOD SERVICE CE</v>
          </cell>
          <cell r="K3622" t="str">
            <v>ITAMBÉ</v>
          </cell>
          <cell r="L3622" t="str">
            <v>RODRIGO</v>
          </cell>
          <cell r="M3622" t="str">
            <v>MARIA LOURDES</v>
          </cell>
        </row>
        <row r="3623">
          <cell r="B3623">
            <v>5323240</v>
          </cell>
          <cell r="C3623" t="str">
            <v>SUPER G N SUPERMERCADO LTDA</v>
          </cell>
          <cell r="D3623" t="str">
            <v>6001</v>
          </cell>
          <cell r="E3623" t="str">
            <v>6127</v>
          </cell>
          <cell r="F3623" t="str">
            <v>C1</v>
          </cell>
          <cell r="G3623" t="str">
            <v>CE</v>
          </cell>
          <cell r="H3623" t="str">
            <v>DISTRIBUIÇÃO</v>
          </cell>
          <cell r="I3623" t="str">
            <v>FOOD SERVICE</v>
          </cell>
          <cell r="J3623" t="str">
            <v>WH FOOD SERVICE CE</v>
          </cell>
          <cell r="K3623" t="str">
            <v>ITAMBÉ</v>
          </cell>
          <cell r="L3623" t="str">
            <v>RODRIGO</v>
          </cell>
          <cell r="M3623" t="str">
            <v>MARIA LOURDES</v>
          </cell>
        </row>
        <row r="3624">
          <cell r="B3624">
            <v>5369003</v>
          </cell>
          <cell r="C3624" t="str">
            <v>FORNADA PAES E REFEICOES LTDA</v>
          </cell>
          <cell r="D3624" t="str">
            <v>7001</v>
          </cell>
          <cell r="E3624" t="str">
            <v>0749</v>
          </cell>
          <cell r="F3624" t="str">
            <v>C5</v>
          </cell>
          <cell r="G3624" t="str">
            <v>SP</v>
          </cell>
          <cell r="H3624" t="str">
            <v>DISTRIBUIÇÃO</v>
          </cell>
          <cell r="I3624" t="str">
            <v>FOOD SERVICE</v>
          </cell>
          <cell r="J3624" t="str">
            <v>FLAC 2</v>
          </cell>
          <cell r="K3624" t="str">
            <v>LACTALIS</v>
          </cell>
          <cell r="L3624" t="str">
            <v>RODRIGO</v>
          </cell>
          <cell r="M3624" t="str">
            <v>RAQUEL BARBOSA</v>
          </cell>
        </row>
        <row r="3625">
          <cell r="B3625">
            <v>5369404</v>
          </cell>
          <cell r="C3625" t="str">
            <v>AK PHARMA LTDA</v>
          </cell>
          <cell r="D3625" t="str">
            <v>7001</v>
          </cell>
          <cell r="E3625" t="str">
            <v>0749</v>
          </cell>
          <cell r="F3625" t="str">
            <v>C5</v>
          </cell>
          <cell r="G3625" t="str">
            <v>SP</v>
          </cell>
          <cell r="H3625" t="str">
            <v>DISTRIBUIÇÃO</v>
          </cell>
          <cell r="I3625" t="str">
            <v>FOOD SERVICE</v>
          </cell>
          <cell r="J3625" t="str">
            <v>FLAC 3</v>
          </cell>
          <cell r="K3625" t="str">
            <v>LACTALIS</v>
          </cell>
          <cell r="L3625" t="str">
            <v>RODRIGO</v>
          </cell>
          <cell r="M3625" t="str">
            <v>RAQUEL BARBOSA</v>
          </cell>
        </row>
        <row r="3626">
          <cell r="B3626">
            <v>5167791</v>
          </cell>
          <cell r="C3626" t="str">
            <v>DAN VIGOR IND E COM DE LATICINIOS L</v>
          </cell>
          <cell r="D3626" t="str">
            <v>4001</v>
          </cell>
          <cell r="E3626" t="str">
            <v>0437</v>
          </cell>
          <cell r="F3626" t="str">
            <v>C1</v>
          </cell>
          <cell r="G3626" t="str">
            <v>SP</v>
          </cell>
          <cell r="H3626" t="str">
            <v>INGREDIENTS</v>
          </cell>
          <cell r="I3626" t="str">
            <v>INGREDIENTS</v>
          </cell>
          <cell r="J3626" t="str">
            <v>JOEL ELEOTÉRIO</v>
          </cell>
          <cell r="K3626" t="str">
            <v>LACTALIS</v>
          </cell>
          <cell r="L3626" t="str">
            <v>MAURICIO</v>
          </cell>
          <cell r="M3626" t="str">
            <v>JOEL</v>
          </cell>
        </row>
        <row r="3627">
          <cell r="B3627">
            <v>5369334</v>
          </cell>
          <cell r="C3627" t="str">
            <v>SORVMAIS LTDA</v>
          </cell>
          <cell r="D3627" t="str">
            <v>3001</v>
          </cell>
          <cell r="E3627" t="str">
            <v>0028</v>
          </cell>
          <cell r="F3627" t="str">
            <v>C1</v>
          </cell>
          <cell r="G3627" t="str">
            <v>AL</v>
          </cell>
          <cell r="H3627" t="str">
            <v>INGREDIENTS</v>
          </cell>
          <cell r="I3627" t="str">
            <v>INGREDIENTS</v>
          </cell>
          <cell r="J3627" t="str">
            <v>PE ITB FS L B REP</v>
          </cell>
          <cell r="K3627" t="str">
            <v>ITAMBÉ</v>
          </cell>
          <cell r="L3627" t="str">
            <v>MAURICIO</v>
          </cell>
          <cell r="M3627" t="str">
            <v>JOEL</v>
          </cell>
        </row>
        <row r="3628">
          <cell r="B3628">
            <v>5369569</v>
          </cell>
          <cell r="C3628" t="str">
            <v>COMERCIAL E DISTRIB BITENCO LTD</v>
          </cell>
          <cell r="D3628" t="str">
            <v>7001</v>
          </cell>
          <cell r="E3628" t="str">
            <v>0749</v>
          </cell>
          <cell r="F3628" t="str">
            <v>C5</v>
          </cell>
          <cell r="G3628" t="str">
            <v>SP</v>
          </cell>
          <cell r="H3628" t="str">
            <v>DISTRIBUIÇÃO</v>
          </cell>
          <cell r="I3628" t="str">
            <v>FOOD SERVICE</v>
          </cell>
          <cell r="J3628" t="str">
            <v>FLAC 7</v>
          </cell>
          <cell r="K3628" t="str">
            <v>LACTALIS</v>
          </cell>
          <cell r="L3628" t="str">
            <v>RODRIGO</v>
          </cell>
          <cell r="M3628" t="str">
            <v>RAQUEL BARBOSA</v>
          </cell>
        </row>
        <row r="3629">
          <cell r="B3629">
            <v>5367989</v>
          </cell>
          <cell r="C3629" t="str">
            <v>ROALD RESTAURANTE E ALIMENTOS LTDA</v>
          </cell>
          <cell r="D3629" t="str">
            <v>7001</v>
          </cell>
          <cell r="E3629" t="str">
            <v>0749</v>
          </cell>
          <cell r="F3629" t="str">
            <v>C5</v>
          </cell>
          <cell r="G3629" t="str">
            <v>SP</v>
          </cell>
          <cell r="H3629" t="str">
            <v>DISTRIBUIÇÃO</v>
          </cell>
          <cell r="I3629" t="str">
            <v>FOOD SERVICE</v>
          </cell>
          <cell r="J3629" t="str">
            <v>FLAC 2</v>
          </cell>
          <cell r="K3629" t="str">
            <v>LACTALIS</v>
          </cell>
          <cell r="L3629" t="str">
            <v>RODRIGO</v>
          </cell>
          <cell r="M3629" t="str">
            <v>RAQUEL BARBOSA</v>
          </cell>
        </row>
        <row r="3630">
          <cell r="B3630">
            <v>5369700</v>
          </cell>
          <cell r="C3630" t="str">
            <v>INDUSTRIA DE ALIMENTOS GURY LTDA</v>
          </cell>
          <cell r="D3630" t="str">
            <v>4001</v>
          </cell>
          <cell r="E3630" t="str">
            <v>0423</v>
          </cell>
          <cell r="F3630" t="str">
            <v>C5</v>
          </cell>
          <cell r="G3630" t="str">
            <v>ES</v>
          </cell>
          <cell r="H3630" t="str">
            <v>INGREDIENTS</v>
          </cell>
          <cell r="I3630" t="str">
            <v>INGREDIENTS</v>
          </cell>
          <cell r="J3630" t="str">
            <v>DLUM</v>
          </cell>
          <cell r="K3630" t="str">
            <v>LACTALIS</v>
          </cell>
          <cell r="L3630" t="str">
            <v>MAURICIO</v>
          </cell>
          <cell r="M3630" t="str">
            <v>JOEL</v>
          </cell>
        </row>
        <row r="3631">
          <cell r="B3631">
            <v>5128707</v>
          </cell>
          <cell r="C3631" t="str">
            <v>ARMAZEM TOP ALTO LTDA</v>
          </cell>
          <cell r="D3631" t="str">
            <v>6001</v>
          </cell>
          <cell r="E3631" t="str">
            <v>6009</v>
          </cell>
          <cell r="F3631" t="str">
            <v>C1</v>
          </cell>
          <cell r="G3631" t="str">
            <v>BA</v>
          </cell>
          <cell r="H3631" t="str">
            <v>DISTRIBUIÇÃO</v>
          </cell>
          <cell r="I3631" t="str">
            <v>FOOD SERVICE</v>
          </cell>
          <cell r="J3631" t="str">
            <v>CLAUDIO JORGE/LUIZ</v>
          </cell>
          <cell r="K3631" t="str">
            <v>ITAMBÉ</v>
          </cell>
          <cell r="L3631" t="str">
            <v>RODRIGO</v>
          </cell>
          <cell r="M3631" t="str">
            <v>MARIA LOURDES</v>
          </cell>
        </row>
        <row r="3632">
          <cell r="B3632">
            <v>5369250</v>
          </cell>
          <cell r="C3632" t="str">
            <v>WE PROTEIN OPERACOES LTDA</v>
          </cell>
          <cell r="D3632" t="str">
            <v>7001</v>
          </cell>
          <cell r="E3632" t="str">
            <v>0722</v>
          </cell>
          <cell r="F3632" t="str">
            <v>C1</v>
          </cell>
          <cell r="G3632" t="str">
            <v>SP</v>
          </cell>
          <cell r="H3632" t="str">
            <v>QSR</v>
          </cell>
          <cell r="I3632" t="str">
            <v>FOOD SERVICE</v>
          </cell>
          <cell r="J3632" t="str">
            <v>VAGO QSR</v>
          </cell>
          <cell r="K3632" t="str">
            <v>LACTALIS</v>
          </cell>
          <cell r="L3632" t="str">
            <v>PEDRO</v>
          </cell>
          <cell r="M3632" t="str">
            <v>VAGO QSR</v>
          </cell>
        </row>
        <row r="3633">
          <cell r="B3633">
            <v>5369251</v>
          </cell>
          <cell r="C3633" t="str">
            <v>WE PROTEIN OPERACOES LTDA</v>
          </cell>
          <cell r="D3633" t="str">
            <v>7001</v>
          </cell>
          <cell r="E3633" t="str">
            <v>0722</v>
          </cell>
          <cell r="F3633" t="str">
            <v>C1</v>
          </cell>
          <cell r="G3633" t="str">
            <v>SP</v>
          </cell>
          <cell r="H3633" t="str">
            <v>QSR</v>
          </cell>
          <cell r="I3633" t="str">
            <v>FOOD SERVICE</v>
          </cell>
          <cell r="J3633" t="str">
            <v>VAGO QSR</v>
          </cell>
          <cell r="K3633" t="str">
            <v>LACTALIS</v>
          </cell>
          <cell r="L3633" t="str">
            <v>PEDRO</v>
          </cell>
          <cell r="M3633" t="str">
            <v>VAGO QSR</v>
          </cell>
        </row>
        <row r="3634">
          <cell r="B3634">
            <v>5369708</v>
          </cell>
          <cell r="C3634" t="str">
            <v>SIGTELY RESTA E FORN DE REF LTD</v>
          </cell>
          <cell r="D3634" t="str">
            <v>7001</v>
          </cell>
          <cell r="E3634" t="str">
            <v>0749</v>
          </cell>
          <cell r="F3634" t="str">
            <v>C5</v>
          </cell>
          <cell r="G3634" t="str">
            <v>SP</v>
          </cell>
          <cell r="H3634" t="str">
            <v>DISTRIBUIÇÃO</v>
          </cell>
          <cell r="I3634" t="str">
            <v>FOOD SERVICE</v>
          </cell>
          <cell r="J3634" t="str">
            <v>FLAC 6</v>
          </cell>
          <cell r="K3634" t="str">
            <v>LACTALIS</v>
          </cell>
          <cell r="L3634" t="str">
            <v>RODRIGO</v>
          </cell>
          <cell r="M3634" t="str">
            <v>RAQUEL BARBOSA</v>
          </cell>
        </row>
        <row r="3635">
          <cell r="B3635">
            <v>5369565</v>
          </cell>
          <cell r="C3635" t="str">
            <v>ALLPAN COM DE PROD ALIMEN LTDA</v>
          </cell>
          <cell r="D3635" t="str">
            <v>6001</v>
          </cell>
          <cell r="E3635" t="str">
            <v>6125</v>
          </cell>
          <cell r="F3635" t="str">
            <v>C1</v>
          </cell>
          <cell r="G3635" t="str">
            <v>SP</v>
          </cell>
          <cell r="H3635" t="str">
            <v>DISTRIBUIÇÃO</v>
          </cell>
          <cell r="I3635" t="str">
            <v>FOOD SERVICE</v>
          </cell>
          <cell r="J3635" t="str">
            <v>SP ITB FS FLAC REP.E COMERCIO</v>
          </cell>
          <cell r="K3635" t="str">
            <v>ITAMBÉ</v>
          </cell>
          <cell r="L3635" t="str">
            <v>RODRIGO</v>
          </cell>
          <cell r="M3635" t="str">
            <v>RAQUEL BARBOSA</v>
          </cell>
        </row>
        <row r="3636">
          <cell r="B3636">
            <v>5354784</v>
          </cell>
          <cell r="C3636" t="str">
            <v>BENDU INDUSTRIA E COMERCIO DE ALIM</v>
          </cell>
          <cell r="D3636" t="str">
            <v>6001</v>
          </cell>
          <cell r="E3636" t="str">
            <v>6125</v>
          </cell>
          <cell r="F3636" t="str">
            <v>C1</v>
          </cell>
          <cell r="G3636" t="str">
            <v>SP</v>
          </cell>
          <cell r="H3636" t="str">
            <v>DISTRIBUIÇÃO</v>
          </cell>
          <cell r="I3636" t="str">
            <v>FOOD SERVICE</v>
          </cell>
          <cell r="J3636" t="str">
            <v>SP ITB FS FLAC REP.E COMERCIO</v>
          </cell>
          <cell r="K3636" t="str">
            <v>ITAMBÉ</v>
          </cell>
          <cell r="L3636" t="str">
            <v>RODRIGO</v>
          </cell>
          <cell r="M3636" t="str">
            <v>RAQUEL BARBOSA</v>
          </cell>
        </row>
        <row r="3637">
          <cell r="B3637">
            <v>5369859</v>
          </cell>
          <cell r="C3637" t="str">
            <v>SORMEL INDUSTRIA DE SORVETES LTDA</v>
          </cell>
          <cell r="D3637" t="str">
            <v>3001</v>
          </cell>
          <cell r="E3637" t="str">
            <v>0028</v>
          </cell>
          <cell r="F3637" t="str">
            <v>C1</v>
          </cell>
          <cell r="G3637" t="str">
            <v>AL</v>
          </cell>
          <cell r="H3637" t="str">
            <v>INGREDIENTS</v>
          </cell>
          <cell r="I3637" t="str">
            <v>INGREDIENTS</v>
          </cell>
          <cell r="J3637" t="str">
            <v>PE ITB FS L B REP</v>
          </cell>
          <cell r="K3637" t="str">
            <v>ITAMBÉ</v>
          </cell>
          <cell r="L3637" t="str">
            <v>MAURICIO</v>
          </cell>
          <cell r="M3637" t="str">
            <v>JOEL</v>
          </cell>
        </row>
        <row r="3638">
          <cell r="B3638">
            <v>5329930</v>
          </cell>
          <cell r="C3638" t="str">
            <v>FITISSIMO INDUSTRIA DE ALIMENTOS LT</v>
          </cell>
          <cell r="D3638" t="str">
            <v>3001</v>
          </cell>
          <cell r="E3638" t="str">
            <v>0028</v>
          </cell>
          <cell r="F3638" t="str">
            <v>C1</v>
          </cell>
          <cell r="G3638" t="str">
            <v>MG</v>
          </cell>
          <cell r="H3638" t="str">
            <v>INGREDIENTS</v>
          </cell>
          <cell r="I3638" t="str">
            <v>INGREDIENTS</v>
          </cell>
          <cell r="J3638" t="str">
            <v>HENRIQUE FERREIRA</v>
          </cell>
          <cell r="K3638" t="str">
            <v>ITAMBÉ</v>
          </cell>
          <cell r="L3638" t="str">
            <v>MAURICIO</v>
          </cell>
          <cell r="M3638" t="str">
            <v>JOEL</v>
          </cell>
        </row>
        <row r="3639">
          <cell r="B3639">
            <v>5352460</v>
          </cell>
          <cell r="C3639" t="str">
            <v>CB LAGO SUL COMERCIO DE ALIME L</v>
          </cell>
          <cell r="D3639" t="str">
            <v>6001</v>
          </cell>
          <cell r="E3639" t="str">
            <v>6123</v>
          </cell>
          <cell r="F3639" t="str">
            <v>C1</v>
          </cell>
          <cell r="G3639" t="str">
            <v>DF</v>
          </cell>
          <cell r="H3639" t="str">
            <v>QSR</v>
          </cell>
          <cell r="I3639" t="str">
            <v>FOOD SERVICE</v>
          </cell>
          <cell r="J3639" t="str">
            <v>VAGO QSR</v>
          </cell>
          <cell r="K3639" t="str">
            <v>ITAMBÉ</v>
          </cell>
          <cell r="L3639" t="str">
            <v>PEDRO</v>
          </cell>
          <cell r="M3639" t="str">
            <v>VAGO QSR</v>
          </cell>
        </row>
        <row r="3640">
          <cell r="B3640">
            <v>5364446</v>
          </cell>
          <cell r="C3640" t="str">
            <v>KEZ BAGEL 4 REST E LANCHON LTDA</v>
          </cell>
          <cell r="D3640" t="str">
            <v>7001</v>
          </cell>
          <cell r="E3640" t="str">
            <v>0749</v>
          </cell>
          <cell r="F3640" t="str">
            <v>C5</v>
          </cell>
          <cell r="G3640" t="str">
            <v>SP</v>
          </cell>
          <cell r="H3640" t="str">
            <v>DISTRIBUIÇÃO</v>
          </cell>
          <cell r="I3640" t="str">
            <v>FOOD SERVICE</v>
          </cell>
          <cell r="J3640" t="str">
            <v>FLAC 5</v>
          </cell>
          <cell r="K3640" t="str">
            <v>LACTALIS</v>
          </cell>
          <cell r="L3640" t="str">
            <v>RODRIGO</v>
          </cell>
          <cell r="M3640" t="str">
            <v>RAQUEL BARBOSA</v>
          </cell>
        </row>
        <row r="3641">
          <cell r="B3641">
            <v>5369627</v>
          </cell>
          <cell r="C3641" t="str">
            <v>WE PROTEIN OPERACOES LTDA</v>
          </cell>
          <cell r="D3641" t="str">
            <v>7001</v>
          </cell>
          <cell r="E3641" t="str">
            <v>0722</v>
          </cell>
          <cell r="F3641" t="str">
            <v>C1</v>
          </cell>
          <cell r="G3641" t="str">
            <v>SP</v>
          </cell>
          <cell r="H3641" t="str">
            <v>QSR</v>
          </cell>
          <cell r="I3641" t="str">
            <v>FOOD SERVICE</v>
          </cell>
          <cell r="J3641" t="str">
            <v>ANA MENIQUETE</v>
          </cell>
          <cell r="K3641" t="str">
            <v>LACTALIS</v>
          </cell>
          <cell r="L3641" t="str">
            <v>PEDRO</v>
          </cell>
          <cell r="M3641" t="str">
            <v>ANA MENIQUETE</v>
          </cell>
        </row>
        <row r="3642">
          <cell r="B3642">
            <v>5023870</v>
          </cell>
          <cell r="C3642" t="str">
            <v>GOLD INDUSTRIA E COMERCIO LTDA</v>
          </cell>
          <cell r="D3642" t="str">
            <v>7001</v>
          </cell>
          <cell r="E3642" t="str">
            <v>0752</v>
          </cell>
          <cell r="F3642" t="str">
            <v>C5</v>
          </cell>
          <cell r="G3642" t="str">
            <v>PR</v>
          </cell>
          <cell r="H3642" t="str">
            <v>DISTRIBUIÇÃO</v>
          </cell>
          <cell r="I3642" t="str">
            <v>FOOD SERVICE</v>
          </cell>
          <cell r="J3642" t="str">
            <v>ANGELICA BATISTELA</v>
          </cell>
          <cell r="K3642" t="str">
            <v>LACTALIS</v>
          </cell>
          <cell r="L3642" t="str">
            <v>RODRIGO</v>
          </cell>
          <cell r="M3642" t="str">
            <v>ANGELICA BATISTELA</v>
          </cell>
        </row>
        <row r="3643">
          <cell r="B3643">
            <v>5317668</v>
          </cell>
          <cell r="C3643" t="str">
            <v>JESSICA CRISTINA DO NASCIMENTO</v>
          </cell>
          <cell r="D3643" t="str">
            <v>6001</v>
          </cell>
          <cell r="E3643" t="str">
            <v>6028</v>
          </cell>
          <cell r="F3643" t="str">
            <v>C1</v>
          </cell>
          <cell r="G3643" t="str">
            <v>RJ</v>
          </cell>
          <cell r="H3643" t="str">
            <v>INGREDIENTS</v>
          </cell>
          <cell r="I3643" t="str">
            <v>INGREDIENTS</v>
          </cell>
          <cell r="J3643" t="str">
            <v>RJ ITB FS CDR REPRESENTAÇÕES</v>
          </cell>
          <cell r="K3643" t="str">
            <v>ITAMBÉ</v>
          </cell>
          <cell r="L3643" t="str">
            <v>MAURICIO</v>
          </cell>
          <cell r="M3643" t="str">
            <v>TATIANA NITTA</v>
          </cell>
        </row>
        <row r="3644">
          <cell r="B3644">
            <v>5320718</v>
          </cell>
          <cell r="C3644" t="str">
            <v>ALFA FERMENTACAO NATURAL LTDA</v>
          </cell>
          <cell r="D3644" t="str">
            <v>3001</v>
          </cell>
          <cell r="E3644" t="str">
            <v>0126</v>
          </cell>
          <cell r="F3644" t="str">
            <v>C1</v>
          </cell>
          <cell r="G3644" t="str">
            <v>SC</v>
          </cell>
          <cell r="H3644" t="str">
            <v>QSR</v>
          </cell>
          <cell r="I3644" t="str">
            <v>FOOD SERVICE</v>
          </cell>
          <cell r="J3644" t="str">
            <v>VAGO QSR</v>
          </cell>
          <cell r="K3644" t="str">
            <v>ITAMBÉ</v>
          </cell>
          <cell r="L3644" t="str">
            <v>PEDRO</v>
          </cell>
          <cell r="M3644" t="str">
            <v>VAGO QSR</v>
          </cell>
        </row>
        <row r="3645">
          <cell r="B3645">
            <v>5341225</v>
          </cell>
          <cell r="C3645" t="str">
            <v>CAPODIFOGLIO E CIA LTDA</v>
          </cell>
          <cell r="D3645" t="str">
            <v>4001</v>
          </cell>
          <cell r="E3645" t="str">
            <v>0437</v>
          </cell>
          <cell r="F3645" t="str">
            <v>C1</v>
          </cell>
          <cell r="G3645" t="str">
            <v>SP</v>
          </cell>
          <cell r="H3645" t="str">
            <v>INGREDIENTS</v>
          </cell>
          <cell r="I3645" t="str">
            <v>INGREDIENTS</v>
          </cell>
          <cell r="J3645" t="str">
            <v>TATIANA NITTA</v>
          </cell>
          <cell r="K3645" t="str">
            <v>LACTALIS</v>
          </cell>
          <cell r="L3645" t="str">
            <v>MAURICIO</v>
          </cell>
          <cell r="M3645" t="str">
            <v>TATIANA NITTA</v>
          </cell>
        </row>
        <row r="3646">
          <cell r="B3646">
            <v>5355844</v>
          </cell>
          <cell r="C3646" t="str">
            <v>RICARDO DE SOUSA DAS NEVES</v>
          </cell>
          <cell r="D3646" t="str">
            <v>6001</v>
          </cell>
          <cell r="E3646" t="str">
            <v>6127</v>
          </cell>
          <cell r="F3646" t="str">
            <v>C1</v>
          </cell>
          <cell r="G3646" t="str">
            <v>BA</v>
          </cell>
          <cell r="H3646" t="str">
            <v>DISTRIBUIÇÃO</v>
          </cell>
          <cell r="I3646" t="str">
            <v>FOOD SERVICE</v>
          </cell>
          <cell r="J3646" t="str">
            <v>CLAUDIO JORGE/LUIZ</v>
          </cell>
          <cell r="K3646" t="str">
            <v>ITAMBÉ</v>
          </cell>
          <cell r="L3646" t="str">
            <v>RODRIGO</v>
          </cell>
          <cell r="M3646" t="str">
            <v>MARIA LOURDES</v>
          </cell>
        </row>
        <row r="3647">
          <cell r="B3647">
            <v>5369595</v>
          </cell>
          <cell r="C3647" t="str">
            <v>KI SORVETAO LTDA</v>
          </cell>
          <cell r="D3647" t="str">
            <v>3001</v>
          </cell>
          <cell r="E3647" t="str">
            <v>0028</v>
          </cell>
          <cell r="F3647" t="str">
            <v>C1</v>
          </cell>
          <cell r="G3647" t="str">
            <v>SC</v>
          </cell>
          <cell r="H3647" t="str">
            <v>INGREDIENTS</v>
          </cell>
          <cell r="I3647" t="str">
            <v>INGREDIENTS</v>
          </cell>
          <cell r="J3647" t="str">
            <v>MARCELO RODRIGUES</v>
          </cell>
          <cell r="K3647" t="str">
            <v>ITAMBÉ</v>
          </cell>
          <cell r="L3647" t="str">
            <v>MAURICIO</v>
          </cell>
          <cell r="M3647" t="str">
            <v>MARCELO</v>
          </cell>
        </row>
        <row r="3648">
          <cell r="B3648">
            <v>5162285</v>
          </cell>
          <cell r="C3648" t="str">
            <v>KOB COMERCIAL LTDA</v>
          </cell>
          <cell r="D3648" t="str">
            <v>7001</v>
          </cell>
          <cell r="E3648" t="str">
            <v>0752</v>
          </cell>
          <cell r="F3648" t="str">
            <v>C5</v>
          </cell>
          <cell r="G3648" t="str">
            <v>PR</v>
          </cell>
          <cell r="H3648" t="str">
            <v>DISTRIBUIÇÃO</v>
          </cell>
          <cell r="I3648" t="str">
            <v>FOOD SERVICE</v>
          </cell>
          <cell r="J3648" t="str">
            <v>ANGELICA BATISTELA</v>
          </cell>
          <cell r="K3648" t="str">
            <v>LACTALIS</v>
          </cell>
          <cell r="L3648" t="str">
            <v>RODRIGO</v>
          </cell>
          <cell r="M3648" t="str">
            <v>ANGELICA BATISTELA</v>
          </cell>
        </row>
        <row r="3649">
          <cell r="B3649">
            <v>5178343</v>
          </cell>
          <cell r="C3649" t="str">
            <v>NT IND E COM DE PANIFICACAO LTD</v>
          </cell>
          <cell r="D3649" t="str">
            <v>7001</v>
          </cell>
          <cell r="E3649" t="str">
            <v>0580</v>
          </cell>
          <cell r="F3649" t="str">
            <v>C5</v>
          </cell>
          <cell r="G3649" t="str">
            <v>AM</v>
          </cell>
          <cell r="H3649" t="str">
            <v>DISTRIBUIÇÃO</v>
          </cell>
          <cell r="I3649" t="str">
            <v>FOOD SERVICE</v>
          </cell>
          <cell r="J3649" t="str">
            <v>CLAUDIO JORGE</v>
          </cell>
          <cell r="K3649" t="str">
            <v>LACTALIS</v>
          </cell>
          <cell r="L3649" t="str">
            <v>RODRIGO</v>
          </cell>
          <cell r="M3649" t="str">
            <v>MARCO AURELIO</v>
          </cell>
        </row>
        <row r="3650">
          <cell r="B3650">
            <v>5370031</v>
          </cell>
          <cell r="C3650" t="str">
            <v>D RIBEIRO LTDA</v>
          </cell>
          <cell r="D3650" t="str">
            <v>3001</v>
          </cell>
          <cell r="E3650" t="str">
            <v>0028</v>
          </cell>
          <cell r="F3650" t="str">
            <v>C1</v>
          </cell>
          <cell r="G3650" t="str">
            <v>MA</v>
          </cell>
          <cell r="H3650" t="str">
            <v>INGREDIENTS</v>
          </cell>
          <cell r="I3650" t="str">
            <v>INGREDIENTS</v>
          </cell>
          <cell r="J3650" t="str">
            <v>HENRIQUE FERREIRA</v>
          </cell>
          <cell r="K3650" t="str">
            <v>ITAMBÉ</v>
          </cell>
          <cell r="L3650" t="str">
            <v>MAURICIO</v>
          </cell>
          <cell r="M3650" t="str">
            <v>JOEL</v>
          </cell>
        </row>
        <row r="3651">
          <cell r="B3651">
            <v>5368992</v>
          </cell>
          <cell r="C3651" t="str">
            <v>NOTTE ALIMENTOS LTDA</v>
          </cell>
          <cell r="D3651" t="str">
            <v>7001</v>
          </cell>
          <cell r="E3651" t="str">
            <v>0749</v>
          </cell>
          <cell r="F3651" t="str">
            <v>C5</v>
          </cell>
          <cell r="G3651" t="str">
            <v>SP</v>
          </cell>
          <cell r="H3651" t="str">
            <v>DISTRIBUIÇÃO</v>
          </cell>
          <cell r="I3651" t="str">
            <v>FOOD SERVICE</v>
          </cell>
          <cell r="J3651" t="str">
            <v>FLAC 3</v>
          </cell>
          <cell r="K3651" t="str">
            <v>LACTALIS</v>
          </cell>
          <cell r="L3651" t="str">
            <v>RODRIGO</v>
          </cell>
          <cell r="M3651" t="str">
            <v>RAQUEL BARBOSA</v>
          </cell>
        </row>
        <row r="3652">
          <cell r="B3652">
            <v>5369486</v>
          </cell>
          <cell r="C3652" t="str">
            <v>PICOLE E SORVETE CAICOR LTDA</v>
          </cell>
          <cell r="D3652" t="str">
            <v>3001</v>
          </cell>
          <cell r="E3652" t="str">
            <v>0028</v>
          </cell>
          <cell r="F3652" t="str">
            <v>C1</v>
          </cell>
          <cell r="G3652" t="str">
            <v>AL</v>
          </cell>
          <cell r="H3652" t="str">
            <v>INGREDIENTS</v>
          </cell>
          <cell r="I3652" t="str">
            <v>INGREDIENTS</v>
          </cell>
          <cell r="J3652" t="str">
            <v>PE ITB FS L B REP</v>
          </cell>
          <cell r="K3652" t="str">
            <v>ITAMBÉ</v>
          </cell>
          <cell r="L3652" t="str">
            <v>MAURICIO</v>
          </cell>
          <cell r="M3652" t="str">
            <v>JOEL</v>
          </cell>
        </row>
        <row r="3653">
          <cell r="B3653">
            <v>5135352</v>
          </cell>
          <cell r="C3653" t="str">
            <v>M C R COML DE BEBIDAS E CONSERVAS L</v>
          </cell>
          <cell r="D3653" t="str">
            <v>6001</v>
          </cell>
          <cell r="E3653" t="str">
            <v>6127</v>
          </cell>
          <cell r="F3653" t="str">
            <v>C1</v>
          </cell>
          <cell r="G3653" t="str">
            <v>BA</v>
          </cell>
          <cell r="H3653" t="str">
            <v>DISTRIBUIÇÃO</v>
          </cell>
          <cell r="I3653" t="str">
            <v>FOOD SERVICE</v>
          </cell>
          <cell r="J3653" t="str">
            <v>CLAUDIO JORGE/LUIZ</v>
          </cell>
          <cell r="K3653" t="str">
            <v>ITAMBÉ</v>
          </cell>
          <cell r="L3653" t="str">
            <v>RODRIGO</v>
          </cell>
          <cell r="M3653" t="str">
            <v>MARIA LOURDES</v>
          </cell>
        </row>
        <row r="3654">
          <cell r="B3654">
            <v>5166804</v>
          </cell>
          <cell r="C3654" t="str">
            <v>SKINABON ALIMENTOS LTDA</v>
          </cell>
          <cell r="D3654" t="str">
            <v>3001</v>
          </cell>
          <cell r="E3654" t="str">
            <v>0028</v>
          </cell>
          <cell r="F3654" t="str">
            <v>C1</v>
          </cell>
          <cell r="G3654" t="str">
            <v>RS</v>
          </cell>
          <cell r="H3654" t="str">
            <v>INGREDIENTS</v>
          </cell>
          <cell r="I3654" t="str">
            <v>INGREDIENTS</v>
          </cell>
          <cell r="J3654" t="str">
            <v>MARCELO RODRIGUES</v>
          </cell>
          <cell r="K3654" t="str">
            <v>ITAMBÉ</v>
          </cell>
          <cell r="L3654" t="str">
            <v>MAURICIO</v>
          </cell>
          <cell r="M3654" t="str">
            <v>MARCELO</v>
          </cell>
        </row>
        <row r="3655">
          <cell r="B3655">
            <v>5173617</v>
          </cell>
          <cell r="C3655" t="str">
            <v>SORV ITALIA GELATO IND E COM LTDA</v>
          </cell>
          <cell r="D3655" t="str">
            <v>3001</v>
          </cell>
          <cell r="E3655" t="str">
            <v>0028</v>
          </cell>
          <cell r="F3655" t="str">
            <v>C1</v>
          </cell>
          <cell r="G3655" t="str">
            <v>PR</v>
          </cell>
          <cell r="H3655" t="str">
            <v>INGREDIENTS</v>
          </cell>
          <cell r="I3655" t="str">
            <v>INGREDIENTS</v>
          </cell>
          <cell r="J3655" t="str">
            <v>PR ITB FS DONIZETH REPRES</v>
          </cell>
          <cell r="K3655" t="str">
            <v>ITAMBÉ</v>
          </cell>
          <cell r="L3655" t="str">
            <v>MAURICIO</v>
          </cell>
          <cell r="M3655" t="str">
            <v>MARCELO</v>
          </cell>
        </row>
        <row r="3656">
          <cell r="B3656">
            <v>5183645</v>
          </cell>
          <cell r="C3656" t="str">
            <v>LIGA COM DE PRODUTOS PARA SORV</v>
          </cell>
          <cell r="D3656" t="str">
            <v>6001</v>
          </cell>
          <cell r="E3656" t="str">
            <v>6125</v>
          </cell>
          <cell r="F3656" t="str">
            <v>C1</v>
          </cell>
          <cell r="G3656" t="str">
            <v>SP</v>
          </cell>
          <cell r="H3656" t="str">
            <v>DISTRIBUIÇÃO</v>
          </cell>
          <cell r="I3656" t="str">
            <v>FOOD SERVICE</v>
          </cell>
          <cell r="J3656" t="str">
            <v>GUILHERME NASCIMENTO</v>
          </cell>
          <cell r="K3656" t="str">
            <v>ITAMBÉ</v>
          </cell>
          <cell r="L3656" t="str">
            <v>RODRIGO</v>
          </cell>
          <cell r="M3656" t="str">
            <v>ALEXANDRO</v>
          </cell>
        </row>
        <row r="3657">
          <cell r="B3657">
            <v>5211582</v>
          </cell>
          <cell r="C3657" t="str">
            <v>DAN VIGOR IND E COM LATICINIOS</v>
          </cell>
          <cell r="D3657" t="str">
            <v>4001</v>
          </cell>
          <cell r="E3657" t="str">
            <v>0437</v>
          </cell>
          <cell r="F3657" t="str">
            <v>C1</v>
          </cell>
          <cell r="G3657" t="str">
            <v>SP</v>
          </cell>
          <cell r="H3657" t="str">
            <v>INGREDIENTS</v>
          </cell>
          <cell r="I3657" t="str">
            <v>INGREDIENTS</v>
          </cell>
          <cell r="J3657" t="str">
            <v>JOEL ELEOTÉRIO</v>
          </cell>
          <cell r="K3657" t="str">
            <v>LACTALIS</v>
          </cell>
          <cell r="L3657" t="str">
            <v>MAURICIO</v>
          </cell>
          <cell r="M3657" t="str">
            <v>JOEL</v>
          </cell>
        </row>
        <row r="3658">
          <cell r="B3658">
            <v>5254009</v>
          </cell>
          <cell r="C3658" t="str">
            <v>DAOCA IND E COM DE ALIM LTDA</v>
          </cell>
          <cell r="D3658" t="str">
            <v>6001</v>
          </cell>
          <cell r="E3658" t="str">
            <v>6125</v>
          </cell>
          <cell r="F3658" t="str">
            <v>C1</v>
          </cell>
          <cell r="G3658" t="str">
            <v>SP</v>
          </cell>
          <cell r="H3658" t="str">
            <v>DISTRIBUIÇÃO</v>
          </cell>
          <cell r="I3658" t="str">
            <v>FOOD SERVICE</v>
          </cell>
          <cell r="J3658" t="str">
            <v>SP ITB FS FLAC REP.E COMERCIO</v>
          </cell>
          <cell r="K3658" t="str">
            <v>ITAMBÉ</v>
          </cell>
          <cell r="L3658" t="str">
            <v>RODRIGO</v>
          </cell>
          <cell r="M3658" t="str">
            <v>RAQUEL BARBOSA</v>
          </cell>
        </row>
        <row r="3659">
          <cell r="B3659">
            <v>5366370</v>
          </cell>
          <cell r="C3659" t="str">
            <v>COMERCIO AT E VAR DE AL NORMA L</v>
          </cell>
          <cell r="D3659" t="str">
            <v>7001</v>
          </cell>
          <cell r="E3659" t="str">
            <v>0580</v>
          </cell>
          <cell r="F3659" t="str">
            <v>C5</v>
          </cell>
          <cell r="G3659" t="str">
            <v>AM</v>
          </cell>
          <cell r="H3659" t="str">
            <v>DISTRIBUIÇÃO</v>
          </cell>
          <cell r="I3659" t="str">
            <v>FOOD SERVICE</v>
          </cell>
          <cell r="J3659" t="str">
            <v>CLAUDIO JORGE</v>
          </cell>
          <cell r="K3659" t="str">
            <v>LACTALIS</v>
          </cell>
          <cell r="L3659" t="str">
            <v>RODRIGO</v>
          </cell>
          <cell r="M3659" t="str">
            <v>MARCO AURELIO</v>
          </cell>
        </row>
        <row r="3660">
          <cell r="B3660">
            <v>5281650</v>
          </cell>
          <cell r="C3660" t="str">
            <v>T R KLEINCIA LTDA</v>
          </cell>
          <cell r="D3660" t="str">
            <v>7001</v>
          </cell>
          <cell r="E3660" t="str">
            <v>0576</v>
          </cell>
          <cell r="F3660" t="str">
            <v>C1</v>
          </cell>
          <cell r="G3660" t="str">
            <v>RS</v>
          </cell>
          <cell r="H3660" t="str">
            <v>INGREDIENTS</v>
          </cell>
          <cell r="I3660" t="str">
            <v>INGREDIENTS</v>
          </cell>
          <cell r="J3660" t="str">
            <v>JOEL ELEOTÉRIO</v>
          </cell>
          <cell r="K3660" t="str">
            <v>LACTALIS</v>
          </cell>
          <cell r="L3660" t="str">
            <v>MAURICIO</v>
          </cell>
          <cell r="M3660" t="str">
            <v>JOEL</v>
          </cell>
        </row>
        <row r="3661">
          <cell r="B3661">
            <v>5366655</v>
          </cell>
          <cell r="C3661" t="str">
            <v>FECCHIO CAMA PANIFIC ARTES LTDA</v>
          </cell>
          <cell r="D3661" t="str">
            <v>7001</v>
          </cell>
          <cell r="E3661" t="str">
            <v>0749</v>
          </cell>
          <cell r="F3661" t="str">
            <v>C5</v>
          </cell>
          <cell r="G3661" t="str">
            <v>SP</v>
          </cell>
          <cell r="H3661" t="str">
            <v>DISTRIBUIÇÃO</v>
          </cell>
          <cell r="I3661" t="str">
            <v>FOOD SERVICE</v>
          </cell>
          <cell r="J3661" t="str">
            <v>FLAC 2</v>
          </cell>
          <cell r="K3661" t="str">
            <v>LACTALIS</v>
          </cell>
          <cell r="L3661" t="str">
            <v>RODRIGO</v>
          </cell>
          <cell r="M3661" t="str">
            <v>RAQUEL BARBOSA</v>
          </cell>
        </row>
        <row r="3662">
          <cell r="B3662">
            <v>5368174</v>
          </cell>
          <cell r="C3662" t="str">
            <v>TONINHA MASSAS CASEIRAS LTDA</v>
          </cell>
          <cell r="D3662" t="str">
            <v>7001</v>
          </cell>
          <cell r="E3662" t="str">
            <v>0749</v>
          </cell>
          <cell r="F3662" t="str">
            <v>C5</v>
          </cell>
          <cell r="G3662" t="str">
            <v>SP</v>
          </cell>
          <cell r="H3662" t="str">
            <v>DISTRIBUIÇÃO</v>
          </cell>
          <cell r="I3662" t="str">
            <v>FOOD SERVICE</v>
          </cell>
          <cell r="J3662" t="str">
            <v>FLAC 10</v>
          </cell>
          <cell r="K3662" t="str">
            <v>LACTALIS</v>
          </cell>
          <cell r="L3662" t="str">
            <v>RODRIGO</v>
          </cell>
          <cell r="M3662" t="str">
            <v>RAQUEL BARBOSA</v>
          </cell>
        </row>
        <row r="3663">
          <cell r="B3663">
            <v>5370073</v>
          </cell>
          <cell r="C3663" t="str">
            <v>FARINHA E AGUA LTDA</v>
          </cell>
          <cell r="D3663" t="str">
            <v>6001</v>
          </cell>
          <cell r="E3663" t="str">
            <v>6169</v>
          </cell>
          <cell r="F3663" t="str">
            <v>C1</v>
          </cell>
          <cell r="G3663" t="str">
            <v>ES</v>
          </cell>
          <cell r="H3663" t="str">
            <v>DISTRIBUIÇÃO</v>
          </cell>
          <cell r="I3663" t="str">
            <v>FOOD SERVICE</v>
          </cell>
          <cell r="J3663" t="str">
            <v>MARCELO DUARTE</v>
          </cell>
          <cell r="K3663" t="str">
            <v>ITAMBÉ</v>
          </cell>
          <cell r="L3663" t="str">
            <v>RODRIGO</v>
          </cell>
          <cell r="M3663" t="str">
            <v>JESSICA</v>
          </cell>
        </row>
        <row r="3664">
          <cell r="B3664">
            <v>5336832</v>
          </cell>
          <cell r="C3664" t="str">
            <v>COLORADO COMERCIO DE SORVETES L</v>
          </cell>
          <cell r="D3664" t="str">
            <v>7001</v>
          </cell>
          <cell r="E3664" t="str">
            <v>0722</v>
          </cell>
          <cell r="F3664" t="str">
            <v>C1</v>
          </cell>
          <cell r="G3664" t="str">
            <v>SP</v>
          </cell>
          <cell r="H3664" t="str">
            <v>QSR</v>
          </cell>
          <cell r="I3664" t="str">
            <v>FOOD SERVICE</v>
          </cell>
          <cell r="J3664" t="str">
            <v>ANA MENIQUETE</v>
          </cell>
          <cell r="K3664" t="str">
            <v>LACTALIS</v>
          </cell>
          <cell r="L3664" t="str">
            <v>PEDRO</v>
          </cell>
          <cell r="M3664" t="str">
            <v>ANA MENIQUETE</v>
          </cell>
        </row>
        <row r="3665">
          <cell r="B3665">
            <v>5009122</v>
          </cell>
          <cell r="C3665" t="str">
            <v>ROTTA DISTRI DE ALIMENTOS LTDA</v>
          </cell>
          <cell r="D3665" t="str">
            <v>7001</v>
          </cell>
          <cell r="E3665" t="str">
            <v>0752</v>
          </cell>
          <cell r="F3665" t="str">
            <v>C5</v>
          </cell>
          <cell r="G3665" t="str">
            <v>PR</v>
          </cell>
          <cell r="H3665" t="str">
            <v>DISTRIBUIÇÃO</v>
          </cell>
          <cell r="I3665" t="str">
            <v>FOOD SERVICE</v>
          </cell>
          <cell r="J3665" t="str">
            <v>ANGELICA BATISTELA</v>
          </cell>
          <cell r="K3665" t="str">
            <v>LACTALIS</v>
          </cell>
          <cell r="L3665" t="str">
            <v>RODRIGO</v>
          </cell>
          <cell r="M3665" t="str">
            <v>ANGELICA BATISTELA</v>
          </cell>
        </row>
        <row r="3666">
          <cell r="B3666">
            <v>5228956</v>
          </cell>
          <cell r="C3666" t="str">
            <v>MARTINS E SILVA COMERCIO LTDA</v>
          </cell>
          <cell r="D3666" t="str">
            <v>7001</v>
          </cell>
          <cell r="E3666" t="str">
            <v>0580</v>
          </cell>
          <cell r="F3666" t="str">
            <v>C5</v>
          </cell>
          <cell r="G3666" t="str">
            <v>RR</v>
          </cell>
          <cell r="H3666" t="str">
            <v>DISTRIBUIÇÃO</v>
          </cell>
          <cell r="I3666" t="str">
            <v>FOOD SERVICE</v>
          </cell>
          <cell r="J3666" t="str">
            <v>CLAUDIO JORGE</v>
          </cell>
          <cell r="K3666" t="str">
            <v>LACTALIS</v>
          </cell>
          <cell r="L3666" t="str">
            <v>RODRIGO</v>
          </cell>
          <cell r="M3666" t="str">
            <v>MARCO AURELIO</v>
          </cell>
        </row>
        <row r="3667">
          <cell r="B3667">
            <v>5370388</v>
          </cell>
          <cell r="C3667" t="str">
            <v>MIRI COMERCIO ATAC DE ALIM LTDA</v>
          </cell>
          <cell r="D3667" t="str">
            <v>4001</v>
          </cell>
          <cell r="E3667" t="str">
            <v>0437</v>
          </cell>
          <cell r="F3667" t="str">
            <v>C1</v>
          </cell>
          <cell r="G3667" t="str">
            <v>DF</v>
          </cell>
          <cell r="H3667" t="str">
            <v>INGREDIENTS</v>
          </cell>
          <cell r="I3667" t="str">
            <v>INGREDIENTS</v>
          </cell>
          <cell r="J3667" t="str">
            <v>MARCELO RODRIGUES</v>
          </cell>
          <cell r="K3667" t="str">
            <v>LACTALIS</v>
          </cell>
          <cell r="L3667" t="str">
            <v>MAURICIO</v>
          </cell>
          <cell r="M3667" t="str">
            <v>MARCELO</v>
          </cell>
        </row>
        <row r="3668">
          <cell r="B3668">
            <v>5029624</v>
          </cell>
          <cell r="C3668" t="str">
            <v>LANCHONETE MELLO E FILHOS LTDA</v>
          </cell>
          <cell r="D3668" t="str">
            <v>7001</v>
          </cell>
          <cell r="E3668" t="str">
            <v>0749</v>
          </cell>
          <cell r="F3668" t="str">
            <v>C5</v>
          </cell>
          <cell r="G3668" t="str">
            <v>SP</v>
          </cell>
          <cell r="H3668" t="str">
            <v>DISTRIBUIÇÃO</v>
          </cell>
          <cell r="I3668" t="str">
            <v>FOOD SERVICE</v>
          </cell>
          <cell r="J3668" t="str">
            <v>FLAC 4</v>
          </cell>
          <cell r="K3668" t="str">
            <v>LACTALIS</v>
          </cell>
          <cell r="L3668" t="str">
            <v>RODRIGO</v>
          </cell>
          <cell r="M3668" t="str">
            <v>RAQUEL BARBOSA</v>
          </cell>
        </row>
        <row r="3669">
          <cell r="B3669">
            <v>5302221</v>
          </cell>
          <cell r="C3669" t="str">
            <v>DEVERDADE PANIFICADORA LTDA</v>
          </cell>
          <cell r="D3669" t="str">
            <v>7001</v>
          </cell>
          <cell r="E3669" t="str">
            <v>0749</v>
          </cell>
          <cell r="F3669" t="str">
            <v>C5</v>
          </cell>
          <cell r="G3669" t="str">
            <v>SP</v>
          </cell>
          <cell r="H3669" t="str">
            <v>DISTRIBUIÇÃO</v>
          </cell>
          <cell r="I3669" t="str">
            <v>FOOD SERVICE</v>
          </cell>
          <cell r="J3669" t="str">
            <v>FLAC 2</v>
          </cell>
          <cell r="K3669" t="str">
            <v>LACTALIS</v>
          </cell>
          <cell r="L3669" t="str">
            <v>RODRIGO</v>
          </cell>
          <cell r="M3669" t="str">
            <v>RAQUEL BARBOSA</v>
          </cell>
        </row>
        <row r="3670">
          <cell r="B3670">
            <v>5370339</v>
          </cell>
          <cell r="C3670" t="str">
            <v>ICEFRUTA SORVETES E GELADOS LTD</v>
          </cell>
          <cell r="D3670" t="str">
            <v>3001</v>
          </cell>
          <cell r="E3670" t="str">
            <v>0028</v>
          </cell>
          <cell r="F3670" t="str">
            <v>C1</v>
          </cell>
          <cell r="G3670" t="str">
            <v>MG</v>
          </cell>
          <cell r="H3670" t="str">
            <v>INGREDIENTS</v>
          </cell>
          <cell r="I3670" t="str">
            <v>INGREDIENTS</v>
          </cell>
          <cell r="J3670" t="str">
            <v>HENRIQUE FERREIRA</v>
          </cell>
          <cell r="K3670" t="str">
            <v>ITAMBÉ</v>
          </cell>
          <cell r="L3670" t="str">
            <v>MAURICIO</v>
          </cell>
          <cell r="M3670" t="str">
            <v>JOEL</v>
          </cell>
        </row>
        <row r="3671">
          <cell r="B3671">
            <v>5370388</v>
          </cell>
          <cell r="C3671" t="str">
            <v>MIRI COMERCIO ATAC DE ALIM LTDA</v>
          </cell>
          <cell r="D3671" t="str">
            <v>6001</v>
          </cell>
          <cell r="E3671" t="str">
            <v>6125</v>
          </cell>
          <cell r="F3671" t="str">
            <v>C1</v>
          </cell>
          <cell r="G3671" t="str">
            <v>DF</v>
          </cell>
          <cell r="H3671" t="str">
            <v>INGREDIENTS</v>
          </cell>
          <cell r="I3671" t="str">
            <v>INGREDIENTS</v>
          </cell>
          <cell r="J3671" t="str">
            <v>MARCELO RODRIGUES</v>
          </cell>
          <cell r="K3671" t="str">
            <v>ITAMBÉ</v>
          </cell>
          <cell r="L3671" t="str">
            <v>MAURICIO</v>
          </cell>
          <cell r="M3671" t="str">
            <v>MARCELO</v>
          </cell>
        </row>
        <row r="3672">
          <cell r="B3672">
            <v>5166804</v>
          </cell>
          <cell r="C3672" t="str">
            <v>SKINABON ALIMENTOS LTDA</v>
          </cell>
          <cell r="D3672" t="str">
            <v>4001</v>
          </cell>
          <cell r="E3672" t="str">
            <v>0455</v>
          </cell>
          <cell r="F3672" t="str">
            <v>C1</v>
          </cell>
          <cell r="G3672" t="str">
            <v>RS</v>
          </cell>
          <cell r="H3672" t="str">
            <v>INGREDIENTS</v>
          </cell>
          <cell r="I3672" t="str">
            <v>INGREDIENTS</v>
          </cell>
          <cell r="J3672" t="str">
            <v>MARCELO RODRIGUES</v>
          </cell>
          <cell r="K3672" t="str">
            <v>LACTALIS</v>
          </cell>
          <cell r="L3672" t="str">
            <v>MAURICIO</v>
          </cell>
          <cell r="M3672" t="str">
            <v>MARCELO</v>
          </cell>
        </row>
        <row r="3673">
          <cell r="B3673">
            <v>5173494</v>
          </cell>
          <cell r="C3673" t="str">
            <v>STAMPA PET E FOOD LTDA</v>
          </cell>
          <cell r="D3673" t="str">
            <v>7001</v>
          </cell>
          <cell r="E3673" t="str">
            <v>0752</v>
          </cell>
          <cell r="F3673" t="str">
            <v>C5</v>
          </cell>
          <cell r="G3673" t="str">
            <v>PR</v>
          </cell>
          <cell r="H3673" t="str">
            <v>DISTRIBUIÇÃO</v>
          </cell>
          <cell r="I3673" t="str">
            <v>FOOD SERVICE</v>
          </cell>
          <cell r="J3673" t="str">
            <v>ANGELICA BATISTELA</v>
          </cell>
          <cell r="K3673" t="str">
            <v>LACTALIS</v>
          </cell>
          <cell r="L3673" t="str">
            <v>RODRIGO</v>
          </cell>
          <cell r="M3673" t="str">
            <v>ANGELICA BATISTELA</v>
          </cell>
        </row>
        <row r="3674">
          <cell r="B3674">
            <v>5192471</v>
          </cell>
          <cell r="C3674" t="str">
            <v>RAJK RESTAURANTES LTDA</v>
          </cell>
          <cell r="D3674" t="str">
            <v>7001</v>
          </cell>
          <cell r="E3674" t="str">
            <v>0722</v>
          </cell>
          <cell r="F3674" t="str">
            <v>C1</v>
          </cell>
          <cell r="G3674" t="str">
            <v>SP</v>
          </cell>
          <cell r="H3674" t="str">
            <v>QSR</v>
          </cell>
          <cell r="I3674" t="str">
            <v>FOOD SERVICE</v>
          </cell>
          <cell r="J3674" t="str">
            <v>ANA MENIQUETE</v>
          </cell>
          <cell r="K3674" t="str">
            <v>LACTALIS</v>
          </cell>
          <cell r="L3674" t="str">
            <v>PEDRO</v>
          </cell>
          <cell r="M3674" t="str">
            <v>ANA MENIQUETE</v>
          </cell>
        </row>
        <row r="3675">
          <cell r="B3675">
            <v>5192473</v>
          </cell>
          <cell r="C3675" t="str">
            <v>LIRAL RESTAURANTES LTDA</v>
          </cell>
          <cell r="D3675" t="str">
            <v>7001</v>
          </cell>
          <cell r="E3675" t="str">
            <v>0722</v>
          </cell>
          <cell r="F3675" t="str">
            <v>C1</v>
          </cell>
          <cell r="G3675" t="str">
            <v>SP</v>
          </cell>
          <cell r="H3675" t="str">
            <v>QSR</v>
          </cell>
          <cell r="I3675" t="str">
            <v>FOOD SERVICE</v>
          </cell>
          <cell r="J3675" t="str">
            <v>ANA MENIQUETE</v>
          </cell>
          <cell r="K3675" t="str">
            <v>LACTALIS</v>
          </cell>
          <cell r="L3675" t="str">
            <v>PEDRO</v>
          </cell>
          <cell r="M3675" t="str">
            <v>ANA MENIQUETE</v>
          </cell>
        </row>
        <row r="3676">
          <cell r="B3676">
            <v>5263977</v>
          </cell>
          <cell r="C3676" t="str">
            <v>SIGTELY RESTAURANTE E FORNECIME</v>
          </cell>
          <cell r="D3676" t="str">
            <v>7001</v>
          </cell>
          <cell r="E3676" t="str">
            <v>0749</v>
          </cell>
          <cell r="F3676" t="str">
            <v>C5</v>
          </cell>
          <cell r="G3676" t="str">
            <v>SP</v>
          </cell>
          <cell r="H3676" t="str">
            <v>DISTRIBUIÇÃO</v>
          </cell>
          <cell r="I3676" t="str">
            <v>FOOD SERVICE</v>
          </cell>
          <cell r="J3676" t="str">
            <v>FLAC 6</v>
          </cell>
          <cell r="K3676" t="str">
            <v>LACTALIS</v>
          </cell>
          <cell r="L3676" t="str">
            <v>RODRIGO</v>
          </cell>
          <cell r="M3676" t="str">
            <v>RAQUEL BARBOSA</v>
          </cell>
        </row>
        <row r="3677">
          <cell r="B3677">
            <v>5366377</v>
          </cell>
          <cell r="C3677" t="str">
            <v>SAO BENTO PADARIA LTDA</v>
          </cell>
          <cell r="D3677" t="str">
            <v>6001</v>
          </cell>
          <cell r="E3677" t="str">
            <v>6125</v>
          </cell>
          <cell r="F3677" t="str">
            <v>C1</v>
          </cell>
          <cell r="G3677" t="str">
            <v>SP</v>
          </cell>
          <cell r="H3677" t="str">
            <v>DISTRIBUIÇÃO</v>
          </cell>
          <cell r="I3677" t="str">
            <v>FOOD SERVICE</v>
          </cell>
          <cell r="J3677" t="str">
            <v>SP ITB FS FLAC REP.E COMERCIO</v>
          </cell>
          <cell r="K3677" t="str">
            <v>ITAMBÉ</v>
          </cell>
          <cell r="L3677" t="str">
            <v>RODRIGO</v>
          </cell>
          <cell r="M3677" t="str">
            <v>RAQUEL BARBOSA</v>
          </cell>
        </row>
        <row r="3678">
          <cell r="B3678">
            <v>5185627</v>
          </cell>
          <cell r="C3678" t="str">
            <v>BOLOS DA DINDA EIRELI</v>
          </cell>
          <cell r="D3678" t="str">
            <v>6001</v>
          </cell>
          <cell r="E3678" t="str">
            <v>6028</v>
          </cell>
          <cell r="F3678" t="str">
            <v>C1</v>
          </cell>
          <cell r="G3678" t="str">
            <v>SP</v>
          </cell>
          <cell r="H3678" t="str">
            <v>INGREDIENTS</v>
          </cell>
          <cell r="I3678" t="str">
            <v>INGREDIENTS</v>
          </cell>
          <cell r="J3678" t="str">
            <v>HENRIQUE FERREIRA</v>
          </cell>
          <cell r="K3678" t="str">
            <v>ITAMBÉ</v>
          </cell>
          <cell r="L3678" t="str">
            <v>MAURICIO</v>
          </cell>
          <cell r="M3678" t="str">
            <v>JOEL</v>
          </cell>
        </row>
        <row r="3679">
          <cell r="B3679">
            <v>5361414</v>
          </cell>
          <cell r="C3679" t="str">
            <v>BONADIO FOODS LTDA</v>
          </cell>
          <cell r="D3679" t="str">
            <v>7001</v>
          </cell>
          <cell r="E3679" t="str">
            <v>0749</v>
          </cell>
          <cell r="F3679" t="str">
            <v>C5</v>
          </cell>
          <cell r="G3679" t="str">
            <v>SP</v>
          </cell>
          <cell r="H3679" t="str">
            <v>DISTRIBUIÇÃO</v>
          </cell>
          <cell r="I3679" t="str">
            <v>FOOD SERVICE</v>
          </cell>
          <cell r="J3679" t="str">
            <v>FLAC 3</v>
          </cell>
          <cell r="K3679" t="str">
            <v>LACTALIS</v>
          </cell>
          <cell r="L3679" t="str">
            <v>RODRIGO</v>
          </cell>
          <cell r="M3679" t="str">
            <v>RAQUEL BARBOSA</v>
          </cell>
        </row>
        <row r="3680">
          <cell r="B3680">
            <v>5235841</v>
          </cell>
          <cell r="C3680" t="str">
            <v>EMEC EMPREENDIMENTOS MEDICO CIRURGI</v>
          </cell>
          <cell r="D3680" t="str">
            <v>6001</v>
          </cell>
          <cell r="E3680" t="str">
            <v>6127</v>
          </cell>
          <cell r="F3680" t="str">
            <v>C1</v>
          </cell>
          <cell r="G3680" t="str">
            <v>BA</v>
          </cell>
          <cell r="H3680" t="str">
            <v>DISTRIBUIÇÃO</v>
          </cell>
          <cell r="I3680" t="str">
            <v>FOOD SERVICE</v>
          </cell>
          <cell r="J3680" t="str">
            <v>CLAUDIO JORGE/LUIZ</v>
          </cell>
          <cell r="K3680" t="str">
            <v>ITAMBÉ</v>
          </cell>
          <cell r="L3680" t="str">
            <v>RODRIGO</v>
          </cell>
          <cell r="M3680" t="str">
            <v>MARIA LOURDES</v>
          </cell>
        </row>
        <row r="3681">
          <cell r="B3681">
            <v>5278512</v>
          </cell>
          <cell r="C3681" t="str">
            <v>MARCIA S CATERING LTDA</v>
          </cell>
          <cell r="D3681" t="str">
            <v>7001</v>
          </cell>
          <cell r="E3681" t="str">
            <v>0749</v>
          </cell>
          <cell r="F3681" t="str">
            <v>C5</v>
          </cell>
          <cell r="G3681" t="str">
            <v>SP</v>
          </cell>
          <cell r="H3681" t="str">
            <v>DISTRIBUIÇÃO</v>
          </cell>
          <cell r="I3681" t="str">
            <v>FOOD SERVICE</v>
          </cell>
          <cell r="J3681" t="str">
            <v>FLAC 10</v>
          </cell>
          <cell r="K3681" t="str">
            <v>LACTALIS</v>
          </cell>
          <cell r="L3681" t="str">
            <v>RODRIGO</v>
          </cell>
          <cell r="M3681" t="str">
            <v>RAQUEL BARBOSA</v>
          </cell>
        </row>
        <row r="3682">
          <cell r="B3682">
            <v>5313121</v>
          </cell>
          <cell r="C3682" t="str">
            <v>RAVELY SERVICOS ADMINISTRATIVOS</v>
          </cell>
          <cell r="D3682" t="str">
            <v>7001</v>
          </cell>
          <cell r="E3682" t="str">
            <v>0749</v>
          </cell>
          <cell r="F3682" t="str">
            <v>C5</v>
          </cell>
          <cell r="G3682" t="str">
            <v>SP</v>
          </cell>
          <cell r="H3682" t="str">
            <v>DISTRIBUIÇÃO</v>
          </cell>
          <cell r="I3682" t="str">
            <v>FOOD SERVICE</v>
          </cell>
          <cell r="J3682" t="str">
            <v>FLAC 4</v>
          </cell>
          <cell r="K3682" t="str">
            <v>LACTALIS</v>
          </cell>
          <cell r="L3682" t="str">
            <v>RODRIGO</v>
          </cell>
          <cell r="M3682" t="str">
            <v>RAQUEL BARBOSA</v>
          </cell>
        </row>
        <row r="3683">
          <cell r="B3683">
            <v>5263268</v>
          </cell>
          <cell r="C3683" t="str">
            <v>GELATO D AMORE VAR E DEL LTDA</v>
          </cell>
          <cell r="D3683" t="str">
            <v>7001</v>
          </cell>
          <cell r="E3683" t="str">
            <v>0749</v>
          </cell>
          <cell r="F3683" t="str">
            <v>C5</v>
          </cell>
          <cell r="G3683" t="str">
            <v>SP</v>
          </cell>
          <cell r="H3683" t="str">
            <v>DISTRIBUIÇÃO</v>
          </cell>
          <cell r="I3683" t="str">
            <v>FOOD SERVICE</v>
          </cell>
          <cell r="J3683" t="str">
            <v>FLAC 6</v>
          </cell>
          <cell r="K3683" t="str">
            <v>LACTALIS</v>
          </cell>
          <cell r="L3683" t="str">
            <v>RODRIGO</v>
          </cell>
          <cell r="M3683" t="str">
            <v>RAQUEL BARBOSA</v>
          </cell>
        </row>
        <row r="3684">
          <cell r="B3684">
            <v>5314057</v>
          </cell>
          <cell r="C3684" t="str">
            <v>VILAC BRAZIL LTDA</v>
          </cell>
          <cell r="D3684" t="str">
            <v>4001</v>
          </cell>
          <cell r="E3684" t="str">
            <v>0423</v>
          </cell>
          <cell r="F3684" t="str">
            <v>C5</v>
          </cell>
          <cell r="G3684" t="str">
            <v>ES</v>
          </cell>
          <cell r="H3684" t="str">
            <v>INGREDIENTS</v>
          </cell>
          <cell r="I3684" t="str">
            <v>INGREDIENTS</v>
          </cell>
          <cell r="J3684" t="str">
            <v>DLUM</v>
          </cell>
          <cell r="K3684" t="str">
            <v>LACTALIS</v>
          </cell>
          <cell r="L3684" t="str">
            <v>MAURICIO</v>
          </cell>
          <cell r="M3684" t="str">
            <v>JOEL</v>
          </cell>
        </row>
        <row r="3685">
          <cell r="B3685">
            <v>5173494</v>
          </cell>
          <cell r="C3685" t="str">
            <v>STAMPA PET E FOOD LTDA</v>
          </cell>
          <cell r="D3685" t="str">
            <v>7001</v>
          </cell>
          <cell r="E3685" t="str">
            <v>0755</v>
          </cell>
          <cell r="F3685" t="str">
            <v>C1</v>
          </cell>
          <cell r="G3685" t="str">
            <v>PR</v>
          </cell>
          <cell r="H3685" t="str">
            <v>DISTRIBUIÇÃO</v>
          </cell>
          <cell r="I3685" t="str">
            <v>FOOD SERVICE</v>
          </cell>
          <cell r="J3685" t="str">
            <v>ANGELICA BATISTELA</v>
          </cell>
          <cell r="K3685" t="str">
            <v>LACTALIS</v>
          </cell>
          <cell r="L3685" t="str">
            <v>RODRIGO</v>
          </cell>
          <cell r="M3685" t="str">
            <v>ANGELICA BATISTELA</v>
          </cell>
        </row>
        <row r="3686">
          <cell r="B3686">
            <v>5336487</v>
          </cell>
          <cell r="C3686" t="str">
            <v>EMPORIO SAO JOSE INDAIATUBA LTD</v>
          </cell>
          <cell r="D3686" t="str">
            <v>7001</v>
          </cell>
          <cell r="E3686" t="str">
            <v>0749</v>
          </cell>
          <cell r="F3686" t="str">
            <v>C5</v>
          </cell>
          <cell r="G3686" t="str">
            <v>SP</v>
          </cell>
          <cell r="H3686" t="str">
            <v>DISTRIBUIÇÃO</v>
          </cell>
          <cell r="I3686" t="str">
            <v>FOOD SERVICE</v>
          </cell>
          <cell r="J3686" t="str">
            <v>FLAC 7</v>
          </cell>
          <cell r="K3686" t="str">
            <v>LACTALIS</v>
          </cell>
          <cell r="L3686" t="str">
            <v>RODRIGO</v>
          </cell>
          <cell r="M3686" t="str">
            <v>RAQUEL BARBOSA</v>
          </cell>
        </row>
        <row r="3687">
          <cell r="B3687">
            <v>5363396</v>
          </cell>
          <cell r="C3687" t="str">
            <v>C F LIMA</v>
          </cell>
          <cell r="D3687" t="str">
            <v>6001</v>
          </cell>
          <cell r="E3687" t="str">
            <v>6169</v>
          </cell>
          <cell r="F3687" t="str">
            <v>C1</v>
          </cell>
          <cell r="G3687" t="str">
            <v>ES</v>
          </cell>
          <cell r="H3687" t="str">
            <v>DISTRIBUIÇÃO</v>
          </cell>
          <cell r="I3687" t="str">
            <v>FOOD SERVICE</v>
          </cell>
          <cell r="J3687" t="str">
            <v>MARCELO DUARTE</v>
          </cell>
          <cell r="K3687" t="str">
            <v>ITAMBÉ</v>
          </cell>
          <cell r="L3687" t="str">
            <v>RODRIGO</v>
          </cell>
          <cell r="M3687" t="str">
            <v>JESSICA</v>
          </cell>
        </row>
        <row r="3688">
          <cell r="B3688">
            <v>5370267</v>
          </cell>
          <cell r="C3688" t="str">
            <v>HMF REPRESENTACAO DE ALIMENTOS</v>
          </cell>
          <cell r="D3688" t="str">
            <v>7001</v>
          </cell>
          <cell r="E3688" t="str">
            <v>0722</v>
          </cell>
          <cell r="F3688" t="str">
            <v>C1</v>
          </cell>
          <cell r="G3688" t="str">
            <v>SP</v>
          </cell>
          <cell r="H3688" t="str">
            <v>DISTRIBUIÇÃO</v>
          </cell>
          <cell r="I3688" t="str">
            <v>FOOD SERVICE</v>
          </cell>
          <cell r="J3688" t="str">
            <v>RAQUEL BARBOSA</v>
          </cell>
          <cell r="K3688" t="str">
            <v>LACTALIS</v>
          </cell>
          <cell r="L3688" t="str">
            <v>RODRIGO</v>
          </cell>
          <cell r="M3688" t="str">
            <v>RAQUEL BARBOSA</v>
          </cell>
        </row>
        <row r="3689">
          <cell r="B3689">
            <v>5167822</v>
          </cell>
          <cell r="C3689" t="str">
            <v>JUMBO ALIMENTOS LTDA</v>
          </cell>
          <cell r="D3689" t="str">
            <v>4001</v>
          </cell>
          <cell r="E3689" t="str">
            <v>0455</v>
          </cell>
          <cell r="F3689" t="str">
            <v>C1</v>
          </cell>
          <cell r="G3689" t="str">
            <v>PR</v>
          </cell>
          <cell r="H3689" t="str">
            <v>INGREDIENTS</v>
          </cell>
          <cell r="I3689" t="str">
            <v>INGREDIENTS</v>
          </cell>
          <cell r="J3689" t="str">
            <v>MARCELO RODRIGUES</v>
          </cell>
          <cell r="K3689" t="str">
            <v>LACTALIS</v>
          </cell>
          <cell r="L3689" t="str">
            <v>MAURICIO</v>
          </cell>
          <cell r="M3689" t="str">
            <v>MARCELO</v>
          </cell>
        </row>
        <row r="3690">
          <cell r="B3690">
            <v>5179194</v>
          </cell>
          <cell r="C3690" t="str">
            <v>G M MUZINI ME</v>
          </cell>
          <cell r="D3690" t="str">
            <v>6001</v>
          </cell>
          <cell r="E3690" t="str">
            <v>6028</v>
          </cell>
          <cell r="F3690" t="str">
            <v>C1</v>
          </cell>
          <cell r="G3690" t="str">
            <v>ES</v>
          </cell>
          <cell r="H3690" t="str">
            <v>INGREDIENTS</v>
          </cell>
          <cell r="I3690" t="str">
            <v>INGREDIENTS</v>
          </cell>
          <cell r="J3690" t="str">
            <v>ES ITB FS RADTKE REPRES</v>
          </cell>
          <cell r="K3690" t="str">
            <v>ITAMBÉ</v>
          </cell>
          <cell r="L3690" t="str">
            <v>MAURICIO</v>
          </cell>
          <cell r="M3690" t="str">
            <v>JOEL</v>
          </cell>
        </row>
        <row r="3691">
          <cell r="B3691">
            <v>5229103</v>
          </cell>
          <cell r="C3691" t="str">
            <v>COOPERATIVA AGRO PECUARIA VALE</v>
          </cell>
          <cell r="D3691" t="str">
            <v>4001</v>
          </cell>
          <cell r="E3691" t="str">
            <v>0423</v>
          </cell>
          <cell r="F3691" t="str">
            <v>C5</v>
          </cell>
          <cell r="G3691" t="str">
            <v>MG</v>
          </cell>
          <cell r="H3691" t="str">
            <v>INGREDIENTS</v>
          </cell>
          <cell r="I3691" t="str">
            <v>INGREDIENTS</v>
          </cell>
          <cell r="J3691" t="str">
            <v>DLUM</v>
          </cell>
          <cell r="K3691" t="str">
            <v>LACTALIS</v>
          </cell>
          <cell r="L3691" t="str">
            <v>MAURICIO</v>
          </cell>
          <cell r="M3691" t="str">
            <v>JOEL</v>
          </cell>
        </row>
        <row r="3692">
          <cell r="B3692">
            <v>5369774</v>
          </cell>
          <cell r="C3692" t="str">
            <v>ZAMP SA</v>
          </cell>
          <cell r="D3692" t="str">
            <v>7001</v>
          </cell>
          <cell r="E3692" t="str">
            <v>0722</v>
          </cell>
          <cell r="F3692" t="str">
            <v>C1</v>
          </cell>
          <cell r="G3692" t="str">
            <v>SP</v>
          </cell>
          <cell r="H3692" t="str">
            <v>QSR</v>
          </cell>
          <cell r="I3692" t="str">
            <v>FOOD SERVICE</v>
          </cell>
          <cell r="J3692" t="str">
            <v>ANA MENIQUETE</v>
          </cell>
          <cell r="K3692" t="str">
            <v>LACTALIS</v>
          </cell>
          <cell r="L3692" t="str">
            <v>PEDRO</v>
          </cell>
          <cell r="M3692" t="str">
            <v>ANA MENIQUETE</v>
          </cell>
        </row>
        <row r="3693">
          <cell r="B3693">
            <v>5088425</v>
          </cell>
          <cell r="C3693" t="str">
            <v>VILLA GRANO PAES E CONVENIENCIAS LTDA</v>
          </cell>
          <cell r="D3693" t="str">
            <v>7001</v>
          </cell>
          <cell r="E3693" t="str">
            <v>0749</v>
          </cell>
          <cell r="F3693" t="str">
            <v>C5</v>
          </cell>
          <cell r="G3693" t="str">
            <v>SP</v>
          </cell>
          <cell r="H3693" t="str">
            <v>DISTRIBUIÇÃO</v>
          </cell>
          <cell r="I3693" t="str">
            <v>FOOD SERVICE</v>
          </cell>
          <cell r="J3693" t="str">
            <v>FLAC 4</v>
          </cell>
          <cell r="K3693" t="str">
            <v>LACTALIS</v>
          </cell>
          <cell r="L3693" t="str">
            <v>RODRIGO</v>
          </cell>
          <cell r="M3693" t="str">
            <v>RAQUEL BARBOSA</v>
          </cell>
        </row>
        <row r="3694">
          <cell r="B3694">
            <v>5110910</v>
          </cell>
          <cell r="C3694" t="str">
            <v>SORVETERIA RIBEIRA LTDA</v>
          </cell>
          <cell r="D3694" t="str">
            <v>6001</v>
          </cell>
          <cell r="E3694" t="str">
            <v>6009</v>
          </cell>
          <cell r="F3694" t="str">
            <v>C1</v>
          </cell>
          <cell r="G3694" t="str">
            <v>BA</v>
          </cell>
          <cell r="H3694" t="str">
            <v>DISTRIBUIÇÃO</v>
          </cell>
          <cell r="I3694" t="str">
            <v>FOOD SERVICE</v>
          </cell>
          <cell r="J3694" t="str">
            <v>CLAUDIO JORGE/LUIZ</v>
          </cell>
          <cell r="K3694" t="str">
            <v>ITAMBÉ</v>
          </cell>
          <cell r="L3694" t="str">
            <v>RODRIGO</v>
          </cell>
          <cell r="M3694" t="str">
            <v>MARIA LOURDES</v>
          </cell>
        </row>
        <row r="3695">
          <cell r="B3695">
            <v>5225860</v>
          </cell>
          <cell r="C3695" t="str">
            <v>DISPAN DISTRIBUIDORA DE ALIMENT</v>
          </cell>
          <cell r="D3695" t="str">
            <v>7001</v>
          </cell>
          <cell r="E3695" t="str">
            <v>0585</v>
          </cell>
          <cell r="F3695" t="str">
            <v>C5</v>
          </cell>
          <cell r="G3695" t="str">
            <v>PE</v>
          </cell>
          <cell r="H3695" t="str">
            <v>DISTRIBUIÇÃO</v>
          </cell>
          <cell r="I3695" t="str">
            <v>FOOD SERVICE</v>
          </cell>
          <cell r="J3695" t="str">
            <v>CLAUDIO JORGE</v>
          </cell>
          <cell r="K3695" t="str">
            <v>LACTALIS</v>
          </cell>
          <cell r="L3695" t="str">
            <v>RODRIGO</v>
          </cell>
          <cell r="M3695" t="str">
            <v>MARIA LOURDES</v>
          </cell>
        </row>
        <row r="3696">
          <cell r="B3696">
            <v>5309443</v>
          </cell>
          <cell r="C3696" t="str">
            <v>TRIBO GOURMET VILA MARIANA REST</v>
          </cell>
          <cell r="D3696" t="str">
            <v>7001</v>
          </cell>
          <cell r="E3696" t="str">
            <v>0749</v>
          </cell>
          <cell r="F3696" t="str">
            <v>C5</v>
          </cell>
          <cell r="G3696" t="str">
            <v>SP</v>
          </cell>
          <cell r="H3696" t="str">
            <v>DISTRIBUIÇÃO</v>
          </cell>
          <cell r="I3696" t="str">
            <v>FOOD SERVICE</v>
          </cell>
          <cell r="J3696" t="str">
            <v>FLAC 3</v>
          </cell>
          <cell r="K3696" t="str">
            <v>LACTALIS</v>
          </cell>
          <cell r="L3696" t="str">
            <v>RODRIGO</v>
          </cell>
          <cell r="M3696" t="str">
            <v>RAQUEL BARBOSA</v>
          </cell>
        </row>
        <row r="3697">
          <cell r="B3697">
            <v>5029624</v>
          </cell>
          <cell r="C3697" t="str">
            <v>LANCHONETE MELLO E FILHOS LTDA</v>
          </cell>
          <cell r="D3697" t="str">
            <v>6001</v>
          </cell>
          <cell r="E3697" t="str">
            <v>6125</v>
          </cell>
          <cell r="F3697" t="str">
            <v>C1</v>
          </cell>
          <cell r="G3697" t="str">
            <v>SP</v>
          </cell>
          <cell r="H3697" t="str">
            <v>DISTRIBUIÇÃO</v>
          </cell>
          <cell r="I3697" t="str">
            <v>FOOD SERVICE</v>
          </cell>
          <cell r="J3697" t="str">
            <v>SP ITB FS FLAC REP.E COMERCIO</v>
          </cell>
          <cell r="K3697" t="str">
            <v>ITAMBÉ</v>
          </cell>
          <cell r="L3697" t="str">
            <v>RODRIGO</v>
          </cell>
          <cell r="M3697" t="str">
            <v>RAQUEL BARBOSA</v>
          </cell>
        </row>
        <row r="3698">
          <cell r="B3698">
            <v>5357324</v>
          </cell>
          <cell r="C3698" t="str">
            <v>OESA COMERCIO E REPRESENTACOES</v>
          </cell>
          <cell r="D3698" t="str">
            <v>3001</v>
          </cell>
          <cell r="E3698" t="str">
            <v>0123</v>
          </cell>
          <cell r="F3698" t="str">
            <v>C1</v>
          </cell>
          <cell r="G3698" t="str">
            <v>MT</v>
          </cell>
          <cell r="H3698" t="str">
            <v>DISTRIBUIÇÃO</v>
          </cell>
          <cell r="I3698" t="str">
            <v>FOOD SERVICE</v>
          </cell>
          <cell r="J3698" t="str">
            <v>CLAUDIO JORGE</v>
          </cell>
          <cell r="K3698" t="str">
            <v>ITAMBÉ</v>
          </cell>
          <cell r="L3698" t="str">
            <v>RODRIGO</v>
          </cell>
          <cell r="M3698" t="str">
            <v>MARCO AURELIO</v>
          </cell>
        </row>
        <row r="3699">
          <cell r="B3699">
            <v>5162285</v>
          </cell>
          <cell r="C3699" t="str">
            <v>KOB COMERCIAL LTDA</v>
          </cell>
          <cell r="D3699" t="str">
            <v>7001</v>
          </cell>
          <cell r="E3699" t="str">
            <v>0755</v>
          </cell>
          <cell r="F3699" t="str">
            <v>C1</v>
          </cell>
          <cell r="G3699" t="str">
            <v>PR</v>
          </cell>
          <cell r="H3699" t="str">
            <v>DISTRIBUIÇÃO</v>
          </cell>
          <cell r="I3699" t="str">
            <v>FOOD SERVICE</v>
          </cell>
          <cell r="J3699" t="str">
            <v>ANGELICA BATISTELA</v>
          </cell>
          <cell r="K3699" t="str">
            <v>LACTALIS</v>
          </cell>
          <cell r="L3699" t="str">
            <v>RODRIGO</v>
          </cell>
          <cell r="M3699" t="str">
            <v>ANGELICA BATISTELA</v>
          </cell>
        </row>
        <row r="3700">
          <cell r="B3700">
            <v>5342745</v>
          </cell>
          <cell r="C3700" t="str">
            <v>INICIAL COM E DISTRIB DE ALIM L</v>
          </cell>
          <cell r="D3700" t="str">
            <v>3001</v>
          </cell>
          <cell r="E3700" t="str">
            <v>0028</v>
          </cell>
          <cell r="F3700" t="str">
            <v>C1</v>
          </cell>
          <cell r="G3700" t="str">
            <v>MS</v>
          </cell>
          <cell r="H3700" t="str">
            <v>INGREDIENTS</v>
          </cell>
          <cell r="I3700" t="str">
            <v>INGREDIENTS</v>
          </cell>
          <cell r="J3700" t="str">
            <v>MS ITB FS MAWIL REPRESENTAÇÕES</v>
          </cell>
          <cell r="K3700" t="str">
            <v>ITAMBÉ</v>
          </cell>
          <cell r="L3700" t="str">
            <v>MAURICIO</v>
          </cell>
          <cell r="M3700" t="str">
            <v>MARCELO</v>
          </cell>
        </row>
        <row r="3701">
          <cell r="B3701">
            <v>5348324</v>
          </cell>
          <cell r="C3701" t="str">
            <v>DIST NORD DE CONFEIT E PANIF LTDA</v>
          </cell>
          <cell r="D3701" t="str">
            <v>3001</v>
          </cell>
          <cell r="E3701" t="str">
            <v>0127</v>
          </cell>
          <cell r="F3701" t="str">
            <v>C1</v>
          </cell>
          <cell r="G3701" t="str">
            <v>BA</v>
          </cell>
          <cell r="H3701" t="str">
            <v>DISTRIBUIÇÃO</v>
          </cell>
          <cell r="I3701" t="str">
            <v>FOOD SERVICE</v>
          </cell>
          <cell r="J3701" t="str">
            <v>CLAUDIO JORGE</v>
          </cell>
          <cell r="K3701" t="str">
            <v>ITAMBÉ</v>
          </cell>
          <cell r="L3701" t="str">
            <v>RODRIGO</v>
          </cell>
          <cell r="M3701" t="str">
            <v>MARIA LOURDES</v>
          </cell>
        </row>
        <row r="3702">
          <cell r="B3702">
            <v>5368302</v>
          </cell>
          <cell r="C3702" t="str">
            <v>SCALON E CERCHI LTDA</v>
          </cell>
          <cell r="D3702" t="str">
            <v>4001</v>
          </cell>
          <cell r="E3702" t="str">
            <v>0458</v>
          </cell>
          <cell r="F3702" t="str">
            <v>C1</v>
          </cell>
          <cell r="G3702" t="str">
            <v>MG</v>
          </cell>
          <cell r="H3702" t="str">
            <v>INGREDIENTS</v>
          </cell>
          <cell r="I3702" t="str">
            <v>INGREDIENTS</v>
          </cell>
          <cell r="J3702" t="str">
            <v>JOEL ELEOTÉRIO</v>
          </cell>
          <cell r="K3702" t="str">
            <v>ITAMBÉ</v>
          </cell>
          <cell r="L3702" t="str">
            <v>MAURICIO</v>
          </cell>
          <cell r="M3702" t="str">
            <v>JOEL</v>
          </cell>
        </row>
        <row r="3703">
          <cell r="B3703">
            <v>5370992</v>
          </cell>
          <cell r="C3703" t="str">
            <v>PUSH MATCHA SA</v>
          </cell>
          <cell r="D3703" t="str">
            <v>6001</v>
          </cell>
          <cell r="E3703" t="str">
            <v>6028</v>
          </cell>
          <cell r="F3703" t="str">
            <v>C1</v>
          </cell>
          <cell r="G3703" t="str">
            <v>SP</v>
          </cell>
          <cell r="H3703" t="str">
            <v>INGREDIENTS</v>
          </cell>
          <cell r="I3703" t="str">
            <v>INGREDIENTS</v>
          </cell>
          <cell r="J3703" t="str">
            <v>TATIANA NITTA</v>
          </cell>
          <cell r="K3703" t="str">
            <v>ITAMBÉ</v>
          </cell>
          <cell r="L3703" t="str">
            <v>MAURICIO</v>
          </cell>
          <cell r="M3703" t="str">
            <v>TATIANA NITTA</v>
          </cell>
        </row>
        <row r="3704">
          <cell r="B3704">
            <v>5155823</v>
          </cell>
          <cell r="C3704" t="str">
            <v>UNIQUE SER D HOT E ALIM CO E PART L</v>
          </cell>
          <cell r="D3704" t="str">
            <v>7001</v>
          </cell>
          <cell r="E3704" t="str">
            <v>0749</v>
          </cell>
          <cell r="F3704" t="str">
            <v>C5</v>
          </cell>
          <cell r="G3704" t="str">
            <v>SP</v>
          </cell>
          <cell r="H3704" t="str">
            <v>DISTRIBUIÇÃO</v>
          </cell>
          <cell r="I3704" t="str">
            <v>FOOD SERVICE</v>
          </cell>
          <cell r="J3704" t="str">
            <v>FLAC 2</v>
          </cell>
          <cell r="K3704" t="str">
            <v>LACTALIS</v>
          </cell>
          <cell r="L3704" t="str">
            <v>RODRIGO</v>
          </cell>
          <cell r="M3704" t="str">
            <v>RAQUEL BARBOSA</v>
          </cell>
        </row>
        <row r="3705">
          <cell r="B3705">
            <v>5232460</v>
          </cell>
          <cell r="C3705" t="str">
            <v>GELATO LUCE COMERCIO LTDA</v>
          </cell>
          <cell r="D3705" t="str">
            <v>3001</v>
          </cell>
          <cell r="E3705" t="str">
            <v>0127</v>
          </cell>
          <cell r="F3705" t="str">
            <v>C1</v>
          </cell>
          <cell r="G3705" t="str">
            <v>BA</v>
          </cell>
          <cell r="H3705" t="str">
            <v>DISTRIBUIÇÃO</v>
          </cell>
          <cell r="I3705" t="str">
            <v>FOOD SERVICE</v>
          </cell>
          <cell r="J3705" t="str">
            <v>CLAUDIO JORGE/LUIZ</v>
          </cell>
          <cell r="K3705" t="str">
            <v>ITAMBÉ</v>
          </cell>
          <cell r="L3705" t="str">
            <v>RODRIGO</v>
          </cell>
          <cell r="M3705" t="str">
            <v>MARIA LOURDES</v>
          </cell>
        </row>
        <row r="3706">
          <cell r="B3706">
            <v>5235841</v>
          </cell>
          <cell r="C3706" t="str">
            <v>EMEC EMPREENDIMENTOS MEDICO CIR</v>
          </cell>
          <cell r="D3706" t="str">
            <v>3001</v>
          </cell>
          <cell r="E3706" t="str">
            <v>0127</v>
          </cell>
          <cell r="F3706" t="str">
            <v>C1</v>
          </cell>
          <cell r="G3706" t="str">
            <v>BA</v>
          </cell>
          <cell r="H3706" t="str">
            <v>DISTRIBUIÇÃO</v>
          </cell>
          <cell r="I3706" t="str">
            <v>FOOD SERVICE</v>
          </cell>
          <cell r="J3706" t="str">
            <v>CLAUDIO JORGE/LUIZ</v>
          </cell>
          <cell r="K3706" t="str">
            <v>ITAMBÉ</v>
          </cell>
          <cell r="L3706" t="str">
            <v>RODRIGO</v>
          </cell>
          <cell r="M3706" t="str">
            <v>MARIA LOURDES</v>
          </cell>
        </row>
        <row r="3707">
          <cell r="B3707">
            <v>5167822</v>
          </cell>
          <cell r="C3707" t="str">
            <v>JUMBO ALIMENTOS LTDA</v>
          </cell>
          <cell r="D3707" t="str">
            <v>3001</v>
          </cell>
          <cell r="E3707" t="str">
            <v>0028</v>
          </cell>
          <cell r="F3707" t="str">
            <v>C1</v>
          </cell>
          <cell r="G3707" t="str">
            <v>PR</v>
          </cell>
          <cell r="H3707" t="str">
            <v>INGREDIENTS</v>
          </cell>
          <cell r="I3707" t="str">
            <v>INGREDIENTS</v>
          </cell>
          <cell r="J3707" t="str">
            <v>MARCELO RODRIGUES</v>
          </cell>
          <cell r="K3707" t="str">
            <v>ITAMBÉ</v>
          </cell>
          <cell r="L3707" t="str">
            <v>MAURICIO</v>
          </cell>
          <cell r="M3707" t="str">
            <v>MARCELO</v>
          </cell>
        </row>
        <row r="3708">
          <cell r="B3708">
            <v>5234837</v>
          </cell>
          <cell r="C3708" t="str">
            <v>A FORNADA ITAIM PAES E REFEICOES LT</v>
          </cell>
          <cell r="D3708" t="str">
            <v>7001</v>
          </cell>
          <cell r="E3708" t="str">
            <v>0749</v>
          </cell>
          <cell r="F3708" t="str">
            <v>C5</v>
          </cell>
          <cell r="G3708" t="str">
            <v>SP</v>
          </cell>
          <cell r="H3708" t="str">
            <v>DISTRIBUIÇÃO</v>
          </cell>
          <cell r="I3708" t="str">
            <v>FOOD SERVICE</v>
          </cell>
          <cell r="J3708" t="str">
            <v>FLAC 10</v>
          </cell>
          <cell r="K3708" t="str">
            <v>LACTALIS</v>
          </cell>
          <cell r="L3708" t="str">
            <v>RODRIGO</v>
          </cell>
          <cell r="M3708" t="str">
            <v>RAQUEL BARBOSA</v>
          </cell>
        </row>
        <row r="3709">
          <cell r="B3709">
            <v>5309626</v>
          </cell>
          <cell r="C3709" t="str">
            <v>RSG SABOREIE DOCES E SALGADOS L</v>
          </cell>
          <cell r="D3709" t="str">
            <v>3001</v>
          </cell>
          <cell r="E3709" t="str">
            <v>0127</v>
          </cell>
          <cell r="F3709" t="str">
            <v>C1</v>
          </cell>
          <cell r="G3709" t="str">
            <v>BA</v>
          </cell>
          <cell r="H3709" t="str">
            <v>DISTRIBUIÇÃO</v>
          </cell>
          <cell r="I3709" t="str">
            <v>FOOD SERVICE</v>
          </cell>
          <cell r="J3709" t="str">
            <v>CLAUDIO JORGE/LUIZ</v>
          </cell>
          <cell r="K3709" t="str">
            <v>ITAMBÉ</v>
          </cell>
          <cell r="L3709" t="str">
            <v>RODRIGO</v>
          </cell>
          <cell r="M3709" t="str">
            <v>MARIA LOURDES</v>
          </cell>
        </row>
        <row r="3710">
          <cell r="B3710">
            <v>5371202</v>
          </cell>
          <cell r="C3710" t="str">
            <v>VOYA NUTRITION LTDA</v>
          </cell>
          <cell r="D3710" t="str">
            <v>6001</v>
          </cell>
          <cell r="E3710" t="str">
            <v>6028</v>
          </cell>
          <cell r="F3710" t="str">
            <v>C1</v>
          </cell>
          <cell r="G3710" t="str">
            <v>SP</v>
          </cell>
          <cell r="H3710" t="str">
            <v>INGREDIENTS</v>
          </cell>
          <cell r="I3710" t="str">
            <v>INGREDIENTS</v>
          </cell>
          <cell r="J3710" t="str">
            <v>TATIANA NITTA</v>
          </cell>
          <cell r="K3710" t="str">
            <v>ITAMBÉ</v>
          </cell>
          <cell r="L3710" t="str">
            <v>MAURICIO</v>
          </cell>
          <cell r="M3710" t="str">
            <v>TATIANA NITTA</v>
          </cell>
        </row>
        <row r="3711">
          <cell r="B3711">
            <v>5052329</v>
          </cell>
          <cell r="C3711" t="str">
            <v>MECANO PACK EMBALAGENS SA</v>
          </cell>
          <cell r="D3711" t="str">
            <v>6001</v>
          </cell>
          <cell r="E3711" t="str">
            <v>6028</v>
          </cell>
          <cell r="F3711" t="str">
            <v>C1</v>
          </cell>
          <cell r="G3711" t="str">
            <v>SP</v>
          </cell>
          <cell r="H3711" t="str">
            <v>INGREDIENTS</v>
          </cell>
          <cell r="I3711" t="str">
            <v>INGREDIENTS</v>
          </cell>
          <cell r="J3711" t="str">
            <v>TATIANA NITTA</v>
          </cell>
          <cell r="K3711" t="str">
            <v>ITAMBÉ</v>
          </cell>
          <cell r="L3711" t="str">
            <v>MAURICIO</v>
          </cell>
          <cell r="M3711" t="str">
            <v>TATIANA NITTA</v>
          </cell>
        </row>
        <row r="3712">
          <cell r="B3712">
            <v>5190347</v>
          </cell>
          <cell r="C3712" t="str">
            <v>HIPER PAN DISTDE PROD DE PAN LT</v>
          </cell>
          <cell r="D3712" t="str">
            <v>3001</v>
          </cell>
          <cell r="E3712" t="str">
            <v>0127</v>
          </cell>
          <cell r="F3712" t="str">
            <v>C1</v>
          </cell>
          <cell r="G3712" t="str">
            <v>BA</v>
          </cell>
          <cell r="H3712" t="str">
            <v>DISTRIBUIÇÃO</v>
          </cell>
          <cell r="I3712" t="str">
            <v>FOOD SERVICE</v>
          </cell>
          <cell r="J3712" t="str">
            <v>CLAUDIO JORGE/LUIZ</v>
          </cell>
          <cell r="K3712" t="str">
            <v>ITAMBÉ</v>
          </cell>
          <cell r="L3712" t="str">
            <v>RODRIGO</v>
          </cell>
          <cell r="M3712" t="str">
            <v>MARIA LOURDES</v>
          </cell>
        </row>
        <row r="3713">
          <cell r="B3713">
            <v>5327327</v>
          </cell>
          <cell r="C3713" t="str">
            <v>BNZ BEBIDAS LTDA</v>
          </cell>
          <cell r="D3713" t="str">
            <v>6001</v>
          </cell>
          <cell r="E3713" t="str">
            <v>6028</v>
          </cell>
          <cell r="F3713" t="str">
            <v>C1</v>
          </cell>
          <cell r="G3713" t="str">
            <v>SP</v>
          </cell>
          <cell r="H3713" t="str">
            <v>INGREDIENTS</v>
          </cell>
          <cell r="I3713" t="str">
            <v>INGREDIENTS</v>
          </cell>
          <cell r="J3713" t="str">
            <v>TATIANA NITTA</v>
          </cell>
          <cell r="K3713" t="str">
            <v>ITAMBÉ</v>
          </cell>
          <cell r="L3713" t="str">
            <v>MAURICIO</v>
          </cell>
          <cell r="M3713" t="str">
            <v>TATIANA NITTA</v>
          </cell>
        </row>
        <row r="3714">
          <cell r="B3714">
            <v>5371102</v>
          </cell>
          <cell r="C3714" t="str">
            <v>TRANSWERLE TRANSPORTES LTDA</v>
          </cell>
          <cell r="D3714" t="str">
            <v>4001</v>
          </cell>
          <cell r="E3714" t="str">
            <v>0546</v>
          </cell>
          <cell r="F3714" t="str">
            <v>C1</v>
          </cell>
          <cell r="G3714" t="str">
            <v>RS</v>
          </cell>
          <cell r="H3714" t="str">
            <v>INGREDIENTS</v>
          </cell>
          <cell r="I3714" t="str">
            <v>INGREDIENTS</v>
          </cell>
          <cell r="J3714" t="str">
            <v>JOEL ELEOTÉRIO</v>
          </cell>
          <cell r="K3714" t="str">
            <v>LACTALIS</v>
          </cell>
          <cell r="L3714" t="str">
            <v>MAURICIO</v>
          </cell>
          <cell r="M3714" t="str">
            <v>JOEL</v>
          </cell>
        </row>
        <row r="3715">
          <cell r="B3715">
            <v>5162170</v>
          </cell>
          <cell r="C3715" t="str">
            <v>DAN VIGOR IND E COM DE LATICINI</v>
          </cell>
          <cell r="D3715" t="str">
            <v>4001</v>
          </cell>
          <cell r="E3715" t="str">
            <v>0445</v>
          </cell>
          <cell r="F3715" t="str">
            <v>C7</v>
          </cell>
          <cell r="G3715" t="str">
            <v>SP</v>
          </cell>
          <cell r="H3715" t="str">
            <v>INGREDIENTS</v>
          </cell>
          <cell r="I3715" t="str">
            <v>INGREDIENTS</v>
          </cell>
          <cell r="J3715" t="str">
            <v>JOEL ELEOTÉRIO</v>
          </cell>
          <cell r="K3715" t="str">
            <v>LACTALIS</v>
          </cell>
          <cell r="L3715" t="str">
            <v>MAURICIO</v>
          </cell>
          <cell r="M3715" t="str">
            <v>JOEL</v>
          </cell>
        </row>
        <row r="3716">
          <cell r="B3716">
            <v>5193784</v>
          </cell>
          <cell r="C3716" t="str">
            <v>CAROLE CREMA CHOCOLATES LTDA</v>
          </cell>
          <cell r="D3716" t="str">
            <v>6001</v>
          </cell>
          <cell r="E3716" t="str">
            <v>6125</v>
          </cell>
          <cell r="F3716" t="str">
            <v>C1</v>
          </cell>
          <cell r="G3716" t="str">
            <v>SP</v>
          </cell>
          <cell r="H3716" t="str">
            <v>DISTRIBUIÇÃO</v>
          </cell>
          <cell r="I3716" t="str">
            <v>FOOD SERVICE</v>
          </cell>
          <cell r="J3716" t="str">
            <v>SP ITB FS FLAC REP.E COMERCIO</v>
          </cell>
          <cell r="K3716" t="str">
            <v>ITAMBÉ</v>
          </cell>
          <cell r="L3716" t="str">
            <v>RODRIGO</v>
          </cell>
          <cell r="M3716" t="str">
            <v>RAQUEL BARBOSA</v>
          </cell>
        </row>
        <row r="3717">
          <cell r="B3717">
            <v>5198702</v>
          </cell>
          <cell r="C3717" t="str">
            <v>GELATERIA PERINO IND COM G LTDA</v>
          </cell>
          <cell r="D3717" t="str">
            <v>7001</v>
          </cell>
          <cell r="E3717" t="str">
            <v>0749</v>
          </cell>
          <cell r="F3717" t="str">
            <v>C5</v>
          </cell>
          <cell r="G3717" t="str">
            <v>SP</v>
          </cell>
          <cell r="H3717" t="str">
            <v>DISTRIBUIÇÃO</v>
          </cell>
          <cell r="I3717" t="str">
            <v>FOOD SERVICE</v>
          </cell>
          <cell r="J3717" t="str">
            <v>FLAC 7</v>
          </cell>
          <cell r="K3717" t="str">
            <v>LACTALIS</v>
          </cell>
          <cell r="L3717" t="str">
            <v>RODRIGO</v>
          </cell>
          <cell r="M3717" t="str">
            <v>RAQUEL BARBOSA</v>
          </cell>
        </row>
        <row r="3718">
          <cell r="B3718">
            <v>5332489</v>
          </cell>
          <cell r="C3718" t="str">
            <v>VIAMIX DISTRIBUICAO LTDA</v>
          </cell>
          <cell r="D3718" t="str">
            <v>3001</v>
          </cell>
          <cell r="E3718" t="str">
            <v>0127</v>
          </cell>
          <cell r="F3718" t="str">
            <v>C1</v>
          </cell>
          <cell r="G3718" t="str">
            <v>BA</v>
          </cell>
          <cell r="H3718" t="str">
            <v>DISTRIBUIÇÃO</v>
          </cell>
          <cell r="I3718" t="str">
            <v>FOOD SERVICE</v>
          </cell>
          <cell r="J3718" t="str">
            <v>CLAUDIO JORGE/LUIZ</v>
          </cell>
          <cell r="K3718" t="str">
            <v>ITAMBÉ</v>
          </cell>
          <cell r="L3718" t="str">
            <v>RODRIGO</v>
          </cell>
          <cell r="M3718" t="str">
            <v>MARIA LOURDES</v>
          </cell>
        </row>
        <row r="3719">
          <cell r="B3719">
            <v>5371254</v>
          </cell>
          <cell r="C3719" t="str">
            <v>COM PLENA DISTRIB DE ALIM LTDA</v>
          </cell>
          <cell r="D3719" t="str">
            <v>4001</v>
          </cell>
          <cell r="E3719" t="str">
            <v>0437</v>
          </cell>
          <cell r="F3719" t="str">
            <v>C1</v>
          </cell>
          <cell r="G3719" t="str">
            <v>RJ</v>
          </cell>
          <cell r="H3719" t="str">
            <v>INGREDIENTS</v>
          </cell>
          <cell r="I3719" t="str">
            <v>INGREDIENTS</v>
          </cell>
          <cell r="J3719" t="str">
            <v>JOEL ELEOTÉRIO</v>
          </cell>
          <cell r="K3719" t="str">
            <v>LACTALIS</v>
          </cell>
          <cell r="L3719" t="str">
            <v>MAURICIO</v>
          </cell>
          <cell r="M3719" t="str">
            <v>JOEL</v>
          </cell>
        </row>
        <row r="3720">
          <cell r="B3720">
            <v>5170033</v>
          </cell>
          <cell r="C3720" t="str">
            <v>SORVETERIA SANTIAGO LTDA</v>
          </cell>
          <cell r="D3720" t="str">
            <v>3001</v>
          </cell>
          <cell r="E3720" t="str">
            <v>0028</v>
          </cell>
          <cell r="F3720" t="str">
            <v>C1</v>
          </cell>
          <cell r="G3720" t="str">
            <v>BA</v>
          </cell>
          <cell r="H3720" t="str">
            <v>INGREDIENTS</v>
          </cell>
          <cell r="I3720" t="str">
            <v>INGREDIENTS</v>
          </cell>
          <cell r="J3720" t="str">
            <v>BA ITB FS ML FLAVORS</v>
          </cell>
          <cell r="K3720" t="str">
            <v>ITAMBÉ</v>
          </cell>
          <cell r="L3720" t="str">
            <v>MAURICIO</v>
          </cell>
          <cell r="M3720" t="str">
            <v>JOEL</v>
          </cell>
        </row>
        <row r="3721">
          <cell r="B3721">
            <v>5211582</v>
          </cell>
          <cell r="C3721" t="str">
            <v>DAN VIGOR IND E COM LATICINIOS LTDA</v>
          </cell>
          <cell r="D3721" t="str">
            <v>4001</v>
          </cell>
          <cell r="E3721" t="str">
            <v>0445</v>
          </cell>
          <cell r="F3721" t="str">
            <v>C7</v>
          </cell>
          <cell r="G3721" t="str">
            <v>SP</v>
          </cell>
          <cell r="H3721" t="str">
            <v>INGREDIENTS</v>
          </cell>
          <cell r="I3721" t="str">
            <v>INGREDIENTS</v>
          </cell>
          <cell r="J3721" t="str">
            <v>JOEL ELEOTÉRIO</v>
          </cell>
          <cell r="K3721" t="str">
            <v>LACTALIS</v>
          </cell>
          <cell r="L3721" t="str">
            <v>MAURICIO</v>
          </cell>
          <cell r="M3721" t="str">
            <v>JOEL</v>
          </cell>
        </row>
        <row r="3722">
          <cell r="B3722">
            <v>5371290</v>
          </cell>
          <cell r="C3722" t="str">
            <v>ALESILVA COMERCIO LTDA</v>
          </cell>
          <cell r="D3722" t="str">
            <v>4001</v>
          </cell>
          <cell r="E3722" t="str">
            <v>0437</v>
          </cell>
          <cell r="F3722" t="str">
            <v>C1</v>
          </cell>
          <cell r="G3722" t="str">
            <v>SP</v>
          </cell>
          <cell r="H3722" t="str">
            <v>INGREDIENTS</v>
          </cell>
          <cell r="I3722" t="str">
            <v>INGREDIENTS</v>
          </cell>
          <cell r="J3722" t="str">
            <v>MARCELO RODRIGUES</v>
          </cell>
          <cell r="K3722" t="str">
            <v>LACTALIS</v>
          </cell>
          <cell r="L3722" t="str">
            <v>MAURICIO</v>
          </cell>
          <cell r="M3722" t="str">
            <v>MARCELO</v>
          </cell>
        </row>
        <row r="3723">
          <cell r="B3723">
            <v>5067885</v>
          </cell>
          <cell r="C3723" t="str">
            <v>SOAZA COM PROD ALIMENTICIOS LTDA</v>
          </cell>
          <cell r="D3723" t="str">
            <v>7001</v>
          </cell>
          <cell r="E3723" t="str">
            <v>0722</v>
          </cell>
          <cell r="F3723" t="str">
            <v>C1</v>
          </cell>
          <cell r="G3723" t="str">
            <v>SP</v>
          </cell>
          <cell r="H3723" t="str">
            <v>DISTRIBUIÇÃO</v>
          </cell>
          <cell r="I3723" t="str">
            <v>FOOD SERVICE</v>
          </cell>
          <cell r="J3723" t="str">
            <v>ALEXANDRE BONANI</v>
          </cell>
          <cell r="K3723" t="str">
            <v>LACTALIS</v>
          </cell>
          <cell r="L3723" t="str">
            <v>RODRIGO</v>
          </cell>
          <cell r="M3723" t="str">
            <v>ALEXANDRE BONANI</v>
          </cell>
        </row>
        <row r="3724">
          <cell r="B3724">
            <v>5193733</v>
          </cell>
          <cell r="C3724" t="str">
            <v>ARTIAGA E CARNEIRO LTDA ME</v>
          </cell>
          <cell r="D3724" t="str">
            <v>3001</v>
          </cell>
          <cell r="E3724" t="str">
            <v>0123</v>
          </cell>
          <cell r="F3724" t="str">
            <v>C1</v>
          </cell>
          <cell r="G3724" t="str">
            <v>GO</v>
          </cell>
          <cell r="H3724" t="str">
            <v>DISTRIBUIÇÃO</v>
          </cell>
          <cell r="I3724" t="str">
            <v>FOOD SERVICE</v>
          </cell>
          <cell r="J3724" t="str">
            <v>CLAUDIO JORGE</v>
          </cell>
          <cell r="K3724" t="str">
            <v>ITAMBÉ</v>
          </cell>
          <cell r="L3724" t="str">
            <v>RODRIGO</v>
          </cell>
          <cell r="M3724" t="str">
            <v>MARCO AURELIO</v>
          </cell>
        </row>
        <row r="3725">
          <cell r="B3725">
            <v>5265210</v>
          </cell>
          <cell r="C3725" t="str">
            <v>TRIBO GOURMET RESTAURANTE LTDA ME</v>
          </cell>
          <cell r="D3725" t="str">
            <v>7001</v>
          </cell>
          <cell r="E3725" t="str">
            <v>0749</v>
          </cell>
          <cell r="F3725" t="str">
            <v>C5</v>
          </cell>
          <cell r="G3725" t="str">
            <v>SP</v>
          </cell>
          <cell r="H3725" t="str">
            <v>DISTRIBUIÇÃO</v>
          </cell>
          <cell r="I3725" t="str">
            <v>FOOD SERVICE</v>
          </cell>
          <cell r="J3725" t="str">
            <v>FLAC 3</v>
          </cell>
          <cell r="K3725" t="str">
            <v>LACTALIS</v>
          </cell>
          <cell r="L3725" t="str">
            <v>RODRIGO</v>
          </cell>
          <cell r="M3725" t="str">
            <v>RAQUEL BARBOSA</v>
          </cell>
        </row>
        <row r="3726">
          <cell r="B3726">
            <v>5294983</v>
          </cell>
          <cell r="C3726" t="str">
            <v>PRET MAM RESTAURANTE LTDA</v>
          </cell>
          <cell r="D3726" t="str">
            <v>7001</v>
          </cell>
          <cell r="E3726" t="str">
            <v>0749</v>
          </cell>
          <cell r="F3726" t="str">
            <v>C5</v>
          </cell>
          <cell r="G3726" t="str">
            <v>SP</v>
          </cell>
          <cell r="H3726" t="str">
            <v>DISTRIBUIÇÃO</v>
          </cell>
          <cell r="I3726" t="str">
            <v>FOOD SERVICE</v>
          </cell>
          <cell r="J3726" t="str">
            <v>FLAC 3</v>
          </cell>
          <cell r="K3726" t="str">
            <v>LACTALIS</v>
          </cell>
          <cell r="L3726" t="str">
            <v>RODRIGO</v>
          </cell>
          <cell r="M3726" t="str">
            <v>RAQUEL BARBOSA</v>
          </cell>
        </row>
        <row r="3727">
          <cell r="B3727">
            <v>5353255</v>
          </cell>
          <cell r="C3727" t="str">
            <v>PAULIMAR IND DIST E IMP LTDA</v>
          </cell>
          <cell r="D3727" t="str">
            <v>6001</v>
          </cell>
          <cell r="E3727" t="str">
            <v>6125</v>
          </cell>
          <cell r="F3727" t="str">
            <v>C1</v>
          </cell>
          <cell r="G3727" t="str">
            <v>SP</v>
          </cell>
          <cell r="H3727" t="str">
            <v>DISTRIBUIÇÃO</v>
          </cell>
          <cell r="I3727" t="str">
            <v>FOOD SERVICE</v>
          </cell>
          <cell r="J3727" t="str">
            <v>SP ITB FS FLAC REP.E COMERCIO</v>
          </cell>
          <cell r="K3727" t="str">
            <v>ITAMBÉ</v>
          </cell>
          <cell r="L3727" t="str">
            <v>RODRIGO</v>
          </cell>
          <cell r="M3727" t="str">
            <v>RAQUEL BARBOSA</v>
          </cell>
        </row>
        <row r="3728">
          <cell r="B3728">
            <v>5366377</v>
          </cell>
          <cell r="C3728" t="str">
            <v>SAO BENTO PADARIA LTDA</v>
          </cell>
          <cell r="D3728" t="str">
            <v>7001</v>
          </cell>
          <cell r="E3728" t="str">
            <v>0749</v>
          </cell>
          <cell r="F3728" t="str">
            <v>C5</v>
          </cell>
          <cell r="G3728" t="str">
            <v>SP</v>
          </cell>
          <cell r="H3728" t="str">
            <v>DISTRIBUIÇÃO</v>
          </cell>
          <cell r="I3728" t="str">
            <v>FOOD SERVICE</v>
          </cell>
          <cell r="J3728" t="str">
            <v>FLAC 3</v>
          </cell>
          <cell r="K3728" t="str">
            <v>LACTALIS</v>
          </cell>
          <cell r="L3728" t="str">
            <v>RODRIGO</v>
          </cell>
          <cell r="M3728" t="str">
            <v>RAQUEL BARBOSA</v>
          </cell>
        </row>
        <row r="3729">
          <cell r="B3729">
            <v>5371289</v>
          </cell>
          <cell r="C3729" t="str">
            <v>YGB VAREJO BRASILEIRO LTDA</v>
          </cell>
          <cell r="D3729" t="str">
            <v>7001</v>
          </cell>
          <cell r="E3729" t="str">
            <v>0722</v>
          </cell>
          <cell r="F3729" t="str">
            <v>C1</v>
          </cell>
          <cell r="G3729" t="str">
            <v>SP</v>
          </cell>
          <cell r="H3729" t="str">
            <v>QSR</v>
          </cell>
          <cell r="I3729" t="str">
            <v>FOOD SERVICE</v>
          </cell>
          <cell r="J3729" t="str">
            <v>ANA MENIQUETE</v>
          </cell>
          <cell r="K3729" t="str">
            <v>LACTALIS</v>
          </cell>
          <cell r="L3729" t="str">
            <v>PEDRO</v>
          </cell>
          <cell r="M3729" t="str">
            <v>ANA MENIQUETE</v>
          </cell>
        </row>
        <row r="3730">
          <cell r="B3730">
            <v>5168151</v>
          </cell>
          <cell r="C3730" t="str">
            <v>I S M GOMES DE MATTOS LTDA</v>
          </cell>
          <cell r="D3730" t="str">
            <v>3001</v>
          </cell>
          <cell r="E3730" t="str">
            <v>0075</v>
          </cell>
          <cell r="F3730" t="str">
            <v>C1</v>
          </cell>
          <cell r="G3730" t="str">
            <v>CE</v>
          </cell>
          <cell r="H3730" t="str">
            <v>DISTRIBUIÇÃO</v>
          </cell>
          <cell r="I3730" t="str">
            <v>FOOD SERVICE</v>
          </cell>
          <cell r="J3730" t="str">
            <v>WH FOOD SERVICE CE</v>
          </cell>
          <cell r="K3730" t="str">
            <v>ITAMBÉ</v>
          </cell>
          <cell r="L3730" t="str">
            <v>RODRIGO</v>
          </cell>
          <cell r="M3730" t="str">
            <v>MARIA LOURDES</v>
          </cell>
        </row>
        <row r="3731">
          <cell r="B3731">
            <v>5214280</v>
          </cell>
          <cell r="C3731" t="str">
            <v>AN SABINO EMPREENDIMENTOS HOTE</v>
          </cell>
          <cell r="D3731" t="str">
            <v>7001</v>
          </cell>
          <cell r="E3731" t="str">
            <v>0749</v>
          </cell>
          <cell r="F3731" t="str">
            <v>C5</v>
          </cell>
          <cell r="G3731" t="str">
            <v>SP</v>
          </cell>
          <cell r="H3731" t="str">
            <v>DISTRIBUIÇÃO</v>
          </cell>
          <cell r="I3731" t="str">
            <v>FOOD SERVICE</v>
          </cell>
          <cell r="J3731" t="str">
            <v>FLAC 2</v>
          </cell>
          <cell r="K3731" t="str">
            <v>LACTALIS</v>
          </cell>
          <cell r="L3731" t="str">
            <v>RODRIGO</v>
          </cell>
          <cell r="M3731" t="str">
            <v>RAQUEL BARBOSA</v>
          </cell>
        </row>
        <row r="3732">
          <cell r="B3732">
            <v>5222398</v>
          </cell>
          <cell r="C3732" t="str">
            <v>GOURMET EXPRESS ALIMENTACAO LTD</v>
          </cell>
          <cell r="D3732" t="str">
            <v>6001</v>
          </cell>
          <cell r="E3732" t="str">
            <v>6125</v>
          </cell>
          <cell r="F3732" t="str">
            <v>C1</v>
          </cell>
          <cell r="G3732" t="str">
            <v>SP</v>
          </cell>
          <cell r="H3732" t="str">
            <v>DISTRIBUIÇÃO</v>
          </cell>
          <cell r="I3732" t="str">
            <v>FOOD SERVICE</v>
          </cell>
          <cell r="J3732" t="str">
            <v>SP ITB FS FLAC REP.E COMERCIO</v>
          </cell>
          <cell r="K3732" t="str">
            <v>ITAMBÉ</v>
          </cell>
          <cell r="L3732" t="str">
            <v>RODRIGO</v>
          </cell>
          <cell r="M3732" t="str">
            <v>RAQUEL BARBOSA</v>
          </cell>
        </row>
        <row r="3733">
          <cell r="B3733">
            <v>5230555</v>
          </cell>
          <cell r="C3733" t="str">
            <v>LEAL ROSA IND E COM E REPRES LT</v>
          </cell>
          <cell r="D3733" t="str">
            <v>7001</v>
          </cell>
          <cell r="E3733" t="str">
            <v>0749</v>
          </cell>
          <cell r="F3733" t="str">
            <v>C5</v>
          </cell>
          <cell r="G3733" t="str">
            <v>SP</v>
          </cell>
          <cell r="H3733" t="str">
            <v>DISTRIBUIÇÃO</v>
          </cell>
          <cell r="I3733" t="str">
            <v>FOOD SERVICE</v>
          </cell>
          <cell r="J3733" t="str">
            <v>FLAC 6</v>
          </cell>
          <cell r="K3733" t="str">
            <v>LACTALIS</v>
          </cell>
          <cell r="L3733" t="str">
            <v>RODRIGO</v>
          </cell>
          <cell r="M3733" t="str">
            <v>RAQUEL BARBOSA</v>
          </cell>
        </row>
        <row r="3734">
          <cell r="B3734">
            <v>5328091</v>
          </cell>
          <cell r="C3734" t="str">
            <v>AN LORENZO ITAIM GELATERIA LTD</v>
          </cell>
          <cell r="D3734" t="str">
            <v>7001</v>
          </cell>
          <cell r="E3734" t="str">
            <v>0749</v>
          </cell>
          <cell r="F3734" t="str">
            <v>C5</v>
          </cell>
          <cell r="G3734" t="str">
            <v>SP</v>
          </cell>
          <cell r="H3734" t="str">
            <v>DISTRIBUIÇÃO</v>
          </cell>
          <cell r="I3734" t="str">
            <v>FOOD SERVICE</v>
          </cell>
          <cell r="J3734" t="str">
            <v>FLAC 3</v>
          </cell>
          <cell r="K3734" t="str">
            <v>LACTALIS</v>
          </cell>
          <cell r="L3734" t="str">
            <v>RODRIGO</v>
          </cell>
          <cell r="M3734" t="str">
            <v>RAQUEL BARBOSA</v>
          </cell>
        </row>
        <row r="3735">
          <cell r="B3735">
            <v>5331746</v>
          </cell>
          <cell r="C3735" t="str">
            <v>EKOP GELATERIA LTDA</v>
          </cell>
          <cell r="D3735" t="str">
            <v>7001</v>
          </cell>
          <cell r="E3735" t="str">
            <v>0749</v>
          </cell>
          <cell r="F3735" t="str">
            <v>C5</v>
          </cell>
          <cell r="G3735" t="str">
            <v>SP</v>
          </cell>
          <cell r="H3735" t="str">
            <v>DISTRIBUIÇÃO</v>
          </cell>
          <cell r="I3735" t="str">
            <v>FOOD SERVICE</v>
          </cell>
          <cell r="J3735" t="str">
            <v>FLAC 2</v>
          </cell>
          <cell r="K3735" t="str">
            <v>LACTALIS</v>
          </cell>
          <cell r="L3735" t="str">
            <v>RODRIGO</v>
          </cell>
          <cell r="M3735" t="str">
            <v>RAQUEL BARBOSA</v>
          </cell>
        </row>
        <row r="3736">
          <cell r="B3736">
            <v>5370386</v>
          </cell>
          <cell r="C3736" t="str">
            <v>MATHEUS M ARAUJO 12710898667</v>
          </cell>
          <cell r="D3736" t="str">
            <v>3001</v>
          </cell>
          <cell r="E3736" t="str">
            <v>0028</v>
          </cell>
          <cell r="F3736" t="str">
            <v>C1</v>
          </cell>
          <cell r="G3736" t="str">
            <v>MG</v>
          </cell>
          <cell r="H3736" t="str">
            <v>INGREDIENTS</v>
          </cell>
          <cell r="I3736" t="str">
            <v>INGREDIENTS</v>
          </cell>
          <cell r="J3736" t="str">
            <v>HENRIQUE FERREIRA</v>
          </cell>
          <cell r="K3736" t="str">
            <v>ITAMBÉ</v>
          </cell>
          <cell r="L3736" t="str">
            <v>MAURICIO</v>
          </cell>
          <cell r="M3736" t="str">
            <v>JOEL</v>
          </cell>
        </row>
        <row r="3737">
          <cell r="B3737">
            <v>5371107</v>
          </cell>
          <cell r="C3737" t="str">
            <v>MIXUE BR LTDA</v>
          </cell>
          <cell r="D3737" t="str">
            <v>6001</v>
          </cell>
          <cell r="E3737" t="str">
            <v>6125</v>
          </cell>
          <cell r="F3737" t="str">
            <v>C1</v>
          </cell>
          <cell r="G3737" t="str">
            <v>SP</v>
          </cell>
          <cell r="H3737" t="str">
            <v>QSR</v>
          </cell>
          <cell r="I3737" t="str">
            <v>FOOD SERVICE</v>
          </cell>
          <cell r="J3737" t="str">
            <v>ANA MENIQUETE</v>
          </cell>
          <cell r="K3737" t="str">
            <v>ITAMBÉ</v>
          </cell>
          <cell r="L3737" t="str">
            <v>PEDRO</v>
          </cell>
          <cell r="M3737" t="str">
            <v>ANA MENIQUETE</v>
          </cell>
        </row>
        <row r="3738">
          <cell r="B3738">
            <v>5371414</v>
          </cell>
          <cell r="C3738" t="str">
            <v>FC DISTRIBUIDORA DE CHOCOLATES</v>
          </cell>
          <cell r="D3738" t="str">
            <v>3001</v>
          </cell>
          <cell r="E3738" t="str">
            <v>0126</v>
          </cell>
          <cell r="F3738" t="str">
            <v>C1</v>
          </cell>
          <cell r="G3738" t="str">
            <v>PR</v>
          </cell>
          <cell r="H3738" t="str">
            <v>DISTRIBUIÇÃO</v>
          </cell>
          <cell r="I3738" t="str">
            <v>FOOD SERVICE</v>
          </cell>
          <cell r="J3738" t="str">
            <v>ANGELICA BATISTELA</v>
          </cell>
          <cell r="K3738" t="str">
            <v>ITAMBÉ</v>
          </cell>
          <cell r="L3738" t="str">
            <v>RODRIGO</v>
          </cell>
          <cell r="M3738" t="str">
            <v>ANGELICA BATISTELA</v>
          </cell>
        </row>
        <row r="3739">
          <cell r="B3739">
            <v>5371598</v>
          </cell>
          <cell r="C3739" t="str">
            <v>GELO MIX SORVETES LTD</v>
          </cell>
          <cell r="D3739" t="str">
            <v>3001</v>
          </cell>
          <cell r="E3739" t="str">
            <v>0028</v>
          </cell>
          <cell r="F3739" t="str">
            <v>C1</v>
          </cell>
          <cell r="G3739" t="str">
            <v>MG</v>
          </cell>
          <cell r="H3739" t="str">
            <v>INGREDIENTS</v>
          </cell>
          <cell r="I3739" t="str">
            <v>INGREDIENTS</v>
          </cell>
          <cell r="J3739" t="str">
            <v>HENRIQUE FERREIRA</v>
          </cell>
          <cell r="K3739" t="str">
            <v>ITAMBÉ</v>
          </cell>
          <cell r="L3739" t="str">
            <v>MAURICIO</v>
          </cell>
          <cell r="M3739" t="str">
            <v>JOEL</v>
          </cell>
        </row>
        <row r="3740">
          <cell r="B3740">
            <v>5182903</v>
          </cell>
          <cell r="C3740" t="str">
            <v>CERVINO E MARTINEZ LTDA</v>
          </cell>
          <cell r="D3740" t="str">
            <v>3001</v>
          </cell>
          <cell r="E3740" t="str">
            <v>0127</v>
          </cell>
          <cell r="F3740" t="str">
            <v>C1</v>
          </cell>
          <cell r="G3740" t="str">
            <v>BA</v>
          </cell>
          <cell r="H3740" t="str">
            <v>DISTRIBUIÇÃO</v>
          </cell>
          <cell r="I3740" t="str">
            <v>FOOD SERVICE</v>
          </cell>
          <cell r="J3740" t="str">
            <v>CLAUDIO JORGE/LUIZ</v>
          </cell>
          <cell r="K3740" t="str">
            <v>ITAMBÉ</v>
          </cell>
          <cell r="L3740" t="str">
            <v>RODRIGO</v>
          </cell>
          <cell r="M3740" t="str">
            <v>MARIA LOURDES</v>
          </cell>
        </row>
        <row r="3741">
          <cell r="B3741">
            <v>5216119</v>
          </cell>
          <cell r="C3741" t="str">
            <v>GLOBAL QUALITY FOODS LTDA</v>
          </cell>
          <cell r="D3741" t="str">
            <v>6001</v>
          </cell>
          <cell r="E3741" t="str">
            <v>6028</v>
          </cell>
          <cell r="F3741" t="str">
            <v>C1</v>
          </cell>
          <cell r="G3741" t="str">
            <v>SP</v>
          </cell>
          <cell r="H3741" t="str">
            <v>INGREDIENTS</v>
          </cell>
          <cell r="I3741" t="str">
            <v>INGREDIENTS</v>
          </cell>
          <cell r="J3741" t="str">
            <v>HENRIQUE FERREIRA</v>
          </cell>
          <cell r="K3741" t="str">
            <v>ITAMBÉ</v>
          </cell>
          <cell r="L3741" t="str">
            <v>MAURICIO</v>
          </cell>
          <cell r="M3741" t="str">
            <v>JOEL</v>
          </cell>
        </row>
        <row r="3742">
          <cell r="B3742">
            <v>5336831</v>
          </cell>
          <cell r="C3742" t="str">
            <v>COMERCIO VAREJISTA DE SORVETES</v>
          </cell>
          <cell r="D3742" t="str">
            <v>7001</v>
          </cell>
          <cell r="E3742" t="str">
            <v>0722</v>
          </cell>
          <cell r="F3742" t="str">
            <v>C1</v>
          </cell>
          <cell r="G3742" t="str">
            <v>SP</v>
          </cell>
          <cell r="H3742" t="str">
            <v>QSR</v>
          </cell>
          <cell r="I3742" t="str">
            <v>FOOD SERVICE</v>
          </cell>
          <cell r="J3742" t="str">
            <v>ANA MENIQUETE</v>
          </cell>
          <cell r="K3742" t="str">
            <v>LACTALIS</v>
          </cell>
          <cell r="L3742" t="str">
            <v>PEDRO</v>
          </cell>
          <cell r="M3742" t="str">
            <v>ANA MENIQUETE</v>
          </cell>
        </row>
        <row r="3743">
          <cell r="B3743">
            <v>5023870</v>
          </cell>
          <cell r="C3743" t="str">
            <v>GOLD INDUSTRIA E COMERCIO LTDA</v>
          </cell>
          <cell r="D3743" t="str">
            <v>7001</v>
          </cell>
          <cell r="E3743" t="str">
            <v>0755</v>
          </cell>
          <cell r="F3743" t="str">
            <v>C1</v>
          </cell>
          <cell r="G3743" t="str">
            <v>PR</v>
          </cell>
          <cell r="H3743" t="str">
            <v>DISTRIBUIÇÃO</v>
          </cell>
          <cell r="I3743" t="str">
            <v>FOOD SERVICE</v>
          </cell>
          <cell r="J3743" t="str">
            <v>ANGELICA BATISTELA</v>
          </cell>
          <cell r="K3743" t="str">
            <v>LACTALIS</v>
          </cell>
          <cell r="L3743" t="str">
            <v>RODRIGO</v>
          </cell>
          <cell r="M3743" t="str">
            <v>ANGELICA BATISTELA</v>
          </cell>
        </row>
        <row r="3744">
          <cell r="B3744">
            <v>5371677</v>
          </cell>
          <cell r="C3744" t="str">
            <v>ALVILAC BRASIL LTDA</v>
          </cell>
          <cell r="D3744" t="str">
            <v>6001</v>
          </cell>
          <cell r="E3744" t="str">
            <v>6028</v>
          </cell>
          <cell r="F3744" t="str">
            <v>C1</v>
          </cell>
          <cell r="G3744" t="str">
            <v>SP</v>
          </cell>
          <cell r="H3744" t="str">
            <v>INGREDIENTS</v>
          </cell>
          <cell r="I3744" t="str">
            <v>INGREDIENTS</v>
          </cell>
          <cell r="J3744" t="str">
            <v>DLUM</v>
          </cell>
          <cell r="K3744" t="str">
            <v>ITAMBÉ</v>
          </cell>
          <cell r="L3744" t="str">
            <v>MAURICIO</v>
          </cell>
          <cell r="M3744" t="str">
            <v>JOEL</v>
          </cell>
        </row>
        <row r="3745">
          <cell r="B3745">
            <v>5333873</v>
          </cell>
          <cell r="C3745" t="str">
            <v>FJN ACAIS E SORVETES LTDA</v>
          </cell>
          <cell r="D3745" t="str">
            <v>6001</v>
          </cell>
          <cell r="E3745" t="str">
            <v>6028</v>
          </cell>
          <cell r="F3745" t="str">
            <v>C1</v>
          </cell>
          <cell r="G3745" t="str">
            <v>SP</v>
          </cell>
          <cell r="H3745" t="str">
            <v>INGREDIENTS</v>
          </cell>
          <cell r="I3745" t="str">
            <v>INGREDIENTS</v>
          </cell>
          <cell r="J3745" t="str">
            <v>TATIANA NITTA</v>
          </cell>
          <cell r="K3745" t="str">
            <v>ITAMBÉ</v>
          </cell>
          <cell r="L3745" t="str">
            <v>MAURICIO</v>
          </cell>
          <cell r="M3745" t="str">
            <v>TATIANA NITTA</v>
          </cell>
        </row>
        <row r="3746">
          <cell r="B3746">
            <v>5341010</v>
          </cell>
          <cell r="C3746" t="str">
            <v>TROPICALMEX IND E COM INTERN DE</v>
          </cell>
          <cell r="D3746" t="str">
            <v>3001</v>
          </cell>
          <cell r="E3746" t="str">
            <v>0028</v>
          </cell>
          <cell r="F3746" t="str">
            <v>C1</v>
          </cell>
          <cell r="G3746" t="str">
            <v>MG</v>
          </cell>
          <cell r="H3746" t="str">
            <v>INGREDIENTS</v>
          </cell>
          <cell r="I3746" t="str">
            <v>INGREDIENTS</v>
          </cell>
          <cell r="J3746" t="str">
            <v>HENRIQUE FERREIRA</v>
          </cell>
          <cell r="K3746" t="str">
            <v>ITAMBÉ</v>
          </cell>
          <cell r="L3746" t="str">
            <v>MAURICIO</v>
          </cell>
          <cell r="M3746" t="str">
            <v>JOEL</v>
          </cell>
        </row>
        <row r="3747">
          <cell r="B3747">
            <v>5371467</v>
          </cell>
          <cell r="C3747" t="str">
            <v>49148019 VICTOR NEVES DE SOUZA</v>
          </cell>
          <cell r="D3747" t="str">
            <v>7001</v>
          </cell>
          <cell r="E3747" t="str">
            <v>0749</v>
          </cell>
          <cell r="F3747" t="str">
            <v>C5</v>
          </cell>
          <cell r="G3747" t="str">
            <v>SP</v>
          </cell>
          <cell r="H3747" t="str">
            <v>DISTRIBUIÇÃO</v>
          </cell>
          <cell r="I3747" t="str">
            <v>FOOD SERVICE</v>
          </cell>
          <cell r="J3747" t="str">
            <v>FLAC 2</v>
          </cell>
          <cell r="K3747" t="str">
            <v>LACTALIS</v>
          </cell>
          <cell r="L3747" t="str">
            <v>RODRIGO</v>
          </cell>
          <cell r="M3747" t="str">
            <v>RAQUEL BARBOSA</v>
          </cell>
        </row>
        <row r="3748">
          <cell r="B3748">
            <v>5371694</v>
          </cell>
          <cell r="C3748" t="str">
            <v>NILMA FERREIRA DE MOURA SANTOS</v>
          </cell>
          <cell r="D3748" t="str">
            <v>7001</v>
          </cell>
          <cell r="E3748" t="str">
            <v>0749</v>
          </cell>
          <cell r="F3748" t="str">
            <v>C5</v>
          </cell>
          <cell r="G3748" t="str">
            <v>SP</v>
          </cell>
          <cell r="H3748" t="str">
            <v>DISTRIBUIÇÃO</v>
          </cell>
          <cell r="I3748" t="str">
            <v>FOOD SERVICE</v>
          </cell>
          <cell r="J3748" t="str">
            <v>FLAC 6</v>
          </cell>
          <cell r="K3748" t="str">
            <v>LACTALIS</v>
          </cell>
          <cell r="L3748" t="str">
            <v>RODRIGO</v>
          </cell>
          <cell r="M3748" t="str">
            <v>RAQUEL BARBOSA</v>
          </cell>
        </row>
        <row r="3749">
          <cell r="B3749">
            <v>5108416</v>
          </cell>
          <cell r="C3749" t="str">
            <v>FORNERIA LUCE RIO COM DE PROD A LTD</v>
          </cell>
          <cell r="D3749" t="str">
            <v>6001</v>
          </cell>
          <cell r="E3749" t="str">
            <v>6169</v>
          </cell>
          <cell r="F3749" t="str">
            <v>C1</v>
          </cell>
          <cell r="G3749" t="str">
            <v>RJ</v>
          </cell>
          <cell r="H3749" t="str">
            <v>DISTRIBUIÇÃO</v>
          </cell>
          <cell r="I3749" t="str">
            <v>FOOD SERVICE</v>
          </cell>
          <cell r="J3749" t="str">
            <v>JULIANA CORDEIRO</v>
          </cell>
          <cell r="K3749" t="str">
            <v>ITAMBÉ</v>
          </cell>
          <cell r="L3749" t="str">
            <v>RODRIGO</v>
          </cell>
          <cell r="M3749" t="str">
            <v>JESSICA</v>
          </cell>
        </row>
        <row r="3750">
          <cell r="B3750">
            <v>5111905</v>
          </cell>
          <cell r="C3750" t="str">
            <v>BIMBETTO ALIMENTOS LTDA</v>
          </cell>
          <cell r="D3750" t="str">
            <v>4001</v>
          </cell>
          <cell r="E3750" t="str">
            <v>0455</v>
          </cell>
          <cell r="F3750" t="str">
            <v>C1</v>
          </cell>
          <cell r="G3750" t="str">
            <v>PR</v>
          </cell>
          <cell r="H3750" t="str">
            <v>DISTRIBUIÇÃO</v>
          </cell>
          <cell r="I3750" t="str">
            <v>FOOD SERVICE</v>
          </cell>
          <cell r="J3750" t="str">
            <v>ANGELICA BATISTELA</v>
          </cell>
          <cell r="K3750" t="str">
            <v>LACTALIS</v>
          </cell>
          <cell r="L3750" t="str">
            <v>RODRIGO</v>
          </cell>
          <cell r="M3750" t="str">
            <v>ANGELICA BATISTELA</v>
          </cell>
        </row>
        <row r="3751">
          <cell r="B3751">
            <v>5166163</v>
          </cell>
          <cell r="C3751" t="str">
            <v>DISMAPRI COMERCIO IMP E EXP LTD</v>
          </cell>
          <cell r="D3751" t="str">
            <v>4001</v>
          </cell>
          <cell r="E3751" t="str">
            <v>0437</v>
          </cell>
          <cell r="F3751" t="str">
            <v>C1</v>
          </cell>
          <cell r="G3751" t="str">
            <v>SP</v>
          </cell>
          <cell r="H3751" t="str">
            <v>INGREDIENTS</v>
          </cell>
          <cell r="I3751" t="str">
            <v>INGREDIENTS</v>
          </cell>
          <cell r="J3751" t="str">
            <v>JOEL ELEOTÉRIO</v>
          </cell>
          <cell r="K3751" t="str">
            <v>LACTALIS</v>
          </cell>
          <cell r="L3751" t="str">
            <v>MAURICIO</v>
          </cell>
          <cell r="M3751" t="str">
            <v>JOEL</v>
          </cell>
        </row>
        <row r="3752">
          <cell r="B3752">
            <v>5360865</v>
          </cell>
          <cell r="C3752" t="str">
            <v>GRANZOTO FRIOS E LATICINIOS LTD</v>
          </cell>
          <cell r="D3752" t="str">
            <v>7001</v>
          </cell>
          <cell r="E3752" t="str">
            <v>0722</v>
          </cell>
          <cell r="F3752" t="str">
            <v>C1</v>
          </cell>
          <cell r="G3752" t="str">
            <v>SP</v>
          </cell>
          <cell r="H3752" t="str">
            <v>DISTRIBUIÇÃO</v>
          </cell>
          <cell r="I3752" t="str">
            <v>FOOD SERVICE</v>
          </cell>
          <cell r="J3752" t="str">
            <v>ALEXANDRE BONANI</v>
          </cell>
          <cell r="K3752" t="str">
            <v>LACTALIS</v>
          </cell>
          <cell r="L3752" t="str">
            <v>RODRIGO</v>
          </cell>
          <cell r="M3752" t="str">
            <v>ALEXANDRE BONANI</v>
          </cell>
        </row>
        <row r="3753">
          <cell r="B3753">
            <v>5165046</v>
          </cell>
          <cell r="C3753" t="str">
            <v>SLOOP IND COM DE ALIM LTDA</v>
          </cell>
          <cell r="D3753" t="str">
            <v>4001</v>
          </cell>
          <cell r="E3753" t="str">
            <v>0437</v>
          </cell>
          <cell r="F3753" t="str">
            <v>C1</v>
          </cell>
          <cell r="G3753" t="str">
            <v>RJ</v>
          </cell>
          <cell r="H3753" t="str">
            <v>INGREDIENTS</v>
          </cell>
          <cell r="I3753" t="str">
            <v>INGREDIENTS</v>
          </cell>
          <cell r="J3753" t="str">
            <v>TATIANA NITTA</v>
          </cell>
          <cell r="K3753" t="str">
            <v>LACTALIS</v>
          </cell>
          <cell r="L3753" t="str">
            <v>MAURICIO</v>
          </cell>
          <cell r="M3753" t="str">
            <v>TATIANA NITTA</v>
          </cell>
        </row>
        <row r="3754">
          <cell r="B3754">
            <v>5261997</v>
          </cell>
          <cell r="C3754" t="str">
            <v>Q NUTRE SERVICOS DE ALIMENTACAO LTD</v>
          </cell>
          <cell r="D3754" t="str">
            <v>7001</v>
          </cell>
          <cell r="E3754" t="str">
            <v>0749</v>
          </cell>
          <cell r="F3754" t="str">
            <v>C5</v>
          </cell>
          <cell r="G3754" t="str">
            <v>SP</v>
          </cell>
          <cell r="H3754" t="str">
            <v>DISTRIBUIÇÃO</v>
          </cell>
          <cell r="I3754" t="str">
            <v>FOOD SERVICE</v>
          </cell>
          <cell r="J3754" t="str">
            <v>FLAC 6</v>
          </cell>
          <cell r="K3754" t="str">
            <v>LACTALIS</v>
          </cell>
          <cell r="L3754" t="str">
            <v>RODRIGO</v>
          </cell>
          <cell r="M3754" t="str">
            <v>RAQUEL BARBOSA</v>
          </cell>
        </row>
        <row r="3755">
          <cell r="B3755">
            <v>5358195</v>
          </cell>
          <cell r="C3755" t="str">
            <v>CAMILA DE LIMA MENDES PIRES 4025105</v>
          </cell>
          <cell r="D3755" t="str">
            <v>7001</v>
          </cell>
          <cell r="E3755" t="str">
            <v>0739</v>
          </cell>
          <cell r="F3755" t="str">
            <v>C1</v>
          </cell>
          <cell r="G3755" t="str">
            <v>SP</v>
          </cell>
          <cell r="H3755" t="str">
            <v>DISTRIBUIÇÃO</v>
          </cell>
          <cell r="I3755" t="str">
            <v>FOOD SERVICE</v>
          </cell>
          <cell r="J3755" t="str">
            <v>FLAC 4</v>
          </cell>
          <cell r="K3755" t="str">
            <v>LACTALIS</v>
          </cell>
          <cell r="L3755" t="str">
            <v>RODRIGO</v>
          </cell>
          <cell r="M3755" t="str">
            <v>RAQUEL BARBOSA</v>
          </cell>
        </row>
        <row r="3756">
          <cell r="B3756">
            <v>5312284</v>
          </cell>
          <cell r="C3756" t="str">
            <v>BELLA COMERCIO DE EMBALAGENS LTDA</v>
          </cell>
          <cell r="D3756" t="str">
            <v>7001</v>
          </cell>
          <cell r="E3756" t="str">
            <v>0749</v>
          </cell>
          <cell r="F3756" t="str">
            <v>C5</v>
          </cell>
          <cell r="G3756" t="str">
            <v>ES</v>
          </cell>
          <cell r="H3756" t="str">
            <v>DISTRIBUIÇÃO</v>
          </cell>
          <cell r="I3756" t="str">
            <v>FOOD SERVICE</v>
          </cell>
          <cell r="J3756" t="str">
            <v>MARCELO DUARTE</v>
          </cell>
          <cell r="K3756" t="str">
            <v>LACTALIS</v>
          </cell>
          <cell r="L3756" t="str">
            <v>RODRIGO</v>
          </cell>
          <cell r="M3756" t="str">
            <v>JESSICA</v>
          </cell>
        </row>
        <row r="3757">
          <cell r="B3757">
            <v>5369726</v>
          </cell>
          <cell r="C3757" t="str">
            <v>MAGNIFICA PAES LTDA</v>
          </cell>
          <cell r="D3757" t="str">
            <v>7001</v>
          </cell>
          <cell r="E3757" t="str">
            <v>0749</v>
          </cell>
          <cell r="F3757" t="str">
            <v>C5</v>
          </cell>
          <cell r="G3757" t="str">
            <v>SP</v>
          </cell>
          <cell r="H3757" t="str">
            <v>DISTRIBUIÇÃO</v>
          </cell>
          <cell r="I3757" t="str">
            <v>FOOD SERVICE</v>
          </cell>
          <cell r="J3757" t="str">
            <v>FLAC 2</v>
          </cell>
          <cell r="K3757" t="str">
            <v>LACTALIS</v>
          </cell>
          <cell r="L3757" t="str">
            <v>RODRIGO</v>
          </cell>
          <cell r="M3757" t="str">
            <v>RAQUEL BARBOSA</v>
          </cell>
        </row>
        <row r="3758">
          <cell r="B3758">
            <v>5370695</v>
          </cell>
          <cell r="C3758" t="str">
            <v>ATRIO HOTEIS SA</v>
          </cell>
          <cell r="D3758" t="str">
            <v>7001</v>
          </cell>
          <cell r="E3758" t="str">
            <v>0749</v>
          </cell>
          <cell r="F3758" t="str">
            <v>C5</v>
          </cell>
          <cell r="G3758" t="str">
            <v>SP</v>
          </cell>
          <cell r="H3758" t="str">
            <v>DISTRIBUIÇÃO</v>
          </cell>
          <cell r="I3758" t="str">
            <v>FOOD SERVICE</v>
          </cell>
          <cell r="J3758" t="str">
            <v>FLAC 5</v>
          </cell>
          <cell r="K3758" t="str">
            <v>LACTALIS</v>
          </cell>
          <cell r="L3758" t="str">
            <v>RODRIGO</v>
          </cell>
          <cell r="M3758" t="str">
            <v>RAQUEL BARBOSA</v>
          </cell>
        </row>
        <row r="3759">
          <cell r="B3759">
            <v>5182318</v>
          </cell>
          <cell r="C3759" t="str">
            <v>MARQUISE EMPREENDIMENTOS SA</v>
          </cell>
          <cell r="D3759" t="str">
            <v>3001</v>
          </cell>
          <cell r="E3759" t="str">
            <v>0127</v>
          </cell>
          <cell r="F3759" t="str">
            <v>C1</v>
          </cell>
          <cell r="G3759" t="str">
            <v>CE</v>
          </cell>
          <cell r="H3759" t="str">
            <v>DISTRIBUIÇÃO</v>
          </cell>
          <cell r="I3759" t="str">
            <v>FOOD SERVICE</v>
          </cell>
          <cell r="J3759" t="str">
            <v>WH FOOD SERVICE CE</v>
          </cell>
          <cell r="K3759" t="str">
            <v>ITAMBÉ</v>
          </cell>
          <cell r="L3759" t="str">
            <v>RODRIGO</v>
          </cell>
          <cell r="M3759" t="str">
            <v>MARIA LOURDES</v>
          </cell>
        </row>
        <row r="3760">
          <cell r="B3760">
            <v>5309626</v>
          </cell>
          <cell r="C3760" t="str">
            <v>RSG SABOREIE DOCES E SALGADOS L</v>
          </cell>
          <cell r="D3760" t="str">
            <v>3001</v>
          </cell>
          <cell r="E3760" t="str">
            <v>0009</v>
          </cell>
          <cell r="F3760" t="str">
            <v>C1</v>
          </cell>
          <cell r="G3760" t="str">
            <v>BA</v>
          </cell>
          <cell r="H3760" t="str">
            <v>DISTRIBUIÇÃO</v>
          </cell>
          <cell r="I3760" t="str">
            <v>FOOD SERVICE</v>
          </cell>
          <cell r="J3760" t="str">
            <v>CLAUDIO JORGE/LUIZ</v>
          </cell>
          <cell r="K3760" t="str">
            <v>ITAMBÉ</v>
          </cell>
          <cell r="L3760" t="str">
            <v>RODRIGO</v>
          </cell>
          <cell r="M3760" t="str">
            <v>MARIA LOURDES</v>
          </cell>
        </row>
        <row r="3761">
          <cell r="B3761">
            <v>5360865</v>
          </cell>
          <cell r="C3761" t="str">
            <v>GRANZOTO FRIOS E LATICINIOS LTDA</v>
          </cell>
          <cell r="D3761" t="str">
            <v>6001</v>
          </cell>
          <cell r="E3761" t="str">
            <v>6125</v>
          </cell>
          <cell r="F3761" t="str">
            <v>C1</v>
          </cell>
          <cell r="G3761" t="str">
            <v>SP</v>
          </cell>
          <cell r="H3761" t="str">
            <v>DISTRIBUIÇÃO</v>
          </cell>
          <cell r="I3761" t="str">
            <v>FOOD SERVICE</v>
          </cell>
          <cell r="J3761" t="str">
            <v>ALEXANDRE BONANI</v>
          </cell>
          <cell r="K3761" t="str">
            <v>ITAMBÉ</v>
          </cell>
          <cell r="L3761" t="str">
            <v>RODRIGO</v>
          </cell>
          <cell r="M3761" t="str">
            <v>RAQUEL BARBOSA</v>
          </cell>
        </row>
        <row r="3762">
          <cell r="B3762">
            <v>5371291</v>
          </cell>
          <cell r="C3762" t="str">
            <v>CERRO AZUL ALIMENTOS LTDA</v>
          </cell>
          <cell r="D3762" t="str">
            <v>7001</v>
          </cell>
          <cell r="E3762" t="str">
            <v>0755</v>
          </cell>
          <cell r="F3762" t="str">
            <v>C1</v>
          </cell>
          <cell r="G3762" t="str">
            <v>PR</v>
          </cell>
          <cell r="H3762" t="str">
            <v>DISTRIBUIÇÃO</v>
          </cell>
          <cell r="I3762" t="str">
            <v>FOOD SERVICE</v>
          </cell>
          <cell r="J3762" t="str">
            <v>ANGELICA BATISTELA</v>
          </cell>
          <cell r="K3762" t="str">
            <v>LACTALIS</v>
          </cell>
          <cell r="L3762" t="str">
            <v>RODRIGO</v>
          </cell>
          <cell r="M3762" t="str">
            <v>ANGELICA BATISTELA</v>
          </cell>
        </row>
        <row r="3763">
          <cell r="B3763">
            <v>5371512</v>
          </cell>
          <cell r="C3763" t="str">
            <v>LDN DISTRIBUIDORA LTDA</v>
          </cell>
          <cell r="D3763" t="str">
            <v>4001</v>
          </cell>
          <cell r="E3763" t="str">
            <v>0437</v>
          </cell>
          <cell r="F3763" t="str">
            <v>C1</v>
          </cell>
          <cell r="G3763" t="str">
            <v>SP</v>
          </cell>
          <cell r="H3763" t="str">
            <v>INGREDIENTS</v>
          </cell>
          <cell r="I3763" t="str">
            <v>INGREDIENTS</v>
          </cell>
          <cell r="J3763" t="str">
            <v>TATIANA NITTA</v>
          </cell>
          <cell r="K3763" t="str">
            <v>LACTALIS</v>
          </cell>
          <cell r="L3763" t="str">
            <v>MAURICIO</v>
          </cell>
          <cell r="M3763" t="str">
            <v>TATIANA NITTA</v>
          </cell>
        </row>
        <row r="3764">
          <cell r="B3764">
            <v>5367556</v>
          </cell>
          <cell r="C3764" t="str">
            <v>M FOODS LTDA</v>
          </cell>
          <cell r="D3764" t="str">
            <v>7001</v>
          </cell>
          <cell r="E3764" t="str">
            <v>0749</v>
          </cell>
          <cell r="F3764" t="str">
            <v>C5</v>
          </cell>
          <cell r="G3764" t="str">
            <v>SP</v>
          </cell>
          <cell r="H3764" t="str">
            <v>DISTRIBUIÇÃO</v>
          </cell>
          <cell r="I3764" t="str">
            <v>FOOD SERVICE</v>
          </cell>
          <cell r="J3764" t="str">
            <v>FLAC 6</v>
          </cell>
          <cell r="K3764" t="str">
            <v>LACTALIS</v>
          </cell>
          <cell r="L3764" t="str">
            <v>RODRIGO</v>
          </cell>
          <cell r="M3764" t="str">
            <v>RAQUEL BARBOSA</v>
          </cell>
        </row>
        <row r="3765">
          <cell r="B3765">
            <v>5367557</v>
          </cell>
          <cell r="C3765" t="str">
            <v>M FOODS LTDA</v>
          </cell>
          <cell r="D3765" t="str">
            <v>7001</v>
          </cell>
          <cell r="E3765" t="str">
            <v>0749</v>
          </cell>
          <cell r="F3765" t="str">
            <v>C5</v>
          </cell>
          <cell r="G3765" t="str">
            <v>SP</v>
          </cell>
          <cell r="H3765" t="str">
            <v>DISTRIBUIÇÃO</v>
          </cell>
          <cell r="I3765" t="str">
            <v>FOOD SERVICE</v>
          </cell>
          <cell r="J3765" t="str">
            <v>FLAC 6</v>
          </cell>
          <cell r="K3765" t="str">
            <v>LACTALIS</v>
          </cell>
          <cell r="L3765" t="str">
            <v>RODRIGO</v>
          </cell>
          <cell r="M3765" t="str">
            <v>RAQUEL BARBOSA</v>
          </cell>
        </row>
        <row r="3766">
          <cell r="B3766">
            <v>5372019</v>
          </cell>
          <cell r="C3766" t="str">
            <v>LCF GLOBAL FOODS LTDA</v>
          </cell>
          <cell r="D3766" t="str">
            <v>7001</v>
          </cell>
          <cell r="E3766" t="str">
            <v>0749</v>
          </cell>
          <cell r="F3766" t="str">
            <v>C5</v>
          </cell>
          <cell r="G3766" t="str">
            <v>SP</v>
          </cell>
          <cell r="H3766" t="str">
            <v>DISTRIBUIÇÃO</v>
          </cell>
          <cell r="I3766" t="str">
            <v>FOOD SERVICE</v>
          </cell>
          <cell r="J3766" t="str">
            <v>FLAC 10</v>
          </cell>
          <cell r="K3766" t="str">
            <v>LACTALIS</v>
          </cell>
          <cell r="L3766" t="str">
            <v>RODRIGO</v>
          </cell>
          <cell r="M3766" t="str">
            <v>RAQUEL BARBOSA</v>
          </cell>
        </row>
        <row r="3767">
          <cell r="B3767">
            <v>5136048</v>
          </cell>
          <cell r="C3767" t="str">
            <v>TARGUZ COMERCIO LTDA</v>
          </cell>
          <cell r="D3767" t="str">
            <v>7001</v>
          </cell>
          <cell r="E3767" t="str">
            <v>0782</v>
          </cell>
          <cell r="F3767" t="str">
            <v>C5</v>
          </cell>
          <cell r="G3767" t="str">
            <v>AL</v>
          </cell>
          <cell r="H3767" t="str">
            <v>DISTRIBUIÇÃO</v>
          </cell>
          <cell r="I3767" t="str">
            <v>FOOD SERVICE</v>
          </cell>
          <cell r="J3767" t="str">
            <v>CLAUDIO JORGE</v>
          </cell>
          <cell r="K3767" t="str">
            <v>LACTALIS</v>
          </cell>
          <cell r="L3767" t="str">
            <v>RODRIGO</v>
          </cell>
          <cell r="M3767" t="str">
            <v>MARIA LOURDES</v>
          </cell>
        </row>
        <row r="3768">
          <cell r="B3768">
            <v>5229985</v>
          </cell>
          <cell r="C3768" t="str">
            <v>FRANCISCO C LIMA DISTRIB DE ALIM LT</v>
          </cell>
          <cell r="D3768" t="str">
            <v>7001</v>
          </cell>
          <cell r="E3768" t="str">
            <v>0559</v>
          </cell>
          <cell r="F3768" t="str">
            <v>C5</v>
          </cell>
          <cell r="G3768" t="str">
            <v>CE</v>
          </cell>
          <cell r="H3768" t="str">
            <v>DISTRIBUIÇÃO</v>
          </cell>
          <cell r="I3768" t="str">
            <v>FOOD SERVICE</v>
          </cell>
          <cell r="J3768" t="str">
            <v>CLAUDIO JORGE</v>
          </cell>
          <cell r="K3768" t="str">
            <v>LACTALIS</v>
          </cell>
          <cell r="L3768" t="str">
            <v>RODRIGO</v>
          </cell>
          <cell r="M3768" t="str">
            <v>MARIA LOURDES</v>
          </cell>
        </row>
        <row r="3769">
          <cell r="B3769">
            <v>5263106</v>
          </cell>
          <cell r="C3769" t="str">
            <v>L R REST E LANCHONETE</v>
          </cell>
          <cell r="D3769" t="str">
            <v>7001</v>
          </cell>
          <cell r="E3769" t="str">
            <v>0749</v>
          </cell>
          <cell r="F3769" t="str">
            <v>C5</v>
          </cell>
          <cell r="G3769" t="str">
            <v>SP</v>
          </cell>
          <cell r="H3769" t="str">
            <v>DISTRIBUIÇÃO</v>
          </cell>
          <cell r="I3769" t="str">
            <v>FOOD SERVICE</v>
          </cell>
          <cell r="J3769" t="str">
            <v>FLAC 6</v>
          </cell>
          <cell r="K3769" t="str">
            <v>LACTALIS</v>
          </cell>
          <cell r="L3769" t="str">
            <v>RODRIGO</v>
          </cell>
          <cell r="M3769" t="str">
            <v>RAQUEL BARBOSA</v>
          </cell>
        </row>
        <row r="3770">
          <cell r="B3770">
            <v>5330772</v>
          </cell>
          <cell r="C3770" t="str">
            <v>A C R A VAREJO DE ALIMENTOS LTD</v>
          </cell>
          <cell r="D3770" t="str">
            <v>7001</v>
          </cell>
          <cell r="E3770" t="str">
            <v>0749</v>
          </cell>
          <cell r="F3770" t="str">
            <v>C5</v>
          </cell>
          <cell r="G3770" t="str">
            <v>SP</v>
          </cell>
          <cell r="H3770" t="str">
            <v>DISTRIBUIÇÃO</v>
          </cell>
          <cell r="I3770" t="str">
            <v>FOOD SERVICE</v>
          </cell>
          <cell r="J3770" t="str">
            <v>FLAC 3</v>
          </cell>
          <cell r="K3770" t="str">
            <v>LACTALIS</v>
          </cell>
          <cell r="L3770" t="str">
            <v>RODRIGO</v>
          </cell>
          <cell r="M3770" t="str">
            <v>RAQUEL BARBOSA</v>
          </cell>
        </row>
        <row r="3771">
          <cell r="B3771">
            <v>5371512</v>
          </cell>
          <cell r="C3771" t="str">
            <v>LDN DISTRIBUIDORA LTDA</v>
          </cell>
          <cell r="D3771" t="str">
            <v>6001</v>
          </cell>
          <cell r="E3771" t="str">
            <v>6028</v>
          </cell>
          <cell r="F3771" t="str">
            <v>C1</v>
          </cell>
          <cell r="G3771" t="str">
            <v>SP</v>
          </cell>
          <cell r="H3771" t="str">
            <v>INGREDIENTS</v>
          </cell>
          <cell r="I3771" t="str">
            <v>INGREDIENTS</v>
          </cell>
          <cell r="J3771" t="str">
            <v>TATIANA NITTA</v>
          </cell>
          <cell r="K3771" t="str">
            <v>ITAMBÉ</v>
          </cell>
          <cell r="L3771" t="str">
            <v>MAURICIO</v>
          </cell>
          <cell r="M3771" t="str">
            <v>TATIANA NITTA</v>
          </cell>
        </row>
        <row r="3772">
          <cell r="B3772">
            <v>5371725</v>
          </cell>
          <cell r="C3772" t="str">
            <v>SO GELO DISTRIBUIDORA LTDA</v>
          </cell>
          <cell r="D3772" t="str">
            <v>3001</v>
          </cell>
          <cell r="E3772" t="str">
            <v>0028</v>
          </cell>
          <cell r="F3772" t="str">
            <v>C1</v>
          </cell>
          <cell r="G3772" t="str">
            <v>MG</v>
          </cell>
          <cell r="H3772" t="str">
            <v>INGREDIENTS</v>
          </cell>
          <cell r="I3772" t="str">
            <v>INGREDIENTS</v>
          </cell>
          <cell r="J3772" t="str">
            <v>HENRIQUE FERREIRA</v>
          </cell>
          <cell r="K3772" t="str">
            <v>ITAMBÉ</v>
          </cell>
          <cell r="L3772" t="str">
            <v>MAURICIO</v>
          </cell>
          <cell r="M3772" t="str">
            <v>TATIANA NITTA</v>
          </cell>
        </row>
        <row r="3773">
          <cell r="B3773">
            <v>5372000</v>
          </cell>
          <cell r="C3773" t="str">
            <v>BARBAROSA GASTRONOMIA LTDA</v>
          </cell>
          <cell r="D3773" t="str">
            <v>7001</v>
          </cell>
          <cell r="E3773" t="str">
            <v>0749</v>
          </cell>
          <cell r="F3773" t="str">
            <v>C5</v>
          </cell>
          <cell r="G3773" t="str">
            <v>SP</v>
          </cell>
          <cell r="H3773" t="str">
            <v>DISTRIBUIÇÃO</v>
          </cell>
          <cell r="I3773" t="str">
            <v>FOOD SERVICE</v>
          </cell>
          <cell r="J3773" t="str">
            <v>FLAC 3</v>
          </cell>
          <cell r="K3773" t="str">
            <v>LACTALIS</v>
          </cell>
          <cell r="L3773" t="str">
            <v>RODRIGO</v>
          </cell>
          <cell r="M3773" t="str">
            <v>RAQUEL BARBOSA</v>
          </cell>
        </row>
        <row r="3774">
          <cell r="B3774">
            <v>5372115</v>
          </cell>
          <cell r="C3774" t="str">
            <v>A R R A COM VAR DE MERC EM GERA</v>
          </cell>
          <cell r="D3774" t="str">
            <v>7001</v>
          </cell>
          <cell r="E3774" t="str">
            <v>0749</v>
          </cell>
          <cell r="F3774" t="str">
            <v>C5</v>
          </cell>
          <cell r="G3774" t="str">
            <v>SP</v>
          </cell>
          <cell r="H3774" t="str">
            <v>DISTRIBUIÇÃO</v>
          </cell>
          <cell r="I3774" t="str">
            <v>FOOD SERVICE</v>
          </cell>
          <cell r="J3774" t="str">
            <v>FLAC 3</v>
          </cell>
          <cell r="K3774" t="str">
            <v>LACTALIS</v>
          </cell>
          <cell r="L3774" t="str">
            <v>RODRIGO</v>
          </cell>
          <cell r="M3774" t="str">
            <v>RAQUEL BARBOSA</v>
          </cell>
        </row>
        <row r="3775">
          <cell r="B3775">
            <v>5009911</v>
          </cell>
          <cell r="C3775" t="str">
            <v>DOMICILI IND COM DE ALIMENTOS LTDA</v>
          </cell>
          <cell r="D3775" t="str">
            <v>6001</v>
          </cell>
          <cell r="E3775" t="str">
            <v>6125</v>
          </cell>
          <cell r="F3775" t="str">
            <v>C1</v>
          </cell>
          <cell r="G3775" t="str">
            <v>SP</v>
          </cell>
          <cell r="H3775" t="str">
            <v>DISTRIBUIÇÃO</v>
          </cell>
          <cell r="I3775" t="str">
            <v>FOOD SERVICE</v>
          </cell>
          <cell r="J3775" t="str">
            <v>SP ITB FS FLAC REP.E COMERCIO</v>
          </cell>
          <cell r="K3775" t="str">
            <v>ITAMBÉ</v>
          </cell>
          <cell r="L3775" t="str">
            <v>RODRIGO</v>
          </cell>
          <cell r="M3775" t="str">
            <v>RAQUEL BARBOSA</v>
          </cell>
        </row>
        <row r="3776">
          <cell r="B3776">
            <v>5083201</v>
          </cell>
          <cell r="C3776" t="str">
            <v>SILVA BRAGA COML DE ALIMENTOS L</v>
          </cell>
          <cell r="D3776" t="str">
            <v>3001</v>
          </cell>
          <cell r="E3776" t="str">
            <v>0127</v>
          </cell>
          <cell r="F3776" t="str">
            <v>C1</v>
          </cell>
          <cell r="G3776" t="str">
            <v>CE</v>
          </cell>
          <cell r="H3776" t="str">
            <v>DISTRIBUIÇÃO</v>
          </cell>
          <cell r="I3776" t="str">
            <v>FOOD SERVICE</v>
          </cell>
          <cell r="J3776" t="str">
            <v>WH FOOD SERVICE CE</v>
          </cell>
          <cell r="K3776" t="str">
            <v>ITAMBÉ</v>
          </cell>
          <cell r="L3776" t="str">
            <v>RODRIGO</v>
          </cell>
          <cell r="M3776" t="str">
            <v>MARIA LOURDES</v>
          </cell>
        </row>
        <row r="3777">
          <cell r="B3777">
            <v>5133664</v>
          </cell>
          <cell r="C3777" t="str">
            <v>PADEIRAO COMERCIO PROD PARA PAN</v>
          </cell>
          <cell r="D3777" t="str">
            <v>7001</v>
          </cell>
          <cell r="E3777" t="str">
            <v>0585</v>
          </cell>
          <cell r="F3777" t="str">
            <v>C5</v>
          </cell>
          <cell r="G3777" t="str">
            <v>PE</v>
          </cell>
          <cell r="H3777" t="str">
            <v>DISTRIBUIÇÃO</v>
          </cell>
          <cell r="I3777" t="str">
            <v>FOOD SERVICE</v>
          </cell>
          <cell r="J3777" t="str">
            <v>CLAUDIO JORGE</v>
          </cell>
          <cell r="K3777" t="str">
            <v>LACTALIS</v>
          </cell>
          <cell r="L3777" t="str">
            <v>RODRIGO</v>
          </cell>
          <cell r="M3777" t="str">
            <v>MARIA LOURDES</v>
          </cell>
        </row>
        <row r="3778">
          <cell r="B3778">
            <v>5227470</v>
          </cell>
          <cell r="C3778" t="str">
            <v>PANDURATA ALIMENTOS LTDA</v>
          </cell>
          <cell r="D3778" t="str">
            <v>4001</v>
          </cell>
          <cell r="E3778" t="str">
            <v>0437</v>
          </cell>
          <cell r="F3778" t="str">
            <v>C1</v>
          </cell>
          <cell r="G3778" t="str">
            <v>SP</v>
          </cell>
          <cell r="H3778" t="str">
            <v>INGREDIENTS</v>
          </cell>
          <cell r="I3778" t="str">
            <v>INGREDIENTS</v>
          </cell>
          <cell r="J3778" t="str">
            <v>JOEL ELEOTÉRIO</v>
          </cell>
          <cell r="K3778" t="str">
            <v>LACTALIS</v>
          </cell>
          <cell r="L3778" t="str">
            <v>MAURICIO</v>
          </cell>
          <cell r="M3778" t="str">
            <v>JOEL</v>
          </cell>
        </row>
        <row r="3779">
          <cell r="B3779">
            <v>5311373</v>
          </cell>
          <cell r="C3779" t="str">
            <v>FENIX FOODS ALIMENTOS LTDA</v>
          </cell>
          <cell r="D3779" t="str">
            <v>6001</v>
          </cell>
          <cell r="E3779" t="str">
            <v>6125</v>
          </cell>
          <cell r="F3779" t="str">
            <v>C1</v>
          </cell>
          <cell r="G3779" t="str">
            <v>SP</v>
          </cell>
          <cell r="H3779" t="str">
            <v>DISTRIBUIÇÃO</v>
          </cell>
          <cell r="I3779" t="str">
            <v>FOOD SERVICE</v>
          </cell>
          <cell r="J3779" t="str">
            <v>SP ITB FS FLAC REP.E COMERCIO</v>
          </cell>
          <cell r="K3779" t="str">
            <v>ITAMBÉ</v>
          </cell>
          <cell r="L3779" t="str">
            <v>RODRIGO</v>
          </cell>
          <cell r="M3779" t="str">
            <v>RAQUEL BARBOSA</v>
          </cell>
        </row>
        <row r="3780">
          <cell r="B3780">
            <v>5336848</v>
          </cell>
          <cell r="C3780" t="str">
            <v>MORUMBI COM DE SORVETES LTDA</v>
          </cell>
          <cell r="D3780" t="str">
            <v>7001</v>
          </cell>
          <cell r="E3780" t="str">
            <v>0722</v>
          </cell>
          <cell r="F3780" t="str">
            <v>C1</v>
          </cell>
          <cell r="G3780" t="str">
            <v>SP</v>
          </cell>
          <cell r="H3780" t="str">
            <v>QSR</v>
          </cell>
          <cell r="I3780" t="str">
            <v>FOOD SERVICE</v>
          </cell>
          <cell r="J3780" t="str">
            <v>ANA MENIQUETE</v>
          </cell>
          <cell r="K3780" t="str">
            <v>LACTALIS</v>
          </cell>
          <cell r="L3780" t="str">
            <v>PEDRO</v>
          </cell>
          <cell r="M3780" t="str">
            <v>ANA MENIQUETE</v>
          </cell>
        </row>
        <row r="3781">
          <cell r="B3781">
            <v>5367902</v>
          </cell>
          <cell r="C3781" t="str">
            <v>AMMAI SERVICOS DE CATERING LTDA</v>
          </cell>
          <cell r="D3781" t="str">
            <v>7001</v>
          </cell>
          <cell r="E3781" t="str">
            <v>0749</v>
          </cell>
          <cell r="F3781" t="str">
            <v>C5</v>
          </cell>
          <cell r="G3781" t="str">
            <v>SP</v>
          </cell>
          <cell r="H3781" t="str">
            <v>DISTRIBUIÇÃO</v>
          </cell>
          <cell r="I3781" t="str">
            <v>FOOD SERVICE</v>
          </cell>
          <cell r="J3781" t="str">
            <v>FLAC 6</v>
          </cell>
          <cell r="K3781" t="str">
            <v>LACTALIS</v>
          </cell>
          <cell r="L3781" t="str">
            <v>RODRIGO</v>
          </cell>
          <cell r="M3781" t="str">
            <v>RAQUEL BARBOSA</v>
          </cell>
        </row>
        <row r="3782">
          <cell r="B3782">
            <v>5371376</v>
          </cell>
          <cell r="C3782" t="str">
            <v>TAMBORE CAFE LTDA</v>
          </cell>
          <cell r="D3782" t="str">
            <v>7001</v>
          </cell>
          <cell r="E3782" t="str">
            <v>0749</v>
          </cell>
          <cell r="F3782" t="str">
            <v>C5</v>
          </cell>
          <cell r="G3782" t="str">
            <v>SP</v>
          </cell>
          <cell r="H3782" t="str">
            <v>DISTRIBUIÇÃO</v>
          </cell>
          <cell r="I3782" t="str">
            <v>FOOD SERVICE</v>
          </cell>
          <cell r="J3782" t="str">
            <v>FLAC 5</v>
          </cell>
          <cell r="K3782" t="str">
            <v>LACTALIS</v>
          </cell>
          <cell r="L3782" t="str">
            <v>RODRIGO</v>
          </cell>
          <cell r="M3782" t="str">
            <v>RAQUEL BARBOSA</v>
          </cell>
        </row>
        <row r="3783">
          <cell r="B3783">
            <v>5371951</v>
          </cell>
          <cell r="C3783" t="str">
            <v>B E A COMERCIO ALIMENTICIO LTDA</v>
          </cell>
          <cell r="D3783" t="str">
            <v>3001</v>
          </cell>
          <cell r="E3783" t="str">
            <v>0028</v>
          </cell>
          <cell r="F3783" t="str">
            <v>C1</v>
          </cell>
          <cell r="G3783" t="str">
            <v>PE</v>
          </cell>
          <cell r="H3783" t="str">
            <v>INGREDIENTS</v>
          </cell>
          <cell r="I3783" t="str">
            <v>INGREDIENTS</v>
          </cell>
          <cell r="J3783" t="str">
            <v>JOEL ELEOTÉRIO</v>
          </cell>
          <cell r="K3783" t="str">
            <v>ITAMBÉ</v>
          </cell>
          <cell r="L3783" t="str">
            <v>MAURICIO</v>
          </cell>
          <cell r="M3783" t="str">
            <v>JOEL</v>
          </cell>
        </row>
        <row r="3784">
          <cell r="B3784">
            <v>5167791</v>
          </cell>
          <cell r="C3784" t="str">
            <v>DAN VIGOR IND E COM DE LATICINIOS L</v>
          </cell>
          <cell r="D3784" t="str">
            <v>4001</v>
          </cell>
          <cell r="E3784" t="str">
            <v>0445</v>
          </cell>
          <cell r="F3784" t="str">
            <v>C7</v>
          </cell>
          <cell r="G3784" t="str">
            <v>SP</v>
          </cell>
          <cell r="H3784" t="str">
            <v>INGREDIENTS</v>
          </cell>
          <cell r="I3784" t="str">
            <v>INGREDIENTS</v>
          </cell>
          <cell r="J3784" t="str">
            <v>JOEL ELEOTÉRIO</v>
          </cell>
          <cell r="K3784" t="str">
            <v>LACTALIS</v>
          </cell>
          <cell r="L3784" t="str">
            <v>MAURICIO</v>
          </cell>
          <cell r="M3784" t="str">
            <v>JOEL</v>
          </cell>
        </row>
        <row r="3785">
          <cell r="B3785">
            <v>5371004</v>
          </cell>
          <cell r="C3785" t="str">
            <v>VANDERLEI VICENTE</v>
          </cell>
          <cell r="D3785" t="str">
            <v>7001</v>
          </cell>
          <cell r="E3785" t="str">
            <v>0749</v>
          </cell>
          <cell r="F3785" t="str">
            <v>C5</v>
          </cell>
          <cell r="G3785" t="str">
            <v>SP</v>
          </cell>
          <cell r="H3785" t="str">
            <v>DISTRIBUIÇÃO</v>
          </cell>
          <cell r="I3785" t="str">
            <v>FOOD SERVICE</v>
          </cell>
          <cell r="J3785" t="str">
            <v>FLAC 3</v>
          </cell>
          <cell r="K3785" t="str">
            <v>LACTALIS</v>
          </cell>
          <cell r="L3785" t="str">
            <v>RODRIGO</v>
          </cell>
          <cell r="M3785" t="str">
            <v>RAQUEL BARBOSA</v>
          </cell>
        </row>
        <row r="3786">
          <cell r="B3786">
            <v>5371999</v>
          </cell>
          <cell r="C3786" t="str">
            <v>HOTEL ARUJA LTDA</v>
          </cell>
          <cell r="D3786" t="str">
            <v>7001</v>
          </cell>
          <cell r="E3786" t="str">
            <v>0749</v>
          </cell>
          <cell r="F3786" t="str">
            <v>C5</v>
          </cell>
          <cell r="G3786" t="str">
            <v>SP</v>
          </cell>
          <cell r="H3786" t="str">
            <v>DISTRIBUIÇÃO</v>
          </cell>
          <cell r="I3786" t="str">
            <v>FOOD SERVICE</v>
          </cell>
          <cell r="J3786" t="str">
            <v>FLAC 3</v>
          </cell>
          <cell r="K3786" t="str">
            <v>LACTALIS</v>
          </cell>
          <cell r="L3786" t="str">
            <v>RODRIGO</v>
          </cell>
          <cell r="M3786" t="str">
            <v>RAQUEL BARBOSA</v>
          </cell>
        </row>
        <row r="3787">
          <cell r="B3787">
            <v>5372182</v>
          </cell>
          <cell r="C3787" t="str">
            <v>TRIBO GOURMET VILA MARIANA II L</v>
          </cell>
          <cell r="D3787" t="str">
            <v>7001</v>
          </cell>
          <cell r="E3787" t="str">
            <v>0749</v>
          </cell>
          <cell r="F3787" t="str">
            <v>C5</v>
          </cell>
          <cell r="G3787" t="str">
            <v>SP</v>
          </cell>
          <cell r="H3787" t="str">
            <v>DISTRIBUIÇÃO</v>
          </cell>
          <cell r="I3787" t="str">
            <v>FOOD SERVICE</v>
          </cell>
          <cell r="J3787" t="str">
            <v>FLAC 3</v>
          </cell>
          <cell r="K3787" t="str">
            <v>LACTALIS</v>
          </cell>
          <cell r="L3787" t="str">
            <v>RODRIGO</v>
          </cell>
          <cell r="M3787" t="str">
            <v>RAQUEL BARBOSA</v>
          </cell>
        </row>
        <row r="3788">
          <cell r="B3788">
            <v>5253195</v>
          </cell>
          <cell r="C3788" t="str">
            <v>GALERIA DO QUEIJO LTDA</v>
          </cell>
          <cell r="D3788" t="str">
            <v>7001</v>
          </cell>
          <cell r="E3788" t="str">
            <v>0749</v>
          </cell>
          <cell r="F3788" t="str">
            <v>C5</v>
          </cell>
          <cell r="G3788" t="str">
            <v>SP</v>
          </cell>
          <cell r="H3788" t="str">
            <v>DISTRIBUIÇÃO</v>
          </cell>
          <cell r="I3788" t="str">
            <v>FOOD SERVICE</v>
          </cell>
          <cell r="J3788" t="str">
            <v>FLAC 10</v>
          </cell>
          <cell r="K3788" t="str">
            <v>LACTALIS</v>
          </cell>
          <cell r="L3788" t="str">
            <v>RODRIGO</v>
          </cell>
          <cell r="M3788" t="str">
            <v>RAQUEL BARBOSA</v>
          </cell>
        </row>
        <row r="3789">
          <cell r="B3789">
            <v>5352264</v>
          </cell>
          <cell r="C3789" t="str">
            <v>DOM PASTEL ALIMENTOS LTDA</v>
          </cell>
          <cell r="D3789" t="str">
            <v>3001</v>
          </cell>
          <cell r="E3789" t="str">
            <v>0127</v>
          </cell>
          <cell r="F3789" t="str">
            <v>C1</v>
          </cell>
          <cell r="G3789" t="str">
            <v>CE</v>
          </cell>
          <cell r="H3789" t="str">
            <v>QSR</v>
          </cell>
          <cell r="I3789" t="str">
            <v>FOOD SERVICE</v>
          </cell>
          <cell r="J3789" t="str">
            <v>VAGO QSR</v>
          </cell>
          <cell r="K3789" t="str">
            <v>ITAMBÉ</v>
          </cell>
          <cell r="L3789" t="str">
            <v>PEDRO</v>
          </cell>
          <cell r="M3789" t="str">
            <v>VAGO QSR</v>
          </cell>
        </row>
        <row r="3790">
          <cell r="B3790">
            <v>5367607</v>
          </cell>
          <cell r="C3790" t="str">
            <v>BANELLA BAKERY CAFE E BISTRO LT</v>
          </cell>
          <cell r="D3790" t="str">
            <v>7001</v>
          </cell>
          <cell r="E3790" t="str">
            <v>0749</v>
          </cell>
          <cell r="F3790" t="str">
            <v>C5</v>
          </cell>
          <cell r="G3790" t="str">
            <v>SP</v>
          </cell>
          <cell r="H3790" t="str">
            <v>DISTRIBUIÇÃO</v>
          </cell>
          <cell r="I3790" t="str">
            <v>FOOD SERVICE</v>
          </cell>
          <cell r="J3790" t="str">
            <v>FLAC 2</v>
          </cell>
          <cell r="K3790" t="str">
            <v>LACTALIS</v>
          </cell>
          <cell r="L3790" t="str">
            <v>RODRIGO</v>
          </cell>
          <cell r="M3790" t="str">
            <v>RAQUEL BARBOSA</v>
          </cell>
        </row>
        <row r="3791">
          <cell r="B3791">
            <v>5370234</v>
          </cell>
          <cell r="C3791" t="str">
            <v>DAN INN HOTEL LTDA</v>
          </cell>
          <cell r="D3791" t="str">
            <v>7001</v>
          </cell>
          <cell r="E3791" t="str">
            <v>0749</v>
          </cell>
          <cell r="F3791" t="str">
            <v>C5</v>
          </cell>
          <cell r="G3791" t="str">
            <v>SP</v>
          </cell>
          <cell r="H3791" t="str">
            <v>DISTRIBUIÇÃO</v>
          </cell>
          <cell r="I3791" t="str">
            <v>FOOD SERVICE</v>
          </cell>
          <cell r="J3791" t="str">
            <v>FLAC 7</v>
          </cell>
          <cell r="K3791" t="str">
            <v>LACTALIS</v>
          </cell>
          <cell r="L3791" t="str">
            <v>RODRIGO</v>
          </cell>
          <cell r="M3791" t="str">
            <v>RAQUEL BARBOSA</v>
          </cell>
        </row>
        <row r="3792">
          <cell r="B3792">
            <v>5371230</v>
          </cell>
          <cell r="C3792" t="str">
            <v>GONTIJO VIEIRA DISTRIB DE ALIM</v>
          </cell>
          <cell r="D3792" t="str">
            <v>4001</v>
          </cell>
          <cell r="E3792" t="str">
            <v>0458</v>
          </cell>
          <cell r="F3792" t="str">
            <v>C1</v>
          </cell>
          <cell r="G3792" t="str">
            <v>MG</v>
          </cell>
          <cell r="H3792" t="str">
            <v>INGREDIENTS</v>
          </cell>
          <cell r="I3792" t="str">
            <v>INGREDIENTS</v>
          </cell>
          <cell r="J3792" t="str">
            <v>MARCELO RODRIGUES</v>
          </cell>
          <cell r="K3792" t="str">
            <v>LACTALIS</v>
          </cell>
          <cell r="L3792" t="str">
            <v>MAURICIO</v>
          </cell>
          <cell r="M3792" t="str">
            <v>MARCELO</v>
          </cell>
        </row>
        <row r="3793">
          <cell r="B3793">
            <v>5371406</v>
          </cell>
          <cell r="C3793" t="str">
            <v>BAR DA ESQUINA RESTAURANTE LTDA</v>
          </cell>
          <cell r="D3793" t="str">
            <v>7001</v>
          </cell>
          <cell r="E3793" t="str">
            <v>0749</v>
          </cell>
          <cell r="F3793" t="str">
            <v>C5</v>
          </cell>
          <cell r="G3793" t="str">
            <v>SP</v>
          </cell>
          <cell r="H3793" t="str">
            <v>DISTRIBUIÇÃO</v>
          </cell>
          <cell r="I3793" t="str">
            <v>FOOD SERVICE</v>
          </cell>
          <cell r="J3793" t="str">
            <v>FLAC 3</v>
          </cell>
          <cell r="K3793" t="str">
            <v>LACTALIS</v>
          </cell>
          <cell r="L3793" t="str">
            <v>RODRIGO</v>
          </cell>
          <cell r="M3793" t="str">
            <v>RAQUEL BARBOSA</v>
          </cell>
        </row>
        <row r="3794">
          <cell r="B3794">
            <v>5008478</v>
          </cell>
          <cell r="C3794" t="str">
            <v>JCA FOODS COM DE PROD ALIM LTDA</v>
          </cell>
          <cell r="D3794" t="str">
            <v>3001</v>
          </cell>
          <cell r="E3794" t="str">
            <v>0125</v>
          </cell>
          <cell r="F3794" t="str">
            <v>C1</v>
          </cell>
          <cell r="G3794" t="str">
            <v>SP</v>
          </cell>
          <cell r="H3794" t="str">
            <v>DISTRIBUIÇÃO</v>
          </cell>
          <cell r="I3794" t="str">
            <v>FOOD SERVICE</v>
          </cell>
          <cell r="J3794" t="str">
            <v>VAGO SP</v>
          </cell>
          <cell r="K3794" t="str">
            <v>ITAMBÉ</v>
          </cell>
          <cell r="L3794" t="str">
            <v>RODRIGO</v>
          </cell>
          <cell r="M3794" t="str">
            <v>RAQUEL BARBOSA</v>
          </cell>
        </row>
        <row r="3795">
          <cell r="B3795">
            <v>5020352</v>
          </cell>
          <cell r="C3795" t="str">
            <v>SPAN VALE COM DE PROD ALIM LTDA</v>
          </cell>
          <cell r="D3795" t="str">
            <v>3001</v>
          </cell>
          <cell r="E3795" t="str">
            <v>0125</v>
          </cell>
          <cell r="F3795" t="str">
            <v>C1</v>
          </cell>
          <cell r="G3795" t="str">
            <v>SP</v>
          </cell>
          <cell r="H3795" t="str">
            <v>DISTRIBUIÇÃO</v>
          </cell>
          <cell r="I3795" t="str">
            <v>FOOD SERVICE</v>
          </cell>
          <cell r="J3795" t="str">
            <v>GUILHERME NASCIMENTO</v>
          </cell>
          <cell r="K3795" t="str">
            <v>ITAMBÉ</v>
          </cell>
          <cell r="L3795" t="str">
            <v>RODRIGO</v>
          </cell>
          <cell r="M3795" t="str">
            <v>ALEXANDRO</v>
          </cell>
        </row>
        <row r="3796">
          <cell r="B3796">
            <v>5271447</v>
          </cell>
          <cell r="C3796" t="str">
            <v>NOBREDO COMERCIO E LOGISTICA LT</v>
          </cell>
          <cell r="D3796" t="str">
            <v>3001</v>
          </cell>
          <cell r="E3796" t="str">
            <v>0169</v>
          </cell>
          <cell r="F3796" t="str">
            <v>C1</v>
          </cell>
          <cell r="G3796" t="str">
            <v>ES</v>
          </cell>
          <cell r="H3796" t="str">
            <v>DISTRIBUIÇÃO</v>
          </cell>
          <cell r="I3796" t="str">
            <v>FOOD SERVICE</v>
          </cell>
          <cell r="J3796" t="str">
            <v>LUCIANA MARTINS</v>
          </cell>
          <cell r="K3796" t="str">
            <v>ITAMBÉ</v>
          </cell>
          <cell r="L3796" t="str">
            <v>RODRIGO</v>
          </cell>
          <cell r="M3796" t="str">
            <v>JESSICA</v>
          </cell>
        </row>
        <row r="3797">
          <cell r="B3797">
            <v>5343413</v>
          </cell>
          <cell r="C3797" t="str">
            <v>ELEVEN CASE COM VAR DE ALIM LTD</v>
          </cell>
          <cell r="D3797" t="str">
            <v>7001</v>
          </cell>
          <cell r="E3797" t="str">
            <v>0749</v>
          </cell>
          <cell r="F3797" t="str">
            <v>C5</v>
          </cell>
          <cell r="G3797" t="str">
            <v>SP</v>
          </cell>
          <cell r="H3797" t="str">
            <v>DISTRIBUIÇÃO</v>
          </cell>
          <cell r="I3797" t="str">
            <v>FOOD SERVICE</v>
          </cell>
          <cell r="J3797" t="str">
            <v>FLAC 3</v>
          </cell>
          <cell r="K3797" t="str">
            <v>LACTALIS</v>
          </cell>
          <cell r="L3797" t="str">
            <v>RODRIGO</v>
          </cell>
          <cell r="M3797" t="str">
            <v>RAQUEL BARBOSA</v>
          </cell>
        </row>
        <row r="3798">
          <cell r="B3798">
            <v>5371040</v>
          </cell>
          <cell r="C3798" t="str">
            <v>CAFE E CHA NO JD SP COM DE ALIM</v>
          </cell>
          <cell r="D3798" t="str">
            <v>7001</v>
          </cell>
          <cell r="E3798" t="str">
            <v>0749</v>
          </cell>
          <cell r="F3798" t="str">
            <v>C5</v>
          </cell>
          <cell r="G3798" t="str">
            <v>SP</v>
          </cell>
          <cell r="H3798" t="str">
            <v>DISTRIBUIÇÃO</v>
          </cell>
          <cell r="I3798" t="str">
            <v>FOOD SERVICE</v>
          </cell>
          <cell r="J3798" t="str">
            <v>FLAC 3</v>
          </cell>
          <cell r="K3798" t="str">
            <v>LACTALIS</v>
          </cell>
          <cell r="L3798" t="str">
            <v>RODRIGO</v>
          </cell>
          <cell r="M3798" t="str">
            <v>RAQUEL BARBOSA</v>
          </cell>
        </row>
        <row r="3799">
          <cell r="B3799">
            <v>5371078</v>
          </cell>
          <cell r="C3799" t="str">
            <v>YGB VAREJO BRASILEIRO LTDA</v>
          </cell>
          <cell r="D3799" t="str">
            <v>7001</v>
          </cell>
          <cell r="E3799" t="str">
            <v>0722</v>
          </cell>
          <cell r="F3799" t="str">
            <v>C1</v>
          </cell>
          <cell r="G3799" t="str">
            <v>SP</v>
          </cell>
          <cell r="H3799" t="str">
            <v>QSR</v>
          </cell>
          <cell r="I3799" t="str">
            <v>FOOD SERVICE</v>
          </cell>
          <cell r="J3799" t="str">
            <v>ANA MENIQUETE</v>
          </cell>
          <cell r="K3799" t="str">
            <v>LACTALIS</v>
          </cell>
          <cell r="L3799" t="str">
            <v>PEDRO</v>
          </cell>
          <cell r="M3799" t="str">
            <v>ANA MENIQUETE</v>
          </cell>
        </row>
        <row r="3800">
          <cell r="B3800">
            <v>5002549</v>
          </cell>
          <cell r="C3800" t="str">
            <v>SERVCATER INTERNACIONAL LTDA</v>
          </cell>
          <cell r="D3800" t="str">
            <v>3001</v>
          </cell>
          <cell r="E3800" t="str">
            <v>0125</v>
          </cell>
          <cell r="F3800" t="str">
            <v>C1</v>
          </cell>
          <cell r="G3800" t="str">
            <v>SP</v>
          </cell>
          <cell r="H3800" t="str">
            <v>QSR</v>
          </cell>
          <cell r="I3800" t="str">
            <v>FOOD SERVICE</v>
          </cell>
          <cell r="J3800" t="str">
            <v>ANA MENIQUETE</v>
          </cell>
          <cell r="K3800" t="str">
            <v>ITAMBÉ</v>
          </cell>
          <cell r="L3800" t="str">
            <v>PEDRO</v>
          </cell>
          <cell r="M3800" t="str">
            <v>ANA MENIQUETE</v>
          </cell>
        </row>
        <row r="3801">
          <cell r="B3801">
            <v>5004685</v>
          </cell>
          <cell r="C3801" t="str">
            <v>DINIZ COM ATAC DE PROD ALIM LTD</v>
          </cell>
          <cell r="D3801" t="str">
            <v>3001</v>
          </cell>
          <cell r="E3801" t="str">
            <v>0125</v>
          </cell>
          <cell r="F3801" t="str">
            <v>C1</v>
          </cell>
          <cell r="G3801" t="str">
            <v>SP</v>
          </cell>
          <cell r="H3801" t="str">
            <v>DISTRIBUIÇÃO</v>
          </cell>
          <cell r="I3801" t="str">
            <v>FOOD SERVICE</v>
          </cell>
          <cell r="J3801" t="str">
            <v>ALEXANDRO RODRIGUES</v>
          </cell>
          <cell r="K3801" t="str">
            <v>ITAMBÉ</v>
          </cell>
          <cell r="L3801" t="str">
            <v>RODRIGO</v>
          </cell>
          <cell r="M3801" t="str">
            <v>ALEXANDRO</v>
          </cell>
        </row>
        <row r="3802">
          <cell r="B3802">
            <v>5006978</v>
          </cell>
          <cell r="C3802" t="str">
            <v>DISTRIBUIDORA E IMP IRMAOS AVEL</v>
          </cell>
          <cell r="D3802" t="str">
            <v>3001</v>
          </cell>
          <cell r="E3802" t="str">
            <v>0125</v>
          </cell>
          <cell r="F3802" t="str">
            <v>C1</v>
          </cell>
          <cell r="G3802" t="str">
            <v>SP</v>
          </cell>
          <cell r="H3802" t="str">
            <v>DISTRIBUIÇÃO</v>
          </cell>
          <cell r="I3802" t="str">
            <v>FOOD SERVICE</v>
          </cell>
          <cell r="J3802" t="str">
            <v>RAQUEL BARBOSA</v>
          </cell>
          <cell r="K3802" t="str">
            <v>ITAMBÉ</v>
          </cell>
          <cell r="L3802" t="str">
            <v>RODRIGO</v>
          </cell>
          <cell r="M3802" t="str">
            <v>RAQUEL BARBOSA</v>
          </cell>
        </row>
        <row r="3803">
          <cell r="B3803">
            <v>5070522</v>
          </cell>
          <cell r="C3803" t="str">
            <v>WEA COM DE PROD DE PANIF LTDA</v>
          </cell>
          <cell r="D3803" t="str">
            <v>3001</v>
          </cell>
          <cell r="E3803" t="str">
            <v>0125</v>
          </cell>
          <cell r="F3803" t="str">
            <v>C1</v>
          </cell>
          <cell r="G3803" t="str">
            <v>SP</v>
          </cell>
          <cell r="H3803" t="str">
            <v>DISTRIBUIÇÃO</v>
          </cell>
          <cell r="I3803" t="str">
            <v>FOOD SERVICE</v>
          </cell>
          <cell r="J3803" t="str">
            <v>GUILHERME NASCIMENTO</v>
          </cell>
          <cell r="K3803" t="str">
            <v>ITAMBÉ</v>
          </cell>
          <cell r="L3803" t="str">
            <v>RODRIGO</v>
          </cell>
          <cell r="M3803" t="str">
            <v>ALEXANDRO</v>
          </cell>
        </row>
        <row r="3804">
          <cell r="B3804">
            <v>5107152</v>
          </cell>
          <cell r="C3804" t="str">
            <v>CALIFORNIA COM DE SORVETES LTDA</v>
          </cell>
          <cell r="D3804" t="str">
            <v>7001</v>
          </cell>
          <cell r="E3804" t="str">
            <v>0739</v>
          </cell>
          <cell r="F3804" t="str">
            <v>C1</v>
          </cell>
          <cell r="G3804" t="str">
            <v>RJ</v>
          </cell>
          <cell r="H3804" t="str">
            <v>QSR</v>
          </cell>
          <cell r="I3804" t="str">
            <v>FOOD SERVICE</v>
          </cell>
          <cell r="J3804" t="str">
            <v>NUTRI</v>
          </cell>
          <cell r="K3804" t="str">
            <v>LACTALIS</v>
          </cell>
          <cell r="L3804" t="str">
            <v>PEDRO</v>
          </cell>
          <cell r="M3804" t="str">
            <v>VAGO QSR</v>
          </cell>
        </row>
        <row r="3805">
          <cell r="B3805">
            <v>5118346</v>
          </cell>
          <cell r="C3805" t="str">
            <v>CONFESPAN COMERCIO E DISTRIBUICAO L</v>
          </cell>
          <cell r="D3805" t="str">
            <v>3001</v>
          </cell>
          <cell r="E3805" t="str">
            <v>0125</v>
          </cell>
          <cell r="F3805" t="str">
            <v>C1</v>
          </cell>
          <cell r="G3805" t="str">
            <v>SP</v>
          </cell>
          <cell r="H3805" t="str">
            <v>DISTRIBUIÇÃO</v>
          </cell>
          <cell r="I3805" t="str">
            <v>FOOD SERVICE</v>
          </cell>
          <cell r="J3805" t="str">
            <v>VAGO SP</v>
          </cell>
          <cell r="K3805" t="str">
            <v>ITAMBÉ</v>
          </cell>
          <cell r="L3805" t="str">
            <v>RODRIGO</v>
          </cell>
          <cell r="M3805" t="str">
            <v>RAQUEL BARBOSA</v>
          </cell>
        </row>
        <row r="3806">
          <cell r="B3806">
            <v>5131101</v>
          </cell>
          <cell r="C3806" t="str">
            <v>GRANO NICOLETTI COM ALIM LTDA</v>
          </cell>
          <cell r="D3806" t="str">
            <v>3001</v>
          </cell>
          <cell r="E3806" t="str">
            <v>0125</v>
          </cell>
          <cell r="F3806" t="str">
            <v>C1</v>
          </cell>
          <cell r="G3806" t="str">
            <v>SP</v>
          </cell>
          <cell r="H3806" t="str">
            <v>DISTRIBUIÇÃO</v>
          </cell>
          <cell r="I3806" t="str">
            <v>FOOD SERVICE</v>
          </cell>
          <cell r="J3806" t="str">
            <v>VAGO SP</v>
          </cell>
          <cell r="K3806" t="str">
            <v>ITAMBÉ</v>
          </cell>
          <cell r="L3806" t="str">
            <v>RODRIGO</v>
          </cell>
          <cell r="M3806" t="str">
            <v>RAQUEL BARBOSA</v>
          </cell>
        </row>
        <row r="3807">
          <cell r="B3807">
            <v>5149985</v>
          </cell>
          <cell r="C3807" t="str">
            <v>AROUMAR DISTRIB DE PRODUTOS ALIM LT</v>
          </cell>
          <cell r="D3807" t="str">
            <v>3001</v>
          </cell>
          <cell r="E3807" t="str">
            <v>0125</v>
          </cell>
          <cell r="F3807" t="str">
            <v>C1</v>
          </cell>
          <cell r="G3807" t="str">
            <v>SP</v>
          </cell>
          <cell r="H3807" t="str">
            <v>DISTRIBUIÇÃO</v>
          </cell>
          <cell r="I3807" t="str">
            <v>FOOD SERVICE</v>
          </cell>
          <cell r="J3807" t="str">
            <v>GUILHERME NASCIMENTO</v>
          </cell>
          <cell r="K3807" t="str">
            <v>ITAMBÉ</v>
          </cell>
          <cell r="L3807" t="str">
            <v>RODRIGO</v>
          </cell>
          <cell r="M3807" t="str">
            <v>ALEXANDRO</v>
          </cell>
        </row>
        <row r="3808">
          <cell r="B3808">
            <v>5165046</v>
          </cell>
          <cell r="C3808" t="str">
            <v>SLOOP IND COM DE ALIM LTDA</v>
          </cell>
          <cell r="D3808" t="str">
            <v>3001</v>
          </cell>
          <cell r="E3808" t="str">
            <v>0028</v>
          </cell>
          <cell r="F3808" t="str">
            <v>C1</v>
          </cell>
          <cell r="G3808" t="str">
            <v>RJ</v>
          </cell>
          <cell r="H3808" t="str">
            <v>INGREDIENTS</v>
          </cell>
          <cell r="I3808" t="str">
            <v>INGREDIENTS</v>
          </cell>
          <cell r="J3808" t="str">
            <v>RJ ITB FS L T MARTINS</v>
          </cell>
          <cell r="K3808" t="str">
            <v>ITAMBÉ</v>
          </cell>
          <cell r="L3808" t="str">
            <v>MAURICIO</v>
          </cell>
          <cell r="M3808" t="str">
            <v>TATIANA NITTA</v>
          </cell>
        </row>
        <row r="3809">
          <cell r="B3809">
            <v>5174977</v>
          </cell>
          <cell r="C3809" t="str">
            <v>MARTINS DA COSTA E CIA LTDA</v>
          </cell>
          <cell r="D3809" t="str">
            <v>3001</v>
          </cell>
          <cell r="E3809" t="str">
            <v>0125</v>
          </cell>
          <cell r="F3809" t="str">
            <v>C1</v>
          </cell>
          <cell r="G3809" t="str">
            <v>SP</v>
          </cell>
          <cell r="H3809" t="str">
            <v>QSR</v>
          </cell>
          <cell r="I3809" t="str">
            <v>FOOD SERVICE</v>
          </cell>
          <cell r="J3809" t="str">
            <v>ANA MENIQUETE</v>
          </cell>
          <cell r="K3809" t="str">
            <v>ITAMBÉ</v>
          </cell>
          <cell r="L3809" t="str">
            <v>PEDRO</v>
          </cell>
          <cell r="M3809" t="str">
            <v>ANA MENIQUETE</v>
          </cell>
        </row>
        <row r="3810">
          <cell r="B3810">
            <v>5176053</v>
          </cell>
          <cell r="C3810" t="str">
            <v>BAKELS BRASIL INGREDIENT PARA P</v>
          </cell>
          <cell r="D3810" t="str">
            <v>3001</v>
          </cell>
          <cell r="E3810" t="str">
            <v>0028</v>
          </cell>
          <cell r="F3810" t="str">
            <v>C1</v>
          </cell>
          <cell r="G3810" t="str">
            <v>SP</v>
          </cell>
          <cell r="H3810" t="str">
            <v>INGREDIENTS</v>
          </cell>
          <cell r="I3810" t="str">
            <v>INGREDIENTS</v>
          </cell>
          <cell r="J3810" t="str">
            <v>TATIANA NITTA</v>
          </cell>
          <cell r="K3810" t="str">
            <v>ITAMBÉ</v>
          </cell>
          <cell r="L3810" t="str">
            <v>MAURICIO</v>
          </cell>
          <cell r="M3810" t="str">
            <v>TATIANA NITTA</v>
          </cell>
        </row>
        <row r="3811">
          <cell r="B3811">
            <v>5181144</v>
          </cell>
          <cell r="C3811" t="str">
            <v>INDUSTRIA DE SORVETES CAMAGIVA LTDA</v>
          </cell>
          <cell r="D3811" t="str">
            <v>3001</v>
          </cell>
          <cell r="E3811" t="str">
            <v>0125</v>
          </cell>
          <cell r="F3811" t="str">
            <v>C1</v>
          </cell>
          <cell r="G3811" t="str">
            <v>SP</v>
          </cell>
          <cell r="H3811" t="str">
            <v>QSR</v>
          </cell>
          <cell r="I3811" t="str">
            <v>FOOD SERVICE</v>
          </cell>
          <cell r="J3811" t="str">
            <v>ANA MENIQUETE</v>
          </cell>
          <cell r="K3811" t="str">
            <v>ITAMBÉ</v>
          </cell>
          <cell r="L3811" t="str">
            <v>PEDRO</v>
          </cell>
          <cell r="M3811" t="str">
            <v>ANA MENIQUETE</v>
          </cell>
        </row>
        <row r="3812">
          <cell r="B3812">
            <v>5188800</v>
          </cell>
          <cell r="C3812" t="str">
            <v>DIEGO CESAR GOMES DA SILVA</v>
          </cell>
          <cell r="D3812" t="str">
            <v>3001</v>
          </cell>
          <cell r="E3812" t="str">
            <v>0028</v>
          </cell>
          <cell r="F3812" t="str">
            <v>C1</v>
          </cell>
          <cell r="G3812" t="str">
            <v>SP</v>
          </cell>
          <cell r="H3812" t="str">
            <v>INGREDIENTS</v>
          </cell>
          <cell r="I3812" t="str">
            <v>INGREDIENTS</v>
          </cell>
          <cell r="J3812" t="str">
            <v>HENRIQUE FERREIRA</v>
          </cell>
          <cell r="K3812" t="str">
            <v>ITAMBÉ</v>
          </cell>
          <cell r="L3812" t="str">
            <v>MAURICIO</v>
          </cell>
          <cell r="M3812" t="str">
            <v>JOEL</v>
          </cell>
        </row>
        <row r="3813">
          <cell r="B3813">
            <v>5188896</v>
          </cell>
          <cell r="C3813" t="str">
            <v>DOCE MINEIRO LTDA</v>
          </cell>
          <cell r="D3813" t="str">
            <v>4001</v>
          </cell>
          <cell r="E3813" t="str">
            <v>0458</v>
          </cell>
          <cell r="F3813" t="str">
            <v>C1</v>
          </cell>
          <cell r="G3813" t="str">
            <v>MG</v>
          </cell>
          <cell r="H3813" t="str">
            <v>INGREDIENTS</v>
          </cell>
          <cell r="I3813" t="str">
            <v>INGREDIENTS</v>
          </cell>
          <cell r="J3813" t="str">
            <v>TATIANA NITTA</v>
          </cell>
          <cell r="K3813" t="str">
            <v>LACTALIS</v>
          </cell>
          <cell r="L3813" t="str">
            <v>MAURICIO</v>
          </cell>
          <cell r="M3813" t="str">
            <v>TATIANA NITTA</v>
          </cell>
        </row>
        <row r="3814">
          <cell r="B3814">
            <v>5206787</v>
          </cell>
          <cell r="C3814" t="str">
            <v>CS FABRICACAO DE ALIMENTOS</v>
          </cell>
          <cell r="D3814" t="str">
            <v>3001</v>
          </cell>
          <cell r="E3814" t="str">
            <v>0125</v>
          </cell>
          <cell r="F3814" t="str">
            <v>C1</v>
          </cell>
          <cell r="G3814" t="str">
            <v>SP</v>
          </cell>
          <cell r="H3814" t="str">
            <v>QSR</v>
          </cell>
          <cell r="I3814" t="str">
            <v>FOOD SERVICE</v>
          </cell>
          <cell r="J3814" t="str">
            <v>ANA MENIQUETE</v>
          </cell>
          <cell r="K3814" t="str">
            <v>ITAMBÉ</v>
          </cell>
          <cell r="L3814" t="str">
            <v>PEDRO</v>
          </cell>
          <cell r="M3814" t="str">
            <v>ANA MENIQUETE</v>
          </cell>
        </row>
        <row r="3815">
          <cell r="B3815">
            <v>5217293</v>
          </cell>
          <cell r="C3815" t="str">
            <v>OESA COMERCIO E REPRESENTACOES SA</v>
          </cell>
          <cell r="D3815" t="str">
            <v>3001</v>
          </cell>
          <cell r="E3815" t="str">
            <v>0125</v>
          </cell>
          <cell r="F3815" t="str">
            <v>C1</v>
          </cell>
          <cell r="G3815" t="str">
            <v>SP</v>
          </cell>
          <cell r="H3815" t="str">
            <v>DISTRIBUIÇÃO</v>
          </cell>
          <cell r="I3815" t="str">
            <v>FOOD SERVICE</v>
          </cell>
          <cell r="J3815" t="str">
            <v>VAGO SP</v>
          </cell>
          <cell r="K3815" t="str">
            <v>ITAMBÉ</v>
          </cell>
          <cell r="L3815" t="str">
            <v>RODRIGO</v>
          </cell>
          <cell r="M3815" t="str">
            <v>RAQUEL BARBOSA</v>
          </cell>
        </row>
        <row r="3816">
          <cell r="B3816">
            <v>5227772</v>
          </cell>
          <cell r="C3816" t="str">
            <v>CHOCONATA INDUSTRIA E COM DE AL</v>
          </cell>
          <cell r="D3816" t="str">
            <v>3001</v>
          </cell>
          <cell r="E3816" t="str">
            <v>0028</v>
          </cell>
          <cell r="F3816" t="str">
            <v>C1</v>
          </cell>
          <cell r="G3816" t="str">
            <v>RJ</v>
          </cell>
          <cell r="H3816" t="str">
            <v>INGREDIENTS</v>
          </cell>
          <cell r="I3816" t="str">
            <v>INGREDIENTS</v>
          </cell>
          <cell r="J3816" t="str">
            <v>TATIANA NITTA</v>
          </cell>
          <cell r="K3816" t="str">
            <v>ITAMBÉ</v>
          </cell>
          <cell r="L3816" t="str">
            <v>MAURICIO</v>
          </cell>
          <cell r="M3816" t="str">
            <v>TATIANA NITTA</v>
          </cell>
        </row>
        <row r="3817">
          <cell r="B3817">
            <v>5229831</v>
          </cell>
          <cell r="C3817" t="str">
            <v>BRIGADEIRO INDUSTRIA E COMERCIO</v>
          </cell>
          <cell r="D3817" t="str">
            <v>3001</v>
          </cell>
          <cell r="E3817" t="str">
            <v>0028</v>
          </cell>
          <cell r="F3817" t="str">
            <v>C1</v>
          </cell>
          <cell r="G3817" t="str">
            <v>RJ</v>
          </cell>
          <cell r="H3817" t="str">
            <v>INGREDIENTS</v>
          </cell>
          <cell r="I3817" t="str">
            <v>INGREDIENTS</v>
          </cell>
          <cell r="J3817" t="str">
            <v>TATIANA NITTA</v>
          </cell>
          <cell r="K3817" t="str">
            <v>ITAMBÉ</v>
          </cell>
          <cell r="L3817" t="str">
            <v>MAURICIO</v>
          </cell>
          <cell r="M3817" t="str">
            <v>TATIANA NITTA</v>
          </cell>
        </row>
        <row r="3818">
          <cell r="B3818">
            <v>5261089</v>
          </cell>
          <cell r="C3818" t="str">
            <v>INTERFRIOS COM FRIOS LATCINIOS</v>
          </cell>
          <cell r="D3818" t="str">
            <v>3001</v>
          </cell>
          <cell r="E3818" t="str">
            <v>0125</v>
          </cell>
          <cell r="F3818" t="str">
            <v>C1</v>
          </cell>
          <cell r="G3818" t="str">
            <v>SP</v>
          </cell>
          <cell r="H3818" t="str">
            <v>DISTRIBUIÇÃO</v>
          </cell>
          <cell r="I3818" t="str">
            <v>FOOD SERVICE</v>
          </cell>
          <cell r="J3818" t="str">
            <v>GUILHERME NASCIMENTO</v>
          </cell>
          <cell r="K3818" t="str">
            <v>ITAMBÉ</v>
          </cell>
          <cell r="L3818" t="str">
            <v>RODRIGO</v>
          </cell>
          <cell r="M3818" t="str">
            <v>ALEXANDRO</v>
          </cell>
        </row>
        <row r="3819">
          <cell r="B3819">
            <v>5369565</v>
          </cell>
          <cell r="C3819" t="str">
            <v>ALLPAN COM DE PROD ALIMEN LTDA</v>
          </cell>
          <cell r="D3819" t="str">
            <v>3001</v>
          </cell>
          <cell r="E3819" t="str">
            <v>0125</v>
          </cell>
          <cell r="F3819" t="str">
            <v>C1</v>
          </cell>
          <cell r="G3819" t="str">
            <v>SP</v>
          </cell>
          <cell r="H3819" t="str">
            <v>DISTRIBUIÇÃO</v>
          </cell>
          <cell r="I3819" t="str">
            <v>FOOD SERVICE</v>
          </cell>
          <cell r="J3819" t="str">
            <v>SP ITB FS FLAC REP.E COMERCIO</v>
          </cell>
          <cell r="K3819" t="str">
            <v>ITAMBÉ</v>
          </cell>
          <cell r="L3819" t="str">
            <v>RODRIGO</v>
          </cell>
          <cell r="M3819" t="str">
            <v>RAQUEL BARBOSA</v>
          </cell>
        </row>
        <row r="3820">
          <cell r="B3820">
            <v>5371677</v>
          </cell>
          <cell r="C3820" t="str">
            <v>ALVILAC BRASIL LTDA</v>
          </cell>
          <cell r="D3820" t="str">
            <v>3001</v>
          </cell>
          <cell r="E3820" t="str">
            <v>0028</v>
          </cell>
          <cell r="F3820" t="str">
            <v>C1</v>
          </cell>
          <cell r="G3820" t="str">
            <v>SP</v>
          </cell>
          <cell r="H3820" t="str">
            <v>INGREDIENTS</v>
          </cell>
          <cell r="I3820" t="str">
            <v>INGREDIENTS</v>
          </cell>
          <cell r="J3820" t="str">
            <v>DLUM</v>
          </cell>
          <cell r="K3820" t="str">
            <v>ITAMBÉ</v>
          </cell>
          <cell r="L3820" t="str">
            <v>MAURICIO</v>
          </cell>
          <cell r="M3820" t="str">
            <v>JOEL</v>
          </cell>
        </row>
        <row r="3821">
          <cell r="B3821">
            <v>5372066</v>
          </cell>
          <cell r="C3821" t="str">
            <v>A R ROSA E CIA LTDA</v>
          </cell>
          <cell r="D3821" t="str">
            <v>3001</v>
          </cell>
          <cell r="E3821" t="str">
            <v>0028</v>
          </cell>
          <cell r="F3821" t="str">
            <v>C1</v>
          </cell>
          <cell r="G3821" t="str">
            <v>PR</v>
          </cell>
          <cell r="H3821" t="str">
            <v>INGREDIENTS</v>
          </cell>
          <cell r="I3821" t="str">
            <v>INGREDIENTS</v>
          </cell>
          <cell r="J3821" t="str">
            <v>PR ITB FS DONIZETH REPRES</v>
          </cell>
          <cell r="K3821" t="str">
            <v>ITAMBÉ</v>
          </cell>
          <cell r="L3821" t="str">
            <v>MAURICIO</v>
          </cell>
          <cell r="M3821" t="str">
            <v>MARCELO</v>
          </cell>
        </row>
        <row r="3822">
          <cell r="B3822">
            <v>5372144</v>
          </cell>
          <cell r="C3822" t="str">
            <v>MJ COMERCIO ALIMENTICIO LTDA</v>
          </cell>
          <cell r="D3822" t="str">
            <v>7001</v>
          </cell>
          <cell r="E3822" t="str">
            <v>0749</v>
          </cell>
          <cell r="F3822" t="str">
            <v>C5</v>
          </cell>
          <cell r="G3822" t="str">
            <v>SP</v>
          </cell>
          <cell r="H3822" t="str">
            <v>DISTRIBUIÇÃO</v>
          </cell>
          <cell r="I3822" t="str">
            <v>FOOD SERVICE</v>
          </cell>
          <cell r="J3822" t="str">
            <v>FLAC 10</v>
          </cell>
          <cell r="K3822" t="str">
            <v>LACTALIS</v>
          </cell>
          <cell r="L3822" t="str">
            <v>RODRIGO</v>
          </cell>
          <cell r="M3822" t="str">
            <v>RAQUEL BARBOSA</v>
          </cell>
        </row>
        <row r="3823">
          <cell r="B3823">
            <v>5372246</v>
          </cell>
          <cell r="C3823" t="str">
            <v>64051523 FILIPE LOPES</v>
          </cell>
          <cell r="D3823" t="str">
            <v>7001</v>
          </cell>
          <cell r="E3823" t="str">
            <v>0749</v>
          </cell>
          <cell r="F3823" t="str">
            <v>C5</v>
          </cell>
          <cell r="G3823" t="str">
            <v>SP</v>
          </cell>
          <cell r="H3823" t="str">
            <v>DISTRIBUIÇÃO</v>
          </cell>
          <cell r="I3823" t="str">
            <v>FOOD SERVICE</v>
          </cell>
          <cell r="J3823" t="str">
            <v>FLAC 5</v>
          </cell>
          <cell r="K3823" t="str">
            <v>LACTALIS</v>
          </cell>
          <cell r="L3823" t="str">
            <v>RODRIGO</v>
          </cell>
          <cell r="M3823" t="str">
            <v>RAQUEL BARBOSA</v>
          </cell>
        </row>
        <row r="3824">
          <cell r="B3824">
            <v>5372253</v>
          </cell>
          <cell r="C3824" t="str">
            <v>PLANET ICE DIST DE SOVETES LTDA</v>
          </cell>
          <cell r="D3824" t="str">
            <v>3001</v>
          </cell>
          <cell r="E3824" t="str">
            <v>0028</v>
          </cell>
          <cell r="F3824" t="str">
            <v>C1</v>
          </cell>
          <cell r="G3824" t="str">
            <v>PR</v>
          </cell>
          <cell r="H3824" t="str">
            <v>INGREDIENTS</v>
          </cell>
          <cell r="I3824" t="str">
            <v>INGREDIENTS</v>
          </cell>
          <cell r="J3824" t="str">
            <v>PR ITB FS REPRES TREVISANI</v>
          </cell>
          <cell r="K3824" t="str">
            <v>ITAMBÉ</v>
          </cell>
          <cell r="L3824" t="str">
            <v>MAURICIO</v>
          </cell>
          <cell r="M3824" t="str">
            <v>MARCELO</v>
          </cell>
        </row>
        <row r="3825">
          <cell r="B3825">
            <v>5372327</v>
          </cell>
          <cell r="C3825" t="str">
            <v>ALFA REFEICOES FOOD SERVICE LTDA</v>
          </cell>
          <cell r="D3825" t="str">
            <v>7001</v>
          </cell>
          <cell r="E3825" t="str">
            <v>0749</v>
          </cell>
          <cell r="F3825" t="str">
            <v>C5</v>
          </cell>
          <cell r="G3825" t="str">
            <v>SP</v>
          </cell>
          <cell r="H3825" t="str">
            <v>DISTRIBUIÇÃO</v>
          </cell>
          <cell r="I3825" t="str">
            <v>FOOD SERVICE</v>
          </cell>
          <cell r="J3825" t="str">
            <v>FLAC 3</v>
          </cell>
          <cell r="K3825" t="str">
            <v>LACTALIS</v>
          </cell>
          <cell r="L3825" t="str">
            <v>RODRIGO</v>
          </cell>
          <cell r="M3825" t="str">
            <v>RAQUEL BARBOSA</v>
          </cell>
        </row>
        <row r="3826">
          <cell r="B3826">
            <v>5019126</v>
          </cell>
          <cell r="C3826" t="str">
            <v>ROCHA PAN INDUSTRIA E COMERCIO LTDA</v>
          </cell>
          <cell r="D3826" t="str">
            <v>3001</v>
          </cell>
          <cell r="E3826" t="str">
            <v>0125</v>
          </cell>
          <cell r="F3826" t="str">
            <v>C1</v>
          </cell>
          <cell r="G3826" t="str">
            <v>SP</v>
          </cell>
          <cell r="H3826" t="str">
            <v>DISTRIBUIÇÃO</v>
          </cell>
          <cell r="I3826" t="str">
            <v>FOOD SERVICE</v>
          </cell>
          <cell r="J3826" t="str">
            <v>VAGO SP</v>
          </cell>
          <cell r="K3826" t="str">
            <v>ITAMBÉ</v>
          </cell>
          <cell r="L3826" t="str">
            <v>RODRIGO</v>
          </cell>
          <cell r="M3826" t="str">
            <v>RAQUEL BARBOSA</v>
          </cell>
        </row>
        <row r="3827">
          <cell r="B3827">
            <v>5019640</v>
          </cell>
          <cell r="C3827" t="str">
            <v>BIG CHURROS DE PIRACICABA LTDA</v>
          </cell>
          <cell r="D3827" t="str">
            <v>3001</v>
          </cell>
          <cell r="E3827" t="str">
            <v>0028</v>
          </cell>
          <cell r="F3827" t="str">
            <v>C1</v>
          </cell>
          <cell r="G3827" t="str">
            <v>SP</v>
          </cell>
          <cell r="H3827" t="str">
            <v>INGREDIENTS</v>
          </cell>
          <cell r="I3827" t="str">
            <v>INGREDIENTS</v>
          </cell>
          <cell r="J3827" t="str">
            <v>HENRIQUE FERREIRA</v>
          </cell>
          <cell r="K3827" t="str">
            <v>ITAMBÉ</v>
          </cell>
          <cell r="L3827" t="str">
            <v>MAURICIO</v>
          </cell>
          <cell r="M3827" t="str">
            <v>JOEL</v>
          </cell>
        </row>
        <row r="3828">
          <cell r="B3828">
            <v>5114387</v>
          </cell>
          <cell r="C3828" t="str">
            <v>JAQUELINI CARDOSO COSTA DA SILV</v>
          </cell>
          <cell r="D3828" t="str">
            <v>3001</v>
          </cell>
          <cell r="E3828" t="str">
            <v>0125</v>
          </cell>
          <cell r="F3828" t="str">
            <v>C1</v>
          </cell>
          <cell r="G3828" t="str">
            <v>SP</v>
          </cell>
          <cell r="H3828" t="str">
            <v>INGREDIENTS</v>
          </cell>
          <cell r="I3828" t="str">
            <v>INGREDIENTS</v>
          </cell>
          <cell r="J3828" t="str">
            <v>HENRIQUE FERREIRA</v>
          </cell>
          <cell r="K3828" t="str">
            <v>ITAMBÉ</v>
          </cell>
          <cell r="L3828" t="str">
            <v>MAURICIO</v>
          </cell>
          <cell r="M3828" t="str">
            <v>JOEL</v>
          </cell>
        </row>
        <row r="3829">
          <cell r="B3829">
            <v>5162411</v>
          </cell>
          <cell r="C3829" t="str">
            <v>MARIMEL DIST DE PROD ALIM LTDA</v>
          </cell>
          <cell r="D3829" t="str">
            <v>3001</v>
          </cell>
          <cell r="E3829" t="str">
            <v>0126</v>
          </cell>
          <cell r="F3829" t="str">
            <v>C1</v>
          </cell>
          <cell r="G3829" t="str">
            <v>PR</v>
          </cell>
          <cell r="H3829" t="str">
            <v>INGREDIENTS</v>
          </cell>
          <cell r="I3829" t="str">
            <v>INGREDIENTS</v>
          </cell>
          <cell r="J3829" t="str">
            <v>MARCELO RODRIGUES</v>
          </cell>
          <cell r="K3829" t="str">
            <v>ITAMBÉ</v>
          </cell>
          <cell r="L3829" t="str">
            <v>MAURICIO</v>
          </cell>
          <cell r="M3829" t="str">
            <v>MARCELO</v>
          </cell>
        </row>
        <row r="3830">
          <cell r="B3830">
            <v>5213484</v>
          </cell>
          <cell r="C3830" t="str">
            <v>HAVANA COMERCIO DE BEBIDAS LTDA</v>
          </cell>
          <cell r="D3830" t="str">
            <v>3001</v>
          </cell>
          <cell r="E3830" t="str">
            <v>0125</v>
          </cell>
          <cell r="F3830" t="str">
            <v>C1</v>
          </cell>
          <cell r="G3830" t="str">
            <v>SP</v>
          </cell>
          <cell r="H3830" t="str">
            <v>DISTRIBUIÇÃO</v>
          </cell>
          <cell r="I3830" t="str">
            <v>FOOD SERVICE</v>
          </cell>
          <cell r="J3830" t="str">
            <v>SP ITB FS FLAC REP.E COMERCIO</v>
          </cell>
          <cell r="K3830" t="str">
            <v>ITAMBÉ</v>
          </cell>
          <cell r="L3830" t="str">
            <v>RODRIGO</v>
          </cell>
          <cell r="M3830" t="str">
            <v>RAQUEL BARBOSA</v>
          </cell>
        </row>
        <row r="3831">
          <cell r="B3831">
            <v>5216119</v>
          </cell>
          <cell r="C3831" t="str">
            <v>GLOBAL QUALITY FOODS LTDA</v>
          </cell>
          <cell r="D3831" t="str">
            <v>3001</v>
          </cell>
          <cell r="E3831" t="str">
            <v>0125</v>
          </cell>
          <cell r="F3831" t="str">
            <v>C1</v>
          </cell>
          <cell r="G3831" t="str">
            <v>SP</v>
          </cell>
          <cell r="H3831" t="str">
            <v>INGREDIENTS</v>
          </cell>
          <cell r="I3831" t="str">
            <v>INGREDIENTS</v>
          </cell>
          <cell r="J3831" t="str">
            <v>HENRIQUE FERREIRA</v>
          </cell>
          <cell r="K3831" t="str">
            <v>ITAMBÉ</v>
          </cell>
          <cell r="L3831" t="str">
            <v>MAURICIO</v>
          </cell>
          <cell r="M3831" t="str">
            <v>JOEL</v>
          </cell>
        </row>
        <row r="3832">
          <cell r="B3832">
            <v>5216588</v>
          </cell>
          <cell r="C3832" t="str">
            <v>A CARDOSO G EMB E FESTAS LTDA</v>
          </cell>
          <cell r="D3832" t="str">
            <v>3001</v>
          </cell>
          <cell r="E3832" t="str">
            <v>0126</v>
          </cell>
          <cell r="F3832" t="str">
            <v>C1</v>
          </cell>
          <cell r="G3832" t="str">
            <v>PR</v>
          </cell>
          <cell r="H3832" t="str">
            <v>DISTRIBUIÇÃO</v>
          </cell>
          <cell r="I3832" t="str">
            <v>FOOD SERVICE</v>
          </cell>
          <cell r="J3832" t="str">
            <v>ANGELICA BATISTELA</v>
          </cell>
          <cell r="K3832" t="str">
            <v>ITAMBÉ</v>
          </cell>
          <cell r="L3832" t="str">
            <v>RODRIGO</v>
          </cell>
          <cell r="M3832" t="str">
            <v>ANGELICA BATISTELA</v>
          </cell>
        </row>
        <row r="3833">
          <cell r="B3833">
            <v>5264769</v>
          </cell>
          <cell r="C3833" t="str">
            <v>DOMANI HOTEL LTDA</v>
          </cell>
          <cell r="D3833" t="str">
            <v>7001</v>
          </cell>
          <cell r="E3833" t="str">
            <v>0749</v>
          </cell>
          <cell r="F3833" t="str">
            <v>C5</v>
          </cell>
          <cell r="G3833" t="str">
            <v>SP</v>
          </cell>
          <cell r="H3833" t="str">
            <v>DISTRIBUIÇÃO</v>
          </cell>
          <cell r="I3833" t="str">
            <v>FOOD SERVICE</v>
          </cell>
          <cell r="J3833" t="str">
            <v>FLAC 3</v>
          </cell>
          <cell r="K3833" t="str">
            <v>LACTALIS</v>
          </cell>
          <cell r="L3833" t="str">
            <v>RODRIGO</v>
          </cell>
          <cell r="M3833" t="str">
            <v>RAQUEL BARBOSA</v>
          </cell>
        </row>
        <row r="3834">
          <cell r="B3834">
            <v>5340507</v>
          </cell>
          <cell r="C3834" t="str">
            <v>SUAVE SABOR DOCERIA LTDA</v>
          </cell>
          <cell r="D3834" t="str">
            <v>3001</v>
          </cell>
          <cell r="E3834" t="str">
            <v>0028</v>
          </cell>
          <cell r="F3834" t="str">
            <v>C1</v>
          </cell>
          <cell r="G3834" t="str">
            <v>SP</v>
          </cell>
          <cell r="H3834" t="str">
            <v>INGREDIENTS</v>
          </cell>
          <cell r="I3834" t="str">
            <v>INGREDIENTS</v>
          </cell>
          <cell r="J3834" t="str">
            <v>TATIANA NITTA</v>
          </cell>
          <cell r="K3834" t="str">
            <v>ITAMBÉ</v>
          </cell>
          <cell r="L3834" t="str">
            <v>MAURICIO</v>
          </cell>
          <cell r="M3834" t="str">
            <v>TATIANA NITTA</v>
          </cell>
        </row>
        <row r="3835">
          <cell r="B3835">
            <v>5347144</v>
          </cell>
          <cell r="C3835" t="str">
            <v>MBF IND E COM DE ALIMENTOS LTDA</v>
          </cell>
          <cell r="D3835" t="str">
            <v>3001</v>
          </cell>
          <cell r="E3835" t="str">
            <v>0028</v>
          </cell>
          <cell r="F3835" t="str">
            <v>C1</v>
          </cell>
          <cell r="G3835" t="str">
            <v>SP</v>
          </cell>
          <cell r="H3835" t="str">
            <v>INGREDIENTS</v>
          </cell>
          <cell r="I3835" t="str">
            <v>INGREDIENTS</v>
          </cell>
          <cell r="J3835" t="str">
            <v>TATIANA NITTA</v>
          </cell>
          <cell r="K3835" t="str">
            <v>ITAMBÉ</v>
          </cell>
          <cell r="L3835" t="str">
            <v>MAURICIO</v>
          </cell>
          <cell r="M3835" t="str">
            <v>TATIANA NITTA</v>
          </cell>
        </row>
        <row r="3836">
          <cell r="B3836">
            <v>5348916</v>
          </cell>
          <cell r="C3836" t="str">
            <v>TOTAL CREAM</v>
          </cell>
          <cell r="D3836" t="str">
            <v>3001</v>
          </cell>
          <cell r="E3836" t="str">
            <v>0028</v>
          </cell>
          <cell r="F3836" t="str">
            <v>C1</v>
          </cell>
          <cell r="G3836" t="str">
            <v>SP</v>
          </cell>
          <cell r="H3836" t="str">
            <v>INGREDIENTS</v>
          </cell>
          <cell r="I3836" t="str">
            <v>INGREDIENTS</v>
          </cell>
          <cell r="J3836" t="str">
            <v>TATIANA NITTA</v>
          </cell>
          <cell r="K3836" t="str">
            <v>ITAMBÉ</v>
          </cell>
          <cell r="L3836" t="str">
            <v>MAURICIO</v>
          </cell>
          <cell r="M3836" t="str">
            <v>TATIANA NITTA</v>
          </cell>
        </row>
        <row r="3837">
          <cell r="B3837">
            <v>5351400</v>
          </cell>
          <cell r="C3837" t="str">
            <v>HARALD IND E COM DE ALIMENTOS L</v>
          </cell>
          <cell r="D3837" t="str">
            <v>4001</v>
          </cell>
          <cell r="E3837" t="str">
            <v>0437</v>
          </cell>
          <cell r="F3837" t="str">
            <v>C1</v>
          </cell>
          <cell r="G3837" t="str">
            <v>SP</v>
          </cell>
          <cell r="H3837" t="str">
            <v>INGREDIENTS</v>
          </cell>
          <cell r="I3837" t="str">
            <v>INGREDIENTS</v>
          </cell>
          <cell r="J3837" t="str">
            <v>TATIANA NITTA</v>
          </cell>
          <cell r="K3837" t="str">
            <v>LACTALIS</v>
          </cell>
          <cell r="L3837" t="str">
            <v>MAURICIO</v>
          </cell>
          <cell r="M3837" t="str">
            <v>TATIANA NITTA</v>
          </cell>
        </row>
        <row r="3838">
          <cell r="B3838">
            <v>5364891</v>
          </cell>
          <cell r="C3838" t="str">
            <v>NILSON HONORATO SOUZA</v>
          </cell>
          <cell r="D3838" t="str">
            <v>3001</v>
          </cell>
          <cell r="E3838" t="str">
            <v>0127</v>
          </cell>
          <cell r="F3838" t="str">
            <v>C1</v>
          </cell>
          <cell r="G3838" t="str">
            <v>PB</v>
          </cell>
          <cell r="H3838" t="str">
            <v>INGREDIENTS</v>
          </cell>
          <cell r="I3838" t="str">
            <v>INGREDIENTS</v>
          </cell>
          <cell r="J3838" t="str">
            <v>RN ITB FS W S REPRESENTAÇÕES</v>
          </cell>
          <cell r="K3838" t="str">
            <v>ITAMBÉ</v>
          </cell>
          <cell r="L3838" t="str">
            <v>MAURICIO</v>
          </cell>
          <cell r="M3838" t="str">
            <v>JOEL</v>
          </cell>
        </row>
        <row r="3839">
          <cell r="B3839">
            <v>5367394</v>
          </cell>
          <cell r="C3839" t="str">
            <v>NATALIA SALVE DAMASCENO 3256521</v>
          </cell>
          <cell r="D3839" t="str">
            <v>3001</v>
          </cell>
          <cell r="E3839" t="str">
            <v>0125</v>
          </cell>
          <cell r="F3839" t="str">
            <v>C1</v>
          </cell>
          <cell r="G3839" t="str">
            <v>SP</v>
          </cell>
          <cell r="H3839" t="str">
            <v>DISTRIBUIÇÃO</v>
          </cell>
          <cell r="I3839" t="str">
            <v>FOOD SERVICE</v>
          </cell>
          <cell r="J3839" t="str">
            <v>SP ITB FS FLAC REP.E COMERCIO</v>
          </cell>
          <cell r="K3839" t="str">
            <v>ITAMBÉ</v>
          </cell>
          <cell r="L3839" t="str">
            <v>RODRIGO</v>
          </cell>
          <cell r="M3839" t="str">
            <v>RAQUEL BARBOSA</v>
          </cell>
        </row>
        <row r="3840">
          <cell r="B3840">
            <v>5368572</v>
          </cell>
          <cell r="C3840" t="str">
            <v>IHC SAO PAULO HOTELARIA S A</v>
          </cell>
          <cell r="D3840" t="str">
            <v>7001</v>
          </cell>
          <cell r="E3840" t="str">
            <v>0749</v>
          </cell>
          <cell r="F3840" t="str">
            <v>C5</v>
          </cell>
          <cell r="G3840" t="str">
            <v>SP</v>
          </cell>
          <cell r="H3840" t="str">
            <v>DISTRIBUIÇÃO</v>
          </cell>
          <cell r="I3840" t="str">
            <v>FOOD SERVICE</v>
          </cell>
          <cell r="J3840" t="str">
            <v>FLAC 2</v>
          </cell>
          <cell r="K3840" t="str">
            <v>LACTALIS</v>
          </cell>
          <cell r="L3840" t="str">
            <v>RODRIGO</v>
          </cell>
          <cell r="M3840" t="str">
            <v>RAQUEL BARBOSA</v>
          </cell>
        </row>
        <row r="3841">
          <cell r="B3841">
            <v>5369632</v>
          </cell>
          <cell r="C3841" t="str">
            <v>INOV3 ENGENHARIA DE ALIMENT LTD</v>
          </cell>
          <cell r="D3841" t="str">
            <v>3001</v>
          </cell>
          <cell r="E3841" t="str">
            <v>0028</v>
          </cell>
          <cell r="F3841" t="str">
            <v>C1</v>
          </cell>
          <cell r="G3841" t="str">
            <v>SP</v>
          </cell>
          <cell r="H3841" t="str">
            <v>INGREDIENTS</v>
          </cell>
          <cell r="I3841" t="str">
            <v>INGREDIENTS</v>
          </cell>
          <cell r="J3841" t="str">
            <v>TATIANA NITTA</v>
          </cell>
          <cell r="K3841" t="str">
            <v>ITAMBÉ</v>
          </cell>
          <cell r="L3841" t="str">
            <v>MAURICIO</v>
          </cell>
          <cell r="M3841" t="str">
            <v>TATIANA NITTA</v>
          </cell>
        </row>
        <row r="3842">
          <cell r="B3842">
            <v>5370073</v>
          </cell>
          <cell r="C3842" t="str">
            <v>FARINHA E AGUA LTDA</v>
          </cell>
          <cell r="D3842" t="str">
            <v>3001</v>
          </cell>
          <cell r="E3842" t="str">
            <v>0169</v>
          </cell>
          <cell r="F3842" t="str">
            <v>C1</v>
          </cell>
          <cell r="G3842" t="str">
            <v>ES</v>
          </cell>
          <cell r="H3842" t="str">
            <v>DISTRIBUIÇÃO</v>
          </cell>
          <cell r="I3842" t="str">
            <v>FOOD SERVICE</v>
          </cell>
          <cell r="J3842" t="str">
            <v>MARCELO DUARTE</v>
          </cell>
          <cell r="K3842" t="str">
            <v>ITAMBÉ</v>
          </cell>
          <cell r="L3842" t="str">
            <v>RODRIGO</v>
          </cell>
          <cell r="M3842" t="str">
            <v>JESSICA</v>
          </cell>
        </row>
        <row r="3843">
          <cell r="B3843">
            <v>5372166</v>
          </cell>
          <cell r="C3843" t="str">
            <v>GRANVITALE COMERCIO E INDUSTRIA</v>
          </cell>
          <cell r="D3843" t="str">
            <v>4001</v>
          </cell>
          <cell r="E3843" t="str">
            <v>0437</v>
          </cell>
          <cell r="F3843" t="str">
            <v>C1</v>
          </cell>
          <cell r="G3843" t="str">
            <v>SP</v>
          </cell>
          <cell r="H3843" t="str">
            <v>INGREDIENTS</v>
          </cell>
          <cell r="I3843" t="str">
            <v>INGREDIENTS</v>
          </cell>
          <cell r="J3843" t="str">
            <v>TATIANA NITTA</v>
          </cell>
          <cell r="K3843" t="str">
            <v>LACTALIS</v>
          </cell>
          <cell r="L3843" t="str">
            <v>MAURICIO</v>
          </cell>
          <cell r="M3843" t="str">
            <v>TATIANA NITTA</v>
          </cell>
        </row>
        <row r="3844">
          <cell r="B3844">
            <v>5372291</v>
          </cell>
          <cell r="C3844" t="str">
            <v>BRUBI DISTRIBUIDORA LTDA</v>
          </cell>
          <cell r="D3844" t="str">
            <v>3001</v>
          </cell>
          <cell r="E3844" t="str">
            <v>0028</v>
          </cell>
          <cell r="F3844" t="str">
            <v>C1</v>
          </cell>
          <cell r="G3844" t="str">
            <v>SP</v>
          </cell>
          <cell r="H3844" t="str">
            <v>INGREDIENTS</v>
          </cell>
          <cell r="I3844" t="str">
            <v>INGREDIENTS</v>
          </cell>
          <cell r="J3844" t="str">
            <v>TATIANA NITTA</v>
          </cell>
          <cell r="K3844" t="str">
            <v>ITAMBÉ</v>
          </cell>
          <cell r="L3844" t="str">
            <v>MAURICIO</v>
          </cell>
          <cell r="M3844" t="str">
            <v>TATIANA NITTA</v>
          </cell>
        </row>
        <row r="3845">
          <cell r="B3845">
            <v>5148812</v>
          </cell>
          <cell r="C3845" t="str">
            <v>CB VILA VELHA COM ALIMENTOS LTDA</v>
          </cell>
          <cell r="D3845" t="str">
            <v>3001</v>
          </cell>
          <cell r="E3845" t="str">
            <v>0169</v>
          </cell>
          <cell r="F3845" t="str">
            <v>C1</v>
          </cell>
          <cell r="G3845" t="str">
            <v>ES</v>
          </cell>
          <cell r="H3845" t="str">
            <v>QSR</v>
          </cell>
          <cell r="I3845" t="str">
            <v>FOOD SERVICE</v>
          </cell>
          <cell r="J3845" t="str">
            <v>VAGO QSR</v>
          </cell>
          <cell r="K3845" t="str">
            <v>ITAMBÉ</v>
          </cell>
          <cell r="L3845" t="str">
            <v>PEDRO</v>
          </cell>
          <cell r="M3845" t="str">
            <v>VAGO QSR</v>
          </cell>
        </row>
        <row r="3846">
          <cell r="B3846">
            <v>5159289</v>
          </cell>
          <cell r="C3846" t="str">
            <v>FUNCHAL IND COM DE PAPEIS LTDA</v>
          </cell>
          <cell r="D3846" t="str">
            <v>3001</v>
          </cell>
          <cell r="E3846" t="str">
            <v>0125</v>
          </cell>
          <cell r="F3846" t="str">
            <v>C1</v>
          </cell>
          <cell r="G3846" t="str">
            <v>SP</v>
          </cell>
          <cell r="H3846" t="str">
            <v>DISTRIBUIÇÃO</v>
          </cell>
          <cell r="I3846" t="str">
            <v>FOOD SERVICE</v>
          </cell>
          <cell r="J3846" t="str">
            <v>VAGO SP</v>
          </cell>
          <cell r="K3846" t="str">
            <v>ITAMBÉ</v>
          </cell>
          <cell r="L3846" t="str">
            <v>RODRIGO</v>
          </cell>
          <cell r="M3846" t="str">
            <v>RAQUEL BARBOSA</v>
          </cell>
        </row>
        <row r="3847">
          <cell r="B3847">
            <v>5164717</v>
          </cell>
          <cell r="C3847" t="str">
            <v>HENDUPAN COM DE PROD CON LTDA</v>
          </cell>
          <cell r="D3847" t="str">
            <v>3001</v>
          </cell>
          <cell r="E3847" t="str">
            <v>0125</v>
          </cell>
          <cell r="F3847" t="str">
            <v>C1</v>
          </cell>
          <cell r="G3847" t="str">
            <v>SP</v>
          </cell>
          <cell r="H3847" t="str">
            <v>DISTRIBUIÇÃO</v>
          </cell>
          <cell r="I3847" t="str">
            <v>FOOD SERVICE</v>
          </cell>
          <cell r="J3847" t="str">
            <v>SP ITB FS FLAC REP.E COMERCIO</v>
          </cell>
          <cell r="K3847" t="str">
            <v>ITAMBÉ</v>
          </cell>
          <cell r="L3847" t="str">
            <v>RODRIGO</v>
          </cell>
          <cell r="M3847" t="str">
            <v>RAQUEL BARBOSA</v>
          </cell>
        </row>
        <row r="3848">
          <cell r="B3848">
            <v>5210879</v>
          </cell>
          <cell r="C3848" t="str">
            <v>CB RIO BOTAFOGO C DE ALIMENTOS</v>
          </cell>
          <cell r="D3848" t="str">
            <v>3001</v>
          </cell>
          <cell r="E3848" t="str">
            <v>0169</v>
          </cell>
          <cell r="F3848" t="str">
            <v>C1</v>
          </cell>
          <cell r="G3848" t="str">
            <v>RJ</v>
          </cell>
          <cell r="H3848" t="str">
            <v>QSR</v>
          </cell>
          <cell r="I3848" t="str">
            <v>FOOD SERVICE</v>
          </cell>
          <cell r="J3848" t="str">
            <v>VAGO QSR</v>
          </cell>
          <cell r="K3848" t="str">
            <v>ITAMBÉ</v>
          </cell>
          <cell r="L3848" t="str">
            <v>PEDRO</v>
          </cell>
          <cell r="M3848" t="str">
            <v>VAGO QSR</v>
          </cell>
        </row>
        <row r="3849">
          <cell r="B3849">
            <v>5226985</v>
          </cell>
          <cell r="C3849" t="str">
            <v>DISTRIBUIDORA E IMP IRMAOS AVEL</v>
          </cell>
          <cell r="D3849" t="str">
            <v>3001</v>
          </cell>
          <cell r="E3849" t="str">
            <v>0125</v>
          </cell>
          <cell r="F3849" t="str">
            <v>C1</v>
          </cell>
          <cell r="G3849" t="str">
            <v>SP</v>
          </cell>
          <cell r="H3849" t="str">
            <v>DISTRIBUIÇÃO</v>
          </cell>
          <cell r="I3849" t="str">
            <v>FOOD SERVICE</v>
          </cell>
          <cell r="J3849" t="str">
            <v>RAQUEL BARBOSA</v>
          </cell>
          <cell r="K3849" t="str">
            <v>ITAMBÉ</v>
          </cell>
          <cell r="L3849" t="str">
            <v>RODRIGO</v>
          </cell>
          <cell r="M3849" t="str">
            <v>RAQUEL BARBOSA</v>
          </cell>
        </row>
        <row r="3850">
          <cell r="B3850">
            <v>5350655</v>
          </cell>
          <cell r="C3850" t="str">
            <v>CB CAMPINAS COM DE ALIMEN LTDA</v>
          </cell>
          <cell r="D3850" t="str">
            <v>3001</v>
          </cell>
          <cell r="E3850" t="str">
            <v>0125</v>
          </cell>
          <cell r="F3850" t="str">
            <v>C1</v>
          </cell>
          <cell r="G3850" t="str">
            <v>SP</v>
          </cell>
          <cell r="H3850" t="str">
            <v>QSR</v>
          </cell>
          <cell r="I3850" t="str">
            <v>FOOD SERVICE</v>
          </cell>
          <cell r="J3850" t="str">
            <v>VAGO QSR</v>
          </cell>
          <cell r="K3850" t="str">
            <v>ITAMBÉ</v>
          </cell>
          <cell r="L3850" t="str">
            <v>PEDRO</v>
          </cell>
          <cell r="M3850" t="str">
            <v>VAGO QSR</v>
          </cell>
        </row>
        <row r="3851">
          <cell r="B3851">
            <v>5350702</v>
          </cell>
          <cell r="C3851" t="str">
            <v>CB SAO JOSE DO RIO PRETO COM DE AL</v>
          </cell>
          <cell r="D3851" t="str">
            <v>3001</v>
          </cell>
          <cell r="E3851" t="str">
            <v>0125</v>
          </cell>
          <cell r="F3851" t="str">
            <v>C1</v>
          </cell>
          <cell r="G3851" t="str">
            <v>SP</v>
          </cell>
          <cell r="H3851" t="str">
            <v>QSR</v>
          </cell>
          <cell r="I3851" t="str">
            <v>FOOD SERVICE</v>
          </cell>
          <cell r="J3851" t="str">
            <v>VAGO QSR</v>
          </cell>
          <cell r="K3851" t="str">
            <v>ITAMBÉ</v>
          </cell>
          <cell r="L3851" t="str">
            <v>PEDRO</v>
          </cell>
          <cell r="M3851" t="str">
            <v>VAGO QSR</v>
          </cell>
        </row>
        <row r="3852">
          <cell r="B3852">
            <v>5351895</v>
          </cell>
          <cell r="C3852" t="str">
            <v>CB RIO NORTE SHOP COM DE ALI LT</v>
          </cell>
          <cell r="D3852" t="str">
            <v>3001</v>
          </cell>
          <cell r="E3852" t="str">
            <v>0169</v>
          </cell>
          <cell r="F3852" t="str">
            <v>C1</v>
          </cell>
          <cell r="G3852" t="str">
            <v>RJ</v>
          </cell>
          <cell r="H3852" t="str">
            <v>QSR</v>
          </cell>
          <cell r="I3852" t="str">
            <v>FOOD SERVICE</v>
          </cell>
          <cell r="J3852" t="str">
            <v>VAGO QSR</v>
          </cell>
          <cell r="K3852" t="str">
            <v>ITAMBÉ</v>
          </cell>
          <cell r="L3852" t="str">
            <v>PEDRO</v>
          </cell>
          <cell r="M3852" t="str">
            <v>VAGO QSR</v>
          </cell>
        </row>
        <row r="3853">
          <cell r="B3853">
            <v>5352345</v>
          </cell>
          <cell r="C3853" t="str">
            <v>CB CUIABA COMERCIO DE ALIMENT L</v>
          </cell>
          <cell r="D3853" t="str">
            <v>3001</v>
          </cell>
          <cell r="E3853" t="str">
            <v>0123</v>
          </cell>
          <cell r="F3853" t="str">
            <v>C1</v>
          </cell>
          <cell r="G3853" t="str">
            <v>MT</v>
          </cell>
          <cell r="H3853" t="str">
            <v>QSR</v>
          </cell>
          <cell r="I3853" t="str">
            <v>FOOD SERVICE</v>
          </cell>
          <cell r="J3853" t="str">
            <v>VAGO QSR</v>
          </cell>
          <cell r="K3853" t="str">
            <v>ITAMBÉ</v>
          </cell>
          <cell r="L3853" t="str">
            <v>PEDRO</v>
          </cell>
          <cell r="M3853" t="str">
            <v>VAGO QSR</v>
          </cell>
        </row>
        <row r="3854">
          <cell r="B3854">
            <v>5355972</v>
          </cell>
          <cell r="C3854" t="str">
            <v>BROWNIE DA MINHA MAE DOCERIA LT</v>
          </cell>
          <cell r="D3854" t="str">
            <v>3001</v>
          </cell>
          <cell r="E3854" t="str">
            <v>0125</v>
          </cell>
          <cell r="F3854" t="str">
            <v>C1</v>
          </cell>
          <cell r="G3854" t="str">
            <v>SP</v>
          </cell>
          <cell r="H3854" t="str">
            <v>DISTRIBUIÇÃO</v>
          </cell>
          <cell r="I3854" t="str">
            <v>FOOD SERVICE</v>
          </cell>
          <cell r="J3854" t="str">
            <v>SP ITB FS FLAC REP.E COMERCIO</v>
          </cell>
          <cell r="K3854" t="str">
            <v>ITAMBÉ</v>
          </cell>
          <cell r="L3854" t="str">
            <v>RODRIGO</v>
          </cell>
          <cell r="M3854" t="str">
            <v>RAQUEL BARBOSA</v>
          </cell>
        </row>
        <row r="3855">
          <cell r="B3855">
            <v>5359414</v>
          </cell>
          <cell r="C3855" t="str">
            <v>MEL INDUSTRIA ALIMENTICIA DE DO</v>
          </cell>
          <cell r="D3855" t="str">
            <v>3001</v>
          </cell>
          <cell r="E3855" t="str">
            <v>0028</v>
          </cell>
          <cell r="F3855" t="str">
            <v>C1</v>
          </cell>
          <cell r="G3855" t="str">
            <v>MG</v>
          </cell>
          <cell r="H3855" t="str">
            <v>INGREDIENTS</v>
          </cell>
          <cell r="I3855" t="str">
            <v>INGREDIENTS</v>
          </cell>
          <cell r="J3855" t="str">
            <v>HENRIQUE FERREIRA</v>
          </cell>
          <cell r="K3855" t="str">
            <v>ITAMBÉ</v>
          </cell>
          <cell r="L3855" t="str">
            <v>MAURICIO</v>
          </cell>
          <cell r="M3855" t="str">
            <v>JOEL</v>
          </cell>
        </row>
        <row r="3856">
          <cell r="B3856">
            <v>5363598</v>
          </cell>
          <cell r="C3856" t="str">
            <v>CB RIO VOLTA REDONDA COM DE AL</v>
          </cell>
          <cell r="D3856" t="str">
            <v>3001</v>
          </cell>
          <cell r="E3856" t="str">
            <v>0169</v>
          </cell>
          <cell r="F3856" t="str">
            <v>C1</v>
          </cell>
          <cell r="G3856" t="str">
            <v>RJ</v>
          </cell>
          <cell r="H3856" t="str">
            <v>QSR</v>
          </cell>
          <cell r="I3856" t="str">
            <v>FOOD SERVICE</v>
          </cell>
          <cell r="J3856" t="str">
            <v>VAGO QSR</v>
          </cell>
          <cell r="K3856" t="str">
            <v>ITAMBÉ</v>
          </cell>
          <cell r="L3856" t="str">
            <v>PEDRO</v>
          </cell>
          <cell r="M3856" t="str">
            <v>VAGO QSR</v>
          </cell>
        </row>
        <row r="3857">
          <cell r="B3857">
            <v>5371677</v>
          </cell>
          <cell r="C3857" t="str">
            <v>ALVILAC BRASIL LTDA</v>
          </cell>
          <cell r="D3857" t="str">
            <v>4001</v>
          </cell>
          <cell r="E3857" t="str">
            <v>0437</v>
          </cell>
          <cell r="F3857" t="str">
            <v>C1</v>
          </cell>
          <cell r="G3857" t="str">
            <v>SP</v>
          </cell>
          <cell r="H3857" t="str">
            <v>INGREDIENTS</v>
          </cell>
          <cell r="I3857" t="str">
            <v>INGREDIENTS</v>
          </cell>
          <cell r="J3857" t="str">
            <v>JOEL ELEOTÉRIO</v>
          </cell>
          <cell r="K3857" t="str">
            <v>LACTALIS</v>
          </cell>
          <cell r="L3857" t="str">
            <v>MAURICIO</v>
          </cell>
          <cell r="M3857" t="str">
            <v>JOEL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CE0B78D-A9E5-4EC7-A6FE-D66BC5B3060E}">
  <we:reference id="wa200000169" version="1.17.0.0" store="pt-BR" storeType="OMEX"/>
  <we:alternateReferences>
    <we:reference id="wa200000169" version="1.17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0BDE-E6C8-4B65-9542-F70F3610FBA9}">
  <sheetPr>
    <tabColor theme="7" tint="-0.499984740745262"/>
  </sheetPr>
  <dimension ref="A1:W532"/>
  <sheetViews>
    <sheetView showGridLines="0" tabSelected="1" topLeftCell="A524" workbookViewId="0">
      <selection activeCell="A545" sqref="A545"/>
    </sheetView>
  </sheetViews>
  <sheetFormatPr defaultColWidth="9.109375" defaultRowHeight="15" customHeight="1" x14ac:dyDescent="0.25"/>
  <cols>
    <col min="1" max="1" width="9.109375" style="2"/>
    <col min="2" max="2" width="9.33203125" style="2" customWidth="1"/>
    <col min="3" max="3" width="9.109375" style="2"/>
    <col min="4" max="4" width="11.33203125" style="3" customWidth="1"/>
    <col min="5" max="5" width="10.88671875" style="4" bestFit="1" customWidth="1"/>
    <col min="6" max="6" width="11" style="3" bestFit="1" customWidth="1"/>
    <col min="7" max="7" width="11.88671875" style="3" bestFit="1" customWidth="1"/>
    <col min="8" max="8" width="30.88671875" style="3" bestFit="1" customWidth="1"/>
    <col min="9" max="9" width="3.109375" style="3" bestFit="1" customWidth="1"/>
    <col min="10" max="10" width="4.44140625" style="3" bestFit="1" customWidth="1"/>
    <col min="11" max="11" width="7.33203125" style="3" bestFit="1" customWidth="1"/>
    <col min="12" max="12" width="5.6640625" style="5" bestFit="1" customWidth="1"/>
    <col min="13" max="13" width="17" style="10" customWidth="1"/>
    <col min="14" max="14" width="10.5546875" style="6" bestFit="1" customWidth="1"/>
    <col min="15" max="15" width="13.44140625" style="3" bestFit="1" customWidth="1"/>
    <col min="16" max="16" width="13.44140625" style="3" customWidth="1"/>
    <col min="17" max="17" width="12.6640625" style="3" bestFit="1" customWidth="1"/>
    <col min="18" max="18" width="22.88671875" style="7" bestFit="1" customWidth="1"/>
    <col min="19" max="19" width="11.5546875" style="8" bestFit="1" customWidth="1"/>
    <col min="20" max="22" width="9" style="9" customWidth="1"/>
    <col min="23" max="23" width="14.5546875" style="9" bestFit="1" customWidth="1"/>
    <col min="24" max="16384" width="9.109375" style="1"/>
  </cols>
  <sheetData>
    <row r="1" spans="1:23" s="11" customFormat="1" ht="15" customHeight="1" x14ac:dyDescent="0.25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275</v>
      </c>
      <c r="G1" s="13" t="s">
        <v>6</v>
      </c>
      <c r="H1" s="13" t="s">
        <v>5</v>
      </c>
      <c r="I1" s="13" t="s">
        <v>7</v>
      </c>
      <c r="J1" s="13" t="s">
        <v>8</v>
      </c>
      <c r="K1" s="13" t="s">
        <v>9</v>
      </c>
      <c r="L1" s="14" t="s">
        <v>10</v>
      </c>
      <c r="M1" s="15" t="s">
        <v>11</v>
      </c>
      <c r="N1" s="16" t="s">
        <v>12</v>
      </c>
      <c r="O1" s="13" t="s">
        <v>13</v>
      </c>
      <c r="P1" s="13" t="s">
        <v>0</v>
      </c>
      <c r="Q1" s="13" t="s">
        <v>397</v>
      </c>
      <c r="R1" s="17" t="s">
        <v>14</v>
      </c>
      <c r="S1" s="18" t="s">
        <v>15</v>
      </c>
      <c r="T1" s="19" t="s">
        <v>16</v>
      </c>
      <c r="U1" s="19" t="s">
        <v>17</v>
      </c>
      <c r="V1" s="19" t="s">
        <v>18</v>
      </c>
      <c r="W1" s="19" t="s">
        <v>19</v>
      </c>
    </row>
    <row r="2" spans="1:23" ht="15" customHeight="1" x14ac:dyDescent="0.25">
      <c r="A2" s="20" t="str">
        <f>VLOOKUP(F2,[1]CLIENTES!B:L,11,0)</f>
        <v>RODRIGO</v>
      </c>
      <c r="B2" s="20" t="s">
        <v>20</v>
      </c>
      <c r="C2" s="20">
        <v>46028</v>
      </c>
      <c r="D2" s="21" t="s">
        <v>21</v>
      </c>
      <c r="E2" s="21">
        <v>215</v>
      </c>
      <c r="F2" s="21">
        <v>5023831</v>
      </c>
      <c r="G2" s="21">
        <v>126676</v>
      </c>
      <c r="H2" s="21" t="s">
        <v>22</v>
      </c>
      <c r="I2" s="21" t="s">
        <v>23</v>
      </c>
      <c r="J2" s="21">
        <v>6125</v>
      </c>
      <c r="K2" s="21">
        <v>692</v>
      </c>
      <c r="L2" s="22">
        <v>93</v>
      </c>
      <c r="M2" s="23" t="s">
        <v>24</v>
      </c>
      <c r="N2" s="24" t="s">
        <v>25</v>
      </c>
      <c r="O2" s="25">
        <v>46055</v>
      </c>
      <c r="P2" s="25" t="str">
        <f>VLOOKUP(F2,[1]CLIENTES!B:L,11,0)</f>
        <v>RODRIGO</v>
      </c>
      <c r="Q2" s="25" t="str">
        <f>VLOOKUP(F2,[1]CLIENTES!B:M,12,0)</f>
        <v>RAQUEL BARBOSA</v>
      </c>
      <c r="R2" s="26" t="str">
        <f>VLOOKUP(F2,[1]CLIENTES!B:J,9,0)</f>
        <v>VAGO SP</v>
      </c>
      <c r="S2" s="27">
        <v>6000</v>
      </c>
      <c r="T2" s="28" t="s">
        <v>27</v>
      </c>
      <c r="U2" s="28" t="s">
        <v>28</v>
      </c>
      <c r="V2" s="28" t="s">
        <v>29</v>
      </c>
      <c r="W2" s="28" t="s">
        <v>30</v>
      </c>
    </row>
    <row r="3" spans="1:23" ht="15" customHeight="1" x14ac:dyDescent="0.25">
      <c r="A3" s="20" t="str">
        <f>VLOOKUP(F3,[1]CLIENTES!B:L,11,0)</f>
        <v>RODRIGO</v>
      </c>
      <c r="B3" s="20" t="s">
        <v>20</v>
      </c>
      <c r="C3" s="20">
        <v>46225</v>
      </c>
      <c r="D3" s="21" t="s">
        <v>21</v>
      </c>
      <c r="E3" s="21">
        <v>206</v>
      </c>
      <c r="F3" s="21">
        <v>5017576</v>
      </c>
      <c r="G3" s="21">
        <v>116132</v>
      </c>
      <c r="H3" s="21" t="s">
        <v>31</v>
      </c>
      <c r="I3" s="21" t="s">
        <v>32</v>
      </c>
      <c r="J3" s="21">
        <v>6169</v>
      </c>
      <c r="K3" s="21">
        <v>690</v>
      </c>
      <c r="L3" s="22">
        <v>92</v>
      </c>
      <c r="M3" s="23" t="s">
        <v>33</v>
      </c>
      <c r="N3" s="24" t="s">
        <v>25</v>
      </c>
      <c r="O3" s="25">
        <v>46055</v>
      </c>
      <c r="P3" s="25" t="str">
        <f>VLOOKUP(F3,[1]CLIENTES!B:L,11,0)</f>
        <v>RODRIGO</v>
      </c>
      <c r="Q3" s="25" t="str">
        <f>VLOOKUP(F3,[1]CLIENTES!B:M,12,0)</f>
        <v>JESSICA</v>
      </c>
      <c r="R3" s="26" t="str">
        <f>VLOOKUP(F3,[1]CLIENTES!B:J,9,0)</f>
        <v>MARCELO DUARTE</v>
      </c>
      <c r="S3" s="27">
        <v>15000</v>
      </c>
      <c r="T3" s="28" t="s">
        <v>34</v>
      </c>
      <c r="U3" s="28" t="s">
        <v>28</v>
      </c>
      <c r="V3" s="28" t="s">
        <v>29</v>
      </c>
      <c r="W3" s="28" t="s">
        <v>35</v>
      </c>
    </row>
    <row r="4" spans="1:23" ht="15" customHeight="1" x14ac:dyDescent="0.25">
      <c r="A4" s="20" t="str">
        <f>VLOOKUP(F4,[1]CLIENTES!B:L,11,0)</f>
        <v>RODRIGO</v>
      </c>
      <c r="B4" s="20" t="s">
        <v>20</v>
      </c>
      <c r="C4" s="20">
        <v>46047</v>
      </c>
      <c r="D4" s="21" t="s">
        <v>21</v>
      </c>
      <c r="E4" s="21">
        <v>277</v>
      </c>
      <c r="F4" s="21">
        <v>5115019</v>
      </c>
      <c r="G4" s="21">
        <v>123456</v>
      </c>
      <c r="H4" s="21" t="s">
        <v>36</v>
      </c>
      <c r="I4" s="21" t="s">
        <v>37</v>
      </c>
      <c r="J4" s="21">
        <v>6169</v>
      </c>
      <c r="K4" s="21">
        <v>689</v>
      </c>
      <c r="L4" s="22">
        <v>92</v>
      </c>
      <c r="M4" s="23" t="s">
        <v>38</v>
      </c>
      <c r="N4" s="24" t="s">
        <v>25</v>
      </c>
      <c r="O4" s="25">
        <v>46055</v>
      </c>
      <c r="P4" s="25" t="str">
        <f>VLOOKUP(F4,[1]CLIENTES!B:L,11,0)</f>
        <v>RODRIGO</v>
      </c>
      <c r="Q4" s="25" t="str">
        <f>VLOOKUP(F4,[1]CLIENTES!B:M,12,0)</f>
        <v>JESSICA</v>
      </c>
      <c r="R4" s="26" t="str">
        <f>VLOOKUP(F4,[1]CLIENTES!B:J,9,0)</f>
        <v>JESSICA CARLA</v>
      </c>
      <c r="S4" s="27">
        <v>15715</v>
      </c>
      <c r="T4" s="28" t="s">
        <v>34</v>
      </c>
      <c r="U4" s="28" t="s">
        <v>28</v>
      </c>
      <c r="V4" s="28" t="s">
        <v>29</v>
      </c>
      <c r="W4" s="28" t="s">
        <v>35</v>
      </c>
    </row>
    <row r="5" spans="1:23" ht="15" customHeight="1" x14ac:dyDescent="0.25">
      <c r="A5" s="20" t="str">
        <f>VLOOKUP(F5,[1]CLIENTES!B:L,11,0)</f>
        <v>RODRIGO</v>
      </c>
      <c r="B5" s="20" t="s">
        <v>20</v>
      </c>
      <c r="C5" s="20">
        <v>46312</v>
      </c>
      <c r="D5" s="21" t="s">
        <v>21</v>
      </c>
      <c r="E5" s="21">
        <v>239</v>
      </c>
      <c r="F5" s="21">
        <v>5225860</v>
      </c>
      <c r="G5" s="21">
        <v>180402</v>
      </c>
      <c r="H5" s="21" t="s">
        <v>39</v>
      </c>
      <c r="I5" s="21" t="s">
        <v>40</v>
      </c>
      <c r="J5" s="21" t="s">
        <v>41</v>
      </c>
      <c r="K5" s="21">
        <v>194</v>
      </c>
      <c r="L5" s="22">
        <v>92</v>
      </c>
      <c r="M5" s="23" t="s">
        <v>42</v>
      </c>
      <c r="N5" s="24" t="s">
        <v>25</v>
      </c>
      <c r="O5" s="25">
        <v>46055</v>
      </c>
      <c r="P5" s="25" t="str">
        <f>VLOOKUP(F5,[1]CLIENTES!B:L,11,0)</f>
        <v>RODRIGO</v>
      </c>
      <c r="Q5" s="25" t="str">
        <f>VLOOKUP(F5,[1]CLIENTES!B:M,12,0)</f>
        <v>MARIA LOURDES</v>
      </c>
      <c r="R5" s="26" t="str">
        <f>VLOOKUP(F5,[1]CLIENTES!B:J,9,0)</f>
        <v>CLAUDIO JORGE/AMANDA SANDS</v>
      </c>
      <c r="S5" s="27">
        <v>14000</v>
      </c>
      <c r="T5" s="28" t="s">
        <v>44</v>
      </c>
      <c r="U5" s="28" t="s">
        <v>28</v>
      </c>
      <c r="V5" s="28" t="s">
        <v>29</v>
      </c>
      <c r="W5" s="28" t="s">
        <v>45</v>
      </c>
    </row>
    <row r="6" spans="1:23" ht="15" customHeight="1" x14ac:dyDescent="0.25">
      <c r="A6" s="20" t="str">
        <f>VLOOKUP(F6,[1]CLIENTES!B:L,11,0)</f>
        <v>RODRIGO</v>
      </c>
      <c r="B6" s="20" t="s">
        <v>20</v>
      </c>
      <c r="C6" s="20">
        <v>46034</v>
      </c>
      <c r="D6" s="21" t="s">
        <v>21</v>
      </c>
      <c r="E6" s="21">
        <v>842</v>
      </c>
      <c r="F6" s="21">
        <v>5278208</v>
      </c>
      <c r="G6" s="21">
        <v>186345</v>
      </c>
      <c r="H6" s="21" t="s">
        <v>46</v>
      </c>
      <c r="I6" s="21" t="s">
        <v>23</v>
      </c>
      <c r="J6" s="21" t="s">
        <v>47</v>
      </c>
      <c r="K6" s="21">
        <v>722</v>
      </c>
      <c r="L6" s="22">
        <v>11</v>
      </c>
      <c r="M6" s="23" t="s">
        <v>48</v>
      </c>
      <c r="N6" s="24" t="s">
        <v>25</v>
      </c>
      <c r="O6" s="25">
        <v>46055</v>
      </c>
      <c r="P6" s="25" t="str">
        <f>VLOOKUP(F6,[1]CLIENTES!B:L,11,0)</f>
        <v>RODRIGO</v>
      </c>
      <c r="Q6" s="25" t="str">
        <f>VLOOKUP(F6,[1]CLIENTES!B:M,12,0)</f>
        <v>ALEXANDRO</v>
      </c>
      <c r="R6" s="26" t="str">
        <f>VLOOKUP(F6,[1]CLIENTES!B:J,9,0)</f>
        <v>GUILHERME NASCIMENTO</v>
      </c>
      <c r="S6" s="27">
        <v>2625</v>
      </c>
      <c r="T6" s="28" t="s">
        <v>27</v>
      </c>
      <c r="U6" s="28" t="s">
        <v>50</v>
      </c>
      <c r="V6" s="28" t="s">
        <v>51</v>
      </c>
      <c r="W6" s="28" t="s">
        <v>52</v>
      </c>
    </row>
    <row r="7" spans="1:23" ht="15" customHeight="1" x14ac:dyDescent="0.25">
      <c r="A7" s="20" t="str">
        <f>VLOOKUP(F7,[1]CLIENTES!B:L,11,0)</f>
        <v>RODRIGO</v>
      </c>
      <c r="B7" s="20" t="s">
        <v>20</v>
      </c>
      <c r="C7" s="20">
        <v>46029</v>
      </c>
      <c r="D7" s="21" t="s">
        <v>21</v>
      </c>
      <c r="E7" s="21">
        <v>271</v>
      </c>
      <c r="F7" s="21">
        <v>5182828</v>
      </c>
      <c r="G7" s="21">
        <v>142649</v>
      </c>
      <c r="H7" s="21" t="s">
        <v>53</v>
      </c>
      <c r="I7" s="21" t="s">
        <v>54</v>
      </c>
      <c r="J7" s="21" t="s">
        <v>55</v>
      </c>
      <c r="K7" s="21">
        <v>191</v>
      </c>
      <c r="L7" s="22">
        <v>93</v>
      </c>
      <c r="M7" s="23" t="s">
        <v>56</v>
      </c>
      <c r="N7" s="24" t="s">
        <v>25</v>
      </c>
      <c r="O7" s="25">
        <v>46055</v>
      </c>
      <c r="P7" s="25" t="str">
        <f>VLOOKUP(F7,[1]CLIENTES!B:L,11,0)</f>
        <v>RODRIGO</v>
      </c>
      <c r="Q7" s="25" t="str">
        <f>VLOOKUP(F7,[1]CLIENTES!B:M,12,0)</f>
        <v>MARCO AURELIO</v>
      </c>
      <c r="R7" s="26" t="str">
        <f>VLOOKUP(F7,[1]CLIENTES!B:J,9,0)</f>
        <v>CLAUDIO JORGE</v>
      </c>
      <c r="S7" s="27">
        <v>12287.68</v>
      </c>
      <c r="T7" s="28" t="s">
        <v>34</v>
      </c>
      <c r="U7" s="28" t="s">
        <v>28</v>
      </c>
      <c r="V7" s="28" t="s">
        <v>29</v>
      </c>
      <c r="W7" s="28" t="s">
        <v>52</v>
      </c>
    </row>
    <row r="8" spans="1:23" ht="15" customHeight="1" x14ac:dyDescent="0.25">
      <c r="A8" s="20" t="str">
        <f>VLOOKUP(F8,[1]CLIENTES!B:L,11,0)</f>
        <v>RODRIGO</v>
      </c>
      <c r="B8" s="20" t="s">
        <v>20</v>
      </c>
      <c r="C8" s="20">
        <v>46034</v>
      </c>
      <c r="D8" s="21" t="s">
        <v>21</v>
      </c>
      <c r="E8" s="21">
        <v>844</v>
      </c>
      <c r="F8" s="21">
        <v>5006978</v>
      </c>
      <c r="G8" s="21">
        <v>103036</v>
      </c>
      <c r="H8" s="21" t="s">
        <v>58</v>
      </c>
      <c r="I8" s="21" t="s">
        <v>23</v>
      </c>
      <c r="J8" s="21" t="s">
        <v>47</v>
      </c>
      <c r="K8" s="21">
        <v>722</v>
      </c>
      <c r="L8" s="22">
        <v>25</v>
      </c>
      <c r="M8" s="23" t="s">
        <v>59</v>
      </c>
      <c r="N8" s="24" t="s">
        <v>25</v>
      </c>
      <c r="O8" s="25">
        <v>46055</v>
      </c>
      <c r="P8" s="25" t="str">
        <f>VLOOKUP(F8,[1]CLIENTES!B:L,11,0)</f>
        <v>RODRIGO</v>
      </c>
      <c r="Q8" s="25" t="str">
        <f>VLOOKUP(F8,[1]CLIENTES!B:M,12,0)</f>
        <v>RAQUEL BARBOSA</v>
      </c>
      <c r="R8" s="26" t="str">
        <f>VLOOKUP(F8,[1]CLIENTES!B:J,9,0)</f>
        <v>RAQUEL BARBOSA</v>
      </c>
      <c r="S8" s="27">
        <v>45414</v>
      </c>
      <c r="T8" s="28" t="s">
        <v>44</v>
      </c>
      <c r="U8" s="28" t="s">
        <v>50</v>
      </c>
      <c r="V8" s="28" t="s">
        <v>51</v>
      </c>
      <c r="W8" s="28" t="s">
        <v>60</v>
      </c>
    </row>
    <row r="9" spans="1:23" ht="15" customHeight="1" x14ac:dyDescent="0.25">
      <c r="A9" s="20" t="str">
        <f>VLOOKUP(F9,[1]CLIENTES!B:L,11,0)</f>
        <v>RODRIGO</v>
      </c>
      <c r="B9" s="20" t="s">
        <v>20</v>
      </c>
      <c r="C9" s="20">
        <v>46034</v>
      </c>
      <c r="D9" s="21" t="s">
        <v>21</v>
      </c>
      <c r="E9" s="21">
        <v>214</v>
      </c>
      <c r="F9" s="21">
        <v>5006978</v>
      </c>
      <c r="G9" s="21">
        <v>103036</v>
      </c>
      <c r="H9" s="21" t="s">
        <v>58</v>
      </c>
      <c r="I9" s="21" t="s">
        <v>23</v>
      </c>
      <c r="J9" s="21">
        <v>6125</v>
      </c>
      <c r="K9" s="21">
        <v>692</v>
      </c>
      <c r="L9" s="22">
        <v>92</v>
      </c>
      <c r="M9" s="23" t="s">
        <v>59</v>
      </c>
      <c r="N9" s="24" t="s">
        <v>25</v>
      </c>
      <c r="O9" s="25">
        <v>46055</v>
      </c>
      <c r="P9" s="25" t="str">
        <f>VLOOKUP(F9,[1]CLIENTES!B:L,11,0)</f>
        <v>RODRIGO</v>
      </c>
      <c r="Q9" s="25" t="str">
        <f>VLOOKUP(F9,[1]CLIENTES!B:M,12,0)</f>
        <v>RAQUEL BARBOSA</v>
      </c>
      <c r="R9" s="26" t="str">
        <f>VLOOKUP(F9,[1]CLIENTES!B:J,9,0)</f>
        <v>RAQUEL BARBOSA</v>
      </c>
      <c r="S9" s="27">
        <v>23785</v>
      </c>
      <c r="T9" s="28" t="s">
        <v>44</v>
      </c>
      <c r="U9" s="28" t="s">
        <v>28</v>
      </c>
      <c r="V9" s="28" t="s">
        <v>29</v>
      </c>
      <c r="W9" s="28" t="s">
        <v>60</v>
      </c>
    </row>
    <row r="10" spans="1:23" ht="15" customHeight="1" x14ac:dyDescent="0.25">
      <c r="A10" s="20" t="str">
        <f>VLOOKUP(F10,[1]CLIENTES!B:L,11,0)</f>
        <v>RODRIGO</v>
      </c>
      <c r="B10" s="20" t="s">
        <v>20</v>
      </c>
      <c r="C10" s="20">
        <v>46034</v>
      </c>
      <c r="D10" s="21" t="s">
        <v>21</v>
      </c>
      <c r="E10" s="21">
        <v>214</v>
      </c>
      <c r="F10" s="21">
        <v>5006978</v>
      </c>
      <c r="G10" s="21">
        <v>103036</v>
      </c>
      <c r="H10" s="21" t="s">
        <v>58</v>
      </c>
      <c r="I10" s="21" t="s">
        <v>23</v>
      </c>
      <c r="J10" s="21">
        <v>6125</v>
      </c>
      <c r="K10" s="21">
        <v>692</v>
      </c>
      <c r="L10" s="22">
        <v>92</v>
      </c>
      <c r="M10" s="23" t="s">
        <v>61</v>
      </c>
      <c r="N10" s="24" t="s">
        <v>25</v>
      </c>
      <c r="O10" s="25">
        <v>46055</v>
      </c>
      <c r="P10" s="25" t="str">
        <f>VLOOKUP(F10,[1]CLIENTES!B:L,11,0)</f>
        <v>RODRIGO</v>
      </c>
      <c r="Q10" s="25" t="str">
        <f>VLOOKUP(F10,[1]CLIENTES!B:M,12,0)</f>
        <v>RAQUEL BARBOSA</v>
      </c>
      <c r="R10" s="26" t="str">
        <f>VLOOKUP(F10,[1]CLIENTES!B:J,9,0)</f>
        <v>RAQUEL BARBOSA</v>
      </c>
      <c r="S10" s="27">
        <v>34500</v>
      </c>
      <c r="T10" s="28" t="s">
        <v>44</v>
      </c>
      <c r="U10" s="28" t="s">
        <v>28</v>
      </c>
      <c r="V10" s="28" t="s">
        <v>29</v>
      </c>
      <c r="W10" s="28" t="s">
        <v>60</v>
      </c>
    </row>
    <row r="11" spans="1:23" ht="15" customHeight="1" x14ac:dyDescent="0.25">
      <c r="A11" s="20" t="str">
        <f>VLOOKUP(F11,[1]CLIENTES!B:L,11,0)</f>
        <v>RODRIGO</v>
      </c>
      <c r="B11" s="20" t="s">
        <v>20</v>
      </c>
      <c r="C11" s="20">
        <v>46041</v>
      </c>
      <c r="D11" s="21" t="s">
        <v>21</v>
      </c>
      <c r="E11" s="21">
        <v>220</v>
      </c>
      <c r="F11" s="21">
        <v>5107112</v>
      </c>
      <c r="G11" s="21">
        <v>123370</v>
      </c>
      <c r="H11" s="21" t="s">
        <v>62</v>
      </c>
      <c r="I11" s="21" t="s">
        <v>23</v>
      </c>
      <c r="J11" s="21">
        <v>6125</v>
      </c>
      <c r="K11" s="21">
        <v>692</v>
      </c>
      <c r="L11" s="22">
        <v>93</v>
      </c>
      <c r="M11" s="23" t="s">
        <v>63</v>
      </c>
      <c r="N11" s="24" t="s">
        <v>25</v>
      </c>
      <c r="O11" s="25">
        <v>46055</v>
      </c>
      <c r="P11" s="25" t="str">
        <f>VLOOKUP(F11,[1]CLIENTES!B:L,11,0)</f>
        <v>RODRIGO</v>
      </c>
      <c r="Q11" s="25" t="str">
        <f>VLOOKUP(F11,[1]CLIENTES!B:M,12,0)</f>
        <v>ALEXANDRO</v>
      </c>
      <c r="R11" s="26" t="str">
        <f>VLOOKUP(F11,[1]CLIENTES!B:J,9,0)</f>
        <v>GUILHERME NASCIMENTO</v>
      </c>
      <c r="S11" s="27">
        <v>15461</v>
      </c>
      <c r="T11" s="28" t="s">
        <v>44</v>
      </c>
      <c r="U11" s="28" t="s">
        <v>28</v>
      </c>
      <c r="V11" s="28" t="s">
        <v>29</v>
      </c>
      <c r="W11" s="28" t="s">
        <v>64</v>
      </c>
    </row>
    <row r="12" spans="1:23" ht="15" customHeight="1" x14ac:dyDescent="0.25">
      <c r="A12" s="20" t="str">
        <f>VLOOKUP(F12,[1]CLIENTES!B:L,11,0)</f>
        <v>RODRIGO</v>
      </c>
      <c r="B12" s="20" t="s">
        <v>20</v>
      </c>
      <c r="C12" s="20">
        <v>46042</v>
      </c>
      <c r="D12" s="21" t="s">
        <v>21</v>
      </c>
      <c r="E12" s="21">
        <v>215</v>
      </c>
      <c r="F12" s="21">
        <v>5023831</v>
      </c>
      <c r="G12" s="21">
        <v>126676</v>
      </c>
      <c r="H12" s="21" t="s">
        <v>22</v>
      </c>
      <c r="I12" s="21" t="s">
        <v>23</v>
      </c>
      <c r="J12" s="21">
        <v>6125</v>
      </c>
      <c r="K12" s="21">
        <v>692</v>
      </c>
      <c r="L12" s="22">
        <v>93</v>
      </c>
      <c r="M12" s="23" t="s">
        <v>65</v>
      </c>
      <c r="N12" s="24" t="s">
        <v>25</v>
      </c>
      <c r="O12" s="25">
        <v>46055</v>
      </c>
      <c r="P12" s="25" t="str">
        <f>VLOOKUP(F12,[1]CLIENTES!B:L,11,0)</f>
        <v>RODRIGO</v>
      </c>
      <c r="Q12" s="25" t="str">
        <f>VLOOKUP(F12,[1]CLIENTES!B:M,12,0)</f>
        <v>RAQUEL BARBOSA</v>
      </c>
      <c r="R12" s="26" t="str">
        <f>VLOOKUP(F12,[1]CLIENTES!B:J,9,0)</f>
        <v>VAGO SP</v>
      </c>
      <c r="S12" s="27">
        <v>2000</v>
      </c>
      <c r="T12" s="28" t="s">
        <v>44</v>
      </c>
      <c r="U12" s="28" t="s">
        <v>28</v>
      </c>
      <c r="V12" s="28" t="s">
        <v>29</v>
      </c>
      <c r="W12" s="28" t="s">
        <v>52</v>
      </c>
    </row>
    <row r="13" spans="1:23" ht="15" customHeight="1" x14ac:dyDescent="0.25">
      <c r="A13" s="20" t="str">
        <f>VLOOKUP(F13,[1]CLIENTES!B:L,11,0)</f>
        <v>RODRIGO</v>
      </c>
      <c r="B13" s="20" t="s">
        <v>20</v>
      </c>
      <c r="C13" s="20">
        <v>46043</v>
      </c>
      <c r="D13" s="21" t="s">
        <v>21</v>
      </c>
      <c r="E13" s="21">
        <v>226</v>
      </c>
      <c r="F13" s="21">
        <v>5070522</v>
      </c>
      <c r="G13" s="21">
        <v>143311</v>
      </c>
      <c r="H13" s="21" t="s">
        <v>66</v>
      </c>
      <c r="I13" s="21" t="s">
        <v>23</v>
      </c>
      <c r="J13" s="21">
        <v>6125</v>
      </c>
      <c r="K13" s="21">
        <v>692</v>
      </c>
      <c r="L13" s="22">
        <v>93</v>
      </c>
      <c r="M13" s="23" t="s">
        <v>67</v>
      </c>
      <c r="N13" s="24" t="s">
        <v>25</v>
      </c>
      <c r="O13" s="25">
        <v>46055</v>
      </c>
      <c r="P13" s="25" t="str">
        <f>VLOOKUP(F13,[1]CLIENTES!B:L,11,0)</f>
        <v>RODRIGO</v>
      </c>
      <c r="Q13" s="25" t="str">
        <f>VLOOKUP(F13,[1]CLIENTES!B:M,12,0)</f>
        <v>ALEXANDRO</v>
      </c>
      <c r="R13" s="26" t="str">
        <f>VLOOKUP(F13,[1]CLIENTES!B:J,9,0)</f>
        <v>GUILHERME NASCIMENTO</v>
      </c>
      <c r="S13" s="27">
        <v>1101.5999999999999</v>
      </c>
      <c r="T13" s="28" t="s">
        <v>44</v>
      </c>
      <c r="U13" s="28" t="s">
        <v>28</v>
      </c>
      <c r="V13" s="28" t="s">
        <v>29</v>
      </c>
      <c r="W13" s="28" t="s">
        <v>52</v>
      </c>
    </row>
    <row r="14" spans="1:23" ht="15" customHeight="1" x14ac:dyDescent="0.25">
      <c r="A14" s="20" t="str">
        <f>VLOOKUP(F14,[1]CLIENTES!B:L,11,0)</f>
        <v>RODRIGO</v>
      </c>
      <c r="B14" s="20" t="s">
        <v>20</v>
      </c>
      <c r="C14" s="20">
        <v>46043</v>
      </c>
      <c r="D14" s="21" t="s">
        <v>21</v>
      </c>
      <c r="E14" s="21">
        <v>272</v>
      </c>
      <c r="F14" s="21">
        <v>5115189</v>
      </c>
      <c r="G14" s="21">
        <v>129296</v>
      </c>
      <c r="H14" s="21" t="s">
        <v>68</v>
      </c>
      <c r="I14" s="21" t="s">
        <v>54</v>
      </c>
      <c r="J14" s="21" t="s">
        <v>55</v>
      </c>
      <c r="K14" s="21">
        <v>191</v>
      </c>
      <c r="L14" s="22">
        <v>92</v>
      </c>
      <c r="M14" s="23" t="s">
        <v>69</v>
      </c>
      <c r="N14" s="24" t="s">
        <v>25</v>
      </c>
      <c r="O14" s="25">
        <v>46055</v>
      </c>
      <c r="P14" s="25" t="str">
        <f>VLOOKUP(F14,[1]CLIENTES!B:L,11,0)</f>
        <v>RODRIGO</v>
      </c>
      <c r="Q14" s="25" t="str">
        <f>VLOOKUP(F14,[1]CLIENTES!B:M,12,0)</f>
        <v>MARCO AURELIO</v>
      </c>
      <c r="R14" s="26" t="str">
        <f>VLOOKUP(F14,[1]CLIENTES!B:J,9,0)</f>
        <v>CLAUDIO JORGE/MARIA LAURA</v>
      </c>
      <c r="S14" s="27">
        <v>10000</v>
      </c>
      <c r="T14" s="28" t="s">
        <v>44</v>
      </c>
      <c r="U14" s="28" t="s">
        <v>28</v>
      </c>
      <c r="V14" s="28" t="s">
        <v>29</v>
      </c>
      <c r="W14" s="28" t="s">
        <v>52</v>
      </c>
    </row>
    <row r="15" spans="1:23" ht="15" customHeight="1" x14ac:dyDescent="0.25">
      <c r="A15" s="20" t="str">
        <f>VLOOKUP(F15,[1]CLIENTES!B:L,11,0)</f>
        <v>RODRIGO</v>
      </c>
      <c r="B15" s="20" t="s">
        <v>20</v>
      </c>
      <c r="C15" s="20">
        <v>46043</v>
      </c>
      <c r="D15" s="21" t="s">
        <v>21</v>
      </c>
      <c r="E15" s="21">
        <v>233</v>
      </c>
      <c r="F15" s="21">
        <v>5011709</v>
      </c>
      <c r="G15" s="21">
        <v>117424</v>
      </c>
      <c r="H15" s="21" t="s">
        <v>70</v>
      </c>
      <c r="I15" s="21" t="s">
        <v>71</v>
      </c>
      <c r="J15" s="21" t="s">
        <v>72</v>
      </c>
      <c r="K15" s="21">
        <v>186</v>
      </c>
      <c r="L15" s="22">
        <v>92</v>
      </c>
      <c r="M15" s="23" t="s">
        <v>73</v>
      </c>
      <c r="N15" s="24" t="s">
        <v>25</v>
      </c>
      <c r="O15" s="25">
        <v>46055</v>
      </c>
      <c r="P15" s="25" t="str">
        <f>VLOOKUP(F15,[1]CLIENTES!B:L,11,0)</f>
        <v>RODRIGO</v>
      </c>
      <c r="Q15" s="25" t="str">
        <f>VLOOKUP(F15,[1]CLIENTES!B:M,12,0)</f>
        <v>CELIO MARTINS</v>
      </c>
      <c r="R15" s="26" t="str">
        <f>VLOOKUP(F15,[1]CLIENTES!B:J,9,0)</f>
        <v>CELIO MARTINS</v>
      </c>
      <c r="S15" s="27">
        <v>1650</v>
      </c>
      <c r="T15" s="28" t="s">
        <v>44</v>
      </c>
      <c r="U15" s="28" t="s">
        <v>28</v>
      </c>
      <c r="V15" s="28" t="s">
        <v>29</v>
      </c>
      <c r="W15" s="28" t="s">
        <v>52</v>
      </c>
    </row>
    <row r="16" spans="1:23" ht="15" customHeight="1" x14ac:dyDescent="0.25">
      <c r="A16" s="20" t="str">
        <f>VLOOKUP(F16,[1]CLIENTES!B:L,11,0)</f>
        <v>RODRIGO</v>
      </c>
      <c r="B16" s="20" t="s">
        <v>20</v>
      </c>
      <c r="C16" s="20">
        <v>46043</v>
      </c>
      <c r="D16" s="21" t="s">
        <v>21</v>
      </c>
      <c r="E16" s="21">
        <v>271</v>
      </c>
      <c r="F16" s="21">
        <v>5182828</v>
      </c>
      <c r="G16" s="21">
        <v>142649</v>
      </c>
      <c r="H16" s="21" t="s">
        <v>53</v>
      </c>
      <c r="I16" s="21" t="s">
        <v>54</v>
      </c>
      <c r="J16" s="21" t="s">
        <v>55</v>
      </c>
      <c r="K16" s="21">
        <v>191</v>
      </c>
      <c r="L16" s="22">
        <v>93</v>
      </c>
      <c r="M16" s="23" t="s">
        <v>74</v>
      </c>
      <c r="N16" s="24" t="s">
        <v>25</v>
      </c>
      <c r="O16" s="25">
        <v>46055</v>
      </c>
      <c r="P16" s="25" t="str">
        <f>VLOOKUP(F16,[1]CLIENTES!B:L,11,0)</f>
        <v>RODRIGO</v>
      </c>
      <c r="Q16" s="25" t="str">
        <f>VLOOKUP(F16,[1]CLIENTES!B:M,12,0)</f>
        <v>MARCO AURELIO</v>
      </c>
      <c r="R16" s="26" t="str">
        <f>VLOOKUP(F16,[1]CLIENTES!B:J,9,0)</f>
        <v>CLAUDIO JORGE</v>
      </c>
      <c r="S16" s="27">
        <v>3000</v>
      </c>
      <c r="T16" s="28" t="s">
        <v>44</v>
      </c>
      <c r="U16" s="28" t="s">
        <v>28</v>
      </c>
      <c r="V16" s="28" t="s">
        <v>29</v>
      </c>
      <c r="W16" s="28" t="s">
        <v>52</v>
      </c>
    </row>
    <row r="17" spans="1:23" ht="15" customHeight="1" x14ac:dyDescent="0.25">
      <c r="A17" s="20" t="str">
        <f>VLOOKUP(F17,[1]CLIENTES!B:L,11,0)</f>
        <v>RODRIGO</v>
      </c>
      <c r="B17" s="20" t="s">
        <v>20</v>
      </c>
      <c r="C17" s="20">
        <v>46043</v>
      </c>
      <c r="D17" s="21" t="s">
        <v>21</v>
      </c>
      <c r="E17" s="21">
        <v>280</v>
      </c>
      <c r="F17" s="21">
        <v>5179610</v>
      </c>
      <c r="G17" s="21">
        <v>138067</v>
      </c>
      <c r="H17" s="21" t="s">
        <v>75</v>
      </c>
      <c r="I17" s="21" t="s">
        <v>76</v>
      </c>
      <c r="J17" s="21">
        <v>6123</v>
      </c>
      <c r="K17" s="21">
        <v>675</v>
      </c>
      <c r="L17" s="22">
        <v>92</v>
      </c>
      <c r="M17" s="23" t="s">
        <v>77</v>
      </c>
      <c r="N17" s="24" t="s">
        <v>25</v>
      </c>
      <c r="O17" s="25">
        <v>46055</v>
      </c>
      <c r="P17" s="25" t="str">
        <f>VLOOKUP(F17,[1]CLIENTES!B:L,11,0)</f>
        <v>RODRIGO</v>
      </c>
      <c r="Q17" s="25" t="str">
        <f>VLOOKUP(F17,[1]CLIENTES!B:M,12,0)</f>
        <v>MARCO AURELIO</v>
      </c>
      <c r="R17" s="26" t="str">
        <f>VLOOKUP(F17,[1]CLIENTES!B:J,9,0)</f>
        <v>CLAUDIO JORGE</v>
      </c>
      <c r="S17" s="27">
        <v>1000</v>
      </c>
      <c r="T17" s="28" t="s">
        <v>44</v>
      </c>
      <c r="U17" s="28" t="s">
        <v>28</v>
      </c>
      <c r="V17" s="28" t="s">
        <v>29</v>
      </c>
      <c r="W17" s="28" t="s">
        <v>52</v>
      </c>
    </row>
    <row r="18" spans="1:23" ht="15" customHeight="1" x14ac:dyDescent="0.25">
      <c r="A18" s="20" t="str">
        <f>VLOOKUP(F18,[1]CLIENTES!B:L,11,0)</f>
        <v>RODRIGO</v>
      </c>
      <c r="B18" s="20" t="s">
        <v>20</v>
      </c>
      <c r="C18" s="20">
        <v>46043</v>
      </c>
      <c r="D18" s="21" t="s">
        <v>21</v>
      </c>
      <c r="E18" s="21">
        <v>202</v>
      </c>
      <c r="F18" s="21">
        <v>5083008</v>
      </c>
      <c r="G18" s="21">
        <v>114905</v>
      </c>
      <c r="H18" s="21" t="s">
        <v>78</v>
      </c>
      <c r="I18" s="21" t="s">
        <v>23</v>
      </c>
      <c r="J18" s="21">
        <v>6125</v>
      </c>
      <c r="K18" s="21">
        <v>692</v>
      </c>
      <c r="L18" s="22">
        <v>93</v>
      </c>
      <c r="M18" s="23" t="s">
        <v>79</v>
      </c>
      <c r="N18" s="24" t="s">
        <v>25</v>
      </c>
      <c r="O18" s="25">
        <v>46055</v>
      </c>
      <c r="P18" s="25" t="str">
        <f>VLOOKUP(F18,[1]CLIENTES!B:L,11,0)</f>
        <v>RODRIGO</v>
      </c>
      <c r="Q18" s="25" t="str">
        <f>VLOOKUP(F18,[1]CLIENTES!B:M,12,0)</f>
        <v>ALEXANDRE BONANI</v>
      </c>
      <c r="R18" s="26" t="str">
        <f>VLOOKUP(F18,[1]CLIENTES!B:J,9,0)</f>
        <v>ALEXANDRE BONANI</v>
      </c>
      <c r="S18" s="27">
        <v>1728</v>
      </c>
      <c r="T18" s="28" t="s">
        <v>44</v>
      </c>
      <c r="U18" s="28" t="s">
        <v>28</v>
      </c>
      <c r="V18" s="28" t="s">
        <v>29</v>
      </c>
      <c r="W18" s="28" t="s">
        <v>52</v>
      </c>
    </row>
    <row r="19" spans="1:23" ht="15" customHeight="1" x14ac:dyDescent="0.25">
      <c r="A19" s="20" t="str">
        <f>VLOOKUP(F19,[1]CLIENTES!B:L,11,0)</f>
        <v>RODRIGO</v>
      </c>
      <c r="B19" s="20" t="s">
        <v>20</v>
      </c>
      <c r="C19" s="20">
        <v>46043</v>
      </c>
      <c r="D19" s="21" t="s">
        <v>21</v>
      </c>
      <c r="E19" s="21">
        <v>240</v>
      </c>
      <c r="F19" s="21">
        <v>5308411</v>
      </c>
      <c r="G19" s="21">
        <v>181236</v>
      </c>
      <c r="H19" s="21" t="s">
        <v>80</v>
      </c>
      <c r="I19" s="21" t="s">
        <v>71</v>
      </c>
      <c r="J19" s="21" t="s">
        <v>72</v>
      </c>
      <c r="K19" s="21">
        <v>186</v>
      </c>
      <c r="L19" s="22">
        <v>92</v>
      </c>
      <c r="M19" s="23" t="s">
        <v>81</v>
      </c>
      <c r="N19" s="24" t="s">
        <v>25</v>
      </c>
      <c r="O19" s="25">
        <v>46055</v>
      </c>
      <c r="P19" s="25" t="str">
        <f>VLOOKUP(F19,[1]CLIENTES!B:L,11,0)</f>
        <v>RODRIGO</v>
      </c>
      <c r="Q19" s="25" t="str">
        <f>VLOOKUP(F19,[1]CLIENTES!B:M,12,0)</f>
        <v>CELIO MARTINS</v>
      </c>
      <c r="R19" s="26" t="str">
        <f>VLOOKUP(F19,[1]CLIENTES!B:J,9,0)</f>
        <v>MARCELO SILVA</v>
      </c>
      <c r="S19" s="27">
        <v>700</v>
      </c>
      <c r="T19" s="28" t="s">
        <v>44</v>
      </c>
      <c r="U19" s="28" t="s">
        <v>28</v>
      </c>
      <c r="V19" s="28" t="s">
        <v>29</v>
      </c>
      <c r="W19" s="28" t="s">
        <v>52</v>
      </c>
    </row>
    <row r="20" spans="1:23" ht="15" customHeight="1" x14ac:dyDescent="0.25">
      <c r="A20" s="20" t="str">
        <f>VLOOKUP(F20,[1]CLIENTES!B:L,11,0)</f>
        <v>RODRIGO</v>
      </c>
      <c r="B20" s="20" t="s">
        <v>20</v>
      </c>
      <c r="C20" s="20">
        <v>46043</v>
      </c>
      <c r="D20" s="21" t="s">
        <v>21</v>
      </c>
      <c r="E20" s="21">
        <v>241</v>
      </c>
      <c r="F20" s="21">
        <v>5308411</v>
      </c>
      <c r="G20" s="21">
        <v>181236</v>
      </c>
      <c r="H20" s="21" t="s">
        <v>80</v>
      </c>
      <c r="I20" s="21" t="s">
        <v>71</v>
      </c>
      <c r="J20" s="21" t="s">
        <v>72</v>
      </c>
      <c r="K20" s="21">
        <v>186</v>
      </c>
      <c r="L20" s="22">
        <v>92</v>
      </c>
      <c r="M20" s="23" t="s">
        <v>82</v>
      </c>
      <c r="N20" s="24" t="s">
        <v>25</v>
      </c>
      <c r="O20" s="25">
        <v>46055</v>
      </c>
      <c r="P20" s="25" t="str">
        <f>VLOOKUP(F20,[1]CLIENTES!B:L,11,0)</f>
        <v>RODRIGO</v>
      </c>
      <c r="Q20" s="25" t="str">
        <f>VLOOKUP(F20,[1]CLIENTES!B:M,12,0)</f>
        <v>CELIO MARTINS</v>
      </c>
      <c r="R20" s="26" t="str">
        <f>VLOOKUP(F20,[1]CLIENTES!B:J,9,0)</f>
        <v>MARCELO SILVA</v>
      </c>
      <c r="S20" s="27">
        <v>1843.38</v>
      </c>
      <c r="T20" s="28" t="s">
        <v>44</v>
      </c>
      <c r="U20" s="28" t="s">
        <v>28</v>
      </c>
      <c r="V20" s="28" t="s">
        <v>29</v>
      </c>
      <c r="W20" s="28" t="s">
        <v>83</v>
      </c>
    </row>
    <row r="21" spans="1:23" ht="15" customHeight="1" x14ac:dyDescent="0.25">
      <c r="A21" s="20" t="str">
        <f>VLOOKUP(F21,[1]CLIENTES!B:L,11,0)</f>
        <v>RODRIGO</v>
      </c>
      <c r="B21" s="20" t="s">
        <v>20</v>
      </c>
      <c r="C21" s="20">
        <v>46043</v>
      </c>
      <c r="D21" s="21" t="s">
        <v>21</v>
      </c>
      <c r="E21" s="21">
        <v>219</v>
      </c>
      <c r="F21" s="21">
        <v>5338214</v>
      </c>
      <c r="G21" s="21">
        <v>184659</v>
      </c>
      <c r="H21" s="21" t="s">
        <v>84</v>
      </c>
      <c r="I21" s="21" t="s">
        <v>23</v>
      </c>
      <c r="J21" s="21">
        <v>6125</v>
      </c>
      <c r="K21" s="21">
        <v>692</v>
      </c>
      <c r="L21" s="22">
        <v>93</v>
      </c>
      <c r="M21" s="23" t="s">
        <v>85</v>
      </c>
      <c r="N21" s="24" t="s">
        <v>25</v>
      </c>
      <c r="O21" s="25">
        <v>46055</v>
      </c>
      <c r="P21" s="25" t="str">
        <f>VLOOKUP(F21,[1]CLIENTES!B:L,11,0)</f>
        <v>RODRIGO</v>
      </c>
      <c r="Q21" s="25" t="str">
        <f>VLOOKUP(F21,[1]CLIENTES!B:M,12,0)</f>
        <v>RAQUEL BARBOSA</v>
      </c>
      <c r="R21" s="26" t="str">
        <f>VLOOKUP(F21,[1]CLIENTES!B:J,9,0)</f>
        <v>VAGO SP</v>
      </c>
      <c r="S21" s="27">
        <v>436</v>
      </c>
      <c r="T21" s="28" t="s">
        <v>44</v>
      </c>
      <c r="U21" s="28" t="s">
        <v>28</v>
      </c>
      <c r="V21" s="28" t="s">
        <v>29</v>
      </c>
      <c r="W21" s="28" t="s">
        <v>52</v>
      </c>
    </row>
    <row r="22" spans="1:23" ht="15" customHeight="1" x14ac:dyDescent="0.25">
      <c r="A22" s="20" t="str">
        <f>VLOOKUP(F22,[1]CLIENTES!B:L,11,0)</f>
        <v>RODRIGO</v>
      </c>
      <c r="B22" s="20" t="s">
        <v>20</v>
      </c>
      <c r="C22" s="20">
        <v>46043</v>
      </c>
      <c r="D22" s="21" t="s">
        <v>21</v>
      </c>
      <c r="E22" s="21">
        <v>268</v>
      </c>
      <c r="F22" s="21">
        <v>5226805</v>
      </c>
      <c r="G22" s="21">
        <v>150155</v>
      </c>
      <c r="H22" s="21" t="s">
        <v>86</v>
      </c>
      <c r="I22" s="21" t="s">
        <v>71</v>
      </c>
      <c r="J22" s="21" t="s">
        <v>72</v>
      </c>
      <c r="K22" s="21">
        <v>186</v>
      </c>
      <c r="L22" s="22">
        <v>92</v>
      </c>
      <c r="M22" s="23" t="s">
        <v>87</v>
      </c>
      <c r="N22" s="24" t="s">
        <v>25</v>
      </c>
      <c r="O22" s="25">
        <v>46055</v>
      </c>
      <c r="P22" s="25" t="str">
        <f>VLOOKUP(F22,[1]CLIENTES!B:L,11,0)</f>
        <v>RODRIGO</v>
      </c>
      <c r="Q22" s="25" t="str">
        <f>VLOOKUP(F22,[1]CLIENTES!B:M,12,0)</f>
        <v>CELIO MARTINS</v>
      </c>
      <c r="R22" s="26" t="str">
        <f>VLOOKUP(F22,[1]CLIENTES!B:J,9,0)</f>
        <v>CELIO/MARANATHA</v>
      </c>
      <c r="S22" s="27">
        <v>900</v>
      </c>
      <c r="T22" s="28" t="s">
        <v>44</v>
      </c>
      <c r="U22" s="28" t="s">
        <v>28</v>
      </c>
      <c r="V22" s="28" t="s">
        <v>29</v>
      </c>
      <c r="W22" s="28" t="s">
        <v>52</v>
      </c>
    </row>
    <row r="23" spans="1:23" ht="15" customHeight="1" x14ac:dyDescent="0.25">
      <c r="A23" s="20" t="str">
        <f>VLOOKUP(F23,[1]CLIENTES!B:L,11,0)</f>
        <v>RODRIGO</v>
      </c>
      <c r="B23" s="20" t="s">
        <v>20</v>
      </c>
      <c r="C23" s="20">
        <v>46043</v>
      </c>
      <c r="D23" s="21" t="s">
        <v>21</v>
      </c>
      <c r="E23" s="21">
        <v>217</v>
      </c>
      <c r="F23" s="21">
        <v>5109682</v>
      </c>
      <c r="G23" s="21">
        <v>128100</v>
      </c>
      <c r="H23" s="21" t="s">
        <v>88</v>
      </c>
      <c r="I23" s="21" t="s">
        <v>23</v>
      </c>
      <c r="J23" s="21">
        <v>6125</v>
      </c>
      <c r="K23" s="21">
        <v>692</v>
      </c>
      <c r="L23" s="22">
        <v>93</v>
      </c>
      <c r="M23" s="23" t="s">
        <v>89</v>
      </c>
      <c r="N23" s="24" t="s">
        <v>25</v>
      </c>
      <c r="O23" s="25">
        <v>46055</v>
      </c>
      <c r="P23" s="25" t="str">
        <f>VLOOKUP(F23,[1]CLIENTES!B:L,11,0)</f>
        <v>RODRIGO</v>
      </c>
      <c r="Q23" s="25" t="str">
        <f>VLOOKUP(F23,[1]CLIENTES!B:M,12,0)</f>
        <v>RAQUEL BARBOSA</v>
      </c>
      <c r="R23" s="26" t="str">
        <f>VLOOKUP(F23,[1]CLIENTES!B:J,9,0)</f>
        <v>VAGO SP</v>
      </c>
      <c r="S23" s="27">
        <v>8333</v>
      </c>
      <c r="T23" s="28" t="s">
        <v>44</v>
      </c>
      <c r="U23" s="28" t="s">
        <v>28</v>
      </c>
      <c r="V23" s="28" t="s">
        <v>29</v>
      </c>
      <c r="W23" s="28" t="s">
        <v>60</v>
      </c>
    </row>
    <row r="24" spans="1:23" ht="15" customHeight="1" x14ac:dyDescent="0.25">
      <c r="A24" s="20" t="str">
        <f>VLOOKUP(F24,[1]CLIENTES!B:L,11,0)</f>
        <v>RODRIGO</v>
      </c>
      <c r="B24" s="20" t="s">
        <v>20</v>
      </c>
      <c r="C24" s="20">
        <v>46045</v>
      </c>
      <c r="D24" s="21" t="s">
        <v>21</v>
      </c>
      <c r="E24" s="21">
        <v>265</v>
      </c>
      <c r="F24" s="21">
        <v>5127060</v>
      </c>
      <c r="G24" s="21">
        <v>187971</v>
      </c>
      <c r="H24" s="21" t="s">
        <v>90</v>
      </c>
      <c r="I24" s="21" t="s">
        <v>71</v>
      </c>
      <c r="J24" s="21" t="s">
        <v>72</v>
      </c>
      <c r="K24" s="21">
        <v>186</v>
      </c>
      <c r="L24" s="22">
        <v>92</v>
      </c>
      <c r="M24" s="23" t="s">
        <v>91</v>
      </c>
      <c r="N24" s="24" t="s">
        <v>25</v>
      </c>
      <c r="O24" s="25">
        <v>46055</v>
      </c>
      <c r="P24" s="25" t="str">
        <f>VLOOKUP(F24,[1]CLIENTES!B:L,11,0)</f>
        <v>RODRIGO</v>
      </c>
      <c r="Q24" s="25" t="str">
        <f>VLOOKUP(F24,[1]CLIENTES!B:M,12,0)</f>
        <v>CELIO MARTINS</v>
      </c>
      <c r="R24" s="26" t="str">
        <f>VLOOKUP(F24,[1]CLIENTES!B:J,9,0)</f>
        <v>MARCELO SILVA</v>
      </c>
      <c r="S24" s="27">
        <v>500</v>
      </c>
      <c r="T24" s="28" t="s">
        <v>44</v>
      </c>
      <c r="U24" s="28" t="s">
        <v>28</v>
      </c>
      <c r="V24" s="28" t="s">
        <v>29</v>
      </c>
      <c r="W24" s="28" t="s">
        <v>52</v>
      </c>
    </row>
    <row r="25" spans="1:23" ht="15" customHeight="1" x14ac:dyDescent="0.25">
      <c r="A25" s="20" t="str">
        <f>VLOOKUP(F25,[1]CLIENTES!B:L,11,0)</f>
        <v>RODRIGO</v>
      </c>
      <c r="B25" s="20" t="s">
        <v>20</v>
      </c>
      <c r="C25" s="20">
        <v>46045</v>
      </c>
      <c r="D25" s="21" t="s">
        <v>21</v>
      </c>
      <c r="E25" s="21">
        <v>236</v>
      </c>
      <c r="F25" s="21">
        <v>5013871</v>
      </c>
      <c r="G25" s="21"/>
      <c r="H25" s="21" t="s">
        <v>92</v>
      </c>
      <c r="I25" s="21" t="s">
        <v>71</v>
      </c>
      <c r="J25" s="21" t="s">
        <v>72</v>
      </c>
      <c r="K25" s="21">
        <v>186</v>
      </c>
      <c r="L25" s="22">
        <v>92</v>
      </c>
      <c r="M25" s="23" t="s">
        <v>91</v>
      </c>
      <c r="N25" s="24" t="s">
        <v>25</v>
      </c>
      <c r="O25" s="25">
        <v>46055</v>
      </c>
      <c r="P25" s="25" t="str">
        <f>VLOOKUP(F25,[1]CLIENTES!B:L,11,0)</f>
        <v>RODRIGO</v>
      </c>
      <c r="Q25" s="25" t="str">
        <f>VLOOKUP(F25,[1]CLIENTES!B:M,12,0)</f>
        <v>CELIO MARTINS</v>
      </c>
      <c r="R25" s="26" t="str">
        <f>VLOOKUP(F25,[1]CLIENTES!B:J,9,0)</f>
        <v>MARCELO SILVA</v>
      </c>
      <c r="S25" s="27">
        <v>350</v>
      </c>
      <c r="T25" s="28" t="s">
        <v>44</v>
      </c>
      <c r="U25" s="28" t="s">
        <v>28</v>
      </c>
      <c r="V25" s="28" t="s">
        <v>29</v>
      </c>
      <c r="W25" s="28" t="s">
        <v>52</v>
      </c>
    </row>
    <row r="26" spans="1:23" ht="15" customHeight="1" x14ac:dyDescent="0.25">
      <c r="A26" s="20" t="str">
        <f>VLOOKUP(F26,[1]CLIENTES!B:L,11,0)</f>
        <v>RODRIGO</v>
      </c>
      <c r="B26" s="20" t="s">
        <v>20</v>
      </c>
      <c r="C26" s="20">
        <v>46045</v>
      </c>
      <c r="D26" s="21" t="s">
        <v>21</v>
      </c>
      <c r="E26" s="21">
        <v>278</v>
      </c>
      <c r="F26" s="21">
        <v>5040108</v>
      </c>
      <c r="G26" s="21">
        <v>123355</v>
      </c>
      <c r="H26" s="21" t="s">
        <v>93</v>
      </c>
      <c r="I26" s="21" t="s">
        <v>37</v>
      </c>
      <c r="J26" s="21">
        <v>6169</v>
      </c>
      <c r="K26" s="21">
        <v>689</v>
      </c>
      <c r="L26" s="22">
        <v>92</v>
      </c>
      <c r="M26" s="23" t="s">
        <v>94</v>
      </c>
      <c r="N26" s="24" t="s">
        <v>25</v>
      </c>
      <c r="O26" s="25">
        <v>46055</v>
      </c>
      <c r="P26" s="25" t="str">
        <f>VLOOKUP(F26,[1]CLIENTES!B:L,11,0)</f>
        <v>RODRIGO</v>
      </c>
      <c r="Q26" s="25" t="str">
        <f>VLOOKUP(F26,[1]CLIENTES!B:M,12,0)</f>
        <v>JESSICA</v>
      </c>
      <c r="R26" s="26" t="str">
        <f>VLOOKUP(F26,[1]CLIENTES!B:J,9,0)</f>
        <v>CLAUDIO JORGE</v>
      </c>
      <c r="S26" s="27">
        <v>21131.13</v>
      </c>
      <c r="T26" s="28" t="s">
        <v>44</v>
      </c>
      <c r="U26" s="28" t="s">
        <v>28</v>
      </c>
      <c r="V26" s="28" t="s">
        <v>29</v>
      </c>
      <c r="W26" s="28" t="s">
        <v>95</v>
      </c>
    </row>
    <row r="27" spans="1:23" ht="15" customHeight="1" x14ac:dyDescent="0.25">
      <c r="A27" s="20" t="str">
        <f>VLOOKUP(F27,[1]CLIENTES!B:L,11,0)</f>
        <v>RODRIGO</v>
      </c>
      <c r="B27" s="20" t="s">
        <v>20</v>
      </c>
      <c r="C27" s="20">
        <v>46045</v>
      </c>
      <c r="D27" s="21" t="s">
        <v>21</v>
      </c>
      <c r="E27" s="21">
        <v>278</v>
      </c>
      <c r="F27" s="21">
        <v>5040108</v>
      </c>
      <c r="G27" s="21">
        <v>123355</v>
      </c>
      <c r="H27" s="21" t="s">
        <v>93</v>
      </c>
      <c r="I27" s="21" t="s">
        <v>37</v>
      </c>
      <c r="J27" s="21">
        <v>6169</v>
      </c>
      <c r="K27" s="21">
        <v>689</v>
      </c>
      <c r="L27" s="22">
        <v>92</v>
      </c>
      <c r="M27" s="23" t="s">
        <v>96</v>
      </c>
      <c r="N27" s="24" t="s">
        <v>25</v>
      </c>
      <c r="O27" s="25">
        <v>46055</v>
      </c>
      <c r="P27" s="25" t="str">
        <f>VLOOKUP(F27,[1]CLIENTES!B:L,11,0)</f>
        <v>RODRIGO</v>
      </c>
      <c r="Q27" s="25" t="str">
        <f>VLOOKUP(F27,[1]CLIENTES!B:M,12,0)</f>
        <v>JESSICA</v>
      </c>
      <c r="R27" s="26" t="str">
        <f>VLOOKUP(F27,[1]CLIENTES!B:J,9,0)</f>
        <v>CLAUDIO JORGE</v>
      </c>
      <c r="S27" s="27">
        <v>10000</v>
      </c>
      <c r="T27" s="28" t="s">
        <v>44</v>
      </c>
      <c r="U27" s="28" t="s">
        <v>28</v>
      </c>
      <c r="V27" s="28" t="s">
        <v>29</v>
      </c>
      <c r="W27" s="28" t="s">
        <v>97</v>
      </c>
    </row>
    <row r="28" spans="1:23" ht="15" customHeight="1" x14ac:dyDescent="0.25">
      <c r="A28" s="20" t="str">
        <f>VLOOKUP(F28,[1]CLIENTES!B:L,11,0)</f>
        <v>RODRIGO</v>
      </c>
      <c r="B28" s="20" t="s">
        <v>20</v>
      </c>
      <c r="C28" s="20">
        <v>46045</v>
      </c>
      <c r="D28" s="21" t="s">
        <v>21</v>
      </c>
      <c r="E28" s="21">
        <v>851</v>
      </c>
      <c r="F28" s="21">
        <v>5115019</v>
      </c>
      <c r="G28" s="21">
        <v>123456</v>
      </c>
      <c r="H28" s="21" t="s">
        <v>36</v>
      </c>
      <c r="I28" s="21" t="s">
        <v>37</v>
      </c>
      <c r="J28" s="21" t="s">
        <v>98</v>
      </c>
      <c r="K28" s="21">
        <v>739</v>
      </c>
      <c r="L28" s="22">
        <v>11</v>
      </c>
      <c r="M28" s="23" t="s">
        <v>99</v>
      </c>
      <c r="N28" s="24" t="s">
        <v>25</v>
      </c>
      <c r="O28" s="25">
        <v>46055</v>
      </c>
      <c r="P28" s="25" t="str">
        <f>VLOOKUP(F28,[1]CLIENTES!B:L,11,0)</f>
        <v>RODRIGO</v>
      </c>
      <c r="Q28" s="25" t="str">
        <f>VLOOKUP(F28,[1]CLIENTES!B:M,12,0)</f>
        <v>JESSICA</v>
      </c>
      <c r="R28" s="26" t="str">
        <f>VLOOKUP(F28,[1]CLIENTES!B:J,9,0)</f>
        <v>JESSICA CARLA</v>
      </c>
      <c r="S28" s="27">
        <v>1667.84</v>
      </c>
      <c r="T28" s="28" t="s">
        <v>44</v>
      </c>
      <c r="U28" s="28" t="s">
        <v>50</v>
      </c>
      <c r="V28" s="28" t="s">
        <v>51</v>
      </c>
      <c r="W28" s="28" t="s">
        <v>95</v>
      </c>
    </row>
    <row r="29" spans="1:23" ht="15" customHeight="1" x14ac:dyDescent="0.25">
      <c r="A29" s="20" t="str">
        <f>VLOOKUP(F29,[1]CLIENTES!B:L,11,0)</f>
        <v>RODRIGO</v>
      </c>
      <c r="B29" s="20" t="s">
        <v>20</v>
      </c>
      <c r="C29" s="20">
        <v>46045</v>
      </c>
      <c r="D29" s="21" t="s">
        <v>21</v>
      </c>
      <c r="E29" s="21">
        <v>277</v>
      </c>
      <c r="F29" s="21">
        <v>5115019</v>
      </c>
      <c r="G29" s="21">
        <v>123456</v>
      </c>
      <c r="H29" s="21" t="s">
        <v>36</v>
      </c>
      <c r="I29" s="21" t="s">
        <v>37</v>
      </c>
      <c r="J29" s="21">
        <v>6169</v>
      </c>
      <c r="K29" s="21">
        <v>689</v>
      </c>
      <c r="L29" s="22">
        <v>92</v>
      </c>
      <c r="M29" s="23" t="s">
        <v>100</v>
      </c>
      <c r="N29" s="24" t="s">
        <v>25</v>
      </c>
      <c r="O29" s="25">
        <v>46055</v>
      </c>
      <c r="P29" s="25" t="str">
        <f>VLOOKUP(F29,[1]CLIENTES!B:L,11,0)</f>
        <v>RODRIGO</v>
      </c>
      <c r="Q29" s="25" t="str">
        <f>VLOOKUP(F29,[1]CLIENTES!B:M,12,0)</f>
        <v>JESSICA</v>
      </c>
      <c r="R29" s="26" t="str">
        <f>VLOOKUP(F29,[1]CLIENTES!B:J,9,0)</f>
        <v>JESSICA CARLA</v>
      </c>
      <c r="S29" s="27">
        <v>15000</v>
      </c>
      <c r="T29" s="28" t="s">
        <v>44</v>
      </c>
      <c r="U29" s="28" t="s">
        <v>28</v>
      </c>
      <c r="V29" s="28" t="s">
        <v>29</v>
      </c>
      <c r="W29" s="28" t="s">
        <v>52</v>
      </c>
    </row>
    <row r="30" spans="1:23" ht="15" customHeight="1" x14ac:dyDescent="0.25">
      <c r="A30" s="20" t="str">
        <f>VLOOKUP(F30,[1]CLIENTES!B:L,11,0)</f>
        <v>RODRIGO</v>
      </c>
      <c r="B30" s="20" t="s">
        <v>20</v>
      </c>
      <c r="C30" s="20">
        <v>46045</v>
      </c>
      <c r="D30" s="21" t="s">
        <v>21</v>
      </c>
      <c r="E30" s="21">
        <v>209</v>
      </c>
      <c r="F30" s="21">
        <v>5017576</v>
      </c>
      <c r="G30" s="21">
        <v>116132</v>
      </c>
      <c r="H30" s="21" t="s">
        <v>31</v>
      </c>
      <c r="I30" s="21" t="s">
        <v>37</v>
      </c>
      <c r="J30" s="21">
        <v>6169</v>
      </c>
      <c r="K30" s="21">
        <v>690</v>
      </c>
      <c r="L30" s="22">
        <v>92</v>
      </c>
      <c r="M30" s="23" t="s">
        <v>101</v>
      </c>
      <c r="N30" s="24" t="s">
        <v>25</v>
      </c>
      <c r="O30" s="25">
        <v>46055</v>
      </c>
      <c r="P30" s="25" t="str">
        <f>VLOOKUP(F30,[1]CLIENTES!B:L,11,0)</f>
        <v>RODRIGO</v>
      </c>
      <c r="Q30" s="25" t="str">
        <f>VLOOKUP(F30,[1]CLIENTES!B:M,12,0)</f>
        <v>JESSICA</v>
      </c>
      <c r="R30" s="26" t="str">
        <f>VLOOKUP(F30,[1]CLIENTES!B:J,9,0)</f>
        <v>MARCELO DUARTE</v>
      </c>
      <c r="S30" s="27">
        <v>36350.65</v>
      </c>
      <c r="T30" s="28" t="s">
        <v>44</v>
      </c>
      <c r="U30" s="28" t="s">
        <v>28</v>
      </c>
      <c r="V30" s="28" t="s">
        <v>29</v>
      </c>
      <c r="W30" s="28" t="s">
        <v>95</v>
      </c>
    </row>
    <row r="31" spans="1:23" ht="15" customHeight="1" x14ac:dyDescent="0.25">
      <c r="A31" s="20" t="str">
        <f>VLOOKUP(F31,[1]CLIENTES!B:L,11,0)</f>
        <v>RODRIGO</v>
      </c>
      <c r="B31" s="20" t="s">
        <v>20</v>
      </c>
      <c r="C31" s="20">
        <v>46045</v>
      </c>
      <c r="D31" s="21" t="s">
        <v>21</v>
      </c>
      <c r="E31" s="21">
        <v>853</v>
      </c>
      <c r="F31" s="21">
        <v>5017576</v>
      </c>
      <c r="G31" s="21">
        <v>116132</v>
      </c>
      <c r="H31" s="21" t="s">
        <v>31</v>
      </c>
      <c r="I31" s="21" t="s">
        <v>37</v>
      </c>
      <c r="J31" s="21" t="s">
        <v>98</v>
      </c>
      <c r="K31" s="21">
        <v>739</v>
      </c>
      <c r="L31" s="22">
        <v>25</v>
      </c>
      <c r="M31" s="23" t="s">
        <v>102</v>
      </c>
      <c r="N31" s="24" t="s">
        <v>25</v>
      </c>
      <c r="O31" s="25">
        <v>46055</v>
      </c>
      <c r="P31" s="25" t="str">
        <f>VLOOKUP(F31,[1]CLIENTES!B:L,11,0)</f>
        <v>RODRIGO</v>
      </c>
      <c r="Q31" s="25" t="str">
        <f>VLOOKUP(F31,[1]CLIENTES!B:M,12,0)</f>
        <v>JESSICA</v>
      </c>
      <c r="R31" s="26" t="str">
        <f>VLOOKUP(F31,[1]CLIENTES!B:J,9,0)</f>
        <v>MARCELO DUARTE</v>
      </c>
      <c r="S31" s="27">
        <v>1087.82</v>
      </c>
      <c r="T31" s="28" t="s">
        <v>44</v>
      </c>
      <c r="U31" s="28" t="s">
        <v>50</v>
      </c>
      <c r="V31" s="28" t="s">
        <v>51</v>
      </c>
      <c r="W31" s="28" t="s">
        <v>95</v>
      </c>
    </row>
    <row r="32" spans="1:23" ht="15" customHeight="1" x14ac:dyDescent="0.25">
      <c r="A32" s="20" t="str">
        <f>VLOOKUP(F32,[1]CLIENTES!B:L,11,0)</f>
        <v>RODRIGO</v>
      </c>
      <c r="B32" s="20" t="s">
        <v>20</v>
      </c>
      <c r="C32" s="20">
        <v>46045</v>
      </c>
      <c r="D32" s="21" t="s">
        <v>21</v>
      </c>
      <c r="E32" s="21">
        <v>208</v>
      </c>
      <c r="F32" s="21">
        <v>5017576</v>
      </c>
      <c r="G32" s="21">
        <v>116132</v>
      </c>
      <c r="H32" s="21" t="s">
        <v>31</v>
      </c>
      <c r="I32" s="21" t="s">
        <v>37</v>
      </c>
      <c r="J32" s="21">
        <v>6169</v>
      </c>
      <c r="K32" s="21">
        <v>690</v>
      </c>
      <c r="L32" s="22">
        <v>92</v>
      </c>
      <c r="M32" s="23" t="s">
        <v>103</v>
      </c>
      <c r="N32" s="24" t="s">
        <v>25</v>
      </c>
      <c r="O32" s="25">
        <v>46055</v>
      </c>
      <c r="P32" s="25" t="str">
        <f>VLOOKUP(F32,[1]CLIENTES!B:L,11,0)</f>
        <v>RODRIGO</v>
      </c>
      <c r="Q32" s="25" t="str">
        <f>VLOOKUP(F32,[1]CLIENTES!B:M,12,0)</f>
        <v>JESSICA</v>
      </c>
      <c r="R32" s="26" t="str">
        <f>VLOOKUP(F32,[1]CLIENTES!B:J,9,0)</f>
        <v>MARCELO DUARTE</v>
      </c>
      <c r="S32" s="27">
        <v>10000</v>
      </c>
      <c r="T32" s="28" t="s">
        <v>44</v>
      </c>
      <c r="U32" s="28" t="s">
        <v>28</v>
      </c>
      <c r="V32" s="28" t="s">
        <v>29</v>
      </c>
      <c r="W32" s="28" t="s">
        <v>52</v>
      </c>
    </row>
    <row r="33" spans="1:23" ht="15" customHeight="1" x14ac:dyDescent="0.25">
      <c r="A33" s="20" t="str">
        <f>VLOOKUP(F33,[1]CLIENTES!B:L,11,0)</f>
        <v>RODRIGO</v>
      </c>
      <c r="B33" s="20" t="s">
        <v>20</v>
      </c>
      <c r="C33" s="20">
        <v>46045</v>
      </c>
      <c r="D33" s="21" t="s">
        <v>21</v>
      </c>
      <c r="E33" s="21">
        <v>245</v>
      </c>
      <c r="F33" s="21">
        <v>5231303</v>
      </c>
      <c r="G33" s="21">
        <v>167018</v>
      </c>
      <c r="H33" s="21" t="s">
        <v>104</v>
      </c>
      <c r="I33" s="21" t="s">
        <v>37</v>
      </c>
      <c r="J33" s="21" t="s">
        <v>105</v>
      </c>
      <c r="K33" s="21">
        <v>189</v>
      </c>
      <c r="L33" s="22">
        <v>93</v>
      </c>
      <c r="M33" s="23" t="s">
        <v>106</v>
      </c>
      <c r="N33" s="24" t="s">
        <v>25</v>
      </c>
      <c r="O33" s="25">
        <v>46055</v>
      </c>
      <c r="P33" s="25" t="str">
        <f>VLOOKUP(F33,[1]CLIENTES!B:L,11,0)</f>
        <v>RODRIGO</v>
      </c>
      <c r="Q33" s="25" t="str">
        <f>VLOOKUP(F33,[1]CLIENTES!B:M,12,0)</f>
        <v>JESSICA</v>
      </c>
      <c r="R33" s="26" t="str">
        <f>VLOOKUP(F33,[1]CLIENTES!B:J,9,0)</f>
        <v>LUCIANA MARTINS</v>
      </c>
      <c r="S33" s="27">
        <v>10000</v>
      </c>
      <c r="T33" s="28" t="s">
        <v>44</v>
      </c>
      <c r="U33" s="28" t="s">
        <v>28</v>
      </c>
      <c r="V33" s="28" t="s">
        <v>29</v>
      </c>
      <c r="W33" s="28" t="s">
        <v>52</v>
      </c>
    </row>
    <row r="34" spans="1:23" ht="15" customHeight="1" x14ac:dyDescent="0.25">
      <c r="A34" s="20" t="str">
        <f>VLOOKUP(F34,[1]CLIENTES!B:L,11,0)</f>
        <v>RODRIGO</v>
      </c>
      <c r="B34" s="20" t="s">
        <v>20</v>
      </c>
      <c r="C34" s="20">
        <v>46045</v>
      </c>
      <c r="D34" s="21" t="s">
        <v>21</v>
      </c>
      <c r="E34" s="21">
        <v>245</v>
      </c>
      <c r="F34" s="21">
        <v>5231303</v>
      </c>
      <c r="G34" s="21">
        <v>167018</v>
      </c>
      <c r="H34" s="21" t="s">
        <v>104</v>
      </c>
      <c r="I34" s="21" t="s">
        <v>37</v>
      </c>
      <c r="J34" s="21" t="s">
        <v>105</v>
      </c>
      <c r="K34" s="21">
        <v>189</v>
      </c>
      <c r="L34" s="22">
        <v>93</v>
      </c>
      <c r="M34" s="23" t="s">
        <v>107</v>
      </c>
      <c r="N34" s="24" t="s">
        <v>25</v>
      </c>
      <c r="O34" s="25">
        <v>46055</v>
      </c>
      <c r="P34" s="25" t="str">
        <f>VLOOKUP(F34,[1]CLIENTES!B:L,11,0)</f>
        <v>RODRIGO</v>
      </c>
      <c r="Q34" s="25" t="str">
        <f>VLOOKUP(F34,[1]CLIENTES!B:M,12,0)</f>
        <v>JESSICA</v>
      </c>
      <c r="R34" s="26" t="str">
        <f>VLOOKUP(F34,[1]CLIENTES!B:J,9,0)</f>
        <v>LUCIANA MARTINS</v>
      </c>
      <c r="S34" s="27">
        <v>5000</v>
      </c>
      <c r="T34" s="28" t="s">
        <v>44</v>
      </c>
      <c r="U34" s="28" t="s">
        <v>28</v>
      </c>
      <c r="V34" s="28" t="s">
        <v>29</v>
      </c>
      <c r="W34" s="28" t="s">
        <v>52</v>
      </c>
    </row>
    <row r="35" spans="1:23" ht="15" customHeight="1" x14ac:dyDescent="0.25">
      <c r="A35" s="20" t="str">
        <f>VLOOKUP(F35,[1]CLIENTES!B:L,11,0)</f>
        <v>RODRIGO</v>
      </c>
      <c r="B35" s="20" t="s">
        <v>20</v>
      </c>
      <c r="C35" s="20">
        <v>46045</v>
      </c>
      <c r="D35" s="21" t="s">
        <v>21</v>
      </c>
      <c r="E35" s="21">
        <v>288</v>
      </c>
      <c r="F35" s="21">
        <v>5220627</v>
      </c>
      <c r="G35" s="21">
        <v>181228</v>
      </c>
      <c r="H35" s="21" t="s">
        <v>108</v>
      </c>
      <c r="I35" s="21" t="s">
        <v>37</v>
      </c>
      <c r="J35" s="21">
        <v>6169</v>
      </c>
      <c r="K35" s="21">
        <v>689</v>
      </c>
      <c r="L35" s="22">
        <v>81</v>
      </c>
      <c r="M35" s="23" t="s">
        <v>109</v>
      </c>
      <c r="N35" s="24" t="s">
        <v>25</v>
      </c>
      <c r="O35" s="25">
        <v>46055</v>
      </c>
      <c r="P35" s="25" t="str">
        <f>VLOOKUP(F35,[1]CLIENTES!B:L,11,0)</f>
        <v>RODRIGO</v>
      </c>
      <c r="Q35" s="25" t="str">
        <f>VLOOKUP(F35,[1]CLIENTES!B:M,12,0)</f>
        <v>JESSICA</v>
      </c>
      <c r="R35" s="26" t="str">
        <f>VLOOKUP(F35,[1]CLIENTES!B:J,9,0)</f>
        <v>LUCIANA MARTINS</v>
      </c>
      <c r="S35" s="27">
        <v>2000</v>
      </c>
      <c r="T35" s="28" t="s">
        <v>44</v>
      </c>
      <c r="U35" s="28" t="s">
        <v>28</v>
      </c>
      <c r="V35" s="28" t="s">
        <v>29</v>
      </c>
      <c r="W35" s="28" t="s">
        <v>52</v>
      </c>
    </row>
    <row r="36" spans="1:23" ht="15" customHeight="1" x14ac:dyDescent="0.25">
      <c r="A36" s="20" t="str">
        <f>VLOOKUP(F36,[1]CLIENTES!B:L,11,0)</f>
        <v>RODRIGO</v>
      </c>
      <c r="B36" s="20" t="s">
        <v>20</v>
      </c>
      <c r="C36" s="20">
        <v>46045</v>
      </c>
      <c r="D36" s="21" t="s">
        <v>21</v>
      </c>
      <c r="E36" s="21">
        <v>221</v>
      </c>
      <c r="F36" s="21">
        <v>5226531</v>
      </c>
      <c r="G36" s="21">
        <v>304970</v>
      </c>
      <c r="H36" s="21" t="s">
        <v>110</v>
      </c>
      <c r="I36" s="21" t="s">
        <v>37</v>
      </c>
      <c r="J36" s="21">
        <v>6169</v>
      </c>
      <c r="K36" s="21">
        <v>689</v>
      </c>
      <c r="L36" s="22">
        <v>93</v>
      </c>
      <c r="M36" s="23" t="s">
        <v>111</v>
      </c>
      <c r="N36" s="24" t="s">
        <v>25</v>
      </c>
      <c r="O36" s="25">
        <v>46055</v>
      </c>
      <c r="P36" s="25" t="str">
        <f>VLOOKUP(F36,[1]CLIENTES!B:L,11,0)</f>
        <v>RODRIGO</v>
      </c>
      <c r="Q36" s="25" t="str">
        <f>VLOOKUP(F36,[1]CLIENTES!B:M,12,0)</f>
        <v>JESSICA</v>
      </c>
      <c r="R36" s="26" t="str">
        <f>VLOOKUP(F36,[1]CLIENTES!B:J,9,0)</f>
        <v>LUCIANA MARTINS</v>
      </c>
      <c r="S36" s="27">
        <v>2000</v>
      </c>
      <c r="T36" s="28" t="s">
        <v>44</v>
      </c>
      <c r="U36" s="28" t="s">
        <v>28</v>
      </c>
      <c r="V36" s="28" t="s">
        <v>29</v>
      </c>
      <c r="W36" s="28" t="s">
        <v>52</v>
      </c>
    </row>
    <row r="37" spans="1:23" ht="15" customHeight="1" x14ac:dyDescent="0.25">
      <c r="A37" s="20" t="str">
        <f>VLOOKUP(F37,[1]CLIENTES!B:L,11,0)</f>
        <v>RODRIGO</v>
      </c>
      <c r="B37" s="20" t="s">
        <v>20</v>
      </c>
      <c r="C37" s="20">
        <v>46045</v>
      </c>
      <c r="D37" s="21" t="s">
        <v>21</v>
      </c>
      <c r="E37" s="21">
        <v>222</v>
      </c>
      <c r="F37" s="21">
        <v>5020319</v>
      </c>
      <c r="G37" s="21">
        <v>110315</v>
      </c>
      <c r="H37" s="21" t="s">
        <v>112</v>
      </c>
      <c r="I37" s="21" t="s">
        <v>113</v>
      </c>
      <c r="J37" s="21">
        <v>6127</v>
      </c>
      <c r="K37" s="21">
        <v>682</v>
      </c>
      <c r="L37" s="22">
        <v>92</v>
      </c>
      <c r="M37" s="23" t="s">
        <v>114</v>
      </c>
      <c r="N37" s="24" t="s">
        <v>25</v>
      </c>
      <c r="O37" s="25">
        <v>46055</v>
      </c>
      <c r="P37" s="25" t="str">
        <f>VLOOKUP(F37,[1]CLIENTES!B:L,11,0)</f>
        <v>RODRIGO</v>
      </c>
      <c r="Q37" s="25" t="str">
        <f>VLOOKUP(F37,[1]CLIENTES!B:M,12,0)</f>
        <v>MARIA LOURDES</v>
      </c>
      <c r="R37" s="26" t="str">
        <f>VLOOKUP(F37,[1]CLIENTES!B:J,9,0)</f>
        <v>CLAUDIO JORGE/LUIZ</v>
      </c>
      <c r="S37" s="27">
        <v>16500</v>
      </c>
      <c r="T37" s="28" t="s">
        <v>44</v>
      </c>
      <c r="U37" s="28" t="s">
        <v>28</v>
      </c>
      <c r="V37" s="28" t="s">
        <v>29</v>
      </c>
      <c r="W37" s="28" t="s">
        <v>52</v>
      </c>
    </row>
    <row r="38" spans="1:23" ht="15" customHeight="1" x14ac:dyDescent="0.25">
      <c r="A38" s="20" t="str">
        <f>VLOOKUP(F38,[1]CLIENTES!B:L,11,0)</f>
        <v>RODRIGO</v>
      </c>
      <c r="B38" s="20" t="s">
        <v>20</v>
      </c>
      <c r="C38" s="20">
        <v>46045</v>
      </c>
      <c r="D38" s="21" t="s">
        <v>21</v>
      </c>
      <c r="E38" s="21">
        <v>272</v>
      </c>
      <c r="F38" s="21">
        <v>5115189</v>
      </c>
      <c r="G38" s="21">
        <v>129296</v>
      </c>
      <c r="H38" s="21" t="s">
        <v>68</v>
      </c>
      <c r="I38" s="21" t="s">
        <v>54</v>
      </c>
      <c r="J38" s="21" t="s">
        <v>55</v>
      </c>
      <c r="K38" s="21">
        <v>191</v>
      </c>
      <c r="L38" s="22">
        <v>92</v>
      </c>
      <c r="M38" s="23" t="s">
        <v>115</v>
      </c>
      <c r="N38" s="24" t="s">
        <v>25</v>
      </c>
      <c r="O38" s="25">
        <v>46055</v>
      </c>
      <c r="P38" s="25" t="str">
        <f>VLOOKUP(F38,[1]CLIENTES!B:L,11,0)</f>
        <v>RODRIGO</v>
      </c>
      <c r="Q38" s="25" t="str">
        <f>VLOOKUP(F38,[1]CLIENTES!B:M,12,0)</f>
        <v>MARCO AURELIO</v>
      </c>
      <c r="R38" s="26" t="str">
        <f>VLOOKUP(F38,[1]CLIENTES!B:J,9,0)</f>
        <v>CLAUDIO JORGE/MARIA LAURA</v>
      </c>
      <c r="S38" s="27">
        <v>26157.77</v>
      </c>
      <c r="T38" s="28" t="s">
        <v>44</v>
      </c>
      <c r="U38" s="28" t="s">
        <v>28</v>
      </c>
      <c r="V38" s="28" t="s">
        <v>29</v>
      </c>
      <c r="W38" s="28" t="s">
        <v>95</v>
      </c>
    </row>
    <row r="39" spans="1:23" ht="15" customHeight="1" x14ac:dyDescent="0.25">
      <c r="A39" s="20" t="str">
        <f>VLOOKUP(F39,[1]CLIENTES!B:L,11,0)</f>
        <v>RODRIGO</v>
      </c>
      <c r="B39" s="20" t="s">
        <v>20</v>
      </c>
      <c r="C39" s="20">
        <v>46045</v>
      </c>
      <c r="D39" s="21" t="s">
        <v>21</v>
      </c>
      <c r="E39" s="21">
        <v>211</v>
      </c>
      <c r="F39" s="21">
        <v>5004685</v>
      </c>
      <c r="G39" s="21">
        <v>110434</v>
      </c>
      <c r="H39" s="21" t="s">
        <v>116</v>
      </c>
      <c r="I39" s="21" t="s">
        <v>23</v>
      </c>
      <c r="J39" s="21">
        <v>6125</v>
      </c>
      <c r="K39" s="21">
        <v>692</v>
      </c>
      <c r="L39" s="22">
        <v>93</v>
      </c>
      <c r="M39" s="23" t="s">
        <v>117</v>
      </c>
      <c r="N39" s="24" t="s">
        <v>25</v>
      </c>
      <c r="O39" s="25">
        <v>46055</v>
      </c>
      <c r="P39" s="25" t="str">
        <f>VLOOKUP(F39,[1]CLIENTES!B:L,11,0)</f>
        <v>RODRIGO</v>
      </c>
      <c r="Q39" s="25" t="str">
        <f>VLOOKUP(F39,[1]CLIENTES!B:M,12,0)</f>
        <v>ALEXANDRO</v>
      </c>
      <c r="R39" s="26" t="str">
        <f>VLOOKUP(F39,[1]CLIENTES!B:J,9,0)</f>
        <v>ALEXANDRO RODRIGUES</v>
      </c>
      <c r="S39" s="27">
        <v>21016.39</v>
      </c>
      <c r="T39" s="28" t="s">
        <v>44</v>
      </c>
      <c r="U39" s="28" t="s">
        <v>28</v>
      </c>
      <c r="V39" s="28" t="s">
        <v>29</v>
      </c>
      <c r="W39" s="28" t="s">
        <v>60</v>
      </c>
    </row>
    <row r="40" spans="1:23" ht="15" customHeight="1" x14ac:dyDescent="0.25">
      <c r="A40" s="20" t="str">
        <f>VLOOKUP(F40,[1]CLIENTES!B:L,11,0)</f>
        <v>RODRIGO</v>
      </c>
      <c r="B40" s="20" t="s">
        <v>20</v>
      </c>
      <c r="C40" s="20">
        <v>46045</v>
      </c>
      <c r="D40" s="21" t="s">
        <v>118</v>
      </c>
      <c r="E40" s="21">
        <v>4000153182</v>
      </c>
      <c r="F40" s="21">
        <v>5026399</v>
      </c>
      <c r="G40" s="21">
        <v>116247</v>
      </c>
      <c r="H40" s="21" t="s">
        <v>119</v>
      </c>
      <c r="I40" s="21" t="s">
        <v>37</v>
      </c>
      <c r="J40" s="21">
        <v>6169</v>
      </c>
      <c r="K40" s="21">
        <v>689</v>
      </c>
      <c r="L40" s="22">
        <v>92</v>
      </c>
      <c r="M40" s="23" t="s">
        <v>120</v>
      </c>
      <c r="N40" s="24" t="s">
        <v>25</v>
      </c>
      <c r="O40" s="25">
        <v>46055</v>
      </c>
      <c r="P40" s="25" t="str">
        <f>VLOOKUP(F40,[1]CLIENTES!B:L,11,0)</f>
        <v>RODRIGO</v>
      </c>
      <c r="Q40" s="25" t="str">
        <f>VLOOKUP(F40,[1]CLIENTES!B:M,12,0)</f>
        <v>JESSICA</v>
      </c>
      <c r="R40" s="26" t="str">
        <f>VLOOKUP(F40,[1]CLIENTES!B:J,9,0)</f>
        <v>JESSICA CARLA</v>
      </c>
      <c r="S40" s="27">
        <v>104604</v>
      </c>
      <c r="T40" s="28" t="s">
        <v>44</v>
      </c>
      <c r="U40" s="28" t="s">
        <v>28</v>
      </c>
      <c r="V40" s="28" t="s">
        <v>29</v>
      </c>
      <c r="W40" s="28" t="s">
        <v>95</v>
      </c>
    </row>
    <row r="41" spans="1:23" ht="15" customHeight="1" x14ac:dyDescent="0.25">
      <c r="A41" s="20" t="str">
        <f>VLOOKUP(F41,[1]CLIENTES!B:L,11,0)</f>
        <v>RODRIGO</v>
      </c>
      <c r="B41" s="20" t="s">
        <v>20</v>
      </c>
      <c r="C41" s="20">
        <v>46045</v>
      </c>
      <c r="D41" s="21" t="s">
        <v>118</v>
      </c>
      <c r="E41" s="21">
        <v>4000153186</v>
      </c>
      <c r="F41" s="21">
        <v>5026399</v>
      </c>
      <c r="G41" s="21">
        <v>116247</v>
      </c>
      <c r="H41" s="21" t="s">
        <v>119</v>
      </c>
      <c r="I41" s="21" t="s">
        <v>37</v>
      </c>
      <c r="J41" s="21">
        <v>6169</v>
      </c>
      <c r="K41" s="21">
        <v>689</v>
      </c>
      <c r="L41" s="22">
        <v>92</v>
      </c>
      <c r="M41" s="23" t="s">
        <v>121</v>
      </c>
      <c r="N41" s="24" t="s">
        <v>25</v>
      </c>
      <c r="O41" s="25">
        <v>46055</v>
      </c>
      <c r="P41" s="25" t="str">
        <f>VLOOKUP(F41,[1]CLIENTES!B:L,11,0)</f>
        <v>RODRIGO</v>
      </c>
      <c r="Q41" s="25" t="str">
        <f>VLOOKUP(F41,[1]CLIENTES!B:M,12,0)</f>
        <v>JESSICA</v>
      </c>
      <c r="R41" s="26" t="str">
        <f>VLOOKUP(F41,[1]CLIENTES!B:J,9,0)</f>
        <v>JESSICA CARLA</v>
      </c>
      <c r="S41" s="27">
        <v>32202.52</v>
      </c>
      <c r="T41" s="28" t="s">
        <v>44</v>
      </c>
      <c r="U41" s="28" t="s">
        <v>28</v>
      </c>
      <c r="V41" s="28" t="s">
        <v>29</v>
      </c>
      <c r="W41" s="28" t="s">
        <v>95</v>
      </c>
    </row>
    <row r="42" spans="1:23" ht="15" customHeight="1" x14ac:dyDescent="0.25">
      <c r="A42" s="20" t="str">
        <f>VLOOKUP(F42,[1]CLIENTES!B:L,11,0)</f>
        <v>RODRIGO</v>
      </c>
      <c r="B42" s="20" t="s">
        <v>20</v>
      </c>
      <c r="C42" s="20">
        <v>46045</v>
      </c>
      <c r="D42" s="21" t="s">
        <v>118</v>
      </c>
      <c r="E42" s="21">
        <v>4000153187</v>
      </c>
      <c r="F42" s="21">
        <v>5026399</v>
      </c>
      <c r="G42" s="21">
        <v>116247</v>
      </c>
      <c r="H42" s="21" t="s">
        <v>119</v>
      </c>
      <c r="I42" s="21" t="s">
        <v>37</v>
      </c>
      <c r="J42" s="21">
        <v>6169</v>
      </c>
      <c r="K42" s="21">
        <v>689</v>
      </c>
      <c r="L42" s="22">
        <v>92</v>
      </c>
      <c r="M42" s="23" t="s">
        <v>122</v>
      </c>
      <c r="N42" s="24" t="s">
        <v>25</v>
      </c>
      <c r="O42" s="25">
        <v>46055</v>
      </c>
      <c r="P42" s="25" t="str">
        <f>VLOOKUP(F42,[1]CLIENTES!B:L,11,0)</f>
        <v>RODRIGO</v>
      </c>
      <c r="Q42" s="25" t="str">
        <f>VLOOKUP(F42,[1]CLIENTES!B:M,12,0)</f>
        <v>JESSICA</v>
      </c>
      <c r="R42" s="26" t="str">
        <f>VLOOKUP(F42,[1]CLIENTES!B:J,9,0)</f>
        <v>JESSICA CARLA</v>
      </c>
      <c r="S42" s="27">
        <v>11100.24</v>
      </c>
      <c r="T42" s="28" t="s">
        <v>44</v>
      </c>
      <c r="U42" s="28" t="s">
        <v>28</v>
      </c>
      <c r="V42" s="28" t="s">
        <v>29</v>
      </c>
      <c r="W42" s="28" t="s">
        <v>95</v>
      </c>
    </row>
    <row r="43" spans="1:23" ht="15" customHeight="1" x14ac:dyDescent="0.25">
      <c r="A43" s="20" t="str">
        <f>VLOOKUP(F43,[1]CLIENTES!B:L,11,0)</f>
        <v>RODRIGO</v>
      </c>
      <c r="B43" s="20" t="s">
        <v>20</v>
      </c>
      <c r="C43" s="20">
        <v>46045</v>
      </c>
      <c r="D43" s="21" t="s">
        <v>118</v>
      </c>
      <c r="E43" s="21">
        <v>4000153484</v>
      </c>
      <c r="F43" s="21">
        <v>5026399</v>
      </c>
      <c r="G43" s="21">
        <v>116247</v>
      </c>
      <c r="H43" s="21" t="s">
        <v>119</v>
      </c>
      <c r="I43" s="21" t="s">
        <v>37</v>
      </c>
      <c r="J43" s="21" t="s">
        <v>98</v>
      </c>
      <c r="K43" s="21">
        <v>739</v>
      </c>
      <c r="L43" s="22">
        <v>37</v>
      </c>
      <c r="M43" s="23" t="s">
        <v>123</v>
      </c>
      <c r="N43" s="24" t="s">
        <v>25</v>
      </c>
      <c r="O43" s="25">
        <v>46055</v>
      </c>
      <c r="P43" s="25" t="str">
        <f>VLOOKUP(F43,[1]CLIENTES!B:L,11,0)</f>
        <v>RODRIGO</v>
      </c>
      <c r="Q43" s="25" t="str">
        <f>VLOOKUP(F43,[1]CLIENTES!B:M,12,0)</f>
        <v>JESSICA</v>
      </c>
      <c r="R43" s="26" t="str">
        <f>VLOOKUP(F43,[1]CLIENTES!B:J,9,0)</f>
        <v>JESSICA CARLA</v>
      </c>
      <c r="S43" s="27">
        <v>8400</v>
      </c>
      <c r="T43" s="28" t="s">
        <v>44</v>
      </c>
      <c r="U43" s="28" t="s">
        <v>50</v>
      </c>
      <c r="V43" s="28" t="s">
        <v>51</v>
      </c>
      <c r="W43" s="28" t="s">
        <v>95</v>
      </c>
    </row>
    <row r="44" spans="1:23" ht="15" customHeight="1" x14ac:dyDescent="0.25">
      <c r="A44" s="20" t="str">
        <f>VLOOKUP(F44,[1]CLIENTES!B:L,11,0)</f>
        <v>RODRIGO</v>
      </c>
      <c r="B44" s="20" t="s">
        <v>20</v>
      </c>
      <c r="C44" s="20">
        <v>46045</v>
      </c>
      <c r="D44" s="21" t="s">
        <v>21</v>
      </c>
      <c r="E44" s="21">
        <v>224</v>
      </c>
      <c r="F44" s="21">
        <v>5020352</v>
      </c>
      <c r="G44" s="21">
        <v>127298</v>
      </c>
      <c r="H44" s="21" t="s">
        <v>124</v>
      </c>
      <c r="I44" s="21" t="s">
        <v>23</v>
      </c>
      <c r="J44" s="21">
        <v>6125</v>
      </c>
      <c r="K44" s="21">
        <v>692</v>
      </c>
      <c r="L44" s="22">
        <v>92</v>
      </c>
      <c r="M44" s="23" t="s">
        <v>125</v>
      </c>
      <c r="N44" s="24" t="s">
        <v>25</v>
      </c>
      <c r="O44" s="25">
        <v>46055</v>
      </c>
      <c r="P44" s="25" t="str">
        <f>VLOOKUP(F44,[1]CLIENTES!B:L,11,0)</f>
        <v>RODRIGO</v>
      </c>
      <c r="Q44" s="25" t="str">
        <f>VLOOKUP(F44,[1]CLIENTES!B:M,12,0)</f>
        <v>ALEXANDRO</v>
      </c>
      <c r="R44" s="26" t="str">
        <f>VLOOKUP(F44,[1]CLIENTES!B:J,9,0)</f>
        <v>GUILHERME NASCIMENTO</v>
      </c>
      <c r="S44" s="27">
        <v>2200</v>
      </c>
      <c r="T44" s="28" t="s">
        <v>44</v>
      </c>
      <c r="U44" s="28" t="s">
        <v>28</v>
      </c>
      <c r="V44" s="28" t="s">
        <v>29</v>
      </c>
      <c r="W44" s="28" t="s">
        <v>126</v>
      </c>
    </row>
    <row r="45" spans="1:23" ht="15" customHeight="1" x14ac:dyDescent="0.25">
      <c r="A45" s="20" t="str">
        <f>VLOOKUP(F45,[1]CLIENTES!B:L,11,0)</f>
        <v>RODRIGO</v>
      </c>
      <c r="B45" s="20" t="s">
        <v>20</v>
      </c>
      <c r="C45" s="20">
        <v>46045</v>
      </c>
      <c r="D45" s="21" t="s">
        <v>21</v>
      </c>
      <c r="E45" s="21">
        <v>238</v>
      </c>
      <c r="F45" s="21">
        <v>5225860</v>
      </c>
      <c r="G45" s="21">
        <v>180402</v>
      </c>
      <c r="H45" s="21" t="s">
        <v>39</v>
      </c>
      <c r="I45" s="21" t="s">
        <v>40</v>
      </c>
      <c r="J45" s="21" t="s">
        <v>41</v>
      </c>
      <c r="K45" s="21">
        <v>194</v>
      </c>
      <c r="L45" s="22">
        <v>92</v>
      </c>
      <c r="M45" s="23" t="s">
        <v>127</v>
      </c>
      <c r="N45" s="24" t="s">
        <v>25</v>
      </c>
      <c r="O45" s="25">
        <v>46055</v>
      </c>
      <c r="P45" s="25" t="str">
        <f>VLOOKUP(F45,[1]CLIENTES!B:L,11,0)</f>
        <v>RODRIGO</v>
      </c>
      <c r="Q45" s="25" t="str">
        <f>VLOOKUP(F45,[1]CLIENTES!B:M,12,0)</f>
        <v>MARIA LOURDES</v>
      </c>
      <c r="R45" s="26" t="str">
        <f>VLOOKUP(F45,[1]CLIENTES!B:J,9,0)</f>
        <v>CLAUDIO JORGE/AMANDA SANDS</v>
      </c>
      <c r="S45" s="27">
        <v>67284.240000000005</v>
      </c>
      <c r="T45" s="28" t="s">
        <v>44</v>
      </c>
      <c r="U45" s="28" t="s">
        <v>28</v>
      </c>
      <c r="V45" s="28" t="s">
        <v>29</v>
      </c>
      <c r="W45" s="28" t="s">
        <v>95</v>
      </c>
    </row>
    <row r="46" spans="1:23" ht="15" customHeight="1" x14ac:dyDescent="0.25">
      <c r="A46" s="20" t="str">
        <f>VLOOKUP(F46,[1]CLIENTES!B:L,11,0)</f>
        <v>RODRIGO</v>
      </c>
      <c r="B46" s="20" t="s">
        <v>20</v>
      </c>
      <c r="C46" s="20">
        <v>46045</v>
      </c>
      <c r="D46" s="21" t="s">
        <v>21</v>
      </c>
      <c r="E46" s="21">
        <v>238</v>
      </c>
      <c r="F46" s="21">
        <v>5225860</v>
      </c>
      <c r="G46" s="21">
        <v>180402</v>
      </c>
      <c r="H46" s="21" t="s">
        <v>39</v>
      </c>
      <c r="I46" s="21" t="s">
        <v>40</v>
      </c>
      <c r="J46" s="21" t="s">
        <v>41</v>
      </c>
      <c r="K46" s="21">
        <v>194</v>
      </c>
      <c r="L46" s="22">
        <v>92</v>
      </c>
      <c r="M46" s="23" t="s">
        <v>128</v>
      </c>
      <c r="N46" s="24" t="s">
        <v>25</v>
      </c>
      <c r="O46" s="25">
        <v>46055</v>
      </c>
      <c r="P46" s="25" t="str">
        <f>VLOOKUP(F46,[1]CLIENTES!B:L,11,0)</f>
        <v>RODRIGO</v>
      </c>
      <c r="Q46" s="25" t="str">
        <f>VLOOKUP(F46,[1]CLIENTES!B:M,12,0)</f>
        <v>MARIA LOURDES</v>
      </c>
      <c r="R46" s="26" t="str">
        <f>VLOOKUP(F46,[1]CLIENTES!B:J,9,0)</f>
        <v>CLAUDIO JORGE/AMANDA SANDS</v>
      </c>
      <c r="S46" s="27">
        <v>20000</v>
      </c>
      <c r="T46" s="28" t="s">
        <v>44</v>
      </c>
      <c r="U46" s="28" t="s">
        <v>28</v>
      </c>
      <c r="V46" s="28" t="s">
        <v>29</v>
      </c>
      <c r="W46" s="28" t="s">
        <v>126</v>
      </c>
    </row>
    <row r="47" spans="1:23" ht="15" customHeight="1" x14ac:dyDescent="0.25">
      <c r="A47" s="20" t="str">
        <f>VLOOKUP(F47,[1]CLIENTES!B:L,11,0)</f>
        <v>RODRIGO</v>
      </c>
      <c r="B47" s="20" t="s">
        <v>20</v>
      </c>
      <c r="C47" s="20">
        <v>46045</v>
      </c>
      <c r="D47" s="21" t="s">
        <v>21</v>
      </c>
      <c r="E47" s="21">
        <v>225</v>
      </c>
      <c r="F47" s="21">
        <v>5020347</v>
      </c>
      <c r="G47" s="21">
        <v>112787</v>
      </c>
      <c r="H47" s="21" t="s">
        <v>129</v>
      </c>
      <c r="I47" s="21" t="s">
        <v>23</v>
      </c>
      <c r="J47" s="21">
        <v>6125</v>
      </c>
      <c r="K47" s="21">
        <v>692</v>
      </c>
      <c r="L47" s="22">
        <v>92</v>
      </c>
      <c r="M47" s="23" t="s">
        <v>130</v>
      </c>
      <c r="N47" s="24" t="s">
        <v>25</v>
      </c>
      <c r="O47" s="25">
        <v>46055</v>
      </c>
      <c r="P47" s="25" t="str">
        <f>VLOOKUP(F47,[1]CLIENTES!B:L,11,0)</f>
        <v>RODRIGO</v>
      </c>
      <c r="Q47" s="25" t="str">
        <f>VLOOKUP(F47,[1]CLIENTES!B:M,12,0)</f>
        <v>ALEXANDRO</v>
      </c>
      <c r="R47" s="26" t="str">
        <f>VLOOKUP(F47,[1]CLIENTES!B:J,9,0)</f>
        <v>GUILHERME NASCIMENTO</v>
      </c>
      <c r="S47" s="27">
        <v>3900</v>
      </c>
      <c r="T47" s="28" t="s">
        <v>44</v>
      </c>
      <c r="U47" s="28" t="s">
        <v>28</v>
      </c>
      <c r="V47" s="28" t="s">
        <v>29</v>
      </c>
      <c r="W47" s="28" t="s">
        <v>126</v>
      </c>
    </row>
    <row r="48" spans="1:23" ht="15" customHeight="1" x14ac:dyDescent="0.25">
      <c r="A48" s="20" t="str">
        <f>VLOOKUP(F48,[1]CLIENTES!B:L,11,0)</f>
        <v>RODRIGO</v>
      </c>
      <c r="B48" s="20" t="s">
        <v>20</v>
      </c>
      <c r="C48" s="20">
        <v>46045</v>
      </c>
      <c r="D48" s="21" t="s">
        <v>21</v>
      </c>
      <c r="E48" s="21">
        <v>285</v>
      </c>
      <c r="F48" s="21">
        <v>5229985</v>
      </c>
      <c r="G48" s="21">
        <v>180738</v>
      </c>
      <c r="H48" s="21" t="s">
        <v>131</v>
      </c>
      <c r="I48" s="21" t="s">
        <v>132</v>
      </c>
      <c r="J48" s="21">
        <v>6127</v>
      </c>
      <c r="K48" s="21">
        <v>605</v>
      </c>
      <c r="L48" s="22">
        <v>92</v>
      </c>
      <c r="M48" s="23" t="s">
        <v>133</v>
      </c>
      <c r="N48" s="24" t="s">
        <v>25</v>
      </c>
      <c r="O48" s="25">
        <v>46055</v>
      </c>
      <c r="P48" s="25" t="str">
        <f>VLOOKUP(F48,[1]CLIENTES!B:L,11,0)</f>
        <v>RODRIGO</v>
      </c>
      <c r="Q48" s="25" t="str">
        <f>VLOOKUP(F48,[1]CLIENTES!B:M,12,0)</f>
        <v>MARIA LOURDES</v>
      </c>
      <c r="R48" s="26" t="str">
        <f>VLOOKUP(F48,[1]CLIENTES!B:J,9,0)</f>
        <v>WH FOOD SERVICE CE</v>
      </c>
      <c r="S48" s="27">
        <v>38460.839999999997</v>
      </c>
      <c r="T48" s="28" t="s">
        <v>44</v>
      </c>
      <c r="U48" s="28" t="s">
        <v>28</v>
      </c>
      <c r="V48" s="28" t="s">
        <v>29</v>
      </c>
      <c r="W48" s="28" t="s">
        <v>95</v>
      </c>
    </row>
    <row r="49" spans="1:23" ht="15" customHeight="1" x14ac:dyDescent="0.25">
      <c r="A49" s="20" t="str">
        <f>VLOOKUP(F49,[1]CLIENTES!B:L,11,0)</f>
        <v>RODRIGO</v>
      </c>
      <c r="B49" s="20" t="s">
        <v>20</v>
      </c>
      <c r="C49" s="20">
        <v>46045</v>
      </c>
      <c r="D49" s="21" t="s">
        <v>21</v>
      </c>
      <c r="E49" s="21">
        <v>669</v>
      </c>
      <c r="F49" s="21">
        <v>5133664</v>
      </c>
      <c r="G49" s="21">
        <v>142632</v>
      </c>
      <c r="H49" s="21" t="s">
        <v>134</v>
      </c>
      <c r="I49" s="21" t="s">
        <v>40</v>
      </c>
      <c r="J49" s="21" t="s">
        <v>135</v>
      </c>
      <c r="K49" s="21">
        <v>536</v>
      </c>
      <c r="L49" s="22">
        <v>92</v>
      </c>
      <c r="M49" s="23" t="s">
        <v>136</v>
      </c>
      <c r="N49" s="24" t="s">
        <v>25</v>
      </c>
      <c r="O49" s="25">
        <v>46082</v>
      </c>
      <c r="P49" s="25" t="str">
        <f>VLOOKUP(F49,[1]CLIENTES!B:L,11,0)</f>
        <v>RODRIGO</v>
      </c>
      <c r="Q49" s="25" t="str">
        <f>VLOOKUP(F49,[1]CLIENTES!B:M,12,0)</f>
        <v>MARIA LOURDES</v>
      </c>
      <c r="R49" s="26" t="str">
        <f>VLOOKUP(F49,[1]CLIENTES!B:J,9,0)</f>
        <v>CLAUDIO JORGE/AMANDA SANDS</v>
      </c>
      <c r="S49" s="27">
        <v>852.33</v>
      </c>
      <c r="T49" s="28" t="s">
        <v>44</v>
      </c>
      <c r="U49" s="28" t="s">
        <v>50</v>
      </c>
      <c r="V49" s="28" t="s">
        <v>51</v>
      </c>
      <c r="W49" s="28" t="s">
        <v>95</v>
      </c>
    </row>
    <row r="50" spans="1:23" ht="15" customHeight="1" x14ac:dyDescent="0.25">
      <c r="A50" s="20" t="str">
        <f>VLOOKUP(F50,[1]CLIENTES!B:L,11,0)</f>
        <v>RODRIGO</v>
      </c>
      <c r="B50" s="20" t="s">
        <v>20</v>
      </c>
      <c r="C50" s="20">
        <v>46045</v>
      </c>
      <c r="D50" s="21" t="s">
        <v>21</v>
      </c>
      <c r="E50" s="21">
        <v>243</v>
      </c>
      <c r="F50" s="21">
        <v>5133664</v>
      </c>
      <c r="G50" s="21">
        <v>142632</v>
      </c>
      <c r="H50" s="21" t="s">
        <v>134</v>
      </c>
      <c r="I50" s="21" t="s">
        <v>40</v>
      </c>
      <c r="J50" s="21" t="s">
        <v>41</v>
      </c>
      <c r="K50" s="21">
        <v>194</v>
      </c>
      <c r="L50" s="22">
        <v>92</v>
      </c>
      <c r="M50" s="23" t="s">
        <v>137</v>
      </c>
      <c r="N50" s="24" t="s">
        <v>25</v>
      </c>
      <c r="O50" s="25">
        <v>46055</v>
      </c>
      <c r="P50" s="25" t="str">
        <f>VLOOKUP(F50,[1]CLIENTES!B:L,11,0)</f>
        <v>RODRIGO</v>
      </c>
      <c r="Q50" s="25" t="str">
        <f>VLOOKUP(F50,[1]CLIENTES!B:M,12,0)</f>
        <v>MARIA LOURDES</v>
      </c>
      <c r="R50" s="26" t="str">
        <f>VLOOKUP(F50,[1]CLIENTES!B:J,9,0)</f>
        <v>CLAUDIO JORGE/AMANDA SANDS</v>
      </c>
      <c r="S50" s="27">
        <v>39559.120000000003</v>
      </c>
      <c r="T50" s="28" t="s">
        <v>44</v>
      </c>
      <c r="U50" s="28" t="s">
        <v>28</v>
      </c>
      <c r="V50" s="28" t="s">
        <v>29</v>
      </c>
      <c r="W50" s="28" t="s">
        <v>95</v>
      </c>
    </row>
    <row r="51" spans="1:23" ht="15" customHeight="1" x14ac:dyDescent="0.25">
      <c r="A51" s="20" t="str">
        <f>VLOOKUP(F51,[1]CLIENTES!B:L,11,0)</f>
        <v>RODRIGO</v>
      </c>
      <c r="B51" s="20" t="s">
        <v>20</v>
      </c>
      <c r="C51" s="20">
        <v>46045</v>
      </c>
      <c r="D51" s="21" t="s">
        <v>21</v>
      </c>
      <c r="E51" s="21">
        <v>223</v>
      </c>
      <c r="F51" s="21">
        <v>5020319</v>
      </c>
      <c r="G51" s="21">
        <v>110315</v>
      </c>
      <c r="H51" s="21" t="s">
        <v>112</v>
      </c>
      <c r="I51" s="21" t="s">
        <v>113</v>
      </c>
      <c r="J51" s="21">
        <v>6127</v>
      </c>
      <c r="K51" s="21">
        <v>682</v>
      </c>
      <c r="L51" s="22">
        <v>92</v>
      </c>
      <c r="M51" s="23" t="s">
        <v>138</v>
      </c>
      <c r="N51" s="24" t="s">
        <v>25</v>
      </c>
      <c r="O51" s="25">
        <v>46055</v>
      </c>
      <c r="P51" s="25" t="str">
        <f>VLOOKUP(F51,[1]CLIENTES!B:L,11,0)</f>
        <v>RODRIGO</v>
      </c>
      <c r="Q51" s="25" t="str">
        <f>VLOOKUP(F51,[1]CLIENTES!B:M,12,0)</f>
        <v>MARIA LOURDES</v>
      </c>
      <c r="R51" s="26" t="str">
        <f>VLOOKUP(F51,[1]CLIENTES!B:J,9,0)</f>
        <v>CLAUDIO JORGE/LUIZ</v>
      </c>
      <c r="S51" s="27">
        <v>12634.94</v>
      </c>
      <c r="T51" s="28" t="s">
        <v>44</v>
      </c>
      <c r="U51" s="28" t="s">
        <v>28</v>
      </c>
      <c r="V51" s="28" t="s">
        <v>29</v>
      </c>
      <c r="W51" s="28" t="s">
        <v>95</v>
      </c>
    </row>
    <row r="52" spans="1:23" ht="15" customHeight="1" x14ac:dyDescent="0.25">
      <c r="A52" s="20" t="str">
        <f>VLOOKUP(F52,[1]CLIENTES!B:L,11,0)</f>
        <v>RODRIGO</v>
      </c>
      <c r="B52" s="20" t="s">
        <v>20</v>
      </c>
      <c r="C52" s="20">
        <v>46045</v>
      </c>
      <c r="D52" s="21" t="s">
        <v>21</v>
      </c>
      <c r="E52" s="21">
        <v>218</v>
      </c>
      <c r="F52" s="21">
        <v>5026768</v>
      </c>
      <c r="G52" s="21">
        <v>113399</v>
      </c>
      <c r="H52" s="21" t="s">
        <v>139</v>
      </c>
      <c r="I52" s="21" t="s">
        <v>132</v>
      </c>
      <c r="J52" s="21">
        <v>6127</v>
      </c>
      <c r="K52" s="21">
        <v>605</v>
      </c>
      <c r="L52" s="22">
        <v>92</v>
      </c>
      <c r="M52" s="23" t="s">
        <v>140</v>
      </c>
      <c r="N52" s="24" t="s">
        <v>25</v>
      </c>
      <c r="O52" s="25">
        <v>46055</v>
      </c>
      <c r="P52" s="25" t="str">
        <f>VLOOKUP(F52,[1]CLIENTES!B:L,11,0)</f>
        <v>RODRIGO</v>
      </c>
      <c r="Q52" s="25" t="str">
        <f>VLOOKUP(F52,[1]CLIENTES!B:M,12,0)</f>
        <v>MARIA LOURDES</v>
      </c>
      <c r="R52" s="26" t="str">
        <f>VLOOKUP(F52,[1]CLIENTES!B:J,9,0)</f>
        <v>WH FOOD SERVICE CE</v>
      </c>
      <c r="S52" s="27">
        <v>12868.97</v>
      </c>
      <c r="T52" s="28" t="s">
        <v>44</v>
      </c>
      <c r="U52" s="28" t="s">
        <v>28</v>
      </c>
      <c r="V52" s="28" t="s">
        <v>29</v>
      </c>
      <c r="W52" s="28" t="s">
        <v>95</v>
      </c>
    </row>
    <row r="53" spans="1:23" ht="15" customHeight="1" x14ac:dyDescent="0.25">
      <c r="A53" s="20" t="str">
        <f>VLOOKUP(F53,[1]CLIENTES!B:L,11,0)</f>
        <v>RODRIGO</v>
      </c>
      <c r="B53" s="20" t="s">
        <v>20</v>
      </c>
      <c r="C53" s="20">
        <v>46045</v>
      </c>
      <c r="D53" s="21" t="s">
        <v>21</v>
      </c>
      <c r="E53" s="21">
        <v>285</v>
      </c>
      <c r="F53" s="21">
        <v>5229985</v>
      </c>
      <c r="G53" s="21">
        <v>180738</v>
      </c>
      <c r="H53" s="21" t="s">
        <v>131</v>
      </c>
      <c r="I53" s="21" t="s">
        <v>132</v>
      </c>
      <c r="J53" s="21">
        <v>6127</v>
      </c>
      <c r="K53" s="21">
        <v>605</v>
      </c>
      <c r="L53" s="22">
        <v>92</v>
      </c>
      <c r="M53" s="23" t="s">
        <v>141</v>
      </c>
      <c r="N53" s="24" t="s">
        <v>25</v>
      </c>
      <c r="O53" s="25">
        <v>46055</v>
      </c>
      <c r="P53" s="25" t="str">
        <f>VLOOKUP(F53,[1]CLIENTES!B:L,11,0)</f>
        <v>RODRIGO</v>
      </c>
      <c r="Q53" s="25" t="str">
        <f>VLOOKUP(F53,[1]CLIENTES!B:M,12,0)</f>
        <v>MARIA LOURDES</v>
      </c>
      <c r="R53" s="26" t="str">
        <f>VLOOKUP(F53,[1]CLIENTES!B:J,9,0)</f>
        <v>WH FOOD SERVICE CE</v>
      </c>
      <c r="S53" s="27">
        <v>23000</v>
      </c>
      <c r="T53" s="28" t="s">
        <v>44</v>
      </c>
      <c r="U53" s="28" t="s">
        <v>28</v>
      </c>
      <c r="V53" s="28" t="s">
        <v>29</v>
      </c>
      <c r="W53" s="28" t="s">
        <v>126</v>
      </c>
    </row>
    <row r="54" spans="1:23" ht="15" customHeight="1" x14ac:dyDescent="0.25">
      <c r="A54" s="20" t="str">
        <f>VLOOKUP(F54,[1]CLIENTES!B:L,11,0)</f>
        <v>RODRIGO</v>
      </c>
      <c r="B54" s="20" t="s">
        <v>142</v>
      </c>
      <c r="C54" s="20">
        <v>46075</v>
      </c>
      <c r="D54" s="21" t="s">
        <v>21</v>
      </c>
      <c r="E54" s="21">
        <v>496</v>
      </c>
      <c r="F54" s="21">
        <v>5017576</v>
      </c>
      <c r="G54" s="21">
        <v>116132</v>
      </c>
      <c r="H54" s="21" t="s">
        <v>31</v>
      </c>
      <c r="I54" s="21" t="s">
        <v>32</v>
      </c>
      <c r="J54" s="21">
        <v>6169</v>
      </c>
      <c r="K54" s="21">
        <v>690</v>
      </c>
      <c r="L54" s="22">
        <v>92</v>
      </c>
      <c r="M54" s="23" t="s">
        <v>143</v>
      </c>
      <c r="N54" s="24" t="s">
        <v>25</v>
      </c>
      <c r="O54" s="25">
        <v>46082</v>
      </c>
      <c r="P54" s="25" t="str">
        <f>VLOOKUP(F54,[1]CLIENTES!B:L,11,0)</f>
        <v>RODRIGO</v>
      </c>
      <c r="Q54" s="25" t="str">
        <f>VLOOKUP(F54,[1]CLIENTES!B:M,12,0)</f>
        <v>JESSICA</v>
      </c>
      <c r="R54" s="26" t="str">
        <f>VLOOKUP(F54,[1]CLIENTES!B:J,9,0)</f>
        <v>MARCELO DUARTE</v>
      </c>
      <c r="S54" s="27">
        <v>15000</v>
      </c>
      <c r="T54" s="28" t="s">
        <v>34</v>
      </c>
      <c r="U54" s="28" t="s">
        <v>28</v>
      </c>
      <c r="V54" s="28" t="s">
        <v>29</v>
      </c>
      <c r="W54" s="28" t="s">
        <v>35</v>
      </c>
    </row>
    <row r="55" spans="1:23" ht="15" customHeight="1" x14ac:dyDescent="0.25">
      <c r="A55" s="20" t="str">
        <f>VLOOKUP(F55,[1]CLIENTES!B:L,11,0)</f>
        <v>RODRIGO</v>
      </c>
      <c r="B55" s="20" t="s">
        <v>142</v>
      </c>
      <c r="C55" s="20">
        <v>46078</v>
      </c>
      <c r="D55" s="21" t="s">
        <v>21</v>
      </c>
      <c r="E55" s="21">
        <v>516</v>
      </c>
      <c r="F55" s="21">
        <v>5115019</v>
      </c>
      <c r="G55" s="21">
        <v>123456</v>
      </c>
      <c r="H55" s="21" t="s">
        <v>36</v>
      </c>
      <c r="I55" s="21" t="s">
        <v>37</v>
      </c>
      <c r="J55" s="21">
        <v>6169</v>
      </c>
      <c r="K55" s="21">
        <v>689</v>
      </c>
      <c r="L55" s="22">
        <v>92</v>
      </c>
      <c r="M55" s="23" t="s">
        <v>144</v>
      </c>
      <c r="N55" s="24" t="s">
        <v>25</v>
      </c>
      <c r="O55" s="25">
        <v>46082</v>
      </c>
      <c r="P55" s="25" t="str">
        <f>VLOOKUP(F55,[1]CLIENTES!B:L,11,0)</f>
        <v>RODRIGO</v>
      </c>
      <c r="Q55" s="25" t="str">
        <f>VLOOKUP(F55,[1]CLIENTES!B:M,12,0)</f>
        <v>JESSICA</v>
      </c>
      <c r="R55" s="26" t="str">
        <f>VLOOKUP(F55,[1]CLIENTES!B:J,9,0)</f>
        <v>JESSICA CARLA</v>
      </c>
      <c r="S55" s="27">
        <v>15715</v>
      </c>
      <c r="T55" s="28" t="s">
        <v>34</v>
      </c>
      <c r="U55" s="28" t="s">
        <v>28</v>
      </c>
      <c r="V55" s="28" t="s">
        <v>29</v>
      </c>
      <c r="W55" s="28" t="s">
        <v>35</v>
      </c>
    </row>
    <row r="56" spans="1:23" ht="15" customHeight="1" x14ac:dyDescent="0.25">
      <c r="A56" s="20" t="str">
        <f>VLOOKUP(F56,[1]CLIENTES!B:L,11,0)</f>
        <v>RODRIGO</v>
      </c>
      <c r="B56" s="20" t="s">
        <v>142</v>
      </c>
      <c r="C56" s="20">
        <v>46070</v>
      </c>
      <c r="D56" s="21" t="s">
        <v>21</v>
      </c>
      <c r="E56" s="21">
        <v>515</v>
      </c>
      <c r="F56" s="21">
        <v>5225860</v>
      </c>
      <c r="G56" s="21">
        <v>180402</v>
      </c>
      <c r="H56" s="21" t="s">
        <v>39</v>
      </c>
      <c r="I56" s="21" t="s">
        <v>40</v>
      </c>
      <c r="J56" s="21" t="s">
        <v>41</v>
      </c>
      <c r="K56" s="21">
        <v>194</v>
      </c>
      <c r="L56" s="22">
        <v>92</v>
      </c>
      <c r="M56" s="23" t="s">
        <v>145</v>
      </c>
      <c r="N56" s="24" t="s">
        <v>25</v>
      </c>
      <c r="O56" s="25">
        <v>46082</v>
      </c>
      <c r="P56" s="25" t="str">
        <f>VLOOKUP(F56,[1]CLIENTES!B:L,11,0)</f>
        <v>RODRIGO</v>
      </c>
      <c r="Q56" s="25" t="str">
        <f>VLOOKUP(F56,[1]CLIENTES!B:M,12,0)</f>
        <v>MARIA LOURDES</v>
      </c>
      <c r="R56" s="26" t="str">
        <f>VLOOKUP(F56,[1]CLIENTES!B:J,9,0)</f>
        <v>CLAUDIO JORGE/AMANDA SANDS</v>
      </c>
      <c r="S56" s="27">
        <v>14000</v>
      </c>
      <c r="T56" s="28" t="s">
        <v>44</v>
      </c>
      <c r="U56" s="28" t="s">
        <v>28</v>
      </c>
      <c r="V56" s="28" t="s">
        <v>29</v>
      </c>
      <c r="W56" s="28" t="s">
        <v>45</v>
      </c>
    </row>
    <row r="57" spans="1:23" ht="15" customHeight="1" x14ac:dyDescent="0.25">
      <c r="A57" s="20" t="str">
        <f>VLOOKUP(F57,[1]CLIENTES!B:L,11,0)</f>
        <v>RODRIGO</v>
      </c>
      <c r="B57" s="20" t="s">
        <v>142</v>
      </c>
      <c r="C57" s="20">
        <v>46045</v>
      </c>
      <c r="D57" s="21" t="s">
        <v>21</v>
      </c>
      <c r="E57" s="21">
        <v>516</v>
      </c>
      <c r="F57" s="21">
        <v>5115019</v>
      </c>
      <c r="G57" s="21">
        <v>123456</v>
      </c>
      <c r="H57" s="21" t="s">
        <v>36</v>
      </c>
      <c r="I57" s="21" t="s">
        <v>37</v>
      </c>
      <c r="J57" s="21">
        <v>6169</v>
      </c>
      <c r="K57" s="21">
        <v>689</v>
      </c>
      <c r="L57" s="22">
        <v>92</v>
      </c>
      <c r="M57" s="23" t="s">
        <v>146</v>
      </c>
      <c r="N57" s="24" t="s">
        <v>25</v>
      </c>
      <c r="O57" s="25">
        <v>46082</v>
      </c>
      <c r="P57" s="25" t="str">
        <f>VLOOKUP(F57,[1]CLIENTES!B:L,11,0)</f>
        <v>RODRIGO</v>
      </c>
      <c r="Q57" s="25" t="str">
        <f>VLOOKUP(F57,[1]CLIENTES!B:M,12,0)</f>
        <v>JESSICA</v>
      </c>
      <c r="R57" s="26" t="str">
        <f>VLOOKUP(F57,[1]CLIENTES!B:J,9,0)</f>
        <v>JESSICA CARLA</v>
      </c>
      <c r="S57" s="27">
        <v>80667.25</v>
      </c>
      <c r="T57" s="28" t="s">
        <v>44</v>
      </c>
      <c r="U57" s="28" t="s">
        <v>28</v>
      </c>
      <c r="V57" s="28" t="s">
        <v>29</v>
      </c>
      <c r="W57" s="28" t="s">
        <v>95</v>
      </c>
    </row>
    <row r="58" spans="1:23" ht="15" customHeight="1" x14ac:dyDescent="0.25">
      <c r="A58" s="20" t="str">
        <f>VLOOKUP(F58,[1]CLIENTES!B:L,11,0)</f>
        <v>RODRIGO</v>
      </c>
      <c r="B58" s="20" t="s">
        <v>142</v>
      </c>
      <c r="C58" s="20">
        <v>46055.451064814799</v>
      </c>
      <c r="D58" s="21" t="s">
        <v>21</v>
      </c>
      <c r="E58" s="21">
        <v>559</v>
      </c>
      <c r="F58" s="21">
        <v>5022847</v>
      </c>
      <c r="G58" s="21"/>
      <c r="H58" s="21" t="s">
        <v>147</v>
      </c>
      <c r="I58" s="21" t="s">
        <v>23</v>
      </c>
      <c r="J58" s="21">
        <v>6125</v>
      </c>
      <c r="K58" s="21">
        <v>692</v>
      </c>
      <c r="L58" s="22">
        <v>93</v>
      </c>
      <c r="M58" s="23" t="s">
        <v>148</v>
      </c>
      <c r="N58" s="24" t="s">
        <v>25</v>
      </c>
      <c r="O58" s="25">
        <v>46082</v>
      </c>
      <c r="P58" s="25" t="str">
        <f>VLOOKUP(F58,[1]CLIENTES!B:L,11,0)</f>
        <v>RODRIGO</v>
      </c>
      <c r="Q58" s="25" t="str">
        <f>VLOOKUP(F58,[1]CLIENTES!B:M,12,0)</f>
        <v>RAQUEL BARBOSA</v>
      </c>
      <c r="R58" s="26" t="str">
        <f>VLOOKUP(F58,[1]CLIENTES!B:J,9,0)</f>
        <v>SP ITB FS FLAC REP.E COMERCIO</v>
      </c>
      <c r="S58" s="27">
        <v>640</v>
      </c>
      <c r="T58" s="28" t="s">
        <v>44</v>
      </c>
      <c r="U58" s="28" t="s">
        <v>28</v>
      </c>
      <c r="V58" s="28" t="s">
        <v>29</v>
      </c>
      <c r="W58" s="28" t="s">
        <v>149</v>
      </c>
    </row>
    <row r="59" spans="1:23" ht="15" customHeight="1" x14ac:dyDescent="0.25">
      <c r="A59" s="20" t="str">
        <f>VLOOKUP(F59,[1]CLIENTES!B:L,11,0)</f>
        <v>RODRIGO</v>
      </c>
      <c r="B59" s="20" t="s">
        <v>142</v>
      </c>
      <c r="C59" s="20">
        <v>46055.455266203702</v>
      </c>
      <c r="D59" s="21" t="s">
        <v>21</v>
      </c>
      <c r="E59" s="21">
        <v>493</v>
      </c>
      <c r="F59" s="21">
        <v>5330544</v>
      </c>
      <c r="G59" s="21">
        <v>186871</v>
      </c>
      <c r="H59" s="21" t="s">
        <v>150</v>
      </c>
      <c r="I59" s="21" t="s">
        <v>23</v>
      </c>
      <c r="J59" s="21">
        <v>6125</v>
      </c>
      <c r="K59" s="21">
        <v>692</v>
      </c>
      <c r="L59" s="22">
        <v>93</v>
      </c>
      <c r="M59" s="23" t="s">
        <v>151</v>
      </c>
      <c r="N59" s="24" t="s">
        <v>25</v>
      </c>
      <c r="O59" s="25">
        <v>46082</v>
      </c>
      <c r="P59" s="25" t="str">
        <f>VLOOKUP(F59,[1]CLIENTES!B:L,11,0)</f>
        <v>RODRIGO</v>
      </c>
      <c r="Q59" s="25" t="str">
        <f>VLOOKUP(F59,[1]CLIENTES!B:M,12,0)</f>
        <v>ALEXANDRE BONANI</v>
      </c>
      <c r="R59" s="26" t="str">
        <f>VLOOKUP(F59,[1]CLIENTES!B:J,9,0)</f>
        <v>ALEXANDRE BONANI</v>
      </c>
      <c r="S59" s="27">
        <v>1268</v>
      </c>
      <c r="T59" s="28" t="s">
        <v>44</v>
      </c>
      <c r="U59" s="28" t="s">
        <v>28</v>
      </c>
      <c r="V59" s="28" t="s">
        <v>29</v>
      </c>
      <c r="W59" s="28" t="s">
        <v>149</v>
      </c>
    </row>
    <row r="60" spans="1:23" ht="15" customHeight="1" x14ac:dyDescent="0.25">
      <c r="A60" s="20" t="str">
        <f>VLOOKUP(F60,[1]CLIENTES!B:L,11,0)</f>
        <v>RODRIGO</v>
      </c>
      <c r="B60" s="20" t="s">
        <v>142</v>
      </c>
      <c r="C60" s="20">
        <v>46055.482650462996</v>
      </c>
      <c r="D60" s="21" t="s">
        <v>21</v>
      </c>
      <c r="E60" s="21">
        <v>2515</v>
      </c>
      <c r="F60" s="21">
        <v>5006978</v>
      </c>
      <c r="G60" s="21">
        <v>103036</v>
      </c>
      <c r="H60" s="21" t="s">
        <v>58</v>
      </c>
      <c r="I60" s="21" t="s">
        <v>23</v>
      </c>
      <c r="J60" s="21" t="s">
        <v>47</v>
      </c>
      <c r="K60" s="21">
        <v>722</v>
      </c>
      <c r="L60" s="22">
        <v>25</v>
      </c>
      <c r="M60" s="23" t="s">
        <v>152</v>
      </c>
      <c r="N60" s="24" t="s">
        <v>25</v>
      </c>
      <c r="O60" s="25">
        <v>46082</v>
      </c>
      <c r="P60" s="25" t="str">
        <f>VLOOKUP(F60,[1]CLIENTES!B:L,11,0)</f>
        <v>RODRIGO</v>
      </c>
      <c r="Q60" s="25" t="str">
        <f>VLOOKUP(F60,[1]CLIENTES!B:M,12,0)</f>
        <v>RAQUEL BARBOSA</v>
      </c>
      <c r="R60" s="26" t="str">
        <f>VLOOKUP(F60,[1]CLIENTES!B:J,9,0)</f>
        <v>RAQUEL BARBOSA</v>
      </c>
      <c r="S60" s="27">
        <v>5000</v>
      </c>
      <c r="T60" s="28" t="s">
        <v>44</v>
      </c>
      <c r="U60" s="28" t="s">
        <v>50</v>
      </c>
      <c r="V60" s="28" t="s">
        <v>51</v>
      </c>
      <c r="W60" s="28" t="s">
        <v>60</v>
      </c>
    </row>
    <row r="61" spans="1:23" ht="15" customHeight="1" x14ac:dyDescent="0.25">
      <c r="A61" s="20" t="str">
        <f>VLOOKUP(F61,[1]CLIENTES!B:L,11,0)</f>
        <v>RODRIGO</v>
      </c>
      <c r="B61" s="20" t="s">
        <v>142</v>
      </c>
      <c r="C61" s="20">
        <v>46055.589236111096</v>
      </c>
      <c r="D61" s="21" t="s">
        <v>21</v>
      </c>
      <c r="E61" s="21">
        <v>510</v>
      </c>
      <c r="F61" s="21">
        <v>5109682</v>
      </c>
      <c r="G61" s="21">
        <v>128100</v>
      </c>
      <c r="H61" s="21" t="s">
        <v>88</v>
      </c>
      <c r="I61" s="21" t="s">
        <v>23</v>
      </c>
      <c r="J61" s="21">
        <v>6125</v>
      </c>
      <c r="K61" s="21">
        <v>692</v>
      </c>
      <c r="L61" s="22">
        <v>93</v>
      </c>
      <c r="M61" s="23" t="s">
        <v>153</v>
      </c>
      <c r="N61" s="24" t="s">
        <v>25</v>
      </c>
      <c r="O61" s="25">
        <v>46082</v>
      </c>
      <c r="P61" s="25" t="str">
        <f>VLOOKUP(F61,[1]CLIENTES!B:L,11,0)</f>
        <v>RODRIGO</v>
      </c>
      <c r="Q61" s="25" t="str">
        <f>VLOOKUP(F61,[1]CLIENTES!B:M,12,0)</f>
        <v>RAQUEL BARBOSA</v>
      </c>
      <c r="R61" s="26" t="str">
        <f>VLOOKUP(F61,[1]CLIENTES!B:J,9,0)</f>
        <v>VAGO SP</v>
      </c>
      <c r="S61" s="27">
        <v>2500</v>
      </c>
      <c r="T61" s="28" t="s">
        <v>44</v>
      </c>
      <c r="U61" s="28" t="s">
        <v>28</v>
      </c>
      <c r="V61" s="28" t="s">
        <v>29</v>
      </c>
      <c r="W61" s="28" t="s">
        <v>52</v>
      </c>
    </row>
    <row r="62" spans="1:23" ht="15" customHeight="1" x14ac:dyDescent="0.25">
      <c r="A62" s="20" t="str">
        <f>VLOOKUP(F62,[1]CLIENTES!B:L,11,0)</f>
        <v>RODRIGO</v>
      </c>
      <c r="B62" s="20" t="s">
        <v>142</v>
      </c>
      <c r="C62" s="20">
        <v>46056.437118055597</v>
      </c>
      <c r="D62" s="21" t="s">
        <v>21</v>
      </c>
      <c r="E62" s="21">
        <v>505</v>
      </c>
      <c r="F62" s="21">
        <v>5006978</v>
      </c>
      <c r="G62" s="21">
        <v>103036</v>
      </c>
      <c r="H62" s="21" t="s">
        <v>58</v>
      </c>
      <c r="I62" s="21" t="s">
        <v>23</v>
      </c>
      <c r="J62" s="21">
        <v>6125</v>
      </c>
      <c r="K62" s="21">
        <v>692</v>
      </c>
      <c r="L62" s="22">
        <v>92</v>
      </c>
      <c r="M62" s="23" t="s">
        <v>154</v>
      </c>
      <c r="N62" s="24" t="s">
        <v>25</v>
      </c>
      <c r="O62" s="25">
        <v>46082</v>
      </c>
      <c r="P62" s="25" t="str">
        <f>VLOOKUP(F62,[1]CLIENTES!B:L,11,0)</f>
        <v>RODRIGO</v>
      </c>
      <c r="Q62" s="25" t="str">
        <f>VLOOKUP(F62,[1]CLIENTES!B:M,12,0)</f>
        <v>RAQUEL BARBOSA</v>
      </c>
      <c r="R62" s="26" t="str">
        <f>VLOOKUP(F62,[1]CLIENTES!B:J,9,0)</f>
        <v>RAQUEL BARBOSA</v>
      </c>
      <c r="S62" s="27">
        <v>26026</v>
      </c>
      <c r="T62" s="28" t="s">
        <v>44</v>
      </c>
      <c r="U62" s="28" t="s">
        <v>28</v>
      </c>
      <c r="V62" s="28" t="s">
        <v>29</v>
      </c>
      <c r="W62" s="28" t="s">
        <v>60</v>
      </c>
    </row>
    <row r="63" spans="1:23" ht="15" customHeight="1" x14ac:dyDescent="0.25">
      <c r="A63" s="20" t="str">
        <f>VLOOKUP(F63,[1]CLIENTES!B:L,11,0)</f>
        <v>RODRIGO</v>
      </c>
      <c r="B63" s="20" t="s">
        <v>142</v>
      </c>
      <c r="C63" s="20">
        <v>46056.443206018499</v>
      </c>
      <c r="D63" s="21" t="s">
        <v>21</v>
      </c>
      <c r="E63" s="21">
        <v>2515</v>
      </c>
      <c r="F63" s="21">
        <v>5006978</v>
      </c>
      <c r="G63" s="21">
        <v>103036</v>
      </c>
      <c r="H63" s="21" t="s">
        <v>58</v>
      </c>
      <c r="I63" s="21" t="s">
        <v>23</v>
      </c>
      <c r="J63" s="21" t="s">
        <v>47</v>
      </c>
      <c r="K63" s="21">
        <v>722</v>
      </c>
      <c r="L63" s="22">
        <v>25</v>
      </c>
      <c r="M63" s="23" t="s">
        <v>155</v>
      </c>
      <c r="N63" s="24" t="s">
        <v>25</v>
      </c>
      <c r="O63" s="25">
        <v>46082</v>
      </c>
      <c r="P63" s="25" t="str">
        <f>VLOOKUP(F63,[1]CLIENTES!B:L,11,0)</f>
        <v>RODRIGO</v>
      </c>
      <c r="Q63" s="25" t="str">
        <f>VLOOKUP(F63,[1]CLIENTES!B:M,12,0)</f>
        <v>RAQUEL BARBOSA</v>
      </c>
      <c r="R63" s="26" t="str">
        <f>VLOOKUP(F63,[1]CLIENTES!B:J,9,0)</f>
        <v>RAQUEL BARBOSA</v>
      </c>
      <c r="S63" s="27">
        <v>21974</v>
      </c>
      <c r="T63" s="28" t="s">
        <v>44</v>
      </c>
      <c r="U63" s="28" t="s">
        <v>50</v>
      </c>
      <c r="V63" s="28" t="s">
        <v>51</v>
      </c>
      <c r="W63" s="28" t="s">
        <v>60</v>
      </c>
    </row>
    <row r="64" spans="1:23" ht="15" customHeight="1" x14ac:dyDescent="0.25">
      <c r="A64" s="20" t="str">
        <f>VLOOKUP(F64,[1]CLIENTES!B:L,11,0)</f>
        <v>RODRIGO</v>
      </c>
      <c r="B64" s="20" t="s">
        <v>142</v>
      </c>
      <c r="C64" s="20">
        <v>46057.717465277798</v>
      </c>
      <c r="D64" s="21" t="s">
        <v>21</v>
      </c>
      <c r="E64" s="21">
        <v>509</v>
      </c>
      <c r="F64" s="21">
        <v>5023831</v>
      </c>
      <c r="G64" s="21">
        <v>126676</v>
      </c>
      <c r="H64" s="21" t="s">
        <v>22</v>
      </c>
      <c r="I64" s="21" t="s">
        <v>23</v>
      </c>
      <c r="J64" s="21">
        <v>6125</v>
      </c>
      <c r="K64" s="21">
        <v>692</v>
      </c>
      <c r="L64" s="22">
        <v>93</v>
      </c>
      <c r="M64" s="23" t="s">
        <v>156</v>
      </c>
      <c r="N64" s="24" t="s">
        <v>25</v>
      </c>
      <c r="O64" s="25">
        <v>46082</v>
      </c>
      <c r="P64" s="25" t="str">
        <f>VLOOKUP(F64,[1]CLIENTES!B:L,11,0)</f>
        <v>RODRIGO</v>
      </c>
      <c r="Q64" s="25" t="str">
        <f>VLOOKUP(F64,[1]CLIENTES!B:M,12,0)</f>
        <v>RAQUEL BARBOSA</v>
      </c>
      <c r="R64" s="26" t="str">
        <f>VLOOKUP(F64,[1]CLIENTES!B:J,9,0)</f>
        <v>VAGO SP</v>
      </c>
      <c r="S64" s="27">
        <v>1081.8699999999999</v>
      </c>
      <c r="T64" s="28" t="s">
        <v>44</v>
      </c>
      <c r="U64" s="28" t="s">
        <v>28</v>
      </c>
      <c r="V64" s="28" t="s">
        <v>29</v>
      </c>
      <c r="W64" s="28" t="s">
        <v>60</v>
      </c>
    </row>
    <row r="65" spans="1:23" ht="15" customHeight="1" x14ac:dyDescent="0.25">
      <c r="A65" s="20" t="str">
        <f>VLOOKUP(F65,[1]CLIENTES!B:L,11,0)</f>
        <v>RODRIGO</v>
      </c>
      <c r="B65" s="20" t="s">
        <v>142</v>
      </c>
      <c r="C65" s="20">
        <v>46062.386527777802</v>
      </c>
      <c r="D65" s="21" t="s">
        <v>21</v>
      </c>
      <c r="E65" s="21">
        <v>529</v>
      </c>
      <c r="F65" s="21">
        <v>5164717</v>
      </c>
      <c r="G65" s="21">
        <v>143313</v>
      </c>
      <c r="H65" s="21" t="s">
        <v>157</v>
      </c>
      <c r="I65" s="21" t="s">
        <v>23</v>
      </c>
      <c r="J65" s="21">
        <v>6125</v>
      </c>
      <c r="K65" s="21">
        <v>692</v>
      </c>
      <c r="L65" s="22">
        <v>93</v>
      </c>
      <c r="M65" s="23" t="s">
        <v>158</v>
      </c>
      <c r="N65" s="24" t="s">
        <v>25</v>
      </c>
      <c r="O65" s="25">
        <v>46082</v>
      </c>
      <c r="P65" s="25" t="str">
        <f>VLOOKUP(F65,[1]CLIENTES!B:L,11,0)</f>
        <v>RODRIGO</v>
      </c>
      <c r="Q65" s="25" t="str">
        <f>VLOOKUP(F65,[1]CLIENTES!B:M,12,0)</f>
        <v>RAQUEL BARBOSA</v>
      </c>
      <c r="R65" s="26" t="str">
        <f>VLOOKUP(F65,[1]CLIENTES!B:J,9,0)</f>
        <v>SP ITB FS FLAC REP.E COMERCIO</v>
      </c>
      <c r="S65" s="27">
        <v>3190</v>
      </c>
      <c r="T65" s="28" t="s">
        <v>44</v>
      </c>
      <c r="U65" s="28" t="s">
        <v>28</v>
      </c>
      <c r="V65" s="28" t="s">
        <v>29</v>
      </c>
      <c r="W65" s="28" t="s">
        <v>52</v>
      </c>
    </row>
    <row r="66" spans="1:23" ht="15" customHeight="1" x14ac:dyDescent="0.25">
      <c r="A66" s="20" t="str">
        <f>VLOOKUP(F66,[1]CLIENTES!B:L,11,0)</f>
        <v>RODRIGO</v>
      </c>
      <c r="B66" s="20" t="s">
        <v>142</v>
      </c>
      <c r="C66" s="20">
        <v>46062.386527777802</v>
      </c>
      <c r="D66" s="21" t="s">
        <v>21</v>
      </c>
      <c r="E66" s="21">
        <v>548</v>
      </c>
      <c r="F66" s="21">
        <v>5259915</v>
      </c>
      <c r="G66" s="21">
        <v>166008</v>
      </c>
      <c r="H66" s="21" t="s">
        <v>159</v>
      </c>
      <c r="I66" s="21" t="s">
        <v>23</v>
      </c>
      <c r="J66" s="21">
        <v>6125</v>
      </c>
      <c r="K66" s="21">
        <v>692</v>
      </c>
      <c r="L66" s="22">
        <v>93</v>
      </c>
      <c r="M66" s="23" t="s">
        <v>160</v>
      </c>
      <c r="N66" s="24" t="s">
        <v>25</v>
      </c>
      <c r="O66" s="25">
        <v>46082</v>
      </c>
      <c r="P66" s="25" t="str">
        <f>VLOOKUP(F66,[1]CLIENTES!B:L,11,0)</f>
        <v>RODRIGO</v>
      </c>
      <c r="Q66" s="25" t="str">
        <f>VLOOKUP(F66,[1]CLIENTES!B:M,12,0)</f>
        <v>ALEXANDRO</v>
      </c>
      <c r="R66" s="26" t="str">
        <f>VLOOKUP(F66,[1]CLIENTES!B:J,9,0)</f>
        <v>GUILHERME NASCIMENTO</v>
      </c>
      <c r="S66" s="27">
        <v>1735.4</v>
      </c>
      <c r="T66" s="28" t="s">
        <v>44</v>
      </c>
      <c r="U66" s="28" t="s">
        <v>28</v>
      </c>
      <c r="V66" s="28" t="s">
        <v>29</v>
      </c>
      <c r="W66" s="28" t="s">
        <v>52</v>
      </c>
    </row>
    <row r="67" spans="1:23" ht="15" customHeight="1" x14ac:dyDescent="0.25">
      <c r="A67" s="20" t="str">
        <f>VLOOKUP(F67,[1]CLIENTES!B:L,11,0)</f>
        <v>RODRIGO</v>
      </c>
      <c r="B67" s="20" t="s">
        <v>142</v>
      </c>
      <c r="C67" s="20">
        <v>46071.371446759302</v>
      </c>
      <c r="D67" s="21" t="s">
        <v>21</v>
      </c>
      <c r="E67" s="21">
        <v>503</v>
      </c>
      <c r="F67" s="21">
        <v>5004685</v>
      </c>
      <c r="G67" s="21">
        <v>110434</v>
      </c>
      <c r="H67" s="21" t="s">
        <v>116</v>
      </c>
      <c r="I67" s="21" t="s">
        <v>23</v>
      </c>
      <c r="J67" s="21">
        <v>6125</v>
      </c>
      <c r="K67" s="21">
        <v>692</v>
      </c>
      <c r="L67" s="22">
        <v>93</v>
      </c>
      <c r="M67" s="23" t="s">
        <v>161</v>
      </c>
      <c r="N67" s="24" t="s">
        <v>25</v>
      </c>
      <c r="O67" s="25">
        <v>46082</v>
      </c>
      <c r="P67" s="25" t="str">
        <f>VLOOKUP(F67,[1]CLIENTES!B:L,11,0)</f>
        <v>RODRIGO</v>
      </c>
      <c r="Q67" s="25" t="str">
        <f>VLOOKUP(F67,[1]CLIENTES!B:M,12,0)</f>
        <v>ALEXANDRO</v>
      </c>
      <c r="R67" s="26" t="str">
        <f>VLOOKUP(F67,[1]CLIENTES!B:J,9,0)</f>
        <v>ALEXANDRO RODRIGUES</v>
      </c>
      <c r="S67" s="27">
        <v>7928</v>
      </c>
      <c r="T67" s="28" t="s">
        <v>44</v>
      </c>
      <c r="U67" s="28" t="s">
        <v>28</v>
      </c>
      <c r="V67" s="28" t="s">
        <v>29</v>
      </c>
      <c r="W67" s="28" t="s">
        <v>35</v>
      </c>
    </row>
    <row r="68" spans="1:23" ht="15" customHeight="1" x14ac:dyDescent="0.25">
      <c r="A68" s="20" t="str">
        <f>VLOOKUP(F68,[1]CLIENTES!B:L,11,0)</f>
        <v>RODRIGO</v>
      </c>
      <c r="B68" s="20" t="s">
        <v>142</v>
      </c>
      <c r="C68" s="20">
        <v>46072</v>
      </c>
      <c r="D68" s="21" t="s">
        <v>21</v>
      </c>
      <c r="E68" s="21">
        <v>519</v>
      </c>
      <c r="F68" s="21">
        <v>5107112</v>
      </c>
      <c r="G68" s="21">
        <v>123370</v>
      </c>
      <c r="H68" s="21" t="s">
        <v>62</v>
      </c>
      <c r="I68" s="21" t="s">
        <v>23</v>
      </c>
      <c r="J68" s="21">
        <v>6125</v>
      </c>
      <c r="K68" s="21">
        <v>692</v>
      </c>
      <c r="L68" s="22">
        <v>93</v>
      </c>
      <c r="M68" s="23" t="s">
        <v>162</v>
      </c>
      <c r="N68" s="24" t="s">
        <v>25</v>
      </c>
      <c r="O68" s="25">
        <v>46082</v>
      </c>
      <c r="P68" s="25" t="str">
        <f>VLOOKUP(F68,[1]CLIENTES!B:L,11,0)</f>
        <v>RODRIGO</v>
      </c>
      <c r="Q68" s="25" t="str">
        <f>VLOOKUP(F68,[1]CLIENTES!B:M,12,0)</f>
        <v>ALEXANDRO</v>
      </c>
      <c r="R68" s="26" t="str">
        <f>VLOOKUP(F68,[1]CLIENTES!B:J,9,0)</f>
        <v>GUILHERME NASCIMENTO</v>
      </c>
      <c r="S68" s="27">
        <v>6430</v>
      </c>
      <c r="T68" s="28" t="s">
        <v>44</v>
      </c>
      <c r="U68" s="28" t="s">
        <v>28</v>
      </c>
      <c r="V68" s="28" t="s">
        <v>29</v>
      </c>
      <c r="W68" s="28" t="s">
        <v>52</v>
      </c>
    </row>
    <row r="69" spans="1:23" ht="15" customHeight="1" x14ac:dyDescent="0.25">
      <c r="A69" s="20" t="str">
        <f>VLOOKUP(F69,[1]CLIENTES!B:L,11,0)</f>
        <v>RODRIGO</v>
      </c>
      <c r="B69" s="20" t="s">
        <v>142</v>
      </c>
      <c r="C69" s="20">
        <v>46072</v>
      </c>
      <c r="D69" s="21" t="s">
        <v>21</v>
      </c>
      <c r="E69" s="21">
        <v>524</v>
      </c>
      <c r="F69" s="21">
        <v>5217293</v>
      </c>
      <c r="G69" s="21">
        <v>145966</v>
      </c>
      <c r="H69" s="21" t="s">
        <v>86</v>
      </c>
      <c r="I69" s="21" t="s">
        <v>23</v>
      </c>
      <c r="J69" s="21">
        <v>6125</v>
      </c>
      <c r="K69" s="21">
        <v>692</v>
      </c>
      <c r="L69" s="22">
        <v>92</v>
      </c>
      <c r="M69" s="23" t="s">
        <v>163</v>
      </c>
      <c r="N69" s="24" t="s">
        <v>25</v>
      </c>
      <c r="O69" s="25">
        <v>46082</v>
      </c>
      <c r="P69" s="25" t="str">
        <f>VLOOKUP(F69,[1]CLIENTES!B:L,11,0)</f>
        <v>RODRIGO</v>
      </c>
      <c r="Q69" s="25" t="str">
        <f>VLOOKUP(F69,[1]CLIENTES!B:M,12,0)</f>
        <v>RAQUEL BARBOSA</v>
      </c>
      <c r="R69" s="26" t="str">
        <f>VLOOKUP(F69,[1]CLIENTES!B:J,9,0)</f>
        <v>VAGO SP</v>
      </c>
      <c r="S69" s="27">
        <v>5000</v>
      </c>
      <c r="T69" s="28" t="s">
        <v>44</v>
      </c>
      <c r="U69" s="28" t="s">
        <v>28</v>
      </c>
      <c r="V69" s="28" t="s">
        <v>29</v>
      </c>
      <c r="W69" s="28" t="s">
        <v>52</v>
      </c>
    </row>
    <row r="70" spans="1:23" ht="15" customHeight="1" x14ac:dyDescent="0.25">
      <c r="A70" s="20" t="str">
        <f>VLOOKUP(F70,[1]CLIENTES!B:L,11,0)</f>
        <v>RODRIGO</v>
      </c>
      <c r="B70" s="20" t="s">
        <v>142</v>
      </c>
      <c r="C70" s="20">
        <v>46072</v>
      </c>
      <c r="D70" s="21" t="s">
        <v>21</v>
      </c>
      <c r="E70" s="21">
        <v>513</v>
      </c>
      <c r="F70" s="21">
        <v>5131101</v>
      </c>
      <c r="G70" s="21">
        <v>167218</v>
      </c>
      <c r="H70" s="21" t="s">
        <v>164</v>
      </c>
      <c r="I70" s="21" t="s">
        <v>23</v>
      </c>
      <c r="J70" s="21">
        <v>6125</v>
      </c>
      <c r="K70" s="21">
        <v>692</v>
      </c>
      <c r="L70" s="22">
        <v>93</v>
      </c>
      <c r="M70" s="23" t="s">
        <v>165</v>
      </c>
      <c r="N70" s="24" t="s">
        <v>25</v>
      </c>
      <c r="O70" s="25">
        <v>46082</v>
      </c>
      <c r="P70" s="25" t="str">
        <f>VLOOKUP(F70,[1]CLIENTES!B:L,11,0)</f>
        <v>RODRIGO</v>
      </c>
      <c r="Q70" s="25" t="str">
        <f>VLOOKUP(F70,[1]CLIENTES!B:M,12,0)</f>
        <v>RAQUEL BARBOSA</v>
      </c>
      <c r="R70" s="26" t="str">
        <f>VLOOKUP(F70,[1]CLIENTES!B:J,9,0)</f>
        <v>VAGO SP</v>
      </c>
      <c r="S70" s="27">
        <v>1500</v>
      </c>
      <c r="T70" s="28" t="s">
        <v>44</v>
      </c>
      <c r="U70" s="28" t="s">
        <v>28</v>
      </c>
      <c r="V70" s="28" t="s">
        <v>29</v>
      </c>
      <c r="W70" s="28" t="s">
        <v>52</v>
      </c>
    </row>
    <row r="71" spans="1:23" ht="15" customHeight="1" x14ac:dyDescent="0.25">
      <c r="A71" s="20" t="str">
        <f>VLOOKUP(F71,[1]CLIENTES!B:L,11,0)</f>
        <v>RODRIGO</v>
      </c>
      <c r="B71" s="20" t="s">
        <v>142</v>
      </c>
      <c r="C71" s="20">
        <v>46072</v>
      </c>
      <c r="D71" s="21" t="s">
        <v>21</v>
      </c>
      <c r="E71" s="21">
        <v>491</v>
      </c>
      <c r="F71" s="21">
        <v>5185642</v>
      </c>
      <c r="G71" s="21">
        <v>142109</v>
      </c>
      <c r="H71" s="21" t="s">
        <v>166</v>
      </c>
      <c r="I71" s="21" t="s">
        <v>23</v>
      </c>
      <c r="J71" s="21">
        <v>6125</v>
      </c>
      <c r="K71" s="21">
        <v>692</v>
      </c>
      <c r="L71" s="22">
        <v>93</v>
      </c>
      <c r="M71" s="23" t="s">
        <v>167</v>
      </c>
      <c r="N71" s="24" t="s">
        <v>25</v>
      </c>
      <c r="O71" s="25">
        <v>46082</v>
      </c>
      <c r="P71" s="25" t="str">
        <f>VLOOKUP(F71,[1]CLIENTES!B:L,11,0)</f>
        <v>RODRIGO</v>
      </c>
      <c r="Q71" s="25" t="str">
        <f>VLOOKUP(F71,[1]CLIENTES!B:M,12,0)</f>
        <v>RAQUEL BARBOSA</v>
      </c>
      <c r="R71" s="26" t="str">
        <f>VLOOKUP(F71,[1]CLIENTES!B:J,9,0)</f>
        <v>VAGO SP</v>
      </c>
      <c r="S71" s="27">
        <v>2777</v>
      </c>
      <c r="T71" s="28" t="s">
        <v>44</v>
      </c>
      <c r="U71" s="28" t="s">
        <v>28</v>
      </c>
      <c r="V71" s="28" t="s">
        <v>29</v>
      </c>
      <c r="W71" s="28" t="s">
        <v>52</v>
      </c>
    </row>
    <row r="72" spans="1:23" ht="15" customHeight="1" x14ac:dyDescent="0.25">
      <c r="A72" s="20" t="str">
        <f>VLOOKUP(F72,[1]CLIENTES!B:L,11,0)</f>
        <v>RODRIGO</v>
      </c>
      <c r="B72" s="20" t="s">
        <v>142</v>
      </c>
      <c r="C72" s="20">
        <v>46072</v>
      </c>
      <c r="D72" s="21" t="s">
        <v>21</v>
      </c>
      <c r="E72" s="21">
        <v>510</v>
      </c>
      <c r="F72" s="21">
        <v>5109682</v>
      </c>
      <c r="G72" s="21">
        <v>128100</v>
      </c>
      <c r="H72" s="21" t="s">
        <v>88</v>
      </c>
      <c r="I72" s="21" t="s">
        <v>23</v>
      </c>
      <c r="J72" s="21">
        <v>6125</v>
      </c>
      <c r="K72" s="21">
        <v>692</v>
      </c>
      <c r="L72" s="22">
        <v>93</v>
      </c>
      <c r="M72" s="23" t="s">
        <v>168</v>
      </c>
      <c r="N72" s="24" t="s">
        <v>25</v>
      </c>
      <c r="O72" s="25">
        <v>46082</v>
      </c>
      <c r="P72" s="25" t="str">
        <f>VLOOKUP(F72,[1]CLIENTES!B:L,11,0)</f>
        <v>RODRIGO</v>
      </c>
      <c r="Q72" s="25" t="str">
        <f>VLOOKUP(F72,[1]CLIENTES!B:M,12,0)</f>
        <v>RAQUEL BARBOSA</v>
      </c>
      <c r="R72" s="26" t="str">
        <f>VLOOKUP(F72,[1]CLIENTES!B:J,9,0)</f>
        <v>VAGO SP</v>
      </c>
      <c r="S72" s="27">
        <v>2500</v>
      </c>
      <c r="T72" s="28" t="s">
        <v>44</v>
      </c>
      <c r="U72" s="28" t="s">
        <v>28</v>
      </c>
      <c r="V72" s="28" t="s">
        <v>29</v>
      </c>
      <c r="W72" s="28" t="s">
        <v>52</v>
      </c>
    </row>
    <row r="73" spans="1:23" ht="15" customHeight="1" x14ac:dyDescent="0.25">
      <c r="A73" s="20" t="str">
        <f>VLOOKUP(F73,[1]CLIENTES!B:L,11,0)</f>
        <v>RODRIGO</v>
      </c>
      <c r="B73" s="20" t="s">
        <v>142</v>
      </c>
      <c r="C73" s="20">
        <v>46072</v>
      </c>
      <c r="D73" s="21" t="s">
        <v>21</v>
      </c>
      <c r="E73" s="21">
        <v>491</v>
      </c>
      <c r="F73" s="21">
        <v>5185642</v>
      </c>
      <c r="G73" s="21">
        <v>142109</v>
      </c>
      <c r="H73" s="21" t="s">
        <v>166</v>
      </c>
      <c r="I73" s="21" t="s">
        <v>23</v>
      </c>
      <c r="J73" s="21">
        <v>6125</v>
      </c>
      <c r="K73" s="21">
        <v>692</v>
      </c>
      <c r="L73" s="22">
        <v>93</v>
      </c>
      <c r="M73" s="23" t="s">
        <v>169</v>
      </c>
      <c r="N73" s="24" t="s">
        <v>25</v>
      </c>
      <c r="O73" s="25">
        <v>46082</v>
      </c>
      <c r="P73" s="25" t="str">
        <f>VLOOKUP(F73,[1]CLIENTES!B:L,11,0)</f>
        <v>RODRIGO</v>
      </c>
      <c r="Q73" s="25" t="str">
        <f>VLOOKUP(F73,[1]CLIENTES!B:M,12,0)</f>
        <v>RAQUEL BARBOSA</v>
      </c>
      <c r="R73" s="26" t="str">
        <f>VLOOKUP(F73,[1]CLIENTES!B:J,9,0)</f>
        <v>VAGO SP</v>
      </c>
      <c r="S73" s="27">
        <v>3069</v>
      </c>
      <c r="T73" s="28" t="s">
        <v>44</v>
      </c>
      <c r="U73" s="28" t="s">
        <v>28</v>
      </c>
      <c r="V73" s="28" t="s">
        <v>29</v>
      </c>
      <c r="W73" s="28" t="s">
        <v>52</v>
      </c>
    </row>
    <row r="74" spans="1:23" ht="15" customHeight="1" x14ac:dyDescent="0.25">
      <c r="A74" s="20" t="str">
        <f>VLOOKUP(F74,[1]CLIENTES!B:L,11,0)</f>
        <v>RODRIGO</v>
      </c>
      <c r="B74" s="20" t="s">
        <v>142</v>
      </c>
      <c r="C74" s="20">
        <v>46073</v>
      </c>
      <c r="D74" s="21" t="s">
        <v>21</v>
      </c>
      <c r="E74" s="21">
        <v>531</v>
      </c>
      <c r="F74" s="21">
        <v>5225860</v>
      </c>
      <c r="G74" s="21">
        <v>180402</v>
      </c>
      <c r="H74" s="21" t="s">
        <v>39</v>
      </c>
      <c r="I74" s="21" t="s">
        <v>40</v>
      </c>
      <c r="J74" s="21" t="s">
        <v>41</v>
      </c>
      <c r="K74" s="21">
        <v>194</v>
      </c>
      <c r="L74" s="22">
        <v>92</v>
      </c>
      <c r="M74" s="23" t="s">
        <v>170</v>
      </c>
      <c r="N74" s="24" t="s">
        <v>25</v>
      </c>
      <c r="O74" s="25">
        <v>46082</v>
      </c>
      <c r="P74" s="25" t="str">
        <f>VLOOKUP(F74,[1]CLIENTES!B:L,11,0)</f>
        <v>RODRIGO</v>
      </c>
      <c r="Q74" s="25" t="str">
        <f>VLOOKUP(F74,[1]CLIENTES!B:M,12,0)</f>
        <v>MARIA LOURDES</v>
      </c>
      <c r="R74" s="26" t="str">
        <f>VLOOKUP(F74,[1]CLIENTES!B:J,9,0)</f>
        <v>CLAUDIO JORGE/AMANDA SANDS</v>
      </c>
      <c r="S74" s="27">
        <v>20000</v>
      </c>
      <c r="T74" s="28" t="s">
        <v>44</v>
      </c>
      <c r="U74" s="28" t="s">
        <v>28</v>
      </c>
      <c r="V74" s="28" t="s">
        <v>29</v>
      </c>
      <c r="W74" s="28" t="s">
        <v>52</v>
      </c>
    </row>
    <row r="75" spans="1:23" ht="15" customHeight="1" x14ac:dyDescent="0.25">
      <c r="A75" s="20" t="str">
        <f>VLOOKUP(F75,[1]CLIENTES!B:L,11,0)</f>
        <v>RODRIGO</v>
      </c>
      <c r="B75" s="20" t="s">
        <v>142</v>
      </c>
      <c r="C75" s="20">
        <v>46073</v>
      </c>
      <c r="D75" s="21" t="s">
        <v>21</v>
      </c>
      <c r="E75" s="21">
        <v>511</v>
      </c>
      <c r="F75" s="21">
        <v>5229985</v>
      </c>
      <c r="G75" s="21">
        <v>180738</v>
      </c>
      <c r="H75" s="21" t="s">
        <v>131</v>
      </c>
      <c r="I75" s="21" t="s">
        <v>132</v>
      </c>
      <c r="J75" s="21">
        <v>6127</v>
      </c>
      <c r="K75" s="21">
        <v>605</v>
      </c>
      <c r="L75" s="22">
        <v>92</v>
      </c>
      <c r="M75" s="23" t="s">
        <v>171</v>
      </c>
      <c r="N75" s="24" t="s">
        <v>25</v>
      </c>
      <c r="O75" s="25">
        <v>46082</v>
      </c>
      <c r="P75" s="25" t="str">
        <f>VLOOKUP(F75,[1]CLIENTES!B:L,11,0)</f>
        <v>RODRIGO</v>
      </c>
      <c r="Q75" s="25" t="str">
        <f>VLOOKUP(F75,[1]CLIENTES!B:M,12,0)</f>
        <v>MARIA LOURDES</v>
      </c>
      <c r="R75" s="26" t="str">
        <f>VLOOKUP(F75,[1]CLIENTES!B:J,9,0)</f>
        <v>WH FOOD SERVICE CE</v>
      </c>
      <c r="S75" s="27">
        <v>12000</v>
      </c>
      <c r="T75" s="28" t="s">
        <v>44</v>
      </c>
      <c r="U75" s="28" t="s">
        <v>28</v>
      </c>
      <c r="V75" s="28" t="s">
        <v>29</v>
      </c>
      <c r="W75" s="28" t="s">
        <v>52</v>
      </c>
    </row>
    <row r="76" spans="1:23" ht="15" customHeight="1" x14ac:dyDescent="0.25">
      <c r="A76" s="20" t="str">
        <f>VLOOKUP(F76,[1]CLIENTES!B:L,11,0)</f>
        <v>RODRIGO</v>
      </c>
      <c r="B76" s="20" t="s">
        <v>142</v>
      </c>
      <c r="C76" s="20">
        <v>46073</v>
      </c>
      <c r="D76" s="21" t="s">
        <v>21</v>
      </c>
      <c r="E76" s="21">
        <v>536</v>
      </c>
      <c r="F76" s="21">
        <v>5026768</v>
      </c>
      <c r="G76" s="21">
        <v>113399</v>
      </c>
      <c r="H76" s="21" t="s">
        <v>139</v>
      </c>
      <c r="I76" s="21" t="s">
        <v>132</v>
      </c>
      <c r="J76" s="21">
        <v>6127</v>
      </c>
      <c r="K76" s="21">
        <v>605</v>
      </c>
      <c r="L76" s="22">
        <v>92</v>
      </c>
      <c r="M76" s="23" t="s">
        <v>172</v>
      </c>
      <c r="N76" s="24" t="s">
        <v>25</v>
      </c>
      <c r="O76" s="25">
        <v>46082</v>
      </c>
      <c r="P76" s="25" t="str">
        <f>VLOOKUP(F76,[1]CLIENTES!B:L,11,0)</f>
        <v>RODRIGO</v>
      </c>
      <c r="Q76" s="25" t="str">
        <f>VLOOKUP(F76,[1]CLIENTES!B:M,12,0)</f>
        <v>MARIA LOURDES</v>
      </c>
      <c r="R76" s="26" t="str">
        <f>VLOOKUP(F76,[1]CLIENTES!B:J,9,0)</f>
        <v>WH FOOD SERVICE CE</v>
      </c>
      <c r="S76" s="27">
        <v>7000</v>
      </c>
      <c r="T76" s="28" t="s">
        <v>44</v>
      </c>
      <c r="U76" s="28" t="s">
        <v>28</v>
      </c>
      <c r="V76" s="28" t="s">
        <v>29</v>
      </c>
      <c r="W76" s="28" t="s">
        <v>52</v>
      </c>
    </row>
    <row r="77" spans="1:23" ht="15" customHeight="1" x14ac:dyDescent="0.25">
      <c r="A77" s="20" t="str">
        <f>VLOOKUP(F77,[1]CLIENTES!B:L,11,0)</f>
        <v>RODRIGO</v>
      </c>
      <c r="B77" s="20" t="s">
        <v>142</v>
      </c>
      <c r="C77" s="20">
        <v>46073</v>
      </c>
      <c r="D77" s="21" t="s">
        <v>21</v>
      </c>
      <c r="E77" s="21">
        <v>527</v>
      </c>
      <c r="F77" s="21">
        <v>5020347</v>
      </c>
      <c r="G77" s="21">
        <v>112787</v>
      </c>
      <c r="H77" s="21" t="s">
        <v>129</v>
      </c>
      <c r="I77" s="21" t="s">
        <v>23</v>
      </c>
      <c r="J77" s="21">
        <v>6125</v>
      </c>
      <c r="K77" s="21">
        <v>692</v>
      </c>
      <c r="L77" s="22">
        <v>92</v>
      </c>
      <c r="M77" s="23" t="s">
        <v>173</v>
      </c>
      <c r="N77" s="24" t="s">
        <v>25</v>
      </c>
      <c r="O77" s="25">
        <v>46082</v>
      </c>
      <c r="P77" s="25" t="str">
        <f>VLOOKUP(F77,[1]CLIENTES!B:L,11,0)</f>
        <v>RODRIGO</v>
      </c>
      <c r="Q77" s="25" t="str">
        <f>VLOOKUP(F77,[1]CLIENTES!B:M,12,0)</f>
        <v>ALEXANDRO</v>
      </c>
      <c r="R77" s="26" t="str">
        <f>VLOOKUP(F77,[1]CLIENTES!B:J,9,0)</f>
        <v>GUILHERME NASCIMENTO</v>
      </c>
      <c r="S77" s="27">
        <v>300</v>
      </c>
      <c r="T77" s="28" t="s">
        <v>44</v>
      </c>
      <c r="U77" s="28" t="s">
        <v>28</v>
      </c>
      <c r="V77" s="28" t="s">
        <v>29</v>
      </c>
      <c r="W77" s="28" t="s">
        <v>52</v>
      </c>
    </row>
    <row r="78" spans="1:23" ht="15" customHeight="1" x14ac:dyDescent="0.25">
      <c r="A78" s="20" t="str">
        <f>VLOOKUP(F78,[1]CLIENTES!B:L,11,0)</f>
        <v>RODRIGO</v>
      </c>
      <c r="B78" s="20" t="s">
        <v>142</v>
      </c>
      <c r="C78" s="20">
        <v>46073</v>
      </c>
      <c r="D78" s="21" t="s">
        <v>21</v>
      </c>
      <c r="E78" s="21">
        <v>511</v>
      </c>
      <c r="F78" s="21">
        <v>5214453</v>
      </c>
      <c r="G78" s="21">
        <v>144701</v>
      </c>
      <c r="H78" s="21" t="s">
        <v>174</v>
      </c>
      <c r="I78" s="21" t="s">
        <v>40</v>
      </c>
      <c r="J78" s="21" t="s">
        <v>41</v>
      </c>
      <c r="K78" s="21">
        <v>194</v>
      </c>
      <c r="L78" s="22">
        <v>93</v>
      </c>
      <c r="M78" s="23" t="s">
        <v>175</v>
      </c>
      <c r="N78" s="24" t="s">
        <v>25</v>
      </c>
      <c r="O78" s="25">
        <v>46082</v>
      </c>
      <c r="P78" s="25" t="str">
        <f>VLOOKUP(F78,[1]CLIENTES!B:L,11,0)</f>
        <v>RODRIGO</v>
      </c>
      <c r="Q78" s="25" t="str">
        <f>VLOOKUP(F78,[1]CLIENTES!B:M,12,0)</f>
        <v>MARIA LOURDES</v>
      </c>
      <c r="R78" s="26" t="str">
        <f>VLOOKUP(F78,[1]CLIENTES!B:J,9,0)</f>
        <v>CLAUDIO JORGE</v>
      </c>
      <c r="S78" s="27">
        <v>6000</v>
      </c>
      <c r="T78" s="28" t="s">
        <v>44</v>
      </c>
      <c r="U78" s="28" t="s">
        <v>28</v>
      </c>
      <c r="V78" s="28" t="s">
        <v>29</v>
      </c>
      <c r="W78" s="28" t="s">
        <v>52</v>
      </c>
    </row>
    <row r="79" spans="1:23" ht="15" customHeight="1" x14ac:dyDescent="0.25">
      <c r="A79" s="20" t="str">
        <f>VLOOKUP(F79,[1]CLIENTES!B:L,11,0)</f>
        <v>RODRIGO</v>
      </c>
      <c r="B79" s="20" t="s">
        <v>142</v>
      </c>
      <c r="C79" s="20">
        <v>46073</v>
      </c>
      <c r="D79" s="21" t="s">
        <v>21</v>
      </c>
      <c r="E79" s="21">
        <v>513</v>
      </c>
      <c r="F79" s="21">
        <v>5131101</v>
      </c>
      <c r="G79" s="21">
        <v>167218</v>
      </c>
      <c r="H79" s="21" t="s">
        <v>164</v>
      </c>
      <c r="I79" s="21" t="s">
        <v>23</v>
      </c>
      <c r="J79" s="21">
        <v>6125</v>
      </c>
      <c r="K79" s="21">
        <v>692</v>
      </c>
      <c r="L79" s="22">
        <v>93</v>
      </c>
      <c r="M79" s="23" t="s">
        <v>176</v>
      </c>
      <c r="N79" s="24" t="s">
        <v>25</v>
      </c>
      <c r="O79" s="25">
        <v>46082</v>
      </c>
      <c r="P79" s="25" t="str">
        <f>VLOOKUP(F79,[1]CLIENTES!B:L,11,0)</f>
        <v>RODRIGO</v>
      </c>
      <c r="Q79" s="25" t="str">
        <f>VLOOKUP(F79,[1]CLIENTES!B:M,12,0)</f>
        <v>RAQUEL BARBOSA</v>
      </c>
      <c r="R79" s="26" t="str">
        <f>VLOOKUP(F79,[1]CLIENTES!B:J,9,0)</f>
        <v>VAGO SP</v>
      </c>
      <c r="S79" s="27">
        <v>1750</v>
      </c>
      <c r="T79" s="28" t="s">
        <v>44</v>
      </c>
      <c r="U79" s="28" t="s">
        <v>28</v>
      </c>
      <c r="V79" s="28" t="s">
        <v>29</v>
      </c>
      <c r="W79" s="28" t="s">
        <v>35</v>
      </c>
    </row>
    <row r="80" spans="1:23" ht="15" customHeight="1" x14ac:dyDescent="0.25">
      <c r="A80" s="20" t="str">
        <f>VLOOKUP(F80,[1]CLIENTES!B:L,11,0)</f>
        <v>RODRIGO</v>
      </c>
      <c r="B80" s="20" t="s">
        <v>142</v>
      </c>
      <c r="C80" s="20">
        <v>46073</v>
      </c>
      <c r="D80" s="21" t="s">
        <v>21</v>
      </c>
      <c r="E80" s="21">
        <v>521</v>
      </c>
      <c r="F80" s="21">
        <v>5115189</v>
      </c>
      <c r="G80" s="21">
        <v>129296</v>
      </c>
      <c r="H80" s="21" t="s">
        <v>68</v>
      </c>
      <c r="I80" s="21" t="s">
        <v>54</v>
      </c>
      <c r="J80" s="21" t="s">
        <v>55</v>
      </c>
      <c r="K80" s="21">
        <v>191</v>
      </c>
      <c r="L80" s="22">
        <v>92</v>
      </c>
      <c r="M80" s="23" t="s">
        <v>177</v>
      </c>
      <c r="N80" s="24" t="s">
        <v>25</v>
      </c>
      <c r="O80" s="25">
        <v>46082</v>
      </c>
      <c r="P80" s="25" t="str">
        <f>VLOOKUP(F80,[1]CLIENTES!B:L,11,0)</f>
        <v>RODRIGO</v>
      </c>
      <c r="Q80" s="25" t="str">
        <f>VLOOKUP(F80,[1]CLIENTES!B:M,12,0)</f>
        <v>MARCO AURELIO</v>
      </c>
      <c r="R80" s="26" t="str">
        <f>VLOOKUP(F80,[1]CLIENTES!B:J,9,0)</f>
        <v>CLAUDIO JORGE/MARIA LAURA</v>
      </c>
      <c r="S80" s="27">
        <v>11666.67</v>
      </c>
      <c r="T80" s="28" t="s">
        <v>44</v>
      </c>
      <c r="U80" s="28" t="s">
        <v>28</v>
      </c>
      <c r="V80" s="28" t="s">
        <v>29</v>
      </c>
      <c r="W80" s="28" t="s">
        <v>35</v>
      </c>
    </row>
    <row r="81" spans="1:23" ht="15" customHeight="1" x14ac:dyDescent="0.25">
      <c r="A81" s="20" t="str">
        <f>VLOOKUP(F81,[1]CLIENTES!B:L,11,0)</f>
        <v>RODRIGO</v>
      </c>
      <c r="B81" s="20" t="s">
        <v>142</v>
      </c>
      <c r="C81" s="20">
        <v>46073</v>
      </c>
      <c r="D81" s="21" t="s">
        <v>21</v>
      </c>
      <c r="E81" s="21">
        <v>521</v>
      </c>
      <c r="F81" s="21">
        <v>5115189</v>
      </c>
      <c r="G81" s="21">
        <v>129296</v>
      </c>
      <c r="H81" s="21" t="s">
        <v>68</v>
      </c>
      <c r="I81" s="21" t="s">
        <v>54</v>
      </c>
      <c r="J81" s="21" t="s">
        <v>55</v>
      </c>
      <c r="K81" s="21">
        <v>191</v>
      </c>
      <c r="L81" s="22">
        <v>92</v>
      </c>
      <c r="M81" s="23" t="s">
        <v>178</v>
      </c>
      <c r="N81" s="24" t="s">
        <v>25</v>
      </c>
      <c r="O81" s="25">
        <v>46082</v>
      </c>
      <c r="P81" s="25" t="str">
        <f>VLOOKUP(F81,[1]CLIENTES!B:L,11,0)</f>
        <v>RODRIGO</v>
      </c>
      <c r="Q81" s="25" t="str">
        <f>VLOOKUP(F81,[1]CLIENTES!B:M,12,0)</f>
        <v>MARCO AURELIO</v>
      </c>
      <c r="R81" s="26" t="str">
        <f>VLOOKUP(F81,[1]CLIENTES!B:J,9,0)</f>
        <v>CLAUDIO JORGE/MARIA LAURA</v>
      </c>
      <c r="S81" s="27">
        <v>10000</v>
      </c>
      <c r="T81" s="28" t="s">
        <v>44</v>
      </c>
      <c r="U81" s="28" t="s">
        <v>28</v>
      </c>
      <c r="V81" s="28" t="s">
        <v>29</v>
      </c>
      <c r="W81" s="28" t="s">
        <v>52</v>
      </c>
    </row>
    <row r="82" spans="1:23" ht="15" customHeight="1" x14ac:dyDescent="0.25">
      <c r="A82" s="20" t="str">
        <f>VLOOKUP(F82,[1]CLIENTES!B:L,11,0)</f>
        <v>RODRIGO</v>
      </c>
      <c r="B82" s="20" t="s">
        <v>142</v>
      </c>
      <c r="C82" s="20">
        <v>46073</v>
      </c>
      <c r="D82" s="21" t="s">
        <v>21</v>
      </c>
      <c r="E82" s="21">
        <v>495</v>
      </c>
      <c r="F82" s="21">
        <v>5310560</v>
      </c>
      <c r="G82" s="21">
        <v>121796</v>
      </c>
      <c r="H82" s="21" t="s">
        <v>179</v>
      </c>
      <c r="I82" s="21" t="s">
        <v>76</v>
      </c>
      <c r="J82" s="21">
        <v>6123</v>
      </c>
      <c r="K82" s="21">
        <v>675</v>
      </c>
      <c r="L82" s="22">
        <v>92</v>
      </c>
      <c r="M82" s="23" t="s">
        <v>180</v>
      </c>
      <c r="N82" s="24" t="s">
        <v>25</v>
      </c>
      <c r="O82" s="25">
        <v>46082</v>
      </c>
      <c r="P82" s="25" t="str">
        <f>VLOOKUP(F82,[1]CLIENTES!B:L,11,0)</f>
        <v>RODRIGO</v>
      </c>
      <c r="Q82" s="25" t="str">
        <f>VLOOKUP(F82,[1]CLIENTES!B:M,12,0)</f>
        <v>MARCO AURELIO</v>
      </c>
      <c r="R82" s="26" t="str">
        <f>VLOOKUP(F82,[1]CLIENTES!B:J,9,0)</f>
        <v>CLAUDIO JORGE</v>
      </c>
      <c r="S82" s="27">
        <v>350</v>
      </c>
      <c r="T82" s="28" t="s">
        <v>44</v>
      </c>
      <c r="U82" s="28" t="s">
        <v>28</v>
      </c>
      <c r="V82" s="28" t="s">
        <v>29</v>
      </c>
      <c r="W82" s="28" t="s">
        <v>52</v>
      </c>
    </row>
    <row r="83" spans="1:23" ht="15" customHeight="1" x14ac:dyDescent="0.25">
      <c r="A83" s="20" t="str">
        <f>VLOOKUP(F83,[1]CLIENTES!B:L,11,0)</f>
        <v>RODRIGO</v>
      </c>
      <c r="B83" s="20" t="s">
        <v>142</v>
      </c>
      <c r="C83" s="20">
        <v>46073</v>
      </c>
      <c r="D83" s="21" t="s">
        <v>21</v>
      </c>
      <c r="E83" s="21">
        <v>551</v>
      </c>
      <c r="F83" s="21">
        <v>5308411</v>
      </c>
      <c r="G83" s="21">
        <v>181236</v>
      </c>
      <c r="H83" s="21" t="s">
        <v>80</v>
      </c>
      <c r="I83" s="21" t="s">
        <v>71</v>
      </c>
      <c r="J83" s="21" t="s">
        <v>72</v>
      </c>
      <c r="K83" s="21">
        <v>186</v>
      </c>
      <c r="L83" s="22">
        <v>92</v>
      </c>
      <c r="M83" s="23" t="s">
        <v>181</v>
      </c>
      <c r="N83" s="24" t="s">
        <v>25</v>
      </c>
      <c r="O83" s="25">
        <v>46082</v>
      </c>
      <c r="P83" s="25" t="str">
        <f>VLOOKUP(F83,[1]CLIENTES!B:L,11,0)</f>
        <v>RODRIGO</v>
      </c>
      <c r="Q83" s="25" t="str">
        <f>VLOOKUP(F83,[1]CLIENTES!B:M,12,0)</f>
        <v>CELIO MARTINS</v>
      </c>
      <c r="R83" s="26" t="str">
        <f>VLOOKUP(F83,[1]CLIENTES!B:J,9,0)</f>
        <v>MARCELO SILVA</v>
      </c>
      <c r="S83" s="27">
        <v>1843.38</v>
      </c>
      <c r="T83" s="28" t="s">
        <v>44</v>
      </c>
      <c r="U83" s="28" t="s">
        <v>28</v>
      </c>
      <c r="V83" s="28" t="s">
        <v>29</v>
      </c>
      <c r="W83" s="28" t="s">
        <v>83</v>
      </c>
    </row>
    <row r="84" spans="1:23" ht="15" customHeight="1" x14ac:dyDescent="0.25">
      <c r="A84" s="20" t="str">
        <f>VLOOKUP(F84,[1]CLIENTES!B:L,11,0)</f>
        <v>RODRIGO</v>
      </c>
      <c r="B84" s="20" t="s">
        <v>142</v>
      </c>
      <c r="C84" s="20">
        <v>46073</v>
      </c>
      <c r="D84" s="21" t="s">
        <v>21</v>
      </c>
      <c r="E84" s="21">
        <v>555</v>
      </c>
      <c r="F84" s="21">
        <v>5361277</v>
      </c>
      <c r="G84" s="21"/>
      <c r="H84" s="21" t="s">
        <v>182</v>
      </c>
      <c r="I84" s="21" t="s">
        <v>71</v>
      </c>
      <c r="J84" s="21" t="s">
        <v>72</v>
      </c>
      <c r="K84" s="21">
        <v>186</v>
      </c>
      <c r="L84" s="22">
        <v>93</v>
      </c>
      <c r="M84" s="23" t="s">
        <v>183</v>
      </c>
      <c r="N84" s="24" t="s">
        <v>25</v>
      </c>
      <c r="O84" s="25">
        <v>46082</v>
      </c>
      <c r="P84" s="25" t="str">
        <f>VLOOKUP(F84,[1]CLIENTES!B:L,11,0)</f>
        <v>RODRIGO</v>
      </c>
      <c r="Q84" s="25" t="str">
        <f>VLOOKUP(F84,[1]CLIENTES!B:M,12,0)</f>
        <v>CELIO MARTINS</v>
      </c>
      <c r="R84" s="26" t="str">
        <f>VLOOKUP(F84,[1]CLIENTES!B:J,9,0)</f>
        <v>MARCELO SILVA</v>
      </c>
      <c r="S84" s="27">
        <v>400</v>
      </c>
      <c r="T84" s="28" t="s">
        <v>44</v>
      </c>
      <c r="U84" s="28" t="s">
        <v>28</v>
      </c>
      <c r="V84" s="28" t="s">
        <v>29</v>
      </c>
      <c r="W84" s="28" t="s">
        <v>52</v>
      </c>
    </row>
    <row r="85" spans="1:23" ht="15" customHeight="1" x14ac:dyDescent="0.25">
      <c r="A85" s="20" t="str">
        <f>VLOOKUP(F85,[1]CLIENTES!B:L,11,0)</f>
        <v>RODRIGO</v>
      </c>
      <c r="B85" s="20" t="s">
        <v>142</v>
      </c>
      <c r="C85" s="20">
        <v>46073</v>
      </c>
      <c r="D85" s="21" t="s">
        <v>21</v>
      </c>
      <c r="E85" s="21">
        <v>535</v>
      </c>
      <c r="F85" s="21">
        <v>5159222</v>
      </c>
      <c r="G85" s="21">
        <v>143312</v>
      </c>
      <c r="H85" s="21" t="s">
        <v>184</v>
      </c>
      <c r="I85" s="21" t="s">
        <v>71</v>
      </c>
      <c r="J85" s="21" t="s">
        <v>72</v>
      </c>
      <c r="K85" s="21">
        <v>186</v>
      </c>
      <c r="L85" s="22">
        <v>92</v>
      </c>
      <c r="M85" s="23" t="s">
        <v>185</v>
      </c>
      <c r="N85" s="24" t="s">
        <v>25</v>
      </c>
      <c r="O85" s="25">
        <v>46082</v>
      </c>
      <c r="P85" s="25" t="str">
        <f>VLOOKUP(F85,[1]CLIENTES!B:L,11,0)</f>
        <v>RODRIGO</v>
      </c>
      <c r="Q85" s="25" t="str">
        <f>VLOOKUP(F85,[1]CLIENTES!B:M,12,0)</f>
        <v>CELIO MARTINS</v>
      </c>
      <c r="R85" s="26" t="str">
        <f>VLOOKUP(F85,[1]CLIENTES!B:J,9,0)</f>
        <v>MARCELO SILVA</v>
      </c>
      <c r="S85" s="27">
        <v>1000</v>
      </c>
      <c r="T85" s="28" t="s">
        <v>44</v>
      </c>
      <c r="U85" s="28" t="s">
        <v>28</v>
      </c>
      <c r="V85" s="28" t="s">
        <v>29</v>
      </c>
      <c r="W85" s="28" t="s">
        <v>52</v>
      </c>
    </row>
    <row r="86" spans="1:23" ht="15" customHeight="1" x14ac:dyDescent="0.25">
      <c r="A86" s="20" t="str">
        <f>VLOOKUP(F86,[1]CLIENTES!B:L,11,0)</f>
        <v>RODRIGO</v>
      </c>
      <c r="B86" s="20" t="s">
        <v>142</v>
      </c>
      <c r="C86" s="20">
        <v>46073</v>
      </c>
      <c r="D86" s="21" t="s">
        <v>21</v>
      </c>
      <c r="E86" s="21">
        <v>519</v>
      </c>
      <c r="F86" s="21">
        <v>5226805</v>
      </c>
      <c r="G86" s="21">
        <v>150155</v>
      </c>
      <c r="H86" s="21" t="s">
        <v>86</v>
      </c>
      <c r="I86" s="21" t="s">
        <v>71</v>
      </c>
      <c r="J86" s="21" t="s">
        <v>72</v>
      </c>
      <c r="K86" s="21">
        <v>186</v>
      </c>
      <c r="L86" s="22">
        <v>92</v>
      </c>
      <c r="M86" s="23" t="s">
        <v>186</v>
      </c>
      <c r="N86" s="24" t="s">
        <v>25</v>
      </c>
      <c r="O86" s="25">
        <v>46082</v>
      </c>
      <c r="P86" s="25" t="str">
        <f>VLOOKUP(F86,[1]CLIENTES!B:L,11,0)</f>
        <v>RODRIGO</v>
      </c>
      <c r="Q86" s="25" t="str">
        <f>VLOOKUP(F86,[1]CLIENTES!B:M,12,0)</f>
        <v>CELIO MARTINS</v>
      </c>
      <c r="R86" s="26" t="str">
        <f>VLOOKUP(F86,[1]CLIENTES!B:J,9,0)</f>
        <v>CELIO/MARANATHA</v>
      </c>
      <c r="S86" s="27">
        <v>2600</v>
      </c>
      <c r="T86" s="28" t="s">
        <v>44</v>
      </c>
      <c r="U86" s="28" t="s">
        <v>28</v>
      </c>
      <c r="V86" s="28" t="s">
        <v>29</v>
      </c>
      <c r="W86" s="28" t="s">
        <v>52</v>
      </c>
    </row>
    <row r="87" spans="1:23" ht="15" customHeight="1" x14ac:dyDescent="0.25">
      <c r="A87" s="20" t="str">
        <f>VLOOKUP(F87,[1]CLIENTES!B:L,11,0)</f>
        <v>RODRIGO</v>
      </c>
      <c r="B87" s="20" t="s">
        <v>142</v>
      </c>
      <c r="C87" s="20">
        <v>46073</v>
      </c>
      <c r="D87" s="21" t="s">
        <v>21</v>
      </c>
      <c r="E87" s="21">
        <v>537</v>
      </c>
      <c r="F87" s="21">
        <v>5184211</v>
      </c>
      <c r="G87" s="21">
        <v>142662</v>
      </c>
      <c r="H87" s="21" t="s">
        <v>187</v>
      </c>
      <c r="I87" s="21" t="s">
        <v>188</v>
      </c>
      <c r="J87" s="21" t="s">
        <v>41</v>
      </c>
      <c r="K87" s="21">
        <v>179</v>
      </c>
      <c r="L87" s="22">
        <v>92</v>
      </c>
      <c r="M87" s="23" t="s">
        <v>189</v>
      </c>
      <c r="N87" s="24" t="s">
        <v>25</v>
      </c>
      <c r="O87" s="25">
        <v>46082</v>
      </c>
      <c r="P87" s="25" t="str">
        <f>VLOOKUP(F87,[1]CLIENTES!B:L,11,0)</f>
        <v>RODRIGO</v>
      </c>
      <c r="Q87" s="25" t="str">
        <f>VLOOKUP(F87,[1]CLIENTES!B:M,12,0)</f>
        <v>MARIA LOURDES</v>
      </c>
      <c r="R87" s="26" t="str">
        <f>VLOOKUP(F87,[1]CLIENTES!B:J,9,0)</f>
        <v>CLAUDIO JORGE</v>
      </c>
      <c r="S87" s="27">
        <v>18132.29</v>
      </c>
      <c r="T87" s="28" t="s">
        <v>44</v>
      </c>
      <c r="U87" s="28" t="s">
        <v>28</v>
      </c>
      <c r="V87" s="28" t="s">
        <v>29</v>
      </c>
      <c r="W87" s="28" t="s">
        <v>190</v>
      </c>
    </row>
    <row r="88" spans="1:23" ht="15" customHeight="1" x14ac:dyDescent="0.25">
      <c r="A88" s="20" t="str">
        <f>VLOOKUP(F88,[1]CLIENTES!B:L,11,0)</f>
        <v>RODRIGO</v>
      </c>
      <c r="B88" s="20" t="s">
        <v>142</v>
      </c>
      <c r="C88" s="20">
        <v>46073</v>
      </c>
      <c r="D88" s="21" t="s">
        <v>21</v>
      </c>
      <c r="E88" s="21">
        <v>519</v>
      </c>
      <c r="F88" s="21">
        <v>5226805</v>
      </c>
      <c r="G88" s="21">
        <v>150155</v>
      </c>
      <c r="H88" s="21" t="s">
        <v>86</v>
      </c>
      <c r="I88" s="21" t="s">
        <v>71</v>
      </c>
      <c r="J88" s="21" t="s">
        <v>72</v>
      </c>
      <c r="K88" s="21">
        <v>186</v>
      </c>
      <c r="L88" s="22">
        <v>92</v>
      </c>
      <c r="M88" s="23" t="s">
        <v>191</v>
      </c>
      <c r="N88" s="24" t="s">
        <v>25</v>
      </c>
      <c r="O88" s="25">
        <v>46082</v>
      </c>
      <c r="P88" s="25" t="str">
        <f>VLOOKUP(F88,[1]CLIENTES!B:L,11,0)</f>
        <v>RODRIGO</v>
      </c>
      <c r="Q88" s="25" t="str">
        <f>VLOOKUP(F88,[1]CLIENTES!B:M,12,0)</f>
        <v>CELIO MARTINS</v>
      </c>
      <c r="R88" s="26" t="str">
        <f>VLOOKUP(F88,[1]CLIENTES!B:J,9,0)</f>
        <v>CELIO/MARANATHA</v>
      </c>
      <c r="S88" s="27">
        <v>568</v>
      </c>
      <c r="T88" s="28" t="s">
        <v>44</v>
      </c>
      <c r="U88" s="28" t="s">
        <v>28</v>
      </c>
      <c r="V88" s="28" t="s">
        <v>29</v>
      </c>
      <c r="W88" s="28" t="s">
        <v>52</v>
      </c>
    </row>
    <row r="89" spans="1:23" ht="15" customHeight="1" x14ac:dyDescent="0.25">
      <c r="A89" s="20" t="str">
        <f>VLOOKUP(F89,[1]CLIENTES!B:L,11,0)</f>
        <v>RODRIGO</v>
      </c>
      <c r="B89" s="20" t="s">
        <v>142</v>
      </c>
      <c r="C89" s="20">
        <v>46076</v>
      </c>
      <c r="D89" s="21" t="s">
        <v>21</v>
      </c>
      <c r="E89" s="21">
        <v>540</v>
      </c>
      <c r="F89" s="21">
        <v>5011709</v>
      </c>
      <c r="G89" s="21">
        <v>117424</v>
      </c>
      <c r="H89" s="21" t="s">
        <v>70</v>
      </c>
      <c r="I89" s="21" t="s">
        <v>71</v>
      </c>
      <c r="J89" s="21" t="s">
        <v>72</v>
      </c>
      <c r="K89" s="21">
        <v>186</v>
      </c>
      <c r="L89" s="22">
        <v>92</v>
      </c>
      <c r="M89" s="23" t="s">
        <v>192</v>
      </c>
      <c r="N89" s="24" t="s">
        <v>25</v>
      </c>
      <c r="O89" s="25">
        <v>46082</v>
      </c>
      <c r="P89" s="25" t="str">
        <f>VLOOKUP(F89,[1]CLIENTES!B:L,11,0)</f>
        <v>RODRIGO</v>
      </c>
      <c r="Q89" s="25" t="str">
        <f>VLOOKUP(F89,[1]CLIENTES!B:M,12,0)</f>
        <v>CELIO MARTINS</v>
      </c>
      <c r="R89" s="26" t="str">
        <f>VLOOKUP(F89,[1]CLIENTES!B:J,9,0)</f>
        <v>CELIO MARTINS</v>
      </c>
      <c r="S89" s="27">
        <v>1600</v>
      </c>
      <c r="T89" s="28" t="s">
        <v>44</v>
      </c>
      <c r="U89" s="28" t="s">
        <v>28</v>
      </c>
      <c r="V89" s="28" t="s">
        <v>29</v>
      </c>
      <c r="W89" s="28" t="s">
        <v>52</v>
      </c>
    </row>
    <row r="90" spans="1:23" ht="15" customHeight="1" x14ac:dyDescent="0.25">
      <c r="A90" s="20" t="str">
        <f>VLOOKUP(F90,[1]CLIENTES!B:L,11,0)</f>
        <v>RODRIGO</v>
      </c>
      <c r="B90" s="20" t="s">
        <v>142</v>
      </c>
      <c r="C90" s="20">
        <v>46076</v>
      </c>
      <c r="D90" s="21" t="s">
        <v>21</v>
      </c>
      <c r="E90" s="21">
        <v>519</v>
      </c>
      <c r="F90" s="21">
        <v>5226805</v>
      </c>
      <c r="G90" s="21">
        <v>150155</v>
      </c>
      <c r="H90" s="21" t="s">
        <v>86</v>
      </c>
      <c r="I90" s="21" t="s">
        <v>71</v>
      </c>
      <c r="J90" s="21" t="s">
        <v>72</v>
      </c>
      <c r="K90" s="21">
        <v>186</v>
      </c>
      <c r="L90" s="22">
        <v>92</v>
      </c>
      <c r="M90" s="23" t="s">
        <v>193</v>
      </c>
      <c r="N90" s="24" t="s">
        <v>25</v>
      </c>
      <c r="O90" s="25">
        <v>46082</v>
      </c>
      <c r="P90" s="25" t="str">
        <f>VLOOKUP(F90,[1]CLIENTES!B:L,11,0)</f>
        <v>RODRIGO</v>
      </c>
      <c r="Q90" s="25" t="str">
        <f>VLOOKUP(F90,[1]CLIENTES!B:M,12,0)</f>
        <v>CELIO MARTINS</v>
      </c>
      <c r="R90" s="26" t="str">
        <f>VLOOKUP(F90,[1]CLIENTES!B:J,9,0)</f>
        <v>CELIO/MARANATHA</v>
      </c>
      <c r="S90" s="27">
        <v>850</v>
      </c>
      <c r="T90" s="28" t="s">
        <v>44</v>
      </c>
      <c r="U90" s="28" t="s">
        <v>28</v>
      </c>
      <c r="V90" s="28" t="s">
        <v>29</v>
      </c>
      <c r="W90" s="28" t="s">
        <v>52</v>
      </c>
    </row>
    <row r="91" spans="1:23" ht="15" customHeight="1" x14ac:dyDescent="0.25">
      <c r="A91" s="20" t="str">
        <f>VLOOKUP(F91,[1]CLIENTES!B:L,11,0)</f>
        <v>RODRIGO</v>
      </c>
      <c r="B91" s="20" t="s">
        <v>142</v>
      </c>
      <c r="C91" s="20">
        <v>46076</v>
      </c>
      <c r="D91" s="21" t="s">
        <v>21</v>
      </c>
      <c r="E91" s="21">
        <v>519</v>
      </c>
      <c r="F91" s="21">
        <v>5226805</v>
      </c>
      <c r="G91" s="21">
        <v>150155</v>
      </c>
      <c r="H91" s="21" t="s">
        <v>86</v>
      </c>
      <c r="I91" s="21" t="s">
        <v>71</v>
      </c>
      <c r="J91" s="21" t="s">
        <v>72</v>
      </c>
      <c r="K91" s="21">
        <v>186</v>
      </c>
      <c r="L91" s="22">
        <v>92</v>
      </c>
      <c r="M91" s="23" t="s">
        <v>194</v>
      </c>
      <c r="N91" s="24" t="s">
        <v>25</v>
      </c>
      <c r="O91" s="25">
        <v>46082</v>
      </c>
      <c r="P91" s="25" t="str">
        <f>VLOOKUP(F91,[1]CLIENTES!B:L,11,0)</f>
        <v>RODRIGO</v>
      </c>
      <c r="Q91" s="25" t="str">
        <f>VLOOKUP(F91,[1]CLIENTES!B:M,12,0)</f>
        <v>CELIO MARTINS</v>
      </c>
      <c r="R91" s="26" t="str">
        <f>VLOOKUP(F91,[1]CLIENTES!B:J,9,0)</f>
        <v>CELIO/MARANATHA</v>
      </c>
      <c r="S91" s="27">
        <v>5000</v>
      </c>
      <c r="T91" s="28" t="s">
        <v>44</v>
      </c>
      <c r="U91" s="28" t="s">
        <v>28</v>
      </c>
      <c r="V91" s="28" t="s">
        <v>29</v>
      </c>
      <c r="W91" s="28" t="s">
        <v>35</v>
      </c>
    </row>
    <row r="92" spans="1:23" ht="15" customHeight="1" x14ac:dyDescent="0.25">
      <c r="A92" s="20" t="str">
        <f>VLOOKUP(F92,[1]CLIENTES!B:L,11,0)</f>
        <v>RODRIGO</v>
      </c>
      <c r="B92" s="20" t="s">
        <v>142</v>
      </c>
      <c r="C92" s="20">
        <v>46076</v>
      </c>
      <c r="D92" s="21" t="s">
        <v>21</v>
      </c>
      <c r="E92" s="21">
        <v>2514</v>
      </c>
      <c r="F92" s="21">
        <v>5260577</v>
      </c>
      <c r="G92" s="21">
        <v>125428</v>
      </c>
      <c r="H92" s="21" t="s">
        <v>195</v>
      </c>
      <c r="I92" s="21" t="s">
        <v>196</v>
      </c>
      <c r="J92" s="21" t="s">
        <v>197</v>
      </c>
      <c r="K92" s="21">
        <v>565</v>
      </c>
      <c r="L92" s="22">
        <v>99</v>
      </c>
      <c r="M92" s="23" t="s">
        <v>198</v>
      </c>
      <c r="N92" s="24" t="s">
        <v>25</v>
      </c>
      <c r="O92" s="25">
        <v>46082</v>
      </c>
      <c r="P92" s="25" t="str">
        <f>VLOOKUP(F92,[1]CLIENTES!B:L,11,0)</f>
        <v>RODRIGO</v>
      </c>
      <c r="Q92" s="25" t="str">
        <f>VLOOKUP(F92,[1]CLIENTES!B:M,12,0)</f>
        <v>MARIA LOURDES</v>
      </c>
      <c r="R92" s="26" t="str">
        <f>VLOOKUP(F92,[1]CLIENTES!B:J,9,0)</f>
        <v>CLAUDIO JORGE</v>
      </c>
      <c r="S92" s="27">
        <v>6000</v>
      </c>
      <c r="T92" s="28" t="s">
        <v>44</v>
      </c>
      <c r="U92" s="28" t="s">
        <v>50</v>
      </c>
      <c r="V92" s="28" t="s">
        <v>51</v>
      </c>
      <c r="W92" s="28" t="s">
        <v>52</v>
      </c>
    </row>
    <row r="93" spans="1:23" ht="15" customHeight="1" x14ac:dyDescent="0.25">
      <c r="A93" s="20" t="str">
        <f>VLOOKUP(F93,[1]CLIENTES!B:L,11,0)</f>
        <v>RODRIGO</v>
      </c>
      <c r="B93" s="20" t="s">
        <v>142</v>
      </c>
      <c r="C93" s="20">
        <v>46076</v>
      </c>
      <c r="D93" s="21" t="s">
        <v>21</v>
      </c>
      <c r="E93" s="21">
        <v>499</v>
      </c>
      <c r="F93" s="21">
        <v>5017576</v>
      </c>
      <c r="G93" s="21">
        <v>116132</v>
      </c>
      <c r="H93" s="21" t="s">
        <v>31</v>
      </c>
      <c r="I93" s="21" t="s">
        <v>32</v>
      </c>
      <c r="J93" s="21">
        <v>6169</v>
      </c>
      <c r="K93" s="21">
        <v>690</v>
      </c>
      <c r="L93" s="22">
        <v>92</v>
      </c>
      <c r="M93" s="23" t="s">
        <v>199</v>
      </c>
      <c r="N93" s="24" t="s">
        <v>25</v>
      </c>
      <c r="O93" s="25">
        <v>46082</v>
      </c>
      <c r="P93" s="25" t="str">
        <f>VLOOKUP(F93,[1]CLIENTES!B:L,11,0)</f>
        <v>RODRIGO</v>
      </c>
      <c r="Q93" s="25" t="str">
        <f>VLOOKUP(F93,[1]CLIENTES!B:M,12,0)</f>
        <v>JESSICA</v>
      </c>
      <c r="R93" s="26" t="str">
        <f>VLOOKUP(F93,[1]CLIENTES!B:J,9,0)</f>
        <v>MARCELO DUARTE</v>
      </c>
      <c r="S93" s="27">
        <v>7000</v>
      </c>
      <c r="T93" s="28" t="s">
        <v>44</v>
      </c>
      <c r="U93" s="28" t="s">
        <v>28</v>
      </c>
      <c r="V93" s="28" t="s">
        <v>29</v>
      </c>
      <c r="W93" s="28" t="s">
        <v>52</v>
      </c>
    </row>
    <row r="94" spans="1:23" ht="15" customHeight="1" x14ac:dyDescent="0.25">
      <c r="A94" s="20" t="str">
        <f>VLOOKUP(F94,[1]CLIENTES!B:L,11,0)</f>
        <v>RODRIGO</v>
      </c>
      <c r="B94" s="20" t="s">
        <v>142</v>
      </c>
      <c r="C94" s="20">
        <v>46076</v>
      </c>
      <c r="D94" s="21" t="s">
        <v>21</v>
      </c>
      <c r="E94" s="21">
        <v>522</v>
      </c>
      <c r="F94" s="21">
        <v>5231303</v>
      </c>
      <c r="G94" s="21">
        <v>167018</v>
      </c>
      <c r="H94" s="21" t="s">
        <v>104</v>
      </c>
      <c r="I94" s="21" t="s">
        <v>37</v>
      </c>
      <c r="J94" s="21" t="s">
        <v>105</v>
      </c>
      <c r="K94" s="21">
        <v>189</v>
      </c>
      <c r="L94" s="22">
        <v>93</v>
      </c>
      <c r="M94" s="23" t="s">
        <v>200</v>
      </c>
      <c r="N94" s="24" t="s">
        <v>25</v>
      </c>
      <c r="O94" s="25">
        <v>46082</v>
      </c>
      <c r="P94" s="25" t="str">
        <f>VLOOKUP(F94,[1]CLIENTES!B:L,11,0)</f>
        <v>RODRIGO</v>
      </c>
      <c r="Q94" s="25" t="str">
        <f>VLOOKUP(F94,[1]CLIENTES!B:M,12,0)</f>
        <v>JESSICA</v>
      </c>
      <c r="R94" s="26" t="str">
        <f>VLOOKUP(F94,[1]CLIENTES!B:J,9,0)</f>
        <v>LUCIANA MARTINS</v>
      </c>
      <c r="S94" s="27">
        <v>5000</v>
      </c>
      <c r="T94" s="28" t="s">
        <v>44</v>
      </c>
      <c r="U94" s="28" t="s">
        <v>28</v>
      </c>
      <c r="V94" s="28" t="s">
        <v>29</v>
      </c>
      <c r="W94" s="28" t="s">
        <v>52</v>
      </c>
    </row>
    <row r="95" spans="1:23" ht="15" customHeight="1" x14ac:dyDescent="0.25">
      <c r="A95" s="20" t="str">
        <f>VLOOKUP(F95,[1]CLIENTES!B:L,11,0)</f>
        <v>RODRIGO</v>
      </c>
      <c r="B95" s="20" t="s">
        <v>142</v>
      </c>
      <c r="C95" s="20">
        <v>46076</v>
      </c>
      <c r="D95" s="21" t="s">
        <v>21</v>
      </c>
      <c r="E95" s="21">
        <v>522</v>
      </c>
      <c r="F95" s="21">
        <v>5226531</v>
      </c>
      <c r="G95" s="21">
        <v>304970</v>
      </c>
      <c r="H95" s="21" t="s">
        <v>110</v>
      </c>
      <c r="I95" s="21" t="s">
        <v>37</v>
      </c>
      <c r="J95" s="21">
        <v>6169</v>
      </c>
      <c r="K95" s="21">
        <v>689</v>
      </c>
      <c r="L95" s="22">
        <v>93</v>
      </c>
      <c r="M95" s="23" t="s">
        <v>201</v>
      </c>
      <c r="N95" s="24" t="s">
        <v>25</v>
      </c>
      <c r="O95" s="25">
        <v>46082</v>
      </c>
      <c r="P95" s="25" t="str">
        <f>VLOOKUP(F95,[1]CLIENTES!B:L,11,0)</f>
        <v>RODRIGO</v>
      </c>
      <c r="Q95" s="25" t="str">
        <f>VLOOKUP(F95,[1]CLIENTES!B:M,12,0)</f>
        <v>JESSICA</v>
      </c>
      <c r="R95" s="26" t="str">
        <f>VLOOKUP(F95,[1]CLIENTES!B:J,9,0)</f>
        <v>LUCIANA MARTINS</v>
      </c>
      <c r="S95" s="27">
        <v>1500</v>
      </c>
      <c r="T95" s="28" t="s">
        <v>44</v>
      </c>
      <c r="U95" s="28" t="s">
        <v>28</v>
      </c>
      <c r="V95" s="28" t="s">
        <v>29</v>
      </c>
      <c r="W95" s="28" t="s">
        <v>52</v>
      </c>
    </row>
    <row r="96" spans="1:23" ht="15" customHeight="1" x14ac:dyDescent="0.25">
      <c r="A96" s="20" t="str">
        <f>VLOOKUP(F96,[1]CLIENTES!B:L,11,0)</f>
        <v>RODRIGO</v>
      </c>
      <c r="B96" s="20" t="s">
        <v>142</v>
      </c>
      <c r="C96" s="20">
        <v>46076</v>
      </c>
      <c r="D96" s="21" t="s">
        <v>21</v>
      </c>
      <c r="E96" s="21">
        <v>516</v>
      </c>
      <c r="F96" s="21">
        <v>5115019</v>
      </c>
      <c r="G96" s="21">
        <v>123456</v>
      </c>
      <c r="H96" s="21" t="s">
        <v>36</v>
      </c>
      <c r="I96" s="21" t="s">
        <v>37</v>
      </c>
      <c r="J96" s="21">
        <v>6169</v>
      </c>
      <c r="K96" s="21">
        <v>689</v>
      </c>
      <c r="L96" s="22">
        <v>92</v>
      </c>
      <c r="M96" s="23" t="s">
        <v>202</v>
      </c>
      <c r="N96" s="24" t="s">
        <v>25</v>
      </c>
      <c r="O96" s="25">
        <v>46082</v>
      </c>
      <c r="P96" s="25" t="str">
        <f>VLOOKUP(F96,[1]CLIENTES!B:L,11,0)</f>
        <v>RODRIGO</v>
      </c>
      <c r="Q96" s="25" t="str">
        <f>VLOOKUP(F96,[1]CLIENTES!B:M,12,0)</f>
        <v>JESSICA</v>
      </c>
      <c r="R96" s="26" t="str">
        <f>VLOOKUP(F96,[1]CLIENTES!B:J,9,0)</f>
        <v>JESSICA CARLA</v>
      </c>
      <c r="S96" s="27">
        <v>10000</v>
      </c>
      <c r="T96" s="28" t="s">
        <v>44</v>
      </c>
      <c r="U96" s="28" t="s">
        <v>28</v>
      </c>
      <c r="V96" s="28" t="s">
        <v>29</v>
      </c>
      <c r="W96" s="28" t="s">
        <v>52</v>
      </c>
    </row>
    <row r="97" spans="1:23" ht="15" customHeight="1" x14ac:dyDescent="0.25">
      <c r="A97" s="20" t="str">
        <f>VLOOKUP(F97,[1]CLIENTES!B:L,11,0)</f>
        <v>RODRIGO</v>
      </c>
      <c r="B97" s="20" t="s">
        <v>142</v>
      </c>
      <c r="C97" s="20">
        <v>46076</v>
      </c>
      <c r="D97" s="21" t="s">
        <v>118</v>
      </c>
      <c r="E97" s="21">
        <v>4000155942</v>
      </c>
      <c r="F97" s="21">
        <v>5026399</v>
      </c>
      <c r="G97" s="21">
        <v>116247</v>
      </c>
      <c r="H97" s="21" t="s">
        <v>119</v>
      </c>
      <c r="I97" s="21" t="s">
        <v>37</v>
      </c>
      <c r="J97" s="21">
        <v>6169</v>
      </c>
      <c r="K97" s="21">
        <v>689</v>
      </c>
      <c r="L97" s="22">
        <v>92</v>
      </c>
      <c r="M97" s="23" t="s">
        <v>203</v>
      </c>
      <c r="N97" s="24" t="s">
        <v>25</v>
      </c>
      <c r="O97" s="25">
        <v>46079</v>
      </c>
      <c r="P97" s="25" t="str">
        <f>VLOOKUP(F97,[1]CLIENTES!B:L,11,0)</f>
        <v>RODRIGO</v>
      </c>
      <c r="Q97" s="25" t="str">
        <f>VLOOKUP(F97,[1]CLIENTES!B:M,12,0)</f>
        <v>JESSICA</v>
      </c>
      <c r="R97" s="26" t="str">
        <f>VLOOKUP(F97,[1]CLIENTES!B:J,9,0)</f>
        <v>JESSICA CARLA</v>
      </c>
      <c r="S97" s="27">
        <v>17130</v>
      </c>
      <c r="T97" s="28" t="s">
        <v>44</v>
      </c>
      <c r="U97" s="28" t="s">
        <v>28</v>
      </c>
      <c r="V97" s="28" t="s">
        <v>29</v>
      </c>
      <c r="W97" s="28" t="s">
        <v>204</v>
      </c>
    </row>
    <row r="98" spans="1:23" ht="15" customHeight="1" x14ac:dyDescent="0.25">
      <c r="A98" s="20" t="str">
        <f>VLOOKUP(F98,[1]CLIENTES!B:L,11,0)</f>
        <v>RODRIGO</v>
      </c>
      <c r="B98" s="20" t="s">
        <v>142</v>
      </c>
      <c r="C98" s="20">
        <v>46076</v>
      </c>
      <c r="D98" s="21" t="s">
        <v>118</v>
      </c>
      <c r="E98" s="21">
        <v>4000155943</v>
      </c>
      <c r="F98" s="21">
        <v>5026399</v>
      </c>
      <c r="G98" s="21">
        <v>116247</v>
      </c>
      <c r="H98" s="21" t="s">
        <v>119</v>
      </c>
      <c r="I98" s="21" t="s">
        <v>37</v>
      </c>
      <c r="J98" s="21">
        <v>6169</v>
      </c>
      <c r="K98" s="21">
        <v>689</v>
      </c>
      <c r="L98" s="22">
        <v>92</v>
      </c>
      <c r="M98" s="23" t="s">
        <v>205</v>
      </c>
      <c r="N98" s="24" t="s">
        <v>25</v>
      </c>
      <c r="O98" s="25">
        <v>46079</v>
      </c>
      <c r="P98" s="25" t="str">
        <f>VLOOKUP(F98,[1]CLIENTES!B:L,11,0)</f>
        <v>RODRIGO</v>
      </c>
      <c r="Q98" s="25" t="str">
        <f>VLOOKUP(F98,[1]CLIENTES!B:M,12,0)</f>
        <v>JESSICA</v>
      </c>
      <c r="R98" s="26" t="str">
        <f>VLOOKUP(F98,[1]CLIENTES!B:J,9,0)</f>
        <v>JESSICA CARLA</v>
      </c>
      <c r="S98" s="27">
        <v>7345</v>
      </c>
      <c r="T98" s="28" t="s">
        <v>44</v>
      </c>
      <c r="U98" s="28" t="s">
        <v>28</v>
      </c>
      <c r="V98" s="28" t="s">
        <v>29</v>
      </c>
      <c r="W98" s="28" t="s">
        <v>204</v>
      </c>
    </row>
    <row r="99" spans="1:23" ht="15" customHeight="1" x14ac:dyDescent="0.25">
      <c r="A99" s="20" t="str">
        <f>VLOOKUP(F99,[1]CLIENTES!B:L,11,0)</f>
        <v>RODRIGO</v>
      </c>
      <c r="B99" s="20" t="s">
        <v>142</v>
      </c>
      <c r="C99" s="20">
        <v>46076</v>
      </c>
      <c r="D99" s="21" t="s">
        <v>118</v>
      </c>
      <c r="E99" s="21">
        <v>4000155952</v>
      </c>
      <c r="F99" s="21">
        <v>5026399</v>
      </c>
      <c r="G99" s="21">
        <v>116247</v>
      </c>
      <c r="H99" s="21" t="s">
        <v>119</v>
      </c>
      <c r="I99" s="21" t="s">
        <v>37</v>
      </c>
      <c r="J99" s="21">
        <v>6169</v>
      </c>
      <c r="K99" s="21">
        <v>689</v>
      </c>
      <c r="L99" s="22">
        <v>92</v>
      </c>
      <c r="M99" s="23" t="s">
        <v>206</v>
      </c>
      <c r="N99" s="24" t="s">
        <v>25</v>
      </c>
      <c r="O99" s="25">
        <v>46079</v>
      </c>
      <c r="P99" s="25" t="str">
        <f>VLOOKUP(F99,[1]CLIENTES!B:L,11,0)</f>
        <v>RODRIGO</v>
      </c>
      <c r="Q99" s="25" t="str">
        <f>VLOOKUP(F99,[1]CLIENTES!B:M,12,0)</f>
        <v>JESSICA</v>
      </c>
      <c r="R99" s="26" t="str">
        <f>VLOOKUP(F99,[1]CLIENTES!B:J,9,0)</f>
        <v>JESSICA CARLA</v>
      </c>
      <c r="S99" s="27">
        <v>25383</v>
      </c>
      <c r="T99" s="28" t="s">
        <v>44</v>
      </c>
      <c r="U99" s="28" t="s">
        <v>28</v>
      </c>
      <c r="V99" s="28" t="s">
        <v>29</v>
      </c>
      <c r="W99" s="28" t="s">
        <v>204</v>
      </c>
    </row>
    <row r="100" spans="1:23" ht="15" customHeight="1" x14ac:dyDescent="0.25">
      <c r="A100" s="20" t="str">
        <f>VLOOKUP(F100,[1]CLIENTES!B:L,11,0)</f>
        <v>RODRIGO</v>
      </c>
      <c r="B100" s="20" t="s">
        <v>142</v>
      </c>
      <c r="C100" s="20">
        <v>46078</v>
      </c>
      <c r="D100" s="21" t="s">
        <v>21</v>
      </c>
      <c r="E100" s="21">
        <v>630</v>
      </c>
      <c r="F100" s="21">
        <v>5225860</v>
      </c>
      <c r="G100" s="21">
        <v>180402</v>
      </c>
      <c r="H100" s="21" t="s">
        <v>39</v>
      </c>
      <c r="I100" s="21" t="s">
        <v>40</v>
      </c>
      <c r="J100" s="21" t="s">
        <v>41</v>
      </c>
      <c r="K100" s="21">
        <v>194</v>
      </c>
      <c r="L100" s="22">
        <v>92</v>
      </c>
      <c r="M100" s="23" t="s">
        <v>207</v>
      </c>
      <c r="N100" s="24" t="s">
        <v>25</v>
      </c>
      <c r="O100" s="25">
        <v>46082</v>
      </c>
      <c r="P100" s="25" t="str">
        <f>VLOOKUP(F100,[1]CLIENTES!B:L,11,0)</f>
        <v>RODRIGO</v>
      </c>
      <c r="Q100" s="25" t="str">
        <f>VLOOKUP(F100,[1]CLIENTES!B:M,12,0)</f>
        <v>MARIA LOURDES</v>
      </c>
      <c r="R100" s="26" t="str">
        <f>VLOOKUP(F100,[1]CLIENTES!B:J,9,0)</f>
        <v>CLAUDIO JORGE/AMANDA SANDS</v>
      </c>
      <c r="S100" s="27">
        <v>18000</v>
      </c>
      <c r="T100" s="28" t="s">
        <v>44</v>
      </c>
      <c r="U100" s="28" t="s">
        <v>28</v>
      </c>
      <c r="V100" s="28" t="s">
        <v>29</v>
      </c>
      <c r="W100" s="28" t="s">
        <v>52</v>
      </c>
    </row>
    <row r="101" spans="1:23" ht="15" customHeight="1" x14ac:dyDescent="0.25">
      <c r="A101" s="20" t="str">
        <f>VLOOKUP(F101,[1]CLIENTES!B:L,11,0)</f>
        <v>RODRIGO</v>
      </c>
      <c r="B101" s="20" t="s">
        <v>142</v>
      </c>
      <c r="C101" s="20">
        <v>46078</v>
      </c>
      <c r="D101" s="21" t="s">
        <v>21</v>
      </c>
      <c r="E101" s="21">
        <v>608</v>
      </c>
      <c r="F101" s="21">
        <v>5133664</v>
      </c>
      <c r="G101" s="21">
        <v>142632</v>
      </c>
      <c r="H101" s="21" t="s">
        <v>134</v>
      </c>
      <c r="I101" s="21" t="s">
        <v>40</v>
      </c>
      <c r="J101" s="21" t="s">
        <v>41</v>
      </c>
      <c r="K101" s="21">
        <v>194</v>
      </c>
      <c r="L101" s="22">
        <v>92</v>
      </c>
      <c r="M101" s="23" t="s">
        <v>207</v>
      </c>
      <c r="N101" s="24" t="s">
        <v>25</v>
      </c>
      <c r="O101" s="25">
        <v>46082</v>
      </c>
      <c r="P101" s="25" t="str">
        <f>VLOOKUP(F101,[1]CLIENTES!B:L,11,0)</f>
        <v>RODRIGO</v>
      </c>
      <c r="Q101" s="25" t="str">
        <f>VLOOKUP(F101,[1]CLIENTES!B:M,12,0)</f>
        <v>MARIA LOURDES</v>
      </c>
      <c r="R101" s="26" t="str">
        <f>VLOOKUP(F101,[1]CLIENTES!B:J,9,0)</f>
        <v>CLAUDIO JORGE/AMANDA SANDS</v>
      </c>
      <c r="S101" s="27">
        <v>10000</v>
      </c>
      <c r="T101" s="28" t="s">
        <v>44</v>
      </c>
      <c r="U101" s="28" t="s">
        <v>28</v>
      </c>
      <c r="V101" s="28" t="s">
        <v>29</v>
      </c>
      <c r="W101" s="28" t="s">
        <v>52</v>
      </c>
    </row>
    <row r="102" spans="1:23" ht="15" customHeight="1" x14ac:dyDescent="0.25">
      <c r="A102" s="20" t="str">
        <f>VLOOKUP(F102,[1]CLIENTES!B:L,11,0)</f>
        <v>RODRIGO</v>
      </c>
      <c r="B102" s="20" t="s">
        <v>142</v>
      </c>
      <c r="C102" s="20">
        <v>46078</v>
      </c>
      <c r="D102" s="21" t="s">
        <v>21</v>
      </c>
      <c r="E102" s="21">
        <v>572</v>
      </c>
      <c r="F102" s="21">
        <v>5004685</v>
      </c>
      <c r="G102" s="21">
        <v>110434</v>
      </c>
      <c r="H102" s="21" t="s">
        <v>116</v>
      </c>
      <c r="I102" s="21" t="s">
        <v>23</v>
      </c>
      <c r="J102" s="21">
        <v>6125</v>
      </c>
      <c r="K102" s="21">
        <v>692</v>
      </c>
      <c r="L102" s="22">
        <v>93</v>
      </c>
      <c r="M102" s="23" t="s">
        <v>208</v>
      </c>
      <c r="N102" s="24" t="s">
        <v>25</v>
      </c>
      <c r="O102" s="25">
        <v>46082</v>
      </c>
      <c r="P102" s="25" t="str">
        <f>VLOOKUP(F102,[1]CLIENTES!B:L,11,0)</f>
        <v>RODRIGO</v>
      </c>
      <c r="Q102" s="25" t="str">
        <f>VLOOKUP(F102,[1]CLIENTES!B:M,12,0)</f>
        <v>ALEXANDRO</v>
      </c>
      <c r="R102" s="26" t="str">
        <f>VLOOKUP(F102,[1]CLIENTES!B:J,9,0)</f>
        <v>ALEXANDRO RODRIGUES</v>
      </c>
      <c r="S102" s="27">
        <v>32000</v>
      </c>
      <c r="T102" s="28" t="s">
        <v>44</v>
      </c>
      <c r="U102" s="28" t="s">
        <v>28</v>
      </c>
      <c r="V102" s="28" t="s">
        <v>29</v>
      </c>
      <c r="W102" s="28" t="s">
        <v>60</v>
      </c>
    </row>
    <row r="103" spans="1:23" ht="15" customHeight="1" x14ac:dyDescent="0.25">
      <c r="A103" s="20" t="str">
        <f>VLOOKUP(F103,[1]CLIENTES!B:L,11,0)</f>
        <v>RODRIGO</v>
      </c>
      <c r="B103" s="20" t="s">
        <v>142</v>
      </c>
      <c r="C103" s="20">
        <v>46078</v>
      </c>
      <c r="D103" s="21" t="s">
        <v>21</v>
      </c>
      <c r="E103" s="21">
        <v>2576</v>
      </c>
      <c r="F103" s="21">
        <v>5157891</v>
      </c>
      <c r="G103" s="21">
        <v>165987</v>
      </c>
      <c r="H103" s="21" t="s">
        <v>209</v>
      </c>
      <c r="I103" s="21" t="s">
        <v>23</v>
      </c>
      <c r="J103" s="21" t="s">
        <v>47</v>
      </c>
      <c r="K103" s="21">
        <v>722</v>
      </c>
      <c r="L103" s="22">
        <v>28</v>
      </c>
      <c r="M103" s="23" t="s">
        <v>210</v>
      </c>
      <c r="N103" s="24" t="s">
        <v>25</v>
      </c>
      <c r="O103" s="25">
        <v>46082</v>
      </c>
      <c r="P103" s="25" t="str">
        <f>VLOOKUP(F103,[1]CLIENTES!B:L,11,0)</f>
        <v>RODRIGO</v>
      </c>
      <c r="Q103" s="25" t="str">
        <f>VLOOKUP(F103,[1]CLIENTES!B:M,12,0)</f>
        <v>RAQUEL BARBOSA</v>
      </c>
      <c r="R103" s="26" t="str">
        <f>VLOOKUP(F103,[1]CLIENTES!B:J,9,0)</f>
        <v>RAQUEL BARBOSA</v>
      </c>
      <c r="S103" s="27">
        <v>30000</v>
      </c>
      <c r="T103" s="28" t="s">
        <v>44</v>
      </c>
      <c r="U103" s="28" t="s">
        <v>50</v>
      </c>
      <c r="V103" s="28" t="s">
        <v>51</v>
      </c>
      <c r="W103" s="28" t="s">
        <v>60</v>
      </c>
    </row>
    <row r="104" spans="1:23" ht="15" customHeight="1" x14ac:dyDescent="0.25">
      <c r="A104" s="20" t="str">
        <f>VLOOKUP(F104,[1]CLIENTES!B:L,11,0)</f>
        <v>RODRIGO</v>
      </c>
      <c r="B104" s="20" t="s">
        <v>142</v>
      </c>
      <c r="C104" s="20">
        <v>46078</v>
      </c>
      <c r="D104" s="21" t="s">
        <v>21</v>
      </c>
      <c r="E104" s="21">
        <v>2574</v>
      </c>
      <c r="F104" s="21">
        <v>5006978</v>
      </c>
      <c r="G104" s="21">
        <v>103036</v>
      </c>
      <c r="H104" s="21" t="s">
        <v>58</v>
      </c>
      <c r="I104" s="21" t="s">
        <v>23</v>
      </c>
      <c r="J104" s="21" t="s">
        <v>47</v>
      </c>
      <c r="K104" s="21">
        <v>722</v>
      </c>
      <c r="L104" s="22">
        <v>25</v>
      </c>
      <c r="M104" s="23" t="s">
        <v>211</v>
      </c>
      <c r="N104" s="24" t="s">
        <v>25</v>
      </c>
      <c r="O104" s="25">
        <v>46082</v>
      </c>
      <c r="P104" s="25" t="str">
        <f>VLOOKUP(F104,[1]CLIENTES!B:L,11,0)</f>
        <v>RODRIGO</v>
      </c>
      <c r="Q104" s="25" t="str">
        <f>VLOOKUP(F104,[1]CLIENTES!B:M,12,0)</f>
        <v>RAQUEL BARBOSA</v>
      </c>
      <c r="R104" s="26" t="str">
        <f>VLOOKUP(F104,[1]CLIENTES!B:J,9,0)</f>
        <v>RAQUEL BARBOSA</v>
      </c>
      <c r="S104" s="27">
        <v>15000</v>
      </c>
      <c r="T104" s="28" t="s">
        <v>44</v>
      </c>
      <c r="U104" s="28" t="s">
        <v>50</v>
      </c>
      <c r="V104" s="28" t="s">
        <v>51</v>
      </c>
      <c r="W104" s="28" t="s">
        <v>60</v>
      </c>
    </row>
    <row r="105" spans="1:23" ht="15" customHeight="1" x14ac:dyDescent="0.25">
      <c r="A105" s="20" t="str">
        <f>VLOOKUP(F105,[1]CLIENTES!B:L,11,0)</f>
        <v>RODRIGO</v>
      </c>
      <c r="B105" s="20" t="s">
        <v>142</v>
      </c>
      <c r="C105" s="20">
        <v>46078</v>
      </c>
      <c r="D105" s="21" t="s">
        <v>21</v>
      </c>
      <c r="E105" s="21">
        <v>618</v>
      </c>
      <c r="F105" s="21">
        <v>5186266</v>
      </c>
      <c r="G105" s="21">
        <v>142707</v>
      </c>
      <c r="H105" s="21" t="s">
        <v>212</v>
      </c>
      <c r="I105" s="21" t="s">
        <v>213</v>
      </c>
      <c r="J105" s="21" t="s">
        <v>214</v>
      </c>
      <c r="K105" s="21">
        <v>197</v>
      </c>
      <c r="L105" s="22">
        <v>92</v>
      </c>
      <c r="M105" s="23" t="s">
        <v>215</v>
      </c>
      <c r="N105" s="24" t="s">
        <v>25</v>
      </c>
      <c r="O105" s="25">
        <v>46082</v>
      </c>
      <c r="P105" s="25" t="str">
        <f>VLOOKUP(F105,[1]CLIENTES!B:L,11,0)</f>
        <v>RODRIGO</v>
      </c>
      <c r="Q105" s="25" t="str">
        <f>VLOOKUP(F105,[1]CLIENTES!B:M,12,0)</f>
        <v>MARCO AURELIO</v>
      </c>
      <c r="R105" s="26" t="str">
        <f>VLOOKUP(F105,[1]CLIENTES!B:J,9,0)</f>
        <v>CLAUDIO JORGE</v>
      </c>
      <c r="S105" s="27">
        <v>2193.85</v>
      </c>
      <c r="T105" s="28" t="s">
        <v>44</v>
      </c>
      <c r="U105" s="28" t="s">
        <v>28</v>
      </c>
      <c r="V105" s="28" t="s">
        <v>29</v>
      </c>
      <c r="W105" s="28" t="s">
        <v>52</v>
      </c>
    </row>
    <row r="106" spans="1:23" ht="15" customHeight="1" x14ac:dyDescent="0.25">
      <c r="A106" s="20" t="str">
        <f>VLOOKUP(F106,[1]CLIENTES!B:L,11,0)</f>
        <v>PEDRO</v>
      </c>
      <c r="B106" s="20" t="s">
        <v>142</v>
      </c>
      <c r="C106" s="20">
        <v>46076</v>
      </c>
      <c r="D106" s="21" t="s">
        <v>21</v>
      </c>
      <c r="E106" s="21">
        <v>561</v>
      </c>
      <c r="F106" s="21">
        <v>5119520</v>
      </c>
      <c r="G106" s="21">
        <v>184655</v>
      </c>
      <c r="H106" s="21" t="s">
        <v>216</v>
      </c>
      <c r="I106" s="21" t="s">
        <v>217</v>
      </c>
      <c r="J106" s="21" t="s">
        <v>218</v>
      </c>
      <c r="K106" s="21">
        <v>195</v>
      </c>
      <c r="L106" s="22">
        <v>93</v>
      </c>
      <c r="M106" s="23" t="s">
        <v>219</v>
      </c>
      <c r="N106" s="24" t="s">
        <v>25</v>
      </c>
      <c r="O106" s="25">
        <v>46082</v>
      </c>
      <c r="P106" s="25" t="str">
        <f>VLOOKUP(F106,[1]CLIENTES!B:L,11,0)</f>
        <v>PEDRO</v>
      </c>
      <c r="Q106" s="25" t="str">
        <f>VLOOKUP(F106,[1]CLIENTES!B:M,12,0)</f>
        <v>VAGO QSR</v>
      </c>
      <c r="R106" s="26" t="str">
        <f>VLOOKUP(F106,[1]CLIENTES!B:J,9,0)</f>
        <v>VAGO QSR</v>
      </c>
      <c r="S106" s="27">
        <v>8214.68</v>
      </c>
      <c r="T106" s="28" t="s">
        <v>44</v>
      </c>
      <c r="U106" s="28" t="s">
        <v>28</v>
      </c>
      <c r="V106" s="28" t="s">
        <v>29</v>
      </c>
      <c r="W106" s="28" t="s">
        <v>35</v>
      </c>
    </row>
    <row r="107" spans="1:23" ht="15" customHeight="1" x14ac:dyDescent="0.25">
      <c r="A107" s="20" t="str">
        <f>VLOOKUP(F107,[1]CLIENTES!B:L,11,0)</f>
        <v>RODRIGO</v>
      </c>
      <c r="B107" s="20" t="s">
        <v>220</v>
      </c>
      <c r="C107" s="20">
        <v>46076</v>
      </c>
      <c r="D107" s="21" t="s">
        <v>21</v>
      </c>
      <c r="E107" s="21">
        <v>970</v>
      </c>
      <c r="F107" s="21">
        <v>5226805</v>
      </c>
      <c r="G107" s="21">
        <v>150155</v>
      </c>
      <c r="H107" s="21" t="s">
        <v>86</v>
      </c>
      <c r="I107" s="21" t="s">
        <v>71</v>
      </c>
      <c r="J107" s="21" t="s">
        <v>72</v>
      </c>
      <c r="K107" s="21">
        <v>186</v>
      </c>
      <c r="L107" s="22">
        <v>92</v>
      </c>
      <c r="M107" s="23" t="s">
        <v>221</v>
      </c>
      <c r="N107" s="24" t="s">
        <v>25</v>
      </c>
      <c r="O107" s="25">
        <v>46113</v>
      </c>
      <c r="P107" s="25" t="str">
        <f>VLOOKUP(F107,[1]CLIENTES!B:L,11,0)</f>
        <v>RODRIGO</v>
      </c>
      <c r="Q107" s="25" t="str">
        <f>VLOOKUP(F107,[1]CLIENTES!B:M,12,0)</f>
        <v>CELIO MARTINS</v>
      </c>
      <c r="R107" s="26" t="str">
        <f>VLOOKUP(F107,[1]CLIENTES!B:J,9,0)</f>
        <v>CELIO/MARANATHA</v>
      </c>
      <c r="S107" s="27">
        <v>5000</v>
      </c>
      <c r="T107" s="28" t="s">
        <v>44</v>
      </c>
      <c r="U107" s="28" t="s">
        <v>28</v>
      </c>
      <c r="V107" s="28" t="s">
        <v>29</v>
      </c>
      <c r="W107" s="28" t="s">
        <v>35</v>
      </c>
    </row>
    <row r="108" spans="1:23" ht="15" customHeight="1" x14ac:dyDescent="0.25">
      <c r="A108" s="20" t="str">
        <f>VLOOKUP(F108,[1]CLIENTES!B:L,11,0)</f>
        <v>RODRIGO</v>
      </c>
      <c r="B108" s="20" t="s">
        <v>220</v>
      </c>
      <c r="C108" s="20">
        <v>46084</v>
      </c>
      <c r="D108" s="21" t="s">
        <v>21</v>
      </c>
      <c r="E108" s="21">
        <v>983</v>
      </c>
      <c r="F108" s="21">
        <v>5157891</v>
      </c>
      <c r="G108" s="21">
        <v>165987</v>
      </c>
      <c r="H108" s="21" t="s">
        <v>209</v>
      </c>
      <c r="I108" s="21" t="s">
        <v>23</v>
      </c>
      <c r="J108" s="21">
        <v>6125</v>
      </c>
      <c r="K108" s="21">
        <v>692</v>
      </c>
      <c r="L108" s="22">
        <v>92</v>
      </c>
      <c r="M108" s="23" t="s">
        <v>222</v>
      </c>
      <c r="N108" s="24" t="s">
        <v>25</v>
      </c>
      <c r="O108" s="25">
        <v>46113</v>
      </c>
      <c r="P108" s="25" t="str">
        <f>VLOOKUP(F108,[1]CLIENTES!B:L,11,0)</f>
        <v>RODRIGO</v>
      </c>
      <c r="Q108" s="25" t="str">
        <f>VLOOKUP(F108,[1]CLIENTES!B:M,12,0)</f>
        <v>RAQUEL BARBOSA</v>
      </c>
      <c r="R108" s="26" t="str">
        <f>VLOOKUP(F108,[1]CLIENTES!B:J,9,0)</f>
        <v>RAQUEL BARBOSA</v>
      </c>
      <c r="S108" s="27">
        <v>4365.6499999999996</v>
      </c>
      <c r="T108" s="28" t="s">
        <v>44</v>
      </c>
      <c r="U108" s="28" t="s">
        <v>28</v>
      </c>
      <c r="V108" s="28" t="s">
        <v>29</v>
      </c>
      <c r="W108" s="28" t="s">
        <v>149</v>
      </c>
    </row>
    <row r="109" spans="1:23" ht="15" customHeight="1" x14ac:dyDescent="0.25">
      <c r="A109" s="20" t="str">
        <f>VLOOKUP(F109,[1]CLIENTES!B:L,11,0)</f>
        <v>RODRIGO</v>
      </c>
      <c r="B109" s="20" t="s">
        <v>220</v>
      </c>
      <c r="C109" s="20">
        <v>46084</v>
      </c>
      <c r="D109" s="21" t="s">
        <v>21</v>
      </c>
      <c r="E109" s="21">
        <v>974</v>
      </c>
      <c r="F109" s="21">
        <v>5006978</v>
      </c>
      <c r="G109" s="21">
        <v>103036</v>
      </c>
      <c r="H109" s="21" t="s">
        <v>58</v>
      </c>
      <c r="I109" s="21" t="s">
        <v>23</v>
      </c>
      <c r="J109" s="21">
        <v>6125</v>
      </c>
      <c r="K109" s="21">
        <v>692</v>
      </c>
      <c r="L109" s="22">
        <v>92</v>
      </c>
      <c r="M109" s="23" t="s">
        <v>223</v>
      </c>
      <c r="N109" s="24" t="s">
        <v>25</v>
      </c>
      <c r="O109" s="25">
        <v>46113</v>
      </c>
      <c r="P109" s="25" t="str">
        <f>VLOOKUP(F109,[1]CLIENTES!B:L,11,0)</f>
        <v>RODRIGO</v>
      </c>
      <c r="Q109" s="25" t="str">
        <f>VLOOKUP(F109,[1]CLIENTES!B:M,12,0)</f>
        <v>RAQUEL BARBOSA</v>
      </c>
      <c r="R109" s="26" t="str">
        <f>VLOOKUP(F109,[1]CLIENTES!B:J,9,0)</f>
        <v>RAQUEL BARBOSA</v>
      </c>
      <c r="S109" s="27">
        <v>8632.15</v>
      </c>
      <c r="T109" s="28" t="s">
        <v>44</v>
      </c>
      <c r="U109" s="28" t="s">
        <v>28</v>
      </c>
      <c r="V109" s="28" t="s">
        <v>29</v>
      </c>
      <c r="W109" s="28" t="s">
        <v>60</v>
      </c>
    </row>
    <row r="110" spans="1:23" ht="15" customHeight="1" x14ac:dyDescent="0.25">
      <c r="A110" s="20" t="str">
        <f>VLOOKUP(F110,[1]CLIENTES!B:L,11,0)</f>
        <v>RODRIGO</v>
      </c>
      <c r="B110" s="20" t="s">
        <v>220</v>
      </c>
      <c r="C110" s="20">
        <v>46084</v>
      </c>
      <c r="D110" s="21" t="s">
        <v>21</v>
      </c>
      <c r="E110" s="21">
        <v>3855</v>
      </c>
      <c r="F110" s="21">
        <v>5006978</v>
      </c>
      <c r="G110" s="21">
        <v>103036</v>
      </c>
      <c r="H110" s="21" t="s">
        <v>58</v>
      </c>
      <c r="I110" s="21" t="s">
        <v>23</v>
      </c>
      <c r="J110" s="21" t="s">
        <v>47</v>
      </c>
      <c r="K110" s="21">
        <v>722</v>
      </c>
      <c r="L110" s="22">
        <v>25</v>
      </c>
      <c r="M110" s="23" t="s">
        <v>224</v>
      </c>
      <c r="N110" s="24" t="s">
        <v>25</v>
      </c>
      <c r="O110" s="25">
        <v>46113</v>
      </c>
      <c r="P110" s="25" t="str">
        <f>VLOOKUP(F110,[1]CLIENTES!B:L,11,0)</f>
        <v>RODRIGO</v>
      </c>
      <c r="Q110" s="25" t="str">
        <f>VLOOKUP(F110,[1]CLIENTES!B:M,12,0)</f>
        <v>RAQUEL BARBOSA</v>
      </c>
      <c r="R110" s="26" t="str">
        <f>VLOOKUP(F110,[1]CLIENTES!B:J,9,0)</f>
        <v>RAQUEL BARBOSA</v>
      </c>
      <c r="S110" s="27">
        <v>34942.769999999997</v>
      </c>
      <c r="T110" s="28" t="s">
        <v>44</v>
      </c>
      <c r="U110" s="28" t="s">
        <v>50</v>
      </c>
      <c r="V110" s="28" t="s">
        <v>51</v>
      </c>
      <c r="W110" s="28" t="s">
        <v>60</v>
      </c>
    </row>
    <row r="111" spans="1:23" ht="15" customHeight="1" x14ac:dyDescent="0.25">
      <c r="A111" s="20" t="str">
        <f>VLOOKUP(F111,[1]CLIENTES!B:L,11,0)</f>
        <v>RODRIGO</v>
      </c>
      <c r="B111" s="20" t="s">
        <v>220</v>
      </c>
      <c r="C111" s="20">
        <v>46084</v>
      </c>
      <c r="D111" s="21" t="s">
        <v>21</v>
      </c>
      <c r="E111" s="21">
        <v>984</v>
      </c>
      <c r="F111" s="21">
        <v>5217293</v>
      </c>
      <c r="G111" s="21">
        <v>145966</v>
      </c>
      <c r="H111" s="21" t="s">
        <v>86</v>
      </c>
      <c r="I111" s="21" t="s">
        <v>23</v>
      </c>
      <c r="J111" s="21">
        <v>6125</v>
      </c>
      <c r="K111" s="21">
        <v>692</v>
      </c>
      <c r="L111" s="22">
        <v>92</v>
      </c>
      <c r="M111" s="23" t="s">
        <v>226</v>
      </c>
      <c r="N111" s="24" t="s">
        <v>25</v>
      </c>
      <c r="O111" s="25">
        <v>46113</v>
      </c>
      <c r="P111" s="25" t="str">
        <f>VLOOKUP(F111,[1]CLIENTES!B:L,11,0)</f>
        <v>RODRIGO</v>
      </c>
      <c r="Q111" s="25" t="str">
        <f>VLOOKUP(F111,[1]CLIENTES!B:M,12,0)</f>
        <v>RAQUEL BARBOSA</v>
      </c>
      <c r="R111" s="26" t="str">
        <f>VLOOKUP(F111,[1]CLIENTES!B:J,9,0)</f>
        <v>VAGO SP</v>
      </c>
      <c r="S111" s="27">
        <v>2222.2199999999998</v>
      </c>
      <c r="T111" s="28" t="s">
        <v>44</v>
      </c>
      <c r="U111" s="28" t="s">
        <v>28</v>
      </c>
      <c r="V111" s="28" t="s">
        <v>29</v>
      </c>
      <c r="W111" s="28" t="s">
        <v>35</v>
      </c>
    </row>
    <row r="112" spans="1:23" ht="15" customHeight="1" x14ac:dyDescent="0.25">
      <c r="A112" s="20" t="str">
        <f>VLOOKUP(F112,[1]CLIENTES!B:L,11,0)</f>
        <v>RODRIGO</v>
      </c>
      <c r="B112" s="20" t="s">
        <v>220</v>
      </c>
      <c r="C112" s="20">
        <v>46084</v>
      </c>
      <c r="D112" s="21" t="s">
        <v>21</v>
      </c>
      <c r="E112" s="21">
        <v>977</v>
      </c>
      <c r="F112" s="21">
        <v>5159289</v>
      </c>
      <c r="G112" s="21">
        <v>143188</v>
      </c>
      <c r="H112" s="21" t="s">
        <v>227</v>
      </c>
      <c r="I112" s="21" t="s">
        <v>23</v>
      </c>
      <c r="J112" s="21">
        <v>6125</v>
      </c>
      <c r="K112" s="21">
        <v>692</v>
      </c>
      <c r="L112" s="22">
        <v>93</v>
      </c>
      <c r="M112" s="23" t="s">
        <v>228</v>
      </c>
      <c r="N112" s="24" t="s">
        <v>25</v>
      </c>
      <c r="O112" s="25">
        <v>46113</v>
      </c>
      <c r="P112" s="25" t="str">
        <f>VLOOKUP(F112,[1]CLIENTES!B:L,11,0)</f>
        <v>RODRIGO</v>
      </c>
      <c r="Q112" s="25" t="str">
        <f>VLOOKUP(F112,[1]CLIENTES!B:M,12,0)</f>
        <v>RAQUEL BARBOSA</v>
      </c>
      <c r="R112" s="26" t="str">
        <f>VLOOKUP(F112,[1]CLIENTES!B:J,9,0)</f>
        <v>VAGO SP</v>
      </c>
      <c r="S112" s="27">
        <v>330</v>
      </c>
      <c r="T112" s="28" t="s">
        <v>44</v>
      </c>
      <c r="U112" s="28" t="s">
        <v>28</v>
      </c>
      <c r="V112" s="28" t="s">
        <v>29</v>
      </c>
      <c r="W112" s="28" t="s">
        <v>52</v>
      </c>
    </row>
    <row r="113" spans="1:23" ht="15" customHeight="1" x14ac:dyDescent="0.25">
      <c r="A113" s="20" t="str">
        <f>VLOOKUP(F113,[1]CLIENTES!B:L,11,0)</f>
        <v>RODRIGO</v>
      </c>
      <c r="B113" s="20" t="s">
        <v>220</v>
      </c>
      <c r="C113" s="20">
        <v>46084</v>
      </c>
      <c r="D113" s="21" t="s">
        <v>21</v>
      </c>
      <c r="E113" s="21">
        <v>978</v>
      </c>
      <c r="F113" s="21">
        <v>5131101</v>
      </c>
      <c r="G113" s="21">
        <v>167218</v>
      </c>
      <c r="H113" s="21" t="s">
        <v>164</v>
      </c>
      <c r="I113" s="21" t="s">
        <v>23</v>
      </c>
      <c r="J113" s="21">
        <v>6125</v>
      </c>
      <c r="K113" s="21">
        <v>692</v>
      </c>
      <c r="L113" s="22">
        <v>93</v>
      </c>
      <c r="M113" s="23" t="s">
        <v>229</v>
      </c>
      <c r="N113" s="24" t="s">
        <v>25</v>
      </c>
      <c r="O113" s="25">
        <v>46113</v>
      </c>
      <c r="P113" s="25" t="str">
        <f>VLOOKUP(F113,[1]CLIENTES!B:L,11,0)</f>
        <v>RODRIGO</v>
      </c>
      <c r="Q113" s="25" t="str">
        <f>VLOOKUP(F113,[1]CLIENTES!B:M,12,0)</f>
        <v>RAQUEL BARBOSA</v>
      </c>
      <c r="R113" s="26" t="str">
        <f>VLOOKUP(F113,[1]CLIENTES!B:J,9,0)</f>
        <v>VAGO SP</v>
      </c>
      <c r="S113" s="27">
        <v>1750</v>
      </c>
      <c r="T113" s="28" t="s">
        <v>44</v>
      </c>
      <c r="U113" s="28" t="s">
        <v>28</v>
      </c>
      <c r="V113" s="28" t="s">
        <v>29</v>
      </c>
      <c r="W113" s="28" t="s">
        <v>35</v>
      </c>
    </row>
    <row r="114" spans="1:23" ht="15" customHeight="1" x14ac:dyDescent="0.25">
      <c r="A114" s="20" t="str">
        <f>VLOOKUP(F114,[1]CLIENTES!B:L,11,0)</f>
        <v>RODRIGO</v>
      </c>
      <c r="B114" s="20" t="s">
        <v>220</v>
      </c>
      <c r="C114" s="20">
        <v>46097</v>
      </c>
      <c r="D114" s="21" t="s">
        <v>21</v>
      </c>
      <c r="E114" s="21">
        <v>994</v>
      </c>
      <c r="F114" s="21">
        <v>5195605</v>
      </c>
      <c r="G114" s="21"/>
      <c r="H114" s="21" t="s">
        <v>230</v>
      </c>
      <c r="I114" s="21" t="s">
        <v>23</v>
      </c>
      <c r="J114" s="21">
        <v>6125</v>
      </c>
      <c r="K114" s="21">
        <v>692</v>
      </c>
      <c r="L114" s="22">
        <v>93</v>
      </c>
      <c r="M114" s="23" t="s">
        <v>231</v>
      </c>
      <c r="N114" s="24" t="s">
        <v>25</v>
      </c>
      <c r="O114" s="25">
        <v>46113</v>
      </c>
      <c r="P114" s="25" t="str">
        <f>VLOOKUP(F114,[1]CLIENTES!B:L,11,0)</f>
        <v>RODRIGO</v>
      </c>
      <c r="Q114" s="25" t="str">
        <f>VLOOKUP(F114,[1]CLIENTES!B:M,12,0)</f>
        <v>RAQUEL BARBOSA</v>
      </c>
      <c r="R114" s="26" t="str">
        <f>VLOOKUP(F114,[1]CLIENTES!B:J,9,0)</f>
        <v>SP ITB FS FLAC REP.E COMERCIO</v>
      </c>
      <c r="S114" s="27">
        <v>500</v>
      </c>
      <c r="T114" s="28" t="s">
        <v>44</v>
      </c>
      <c r="U114" s="28" t="s">
        <v>28</v>
      </c>
      <c r="V114" s="28" t="s">
        <v>29</v>
      </c>
      <c r="W114" s="28" t="s">
        <v>60</v>
      </c>
    </row>
    <row r="115" spans="1:23" ht="15" customHeight="1" x14ac:dyDescent="0.25">
      <c r="A115" s="20" t="str">
        <f>VLOOKUP(F115,[1]CLIENTES!B:L,11,0)</f>
        <v>RODRIGO</v>
      </c>
      <c r="B115" s="20" t="s">
        <v>220</v>
      </c>
      <c r="C115" s="20">
        <v>46097</v>
      </c>
      <c r="D115" s="21" t="s">
        <v>21</v>
      </c>
      <c r="E115" s="21">
        <v>949</v>
      </c>
      <c r="F115" s="21">
        <v>5083008</v>
      </c>
      <c r="G115" s="21">
        <v>114905</v>
      </c>
      <c r="H115" s="21" t="s">
        <v>78</v>
      </c>
      <c r="I115" s="21" t="s">
        <v>23</v>
      </c>
      <c r="J115" s="21">
        <v>6125</v>
      </c>
      <c r="K115" s="21">
        <v>692</v>
      </c>
      <c r="L115" s="22">
        <v>93</v>
      </c>
      <c r="M115" s="23" t="s">
        <v>232</v>
      </c>
      <c r="N115" s="24" t="s">
        <v>25</v>
      </c>
      <c r="O115" s="25">
        <v>46113</v>
      </c>
      <c r="P115" s="25" t="str">
        <f>VLOOKUP(F115,[1]CLIENTES!B:L,11,0)</f>
        <v>RODRIGO</v>
      </c>
      <c r="Q115" s="25" t="str">
        <f>VLOOKUP(F115,[1]CLIENTES!B:M,12,0)</f>
        <v>ALEXANDRE BONANI</v>
      </c>
      <c r="R115" s="26" t="str">
        <f>VLOOKUP(F115,[1]CLIENTES!B:J,9,0)</f>
        <v>ALEXANDRE BONANI</v>
      </c>
      <c r="S115" s="27">
        <v>2500</v>
      </c>
      <c r="T115" s="28" t="s">
        <v>44</v>
      </c>
      <c r="U115" s="28" t="s">
        <v>28</v>
      </c>
      <c r="V115" s="28" t="s">
        <v>29</v>
      </c>
      <c r="W115" s="28" t="s">
        <v>35</v>
      </c>
    </row>
    <row r="116" spans="1:23" ht="15" customHeight="1" x14ac:dyDescent="0.25">
      <c r="A116" s="20" t="str">
        <f>VLOOKUP(F116,[1]CLIENTES!B:L,11,0)</f>
        <v>RODRIGO</v>
      </c>
      <c r="B116" s="20" t="s">
        <v>220</v>
      </c>
      <c r="C116" s="20">
        <v>46097</v>
      </c>
      <c r="D116" s="21" t="s">
        <v>21</v>
      </c>
      <c r="E116" s="21">
        <v>952</v>
      </c>
      <c r="F116" s="21">
        <v>5149985</v>
      </c>
      <c r="G116" s="21">
        <v>142628</v>
      </c>
      <c r="H116" s="21" t="s">
        <v>233</v>
      </c>
      <c r="I116" s="21" t="s">
        <v>23</v>
      </c>
      <c r="J116" s="21">
        <v>6125</v>
      </c>
      <c r="K116" s="21">
        <v>692</v>
      </c>
      <c r="L116" s="22">
        <v>92</v>
      </c>
      <c r="M116" s="23" t="s">
        <v>234</v>
      </c>
      <c r="N116" s="24" t="s">
        <v>25</v>
      </c>
      <c r="O116" s="25">
        <v>46113</v>
      </c>
      <c r="P116" s="25" t="str">
        <f>VLOOKUP(F116,[1]CLIENTES!B:L,11,0)</f>
        <v>RODRIGO</v>
      </c>
      <c r="Q116" s="25" t="str">
        <f>VLOOKUP(F116,[1]CLIENTES!B:M,12,0)</f>
        <v>ALEXANDRO</v>
      </c>
      <c r="R116" s="26" t="str">
        <f>VLOOKUP(F116,[1]CLIENTES!B:J,9,0)</f>
        <v>GUILHERME NASCIMENTO</v>
      </c>
      <c r="S116" s="27">
        <v>5000</v>
      </c>
      <c r="T116" s="28" t="s">
        <v>44</v>
      </c>
      <c r="U116" s="28" t="s">
        <v>28</v>
      </c>
      <c r="V116" s="28" t="s">
        <v>29</v>
      </c>
      <c r="W116" s="28" t="s">
        <v>52</v>
      </c>
    </row>
    <row r="117" spans="1:23" ht="15" customHeight="1" x14ac:dyDescent="0.25">
      <c r="A117" s="20" t="str">
        <f>VLOOKUP(F117,[1]CLIENTES!B:L,11,0)</f>
        <v>RODRIGO</v>
      </c>
      <c r="B117" s="20" t="s">
        <v>220</v>
      </c>
      <c r="C117" s="20">
        <v>46097</v>
      </c>
      <c r="D117" s="21" t="s">
        <v>21</v>
      </c>
      <c r="E117" s="21">
        <v>981</v>
      </c>
      <c r="F117" s="21">
        <v>5107112</v>
      </c>
      <c r="G117" s="21">
        <v>123370</v>
      </c>
      <c r="H117" s="21" t="s">
        <v>62</v>
      </c>
      <c r="I117" s="21" t="s">
        <v>23</v>
      </c>
      <c r="J117" s="21">
        <v>6125</v>
      </c>
      <c r="K117" s="21">
        <v>692</v>
      </c>
      <c r="L117" s="22">
        <v>93</v>
      </c>
      <c r="M117" s="23" t="s">
        <v>235</v>
      </c>
      <c r="N117" s="24" t="s">
        <v>25</v>
      </c>
      <c r="O117" s="25">
        <v>46113</v>
      </c>
      <c r="P117" s="25" t="str">
        <f>VLOOKUP(F117,[1]CLIENTES!B:L,11,0)</f>
        <v>RODRIGO</v>
      </c>
      <c r="Q117" s="25" t="str">
        <f>VLOOKUP(F117,[1]CLIENTES!B:M,12,0)</f>
        <v>ALEXANDRO</v>
      </c>
      <c r="R117" s="26" t="str">
        <f>VLOOKUP(F117,[1]CLIENTES!B:J,9,0)</f>
        <v>GUILHERME NASCIMENTO</v>
      </c>
      <c r="S117" s="27">
        <v>9900</v>
      </c>
      <c r="T117" s="28" t="s">
        <v>44</v>
      </c>
      <c r="U117" s="28" t="s">
        <v>28</v>
      </c>
      <c r="V117" s="28" t="s">
        <v>29</v>
      </c>
      <c r="W117" s="28" t="s">
        <v>236</v>
      </c>
    </row>
    <row r="118" spans="1:23" ht="15" customHeight="1" x14ac:dyDescent="0.25">
      <c r="A118" s="20" t="str">
        <f>VLOOKUP(F118,[1]CLIENTES!B:L,11,0)</f>
        <v>RODRIGO</v>
      </c>
      <c r="B118" s="20" t="s">
        <v>220</v>
      </c>
      <c r="C118" s="20">
        <v>46097</v>
      </c>
      <c r="D118" s="21" t="s">
        <v>21</v>
      </c>
      <c r="E118" s="21">
        <v>962</v>
      </c>
      <c r="F118" s="21">
        <v>5118346</v>
      </c>
      <c r="G118" s="21">
        <v>143232</v>
      </c>
      <c r="H118" s="21" t="s">
        <v>237</v>
      </c>
      <c r="I118" s="21" t="s">
        <v>23</v>
      </c>
      <c r="J118" s="21">
        <v>6125</v>
      </c>
      <c r="K118" s="21">
        <v>692</v>
      </c>
      <c r="L118" s="22">
        <v>93</v>
      </c>
      <c r="M118" s="23" t="s">
        <v>238</v>
      </c>
      <c r="N118" s="24" t="s">
        <v>25</v>
      </c>
      <c r="O118" s="25">
        <v>46113</v>
      </c>
      <c r="P118" s="25" t="str">
        <f>VLOOKUP(F118,[1]CLIENTES!B:L,11,0)</f>
        <v>RODRIGO</v>
      </c>
      <c r="Q118" s="25" t="str">
        <f>VLOOKUP(F118,[1]CLIENTES!B:M,12,0)</f>
        <v>RAQUEL BARBOSA</v>
      </c>
      <c r="R118" s="26" t="str">
        <f>VLOOKUP(F118,[1]CLIENTES!B:J,9,0)</f>
        <v>VAGO SP</v>
      </c>
      <c r="S118" s="27">
        <v>7628.7</v>
      </c>
      <c r="T118" s="28" t="s">
        <v>44</v>
      </c>
      <c r="U118" s="28" t="s">
        <v>28</v>
      </c>
      <c r="V118" s="28" t="s">
        <v>29</v>
      </c>
      <c r="W118" s="28" t="s">
        <v>236</v>
      </c>
    </row>
    <row r="119" spans="1:23" ht="15" customHeight="1" x14ac:dyDescent="0.25">
      <c r="A119" s="20" t="str">
        <f>VLOOKUP(F119,[1]CLIENTES!B:L,11,0)</f>
        <v>RODRIGO</v>
      </c>
      <c r="B119" s="20" t="s">
        <v>220</v>
      </c>
      <c r="C119" s="20">
        <v>46100</v>
      </c>
      <c r="D119" s="21" t="s">
        <v>21</v>
      </c>
      <c r="E119" s="21">
        <v>973</v>
      </c>
      <c r="F119" s="21">
        <v>5004685</v>
      </c>
      <c r="G119" s="21">
        <v>110434</v>
      </c>
      <c r="H119" s="21" t="s">
        <v>116</v>
      </c>
      <c r="I119" s="21" t="s">
        <v>23</v>
      </c>
      <c r="J119" s="21">
        <v>6125</v>
      </c>
      <c r="K119" s="21">
        <v>692</v>
      </c>
      <c r="L119" s="22">
        <v>93</v>
      </c>
      <c r="M119" s="23" t="s">
        <v>239</v>
      </c>
      <c r="N119" s="24" t="s">
        <v>25</v>
      </c>
      <c r="O119" s="25">
        <v>46113</v>
      </c>
      <c r="P119" s="25" t="str">
        <f>VLOOKUP(F119,[1]CLIENTES!B:L,11,0)</f>
        <v>RODRIGO</v>
      </c>
      <c r="Q119" s="25" t="str">
        <f>VLOOKUP(F119,[1]CLIENTES!B:M,12,0)</f>
        <v>ALEXANDRO</v>
      </c>
      <c r="R119" s="26" t="str">
        <f>VLOOKUP(F119,[1]CLIENTES!B:J,9,0)</f>
        <v>ALEXANDRO RODRIGUES</v>
      </c>
      <c r="S119" s="27">
        <v>23226.99</v>
      </c>
      <c r="T119" s="28" t="s">
        <v>44</v>
      </c>
      <c r="U119" s="28" t="s">
        <v>28</v>
      </c>
      <c r="V119" s="28" t="s">
        <v>29</v>
      </c>
      <c r="W119" s="28" t="s">
        <v>60</v>
      </c>
    </row>
    <row r="120" spans="1:23" ht="15" customHeight="1" x14ac:dyDescent="0.25">
      <c r="A120" s="20" t="str">
        <f>VLOOKUP(F120,[1]CLIENTES!B:L,11,0)</f>
        <v>RODRIGO</v>
      </c>
      <c r="B120" s="20" t="s">
        <v>220</v>
      </c>
      <c r="C120" s="20">
        <v>46101</v>
      </c>
      <c r="D120" s="21" t="s">
        <v>21</v>
      </c>
      <c r="E120" s="21">
        <v>971</v>
      </c>
      <c r="F120" s="21">
        <v>5308411</v>
      </c>
      <c r="G120" s="21">
        <v>181236</v>
      </c>
      <c r="H120" s="21" t="s">
        <v>80</v>
      </c>
      <c r="I120" s="21" t="s">
        <v>71</v>
      </c>
      <c r="J120" s="21" t="s">
        <v>72</v>
      </c>
      <c r="K120" s="21">
        <v>186</v>
      </c>
      <c r="L120" s="22">
        <v>92</v>
      </c>
      <c r="M120" s="23" t="s">
        <v>240</v>
      </c>
      <c r="N120" s="24" t="s">
        <v>25</v>
      </c>
      <c r="O120" s="25">
        <v>46113</v>
      </c>
      <c r="P120" s="25" t="str">
        <f>VLOOKUP(F120,[1]CLIENTES!B:L,11,0)</f>
        <v>RODRIGO</v>
      </c>
      <c r="Q120" s="25" t="str">
        <f>VLOOKUP(F120,[1]CLIENTES!B:M,12,0)</f>
        <v>CELIO MARTINS</v>
      </c>
      <c r="R120" s="26" t="str">
        <f>VLOOKUP(F120,[1]CLIENTES!B:J,9,0)</f>
        <v>MARCELO SILVA</v>
      </c>
      <c r="S120" s="27">
        <v>1843.38</v>
      </c>
      <c r="T120" s="28" t="s">
        <v>44</v>
      </c>
      <c r="U120" s="28" t="s">
        <v>28</v>
      </c>
      <c r="V120" s="28" t="s">
        <v>29</v>
      </c>
      <c r="W120" s="28" t="s">
        <v>83</v>
      </c>
    </row>
    <row r="121" spans="1:23" ht="15" customHeight="1" x14ac:dyDescent="0.25">
      <c r="A121" s="20" t="str">
        <f>VLOOKUP(F121,[1]CLIENTES!B:L,11,0)</f>
        <v>RODRIGO</v>
      </c>
      <c r="B121" s="20" t="s">
        <v>220</v>
      </c>
      <c r="C121" s="20">
        <v>46101</v>
      </c>
      <c r="D121" s="21" t="s">
        <v>21</v>
      </c>
      <c r="E121" s="21">
        <v>971</v>
      </c>
      <c r="F121" s="21">
        <v>5308411</v>
      </c>
      <c r="G121" s="21">
        <v>181236</v>
      </c>
      <c r="H121" s="21" t="s">
        <v>80</v>
      </c>
      <c r="I121" s="21" t="s">
        <v>71</v>
      </c>
      <c r="J121" s="21" t="s">
        <v>72</v>
      </c>
      <c r="K121" s="21">
        <v>186</v>
      </c>
      <c r="L121" s="22">
        <v>92</v>
      </c>
      <c r="M121" s="23" t="s">
        <v>241</v>
      </c>
      <c r="N121" s="24" t="s">
        <v>25</v>
      </c>
      <c r="O121" s="25">
        <v>46113</v>
      </c>
      <c r="P121" s="25" t="str">
        <f>VLOOKUP(F121,[1]CLIENTES!B:L,11,0)</f>
        <v>RODRIGO</v>
      </c>
      <c r="Q121" s="25" t="str">
        <f>VLOOKUP(F121,[1]CLIENTES!B:M,12,0)</f>
        <v>CELIO MARTINS</v>
      </c>
      <c r="R121" s="26" t="str">
        <f>VLOOKUP(F121,[1]CLIENTES!B:J,9,0)</f>
        <v>MARCELO SILVA</v>
      </c>
      <c r="S121" s="27">
        <v>1500</v>
      </c>
      <c r="T121" s="28" t="s">
        <v>44</v>
      </c>
      <c r="U121" s="28" t="s">
        <v>28</v>
      </c>
      <c r="V121" s="28" t="s">
        <v>29</v>
      </c>
      <c r="W121" s="28" t="s">
        <v>52</v>
      </c>
    </row>
    <row r="122" spans="1:23" ht="15" customHeight="1" x14ac:dyDescent="0.25">
      <c r="A122" s="20" t="str">
        <f>VLOOKUP(F122,[1]CLIENTES!B:L,11,0)</f>
        <v>RODRIGO</v>
      </c>
      <c r="B122" s="20" t="s">
        <v>220</v>
      </c>
      <c r="C122" s="20">
        <v>46101</v>
      </c>
      <c r="D122" s="21" t="s">
        <v>21</v>
      </c>
      <c r="E122" s="21">
        <v>960</v>
      </c>
      <c r="F122" s="21">
        <v>5159222</v>
      </c>
      <c r="G122" s="21">
        <v>143312</v>
      </c>
      <c r="H122" s="21" t="s">
        <v>184</v>
      </c>
      <c r="I122" s="21" t="s">
        <v>71</v>
      </c>
      <c r="J122" s="21" t="s">
        <v>72</v>
      </c>
      <c r="K122" s="21">
        <v>186</v>
      </c>
      <c r="L122" s="22">
        <v>92</v>
      </c>
      <c r="M122" s="23" t="s">
        <v>242</v>
      </c>
      <c r="N122" s="24" t="s">
        <v>25</v>
      </c>
      <c r="O122" s="25">
        <v>46113</v>
      </c>
      <c r="P122" s="25" t="str">
        <f>VLOOKUP(F122,[1]CLIENTES!B:L,11,0)</f>
        <v>RODRIGO</v>
      </c>
      <c r="Q122" s="25" t="str">
        <f>VLOOKUP(F122,[1]CLIENTES!B:M,12,0)</f>
        <v>CELIO MARTINS</v>
      </c>
      <c r="R122" s="26" t="str">
        <f>VLOOKUP(F122,[1]CLIENTES!B:J,9,0)</f>
        <v>MARCELO SILVA</v>
      </c>
      <c r="S122" s="27">
        <v>1500</v>
      </c>
      <c r="T122" s="28" t="s">
        <v>44</v>
      </c>
      <c r="U122" s="28" t="s">
        <v>28</v>
      </c>
      <c r="V122" s="28" t="s">
        <v>29</v>
      </c>
      <c r="W122" s="28" t="s">
        <v>52</v>
      </c>
    </row>
    <row r="123" spans="1:23" ht="15" customHeight="1" x14ac:dyDescent="0.25">
      <c r="A123" s="20" t="str">
        <f>VLOOKUP(F123,[1]CLIENTES!B:L,11,0)</f>
        <v>RODRIGO</v>
      </c>
      <c r="B123" s="20" t="s">
        <v>220</v>
      </c>
      <c r="C123" s="20">
        <v>46101</v>
      </c>
      <c r="D123" s="21" t="s">
        <v>21</v>
      </c>
      <c r="E123" s="21">
        <v>967</v>
      </c>
      <c r="F123" s="21">
        <v>5127060</v>
      </c>
      <c r="G123" s="21">
        <v>187971</v>
      </c>
      <c r="H123" s="21" t="s">
        <v>90</v>
      </c>
      <c r="I123" s="21" t="s">
        <v>71</v>
      </c>
      <c r="J123" s="21" t="s">
        <v>72</v>
      </c>
      <c r="K123" s="21">
        <v>186</v>
      </c>
      <c r="L123" s="22">
        <v>92</v>
      </c>
      <c r="M123" s="23" t="s">
        <v>243</v>
      </c>
      <c r="N123" s="24" t="s">
        <v>25</v>
      </c>
      <c r="O123" s="25">
        <v>46113</v>
      </c>
      <c r="P123" s="25" t="str">
        <f>VLOOKUP(F123,[1]CLIENTES!B:L,11,0)</f>
        <v>RODRIGO</v>
      </c>
      <c r="Q123" s="25" t="str">
        <f>VLOOKUP(F123,[1]CLIENTES!B:M,12,0)</f>
        <v>CELIO MARTINS</v>
      </c>
      <c r="R123" s="26" t="str">
        <f>VLOOKUP(F123,[1]CLIENTES!B:J,9,0)</f>
        <v>MARCELO SILVA</v>
      </c>
      <c r="S123" s="27">
        <v>600</v>
      </c>
      <c r="T123" s="28" t="s">
        <v>44</v>
      </c>
      <c r="U123" s="28" t="s">
        <v>28</v>
      </c>
      <c r="V123" s="28" t="s">
        <v>29</v>
      </c>
      <c r="W123" s="28" t="s">
        <v>60</v>
      </c>
    </row>
    <row r="124" spans="1:23" ht="15" customHeight="1" x14ac:dyDescent="0.25">
      <c r="A124" s="20" t="str">
        <f>VLOOKUP(F124,[1]CLIENTES!B:L,11,0)</f>
        <v>RODRIGO</v>
      </c>
      <c r="B124" s="20" t="s">
        <v>220</v>
      </c>
      <c r="C124" s="20">
        <v>46101</v>
      </c>
      <c r="D124" s="21" t="s">
        <v>21</v>
      </c>
      <c r="E124" s="21">
        <v>970</v>
      </c>
      <c r="F124" s="21">
        <v>5226805</v>
      </c>
      <c r="G124" s="21">
        <v>150155</v>
      </c>
      <c r="H124" s="21" t="s">
        <v>86</v>
      </c>
      <c r="I124" s="21" t="s">
        <v>71</v>
      </c>
      <c r="J124" s="21" t="s">
        <v>72</v>
      </c>
      <c r="K124" s="21">
        <v>186</v>
      </c>
      <c r="L124" s="22">
        <v>92</v>
      </c>
      <c r="M124" s="23" t="s">
        <v>244</v>
      </c>
      <c r="N124" s="24" t="s">
        <v>25</v>
      </c>
      <c r="O124" s="25">
        <v>46113</v>
      </c>
      <c r="P124" s="25" t="str">
        <f>VLOOKUP(F124,[1]CLIENTES!B:L,11,0)</f>
        <v>RODRIGO</v>
      </c>
      <c r="Q124" s="25" t="str">
        <f>VLOOKUP(F124,[1]CLIENTES!B:M,12,0)</f>
        <v>CELIO MARTINS</v>
      </c>
      <c r="R124" s="26" t="str">
        <f>VLOOKUP(F124,[1]CLIENTES!B:J,9,0)</f>
        <v>CELIO/MARANATHA</v>
      </c>
      <c r="S124" s="27">
        <v>2500</v>
      </c>
      <c r="T124" s="28" t="s">
        <v>44</v>
      </c>
      <c r="U124" s="28" t="s">
        <v>28</v>
      </c>
      <c r="V124" s="28" t="s">
        <v>29</v>
      </c>
      <c r="W124" s="28" t="s">
        <v>52</v>
      </c>
    </row>
    <row r="125" spans="1:23" ht="15" customHeight="1" x14ac:dyDescent="0.25">
      <c r="A125" s="20" t="str">
        <f>VLOOKUP(F125,[1]CLIENTES!B:L,11,0)</f>
        <v>RODRIGO</v>
      </c>
      <c r="B125" s="20" t="s">
        <v>220</v>
      </c>
      <c r="C125" s="20">
        <v>46101</v>
      </c>
      <c r="D125" s="21" t="s">
        <v>21</v>
      </c>
      <c r="E125" s="21">
        <v>953</v>
      </c>
      <c r="F125" s="21">
        <v>5011709</v>
      </c>
      <c r="G125" s="21">
        <v>117424</v>
      </c>
      <c r="H125" s="21" t="s">
        <v>70</v>
      </c>
      <c r="I125" s="21" t="s">
        <v>71</v>
      </c>
      <c r="J125" s="21" t="s">
        <v>72</v>
      </c>
      <c r="K125" s="21">
        <v>186</v>
      </c>
      <c r="L125" s="22">
        <v>92</v>
      </c>
      <c r="M125" s="23" t="s">
        <v>245</v>
      </c>
      <c r="N125" s="24" t="s">
        <v>25</v>
      </c>
      <c r="O125" s="25">
        <v>46113</v>
      </c>
      <c r="P125" s="25" t="str">
        <f>VLOOKUP(F125,[1]CLIENTES!B:L,11,0)</f>
        <v>RODRIGO</v>
      </c>
      <c r="Q125" s="25" t="str">
        <f>VLOOKUP(F125,[1]CLIENTES!B:M,12,0)</f>
        <v>CELIO MARTINS</v>
      </c>
      <c r="R125" s="26" t="str">
        <f>VLOOKUP(F125,[1]CLIENTES!B:J,9,0)</f>
        <v>CELIO MARTINS</v>
      </c>
      <c r="S125" s="27">
        <v>1500</v>
      </c>
      <c r="T125" s="28" t="s">
        <v>44</v>
      </c>
      <c r="U125" s="28" t="s">
        <v>28</v>
      </c>
      <c r="V125" s="28" t="s">
        <v>29</v>
      </c>
      <c r="W125" s="28" t="s">
        <v>52</v>
      </c>
    </row>
    <row r="126" spans="1:23" ht="15" customHeight="1" x14ac:dyDescent="0.25">
      <c r="A126" s="20" t="str">
        <f>VLOOKUP(F126,[1]CLIENTES!B:L,11,0)</f>
        <v>RODRIGO</v>
      </c>
      <c r="B126" s="20" t="s">
        <v>220</v>
      </c>
      <c r="C126" s="20">
        <v>46101</v>
      </c>
      <c r="D126" s="21" t="s">
        <v>21</v>
      </c>
      <c r="E126" s="21">
        <v>970</v>
      </c>
      <c r="F126" s="21">
        <v>5226805</v>
      </c>
      <c r="G126" s="21">
        <v>150155</v>
      </c>
      <c r="H126" s="21" t="s">
        <v>86</v>
      </c>
      <c r="I126" s="21" t="s">
        <v>71</v>
      </c>
      <c r="J126" s="21" t="s">
        <v>72</v>
      </c>
      <c r="K126" s="21">
        <v>186</v>
      </c>
      <c r="L126" s="22">
        <v>92</v>
      </c>
      <c r="M126" s="23" t="s">
        <v>246</v>
      </c>
      <c r="N126" s="24" t="s">
        <v>25</v>
      </c>
      <c r="O126" s="25">
        <v>46113</v>
      </c>
      <c r="P126" s="25" t="str">
        <f>VLOOKUP(F126,[1]CLIENTES!B:L,11,0)</f>
        <v>RODRIGO</v>
      </c>
      <c r="Q126" s="25" t="str">
        <f>VLOOKUP(F126,[1]CLIENTES!B:M,12,0)</f>
        <v>CELIO MARTINS</v>
      </c>
      <c r="R126" s="26" t="str">
        <f>VLOOKUP(F126,[1]CLIENTES!B:J,9,0)</f>
        <v>CELIO/MARANATHA</v>
      </c>
      <c r="S126" s="27">
        <v>2000</v>
      </c>
      <c r="T126" s="28" t="s">
        <v>44</v>
      </c>
      <c r="U126" s="28" t="s">
        <v>28</v>
      </c>
      <c r="V126" s="28" t="s">
        <v>29</v>
      </c>
      <c r="W126" s="28" t="s">
        <v>52</v>
      </c>
    </row>
    <row r="127" spans="1:23" ht="15" customHeight="1" x14ac:dyDescent="0.25">
      <c r="A127" s="20" t="str">
        <f>VLOOKUP(F127,[1]CLIENTES!B:L,11,0)</f>
        <v>RODRIGO</v>
      </c>
      <c r="B127" s="20" t="s">
        <v>220</v>
      </c>
      <c r="C127" s="20">
        <v>46101</v>
      </c>
      <c r="D127" s="21" t="s">
        <v>21</v>
      </c>
      <c r="E127" s="21">
        <v>989</v>
      </c>
      <c r="F127" s="21">
        <v>5349287</v>
      </c>
      <c r="G127" s="21"/>
      <c r="H127" s="21" t="s">
        <v>247</v>
      </c>
      <c r="I127" s="21" t="s">
        <v>71</v>
      </c>
      <c r="J127" s="21" t="s">
        <v>72</v>
      </c>
      <c r="K127" s="21">
        <v>186</v>
      </c>
      <c r="L127" s="22">
        <v>93</v>
      </c>
      <c r="M127" s="23" t="s">
        <v>248</v>
      </c>
      <c r="N127" s="24" t="s">
        <v>25</v>
      </c>
      <c r="O127" s="25">
        <v>46113</v>
      </c>
      <c r="P127" s="25" t="str">
        <f>VLOOKUP(F127,[1]CLIENTES!B:L,11,0)</f>
        <v>RODRIGO</v>
      </c>
      <c r="Q127" s="25" t="str">
        <f>VLOOKUP(F127,[1]CLIENTES!B:M,12,0)</f>
        <v>CELIO MARTINS</v>
      </c>
      <c r="R127" s="26" t="str">
        <f>VLOOKUP(F127,[1]CLIENTES!B:J,9,0)</f>
        <v>MARCELO SILVA</v>
      </c>
      <c r="S127" s="27">
        <v>500</v>
      </c>
      <c r="T127" s="28" t="s">
        <v>44</v>
      </c>
      <c r="U127" s="28" t="s">
        <v>28</v>
      </c>
      <c r="V127" s="28" t="s">
        <v>29</v>
      </c>
      <c r="W127" s="28" t="s">
        <v>52</v>
      </c>
    </row>
    <row r="128" spans="1:23" ht="15" customHeight="1" x14ac:dyDescent="0.25">
      <c r="A128" s="20" t="str">
        <f>VLOOKUP(F128,[1]CLIENTES!B:L,11,0)</f>
        <v>RODRIGO</v>
      </c>
      <c r="B128" s="20" t="s">
        <v>220</v>
      </c>
      <c r="C128" s="20">
        <v>46101</v>
      </c>
      <c r="D128" s="21" t="s">
        <v>21</v>
      </c>
      <c r="E128" s="21">
        <v>971</v>
      </c>
      <c r="F128" s="21">
        <v>5308411</v>
      </c>
      <c r="G128" s="21">
        <v>181236</v>
      </c>
      <c r="H128" s="21" t="s">
        <v>80</v>
      </c>
      <c r="I128" s="21" t="s">
        <v>71</v>
      </c>
      <c r="J128" s="21" t="s">
        <v>72</v>
      </c>
      <c r="K128" s="21">
        <v>186</v>
      </c>
      <c r="L128" s="22">
        <v>92</v>
      </c>
      <c r="M128" s="23" t="s">
        <v>249</v>
      </c>
      <c r="N128" s="24" t="s">
        <v>25</v>
      </c>
      <c r="O128" s="25">
        <v>46113</v>
      </c>
      <c r="P128" s="25" t="str">
        <f>VLOOKUP(F128,[1]CLIENTES!B:L,11,0)</f>
        <v>RODRIGO</v>
      </c>
      <c r="Q128" s="25" t="str">
        <f>VLOOKUP(F128,[1]CLIENTES!B:M,12,0)</f>
        <v>CELIO MARTINS</v>
      </c>
      <c r="R128" s="26" t="str">
        <f>VLOOKUP(F128,[1]CLIENTES!B:J,9,0)</f>
        <v>MARCELO SILVA</v>
      </c>
      <c r="S128" s="27">
        <v>3178</v>
      </c>
      <c r="T128" s="28" t="s">
        <v>44</v>
      </c>
      <c r="U128" s="28" t="s">
        <v>28</v>
      </c>
      <c r="V128" s="28" t="s">
        <v>29</v>
      </c>
      <c r="W128" s="28" t="s">
        <v>60</v>
      </c>
    </row>
    <row r="129" spans="1:23" ht="15" customHeight="1" x14ac:dyDescent="0.25">
      <c r="A129" s="20" t="str">
        <f>VLOOKUP(F129,[1]CLIENTES!B:L,11,0)</f>
        <v>RODRIGO</v>
      </c>
      <c r="B129" s="20" t="s">
        <v>220</v>
      </c>
      <c r="C129" s="20">
        <v>46101</v>
      </c>
      <c r="D129" s="21" t="s">
        <v>21</v>
      </c>
      <c r="E129" s="21">
        <v>986</v>
      </c>
      <c r="F129" s="21">
        <v>5020347</v>
      </c>
      <c r="G129" s="21">
        <v>112787</v>
      </c>
      <c r="H129" s="21" t="s">
        <v>129</v>
      </c>
      <c r="I129" s="21" t="s">
        <v>23</v>
      </c>
      <c r="J129" s="21">
        <v>6125</v>
      </c>
      <c r="K129" s="21">
        <v>692</v>
      </c>
      <c r="L129" s="22">
        <v>92</v>
      </c>
      <c r="M129" s="23" t="s">
        <v>250</v>
      </c>
      <c r="N129" s="24" t="s">
        <v>25</v>
      </c>
      <c r="O129" s="25">
        <v>46113</v>
      </c>
      <c r="P129" s="25" t="str">
        <f>VLOOKUP(F129,[1]CLIENTES!B:L,11,0)</f>
        <v>RODRIGO</v>
      </c>
      <c r="Q129" s="25" t="str">
        <f>VLOOKUP(F129,[1]CLIENTES!B:M,12,0)</f>
        <v>ALEXANDRO</v>
      </c>
      <c r="R129" s="26" t="str">
        <f>VLOOKUP(F129,[1]CLIENTES!B:J,9,0)</f>
        <v>GUILHERME NASCIMENTO</v>
      </c>
      <c r="S129" s="27">
        <v>2000</v>
      </c>
      <c r="T129" s="28" t="s">
        <v>44</v>
      </c>
      <c r="U129" s="28" t="s">
        <v>28</v>
      </c>
      <c r="V129" s="28" t="s">
        <v>29</v>
      </c>
      <c r="W129" s="28" t="s">
        <v>52</v>
      </c>
    </row>
    <row r="130" spans="1:23" ht="15" customHeight="1" x14ac:dyDescent="0.25">
      <c r="A130" s="20" t="str">
        <f>VLOOKUP(F130,[1]CLIENTES!B:L,11,0)</f>
        <v>RODRIGO</v>
      </c>
      <c r="B130" s="20" t="s">
        <v>220</v>
      </c>
      <c r="C130" s="20">
        <v>46101</v>
      </c>
      <c r="D130" s="21" t="s">
        <v>21</v>
      </c>
      <c r="E130" s="21">
        <v>985</v>
      </c>
      <c r="F130" s="21">
        <v>5020352</v>
      </c>
      <c r="G130" s="21">
        <v>127298</v>
      </c>
      <c r="H130" s="21" t="s">
        <v>124</v>
      </c>
      <c r="I130" s="21" t="s">
        <v>23</v>
      </c>
      <c r="J130" s="21">
        <v>6125</v>
      </c>
      <c r="K130" s="21">
        <v>692</v>
      </c>
      <c r="L130" s="22">
        <v>92</v>
      </c>
      <c r="M130" s="23" t="s">
        <v>251</v>
      </c>
      <c r="N130" s="24" t="s">
        <v>25</v>
      </c>
      <c r="O130" s="25">
        <v>46113</v>
      </c>
      <c r="P130" s="25" t="str">
        <f>VLOOKUP(F130,[1]CLIENTES!B:L,11,0)</f>
        <v>RODRIGO</v>
      </c>
      <c r="Q130" s="25" t="str">
        <f>VLOOKUP(F130,[1]CLIENTES!B:M,12,0)</f>
        <v>ALEXANDRO</v>
      </c>
      <c r="R130" s="26" t="str">
        <f>VLOOKUP(F130,[1]CLIENTES!B:J,9,0)</f>
        <v>GUILHERME NASCIMENTO</v>
      </c>
      <c r="S130" s="27">
        <v>1700</v>
      </c>
      <c r="T130" s="28" t="s">
        <v>44</v>
      </c>
      <c r="U130" s="28" t="s">
        <v>28</v>
      </c>
      <c r="V130" s="28" t="s">
        <v>29</v>
      </c>
      <c r="W130" s="28" t="s">
        <v>52</v>
      </c>
    </row>
    <row r="131" spans="1:23" ht="15" customHeight="1" x14ac:dyDescent="0.25">
      <c r="A131" s="20" t="str">
        <f>VLOOKUP(F131,[1]CLIENTES!B:L,11,0)</f>
        <v>RODRIGO</v>
      </c>
      <c r="B131" s="20" t="s">
        <v>220</v>
      </c>
      <c r="C131" s="20">
        <v>46101</v>
      </c>
      <c r="D131" s="21" t="s">
        <v>21</v>
      </c>
      <c r="E131" s="21">
        <v>953</v>
      </c>
      <c r="F131" s="21">
        <v>5340656</v>
      </c>
      <c r="G131" s="21">
        <v>184833</v>
      </c>
      <c r="H131" s="21" t="s">
        <v>252</v>
      </c>
      <c r="I131" s="21" t="s">
        <v>23</v>
      </c>
      <c r="J131" s="21">
        <v>6125</v>
      </c>
      <c r="K131" s="21">
        <v>692</v>
      </c>
      <c r="L131" s="22">
        <v>93</v>
      </c>
      <c r="M131" s="23" t="s">
        <v>253</v>
      </c>
      <c r="N131" s="24" t="s">
        <v>25</v>
      </c>
      <c r="O131" s="25">
        <v>46113</v>
      </c>
      <c r="P131" s="25" t="str">
        <f>VLOOKUP(F131,[1]CLIENTES!B:L,11,0)</f>
        <v>RODRIGO</v>
      </c>
      <c r="Q131" s="25" t="str">
        <f>VLOOKUP(F131,[1]CLIENTES!B:M,12,0)</f>
        <v>ALEXANDRO</v>
      </c>
      <c r="R131" s="26" t="str">
        <f>VLOOKUP(F131,[1]CLIENTES!B:J,9,0)</f>
        <v>GUILHERME NASCIMENTO</v>
      </c>
      <c r="S131" s="27">
        <v>1020</v>
      </c>
      <c r="T131" s="28" t="s">
        <v>44</v>
      </c>
      <c r="U131" s="28" t="s">
        <v>28</v>
      </c>
      <c r="V131" s="28" t="s">
        <v>29</v>
      </c>
      <c r="W131" s="28" t="s">
        <v>52</v>
      </c>
    </row>
    <row r="132" spans="1:23" ht="15" customHeight="1" x14ac:dyDescent="0.25">
      <c r="A132" s="20" t="str">
        <f>VLOOKUP(F132,[1]CLIENTES!B:L,11,0)</f>
        <v>RODRIGO</v>
      </c>
      <c r="B132" s="20" t="s">
        <v>220</v>
      </c>
      <c r="C132" s="20">
        <v>46104.769259259258</v>
      </c>
      <c r="D132" s="21" t="s">
        <v>21</v>
      </c>
      <c r="E132" s="21">
        <v>976</v>
      </c>
      <c r="F132" s="21">
        <v>5026768</v>
      </c>
      <c r="G132" s="21">
        <v>113399</v>
      </c>
      <c r="H132" s="21" t="s">
        <v>139</v>
      </c>
      <c r="I132" s="21" t="s">
        <v>132</v>
      </c>
      <c r="J132" s="21">
        <v>6127</v>
      </c>
      <c r="K132" s="21">
        <v>605</v>
      </c>
      <c r="L132" s="22">
        <v>92</v>
      </c>
      <c r="M132" s="23" t="s">
        <v>255</v>
      </c>
      <c r="N132" s="24" t="s">
        <v>25</v>
      </c>
      <c r="O132" s="25">
        <v>46113</v>
      </c>
      <c r="P132" s="25" t="str">
        <f>VLOOKUP(F132,[1]CLIENTES!B:L,11,0)</f>
        <v>RODRIGO</v>
      </c>
      <c r="Q132" s="25" t="str">
        <f>VLOOKUP(F132,[1]CLIENTES!B:M,12,0)</f>
        <v>MARIA LOURDES</v>
      </c>
      <c r="R132" s="26" t="str">
        <f>VLOOKUP(F132,[1]CLIENTES!B:J,9,0)</f>
        <v>WH FOOD SERVICE CE</v>
      </c>
      <c r="S132" s="27">
        <v>10000</v>
      </c>
      <c r="T132" s="28" t="s">
        <v>44</v>
      </c>
      <c r="U132" s="28" t="s">
        <v>28</v>
      </c>
      <c r="V132" s="28" t="s">
        <v>29</v>
      </c>
      <c r="W132" s="28" t="s">
        <v>52</v>
      </c>
    </row>
    <row r="133" spans="1:23" ht="15" customHeight="1" x14ac:dyDescent="0.25">
      <c r="A133" s="20" t="str">
        <f>VLOOKUP(F133,[1]CLIENTES!B:L,11,0)</f>
        <v>RODRIGO</v>
      </c>
      <c r="B133" s="20" t="s">
        <v>220</v>
      </c>
      <c r="C133" s="20">
        <v>46104.769259259258</v>
      </c>
      <c r="D133" s="21" t="s">
        <v>21</v>
      </c>
      <c r="E133" s="21">
        <v>991</v>
      </c>
      <c r="F133" s="21">
        <v>5353848</v>
      </c>
      <c r="G133" s="21"/>
      <c r="H133" s="21" t="s">
        <v>258</v>
      </c>
      <c r="I133" s="21" t="s">
        <v>259</v>
      </c>
      <c r="J133" s="21" t="s">
        <v>214</v>
      </c>
      <c r="K133" s="21">
        <v>212</v>
      </c>
      <c r="L133" s="22">
        <v>92</v>
      </c>
      <c r="M133" s="23" t="s">
        <v>260</v>
      </c>
      <c r="N133" s="24" t="s">
        <v>25</v>
      </c>
      <c r="O133" s="25">
        <v>46113</v>
      </c>
      <c r="P133" s="25" t="str">
        <f>VLOOKUP(F133,[1]CLIENTES!B:L,11,0)</f>
        <v>RODRIGO</v>
      </c>
      <c r="Q133" s="25" t="str">
        <f>VLOOKUP(F133,[1]CLIENTES!B:M,12,0)</f>
        <v>MARCO AURELIO</v>
      </c>
      <c r="R133" s="26" t="str">
        <f>VLOOKUP(F133,[1]CLIENTES!B:J,9,0)</f>
        <v>TC REPRESENTAÇÕES</v>
      </c>
      <c r="S133" s="27">
        <v>3000</v>
      </c>
      <c r="T133" s="28" t="s">
        <v>44</v>
      </c>
      <c r="U133" s="28" t="s">
        <v>28</v>
      </c>
      <c r="V133" s="28" t="s">
        <v>29</v>
      </c>
      <c r="W133" s="28" t="s">
        <v>52</v>
      </c>
    </row>
    <row r="134" spans="1:23" ht="15" customHeight="1" x14ac:dyDescent="0.25">
      <c r="A134" s="20" t="str">
        <f>VLOOKUP(F134,[1]CLIENTES!B:L,11,0)</f>
        <v>RODRIGO</v>
      </c>
      <c r="B134" s="20" t="s">
        <v>220</v>
      </c>
      <c r="C134" s="20">
        <v>46104.769259259258</v>
      </c>
      <c r="D134" s="21" t="s">
        <v>21</v>
      </c>
      <c r="E134" s="21">
        <v>951</v>
      </c>
      <c r="F134" s="21">
        <v>5128707</v>
      </c>
      <c r="G134" s="21">
        <v>128420</v>
      </c>
      <c r="H134" s="21" t="s">
        <v>261</v>
      </c>
      <c r="I134" s="21" t="s">
        <v>113</v>
      </c>
      <c r="J134" s="21">
        <v>6127</v>
      </c>
      <c r="K134" s="21">
        <v>682</v>
      </c>
      <c r="L134" s="22">
        <v>92</v>
      </c>
      <c r="M134" s="23" t="s">
        <v>262</v>
      </c>
      <c r="N134" s="24" t="s">
        <v>25</v>
      </c>
      <c r="O134" s="25">
        <v>46113</v>
      </c>
      <c r="P134" s="25" t="str">
        <f>VLOOKUP(F134,[1]CLIENTES!B:L,11,0)</f>
        <v>RODRIGO</v>
      </c>
      <c r="Q134" s="25" t="str">
        <f>VLOOKUP(F134,[1]CLIENTES!B:M,12,0)</f>
        <v>MARIA LOURDES</v>
      </c>
      <c r="R134" s="26" t="str">
        <f>VLOOKUP(F134,[1]CLIENTES!B:J,9,0)</f>
        <v>CLAUDIO JORGE/LUIZ</v>
      </c>
      <c r="S134" s="27">
        <v>8000</v>
      </c>
      <c r="T134" s="28" t="s">
        <v>44</v>
      </c>
      <c r="U134" s="28" t="s">
        <v>28</v>
      </c>
      <c r="V134" s="28" t="s">
        <v>29</v>
      </c>
      <c r="W134" s="28" t="s">
        <v>52</v>
      </c>
    </row>
    <row r="135" spans="1:23" ht="15" customHeight="1" x14ac:dyDescent="0.25">
      <c r="A135" s="20" t="str">
        <f>VLOOKUP(F135,[1]CLIENTES!B:L,11,0)</f>
        <v>RODRIGO</v>
      </c>
      <c r="B135" s="20" t="s">
        <v>220</v>
      </c>
      <c r="C135" s="20">
        <v>46104.769259259258</v>
      </c>
      <c r="D135" s="21" t="s">
        <v>21</v>
      </c>
      <c r="E135" s="21">
        <v>974</v>
      </c>
      <c r="F135" s="21">
        <v>5115189</v>
      </c>
      <c r="G135" s="21">
        <v>129296</v>
      </c>
      <c r="H135" s="21" t="s">
        <v>68</v>
      </c>
      <c r="I135" s="21" t="s">
        <v>54</v>
      </c>
      <c r="J135" s="21" t="s">
        <v>55</v>
      </c>
      <c r="K135" s="21">
        <v>191</v>
      </c>
      <c r="L135" s="22">
        <v>92</v>
      </c>
      <c r="M135" s="23" t="s">
        <v>263</v>
      </c>
      <c r="N135" s="24" t="s">
        <v>25</v>
      </c>
      <c r="O135" s="25">
        <v>46113</v>
      </c>
      <c r="P135" s="25" t="str">
        <f>VLOOKUP(F135,[1]CLIENTES!B:L,11,0)</f>
        <v>RODRIGO</v>
      </c>
      <c r="Q135" s="25" t="str">
        <f>VLOOKUP(F135,[1]CLIENTES!B:M,12,0)</f>
        <v>MARCO AURELIO</v>
      </c>
      <c r="R135" s="26" t="str">
        <f>VLOOKUP(F135,[1]CLIENTES!B:J,9,0)</f>
        <v>CLAUDIO JORGE/MARIA LAURA</v>
      </c>
      <c r="S135" s="27">
        <v>11666.67</v>
      </c>
      <c r="T135" s="28" t="s">
        <v>44</v>
      </c>
      <c r="U135" s="28" t="s">
        <v>28</v>
      </c>
      <c r="V135" s="28" t="s">
        <v>29</v>
      </c>
      <c r="W135" s="28" t="s">
        <v>35</v>
      </c>
    </row>
    <row r="136" spans="1:23" ht="15" customHeight="1" x14ac:dyDescent="0.25">
      <c r="A136" s="20" t="str">
        <f>VLOOKUP(F136,[1]CLIENTES!B:L,11,0)</f>
        <v>RODRIGO</v>
      </c>
      <c r="B136" s="20" t="s">
        <v>220</v>
      </c>
      <c r="C136" s="20">
        <v>46104.769259259258</v>
      </c>
      <c r="D136" s="21" t="s">
        <v>21</v>
      </c>
      <c r="E136" s="21">
        <v>939</v>
      </c>
      <c r="F136" s="21">
        <v>5182828</v>
      </c>
      <c r="G136" s="21">
        <v>142649</v>
      </c>
      <c r="H136" s="21" t="s">
        <v>53</v>
      </c>
      <c r="I136" s="21" t="s">
        <v>54</v>
      </c>
      <c r="J136" s="21" t="s">
        <v>55</v>
      </c>
      <c r="K136" s="21">
        <v>191</v>
      </c>
      <c r="L136" s="22">
        <v>93</v>
      </c>
      <c r="M136" s="23" t="s">
        <v>264</v>
      </c>
      <c r="N136" s="24" t="s">
        <v>25</v>
      </c>
      <c r="O136" s="25">
        <v>46113</v>
      </c>
      <c r="P136" s="25" t="str">
        <f>VLOOKUP(F136,[1]CLIENTES!B:L,11,0)</f>
        <v>RODRIGO</v>
      </c>
      <c r="Q136" s="25" t="str">
        <f>VLOOKUP(F136,[1]CLIENTES!B:M,12,0)</f>
        <v>MARCO AURELIO</v>
      </c>
      <c r="R136" s="26" t="str">
        <f>VLOOKUP(F136,[1]CLIENTES!B:J,9,0)</f>
        <v>CLAUDIO JORGE</v>
      </c>
      <c r="S136" s="27">
        <v>3500</v>
      </c>
      <c r="T136" s="28" t="s">
        <v>44</v>
      </c>
      <c r="U136" s="28" t="s">
        <v>28</v>
      </c>
      <c r="V136" s="28" t="s">
        <v>29</v>
      </c>
      <c r="W136" s="28" t="s">
        <v>52</v>
      </c>
    </row>
    <row r="137" spans="1:23" ht="15" customHeight="1" x14ac:dyDescent="0.25">
      <c r="A137" s="20" t="str">
        <f>VLOOKUP(F137,[1]CLIENTES!B:L,11,0)</f>
        <v>RODRIGO</v>
      </c>
      <c r="B137" s="20" t="s">
        <v>220</v>
      </c>
      <c r="C137" s="20">
        <v>46104.769259259258</v>
      </c>
      <c r="D137" s="21" t="s">
        <v>21</v>
      </c>
      <c r="E137" s="21">
        <v>995</v>
      </c>
      <c r="F137" s="21">
        <v>5223419</v>
      </c>
      <c r="G137" s="21">
        <v>146094</v>
      </c>
      <c r="H137" s="21" t="s">
        <v>265</v>
      </c>
      <c r="I137" s="21" t="s">
        <v>266</v>
      </c>
      <c r="J137" s="21">
        <v>6123</v>
      </c>
      <c r="K137" s="21">
        <v>607</v>
      </c>
      <c r="L137" s="22">
        <v>93</v>
      </c>
      <c r="M137" s="23" t="s">
        <v>267</v>
      </c>
      <c r="N137" s="24" t="s">
        <v>25</v>
      </c>
      <c r="O137" s="25">
        <v>46113</v>
      </c>
      <c r="P137" s="25" t="str">
        <f>VLOOKUP(F137,[1]CLIENTES!B:L,11,0)</f>
        <v>RODRIGO</v>
      </c>
      <c r="Q137" s="25" t="str">
        <f>VLOOKUP(F137,[1]CLIENTES!B:M,12,0)</f>
        <v>MARCO AURELIO</v>
      </c>
      <c r="R137" s="26" t="str">
        <f>VLOOKUP(F137,[1]CLIENTES!B:J,9,0)</f>
        <v>CLAUDIO JORGE</v>
      </c>
      <c r="S137" s="27">
        <v>2000</v>
      </c>
      <c r="T137" s="28" t="s">
        <v>44</v>
      </c>
      <c r="U137" s="28" t="s">
        <v>28</v>
      </c>
      <c r="V137" s="28" t="s">
        <v>29</v>
      </c>
      <c r="W137" s="28" t="s">
        <v>52</v>
      </c>
    </row>
    <row r="138" spans="1:23" ht="15" customHeight="1" x14ac:dyDescent="0.25">
      <c r="A138" s="20" t="str">
        <f>VLOOKUP(F138,[1]CLIENTES!B:L,11,0)</f>
        <v>RODRIGO</v>
      </c>
      <c r="B138" s="20" t="s">
        <v>220</v>
      </c>
      <c r="C138" s="20">
        <v>46104.769259259258</v>
      </c>
      <c r="D138" s="21" t="s">
        <v>21</v>
      </c>
      <c r="E138" s="21">
        <v>972</v>
      </c>
      <c r="F138" s="21">
        <v>5186266</v>
      </c>
      <c r="G138" s="21">
        <v>142707</v>
      </c>
      <c r="H138" s="21" t="s">
        <v>268</v>
      </c>
      <c r="I138" s="21" t="s">
        <v>213</v>
      </c>
      <c r="J138" s="21" t="s">
        <v>214</v>
      </c>
      <c r="K138" s="21">
        <v>197</v>
      </c>
      <c r="L138" s="22">
        <v>92</v>
      </c>
      <c r="M138" s="23" t="s">
        <v>269</v>
      </c>
      <c r="N138" s="24" t="s">
        <v>25</v>
      </c>
      <c r="O138" s="25">
        <v>46113</v>
      </c>
      <c r="P138" s="25" t="str">
        <f>VLOOKUP(F138,[1]CLIENTES!B:L,11,0)</f>
        <v>RODRIGO</v>
      </c>
      <c r="Q138" s="25" t="str">
        <f>VLOOKUP(F138,[1]CLIENTES!B:M,12,0)</f>
        <v>MARCO AURELIO</v>
      </c>
      <c r="R138" s="26" t="str">
        <f>VLOOKUP(F138,[1]CLIENTES!B:J,9,0)</f>
        <v>CLAUDIO JORGE</v>
      </c>
      <c r="S138" s="27">
        <v>2193.85</v>
      </c>
      <c r="T138" s="28" t="s">
        <v>44</v>
      </c>
      <c r="U138" s="28" t="s">
        <v>28</v>
      </c>
      <c r="V138" s="28" t="s">
        <v>29</v>
      </c>
      <c r="W138" s="28" t="s">
        <v>52</v>
      </c>
    </row>
    <row r="139" spans="1:23" ht="15" customHeight="1" x14ac:dyDescent="0.25">
      <c r="A139" s="20" t="str">
        <f>VLOOKUP(F139,[1]CLIENTES!B:L,11,0)</f>
        <v>RODRIGO</v>
      </c>
      <c r="B139" s="20" t="s">
        <v>220</v>
      </c>
      <c r="C139" s="20">
        <v>46104.769259259258</v>
      </c>
      <c r="D139" s="21" t="s">
        <v>21</v>
      </c>
      <c r="E139" s="21">
        <v>972</v>
      </c>
      <c r="F139" s="21">
        <v>5186266</v>
      </c>
      <c r="G139" s="21">
        <v>142707</v>
      </c>
      <c r="H139" s="21" t="s">
        <v>268</v>
      </c>
      <c r="I139" s="21" t="s">
        <v>213</v>
      </c>
      <c r="J139" s="21" t="s">
        <v>214</v>
      </c>
      <c r="K139" s="21">
        <v>197</v>
      </c>
      <c r="L139" s="22">
        <v>92</v>
      </c>
      <c r="M139" s="23" t="s">
        <v>270</v>
      </c>
      <c r="N139" s="24" t="s">
        <v>25</v>
      </c>
      <c r="O139" s="25">
        <v>46113</v>
      </c>
      <c r="P139" s="25" t="str">
        <f>VLOOKUP(F139,[1]CLIENTES!B:L,11,0)</f>
        <v>RODRIGO</v>
      </c>
      <c r="Q139" s="25" t="str">
        <f>VLOOKUP(F139,[1]CLIENTES!B:M,12,0)</f>
        <v>MARCO AURELIO</v>
      </c>
      <c r="R139" s="26" t="str">
        <f>VLOOKUP(F139,[1]CLIENTES!B:J,9,0)</f>
        <v>CLAUDIO JORGE</v>
      </c>
      <c r="S139" s="27">
        <v>2000</v>
      </c>
      <c r="T139" s="28" t="s">
        <v>44</v>
      </c>
      <c r="U139" s="28" t="s">
        <v>28</v>
      </c>
      <c r="V139" s="28" t="s">
        <v>29</v>
      </c>
      <c r="W139" s="28" t="s">
        <v>52</v>
      </c>
    </row>
    <row r="140" spans="1:23" ht="15" customHeight="1" x14ac:dyDescent="0.25">
      <c r="A140" s="20" t="str">
        <f>VLOOKUP(F140,[1]CLIENTES!B:L,11,0)</f>
        <v>RODRIGO</v>
      </c>
      <c r="B140" s="20" t="s">
        <v>220</v>
      </c>
      <c r="C140" s="20">
        <v>46104.769259259258</v>
      </c>
      <c r="D140" s="21" t="s">
        <v>21</v>
      </c>
      <c r="E140" s="21">
        <v>960</v>
      </c>
      <c r="F140" s="21">
        <v>5017576</v>
      </c>
      <c r="G140" s="21">
        <v>116132</v>
      </c>
      <c r="H140" s="21" t="s">
        <v>31</v>
      </c>
      <c r="I140" s="21" t="s">
        <v>32</v>
      </c>
      <c r="J140" s="21">
        <v>6169</v>
      </c>
      <c r="K140" s="21">
        <v>690</v>
      </c>
      <c r="L140" s="22">
        <v>92</v>
      </c>
      <c r="M140" s="23" t="s">
        <v>271</v>
      </c>
      <c r="N140" s="24" t="s">
        <v>25</v>
      </c>
      <c r="O140" s="25">
        <v>46113</v>
      </c>
      <c r="P140" s="25" t="str">
        <f>VLOOKUP(F140,[1]CLIENTES!B:L,11,0)</f>
        <v>RODRIGO</v>
      </c>
      <c r="Q140" s="25" t="str">
        <f>VLOOKUP(F140,[1]CLIENTES!B:M,12,0)</f>
        <v>JESSICA</v>
      </c>
      <c r="R140" s="26" t="str">
        <f>VLOOKUP(F140,[1]CLIENTES!B:J,9,0)</f>
        <v>MARCELO DUARTE</v>
      </c>
      <c r="S140" s="27">
        <v>11000</v>
      </c>
      <c r="T140" s="28" t="s">
        <v>44</v>
      </c>
      <c r="U140" s="28" t="s">
        <v>28</v>
      </c>
      <c r="V140" s="28" t="s">
        <v>29</v>
      </c>
      <c r="W140" s="28" t="s">
        <v>52</v>
      </c>
    </row>
    <row r="141" spans="1:23" ht="15" customHeight="1" x14ac:dyDescent="0.25">
      <c r="A141" s="20" t="str">
        <f>VLOOKUP(F141,[1]CLIENTES!B:L,11,0)</f>
        <v>RODRIGO</v>
      </c>
      <c r="B141" s="20" t="s">
        <v>220</v>
      </c>
      <c r="C141" s="20">
        <v>46104.769259259258</v>
      </c>
      <c r="D141" s="21" t="s">
        <v>21</v>
      </c>
      <c r="E141" s="21">
        <v>954</v>
      </c>
      <c r="F141" s="21">
        <v>5040108</v>
      </c>
      <c r="G141" s="21">
        <v>123355</v>
      </c>
      <c r="H141" s="21" t="s">
        <v>93</v>
      </c>
      <c r="I141" s="21" t="s">
        <v>37</v>
      </c>
      <c r="J141" s="21">
        <v>6169</v>
      </c>
      <c r="K141" s="21">
        <v>689</v>
      </c>
      <c r="L141" s="22">
        <v>92</v>
      </c>
      <c r="M141" s="23" t="s">
        <v>272</v>
      </c>
      <c r="N141" s="24" t="s">
        <v>25</v>
      </c>
      <c r="O141" s="25">
        <v>46113</v>
      </c>
      <c r="P141" s="25" t="str">
        <f>VLOOKUP(F141,[1]CLIENTES!B:L,11,0)</f>
        <v>RODRIGO</v>
      </c>
      <c r="Q141" s="25" t="str">
        <f>VLOOKUP(F141,[1]CLIENTES!B:M,12,0)</f>
        <v>JESSICA</v>
      </c>
      <c r="R141" s="26" t="str">
        <f>VLOOKUP(F141,[1]CLIENTES!B:J,9,0)</f>
        <v>CLAUDIO JORGE</v>
      </c>
      <c r="S141" s="27">
        <v>10000</v>
      </c>
      <c r="T141" s="28" t="s">
        <v>44</v>
      </c>
      <c r="U141" s="28" t="s">
        <v>28</v>
      </c>
      <c r="V141" s="28" t="s">
        <v>29</v>
      </c>
      <c r="W141" s="28" t="s">
        <v>52</v>
      </c>
    </row>
    <row r="142" spans="1:23" ht="15" customHeight="1" x14ac:dyDescent="0.25">
      <c r="A142" s="20" t="str">
        <f>VLOOKUP(F142,[1]CLIENTES!B:L,11,0)</f>
        <v>RODRIGO</v>
      </c>
      <c r="B142" s="20" t="s">
        <v>220</v>
      </c>
      <c r="C142" s="20">
        <v>46104.769259259258</v>
      </c>
      <c r="D142" s="21" t="s">
        <v>21</v>
      </c>
      <c r="E142" s="21">
        <v>980</v>
      </c>
      <c r="F142" s="21">
        <v>5115019</v>
      </c>
      <c r="G142" s="21">
        <v>123456</v>
      </c>
      <c r="H142" s="21" t="s">
        <v>36</v>
      </c>
      <c r="I142" s="21" t="s">
        <v>37</v>
      </c>
      <c r="J142" s="21">
        <v>6169</v>
      </c>
      <c r="K142" s="21">
        <v>689</v>
      </c>
      <c r="L142" s="22">
        <v>92</v>
      </c>
      <c r="M142" s="23" t="s">
        <v>273</v>
      </c>
      <c r="N142" s="24" t="s">
        <v>25</v>
      </c>
      <c r="O142" s="25">
        <v>46113</v>
      </c>
      <c r="P142" s="25" t="str">
        <f>VLOOKUP(F142,[1]CLIENTES!B:L,11,0)</f>
        <v>RODRIGO</v>
      </c>
      <c r="Q142" s="25" t="str">
        <f>VLOOKUP(F142,[1]CLIENTES!B:M,12,0)</f>
        <v>JESSICA</v>
      </c>
      <c r="R142" s="26" t="str">
        <f>VLOOKUP(F142,[1]CLIENTES!B:J,9,0)</f>
        <v>JESSICA CARLA</v>
      </c>
      <c r="S142" s="27">
        <v>16000</v>
      </c>
      <c r="T142" s="28" t="s">
        <v>44</v>
      </c>
      <c r="U142" s="28" t="s">
        <v>28</v>
      </c>
      <c r="V142" s="28" t="s">
        <v>29</v>
      </c>
      <c r="W142" s="28" t="s">
        <v>52</v>
      </c>
    </row>
    <row r="143" spans="1:23" ht="15" customHeight="1" x14ac:dyDescent="0.25">
      <c r="A143" s="20" t="str">
        <f>VLOOKUP(F143,[1]CLIENTES!B:L,11,0)</f>
        <v>RODRIGO</v>
      </c>
      <c r="B143" s="20" t="s">
        <v>220</v>
      </c>
      <c r="C143" s="20">
        <v>46104.769259259258</v>
      </c>
      <c r="D143" s="21" t="s">
        <v>21</v>
      </c>
      <c r="E143" s="21">
        <v>977</v>
      </c>
      <c r="F143" s="21">
        <v>5231303</v>
      </c>
      <c r="G143" s="21">
        <v>167018</v>
      </c>
      <c r="H143" s="21" t="s">
        <v>104</v>
      </c>
      <c r="I143" s="21" t="s">
        <v>37</v>
      </c>
      <c r="J143" s="21" t="s">
        <v>105</v>
      </c>
      <c r="K143" s="21">
        <v>189</v>
      </c>
      <c r="L143" s="22">
        <v>93</v>
      </c>
      <c r="M143" s="23" t="s">
        <v>274</v>
      </c>
      <c r="N143" s="24" t="s">
        <v>25</v>
      </c>
      <c r="O143" s="25">
        <v>46113</v>
      </c>
      <c r="P143" s="25" t="str">
        <f>VLOOKUP(F143,[1]CLIENTES!B:L,11,0)</f>
        <v>RODRIGO</v>
      </c>
      <c r="Q143" s="25" t="str">
        <f>VLOOKUP(F143,[1]CLIENTES!B:M,12,0)</f>
        <v>JESSICA</v>
      </c>
      <c r="R143" s="26" t="str">
        <f>VLOOKUP(F143,[1]CLIENTES!B:J,9,0)</f>
        <v>LUCIANA MARTINS</v>
      </c>
      <c r="S143" s="27">
        <v>15000</v>
      </c>
      <c r="T143" s="28" t="s">
        <v>44</v>
      </c>
      <c r="U143" s="28" t="s">
        <v>28</v>
      </c>
      <c r="V143" s="28" t="s">
        <v>29</v>
      </c>
      <c r="W143" s="28" t="s">
        <v>52</v>
      </c>
    </row>
    <row r="144" spans="1:23" ht="15" customHeight="1" x14ac:dyDescent="0.25">
      <c r="A144" s="20" t="str">
        <f>VLOOKUP(F144,[1]CLIENTES!B:L,11,0)</f>
        <v>RODRIGO</v>
      </c>
      <c r="B144" s="20" t="s">
        <v>220</v>
      </c>
      <c r="C144" s="20">
        <v>46104.769259259258</v>
      </c>
      <c r="D144" s="21" t="s">
        <v>118</v>
      </c>
      <c r="E144" s="21" t="s">
        <v>276</v>
      </c>
      <c r="F144" s="21">
        <v>5026399</v>
      </c>
      <c r="G144" s="21">
        <v>116247</v>
      </c>
      <c r="H144" s="21" t="s">
        <v>119</v>
      </c>
      <c r="I144" s="21" t="s">
        <v>37</v>
      </c>
      <c r="J144" s="21">
        <v>6169</v>
      </c>
      <c r="K144" s="21">
        <v>689</v>
      </c>
      <c r="L144" s="22">
        <v>92</v>
      </c>
      <c r="M144" s="23" t="s">
        <v>277</v>
      </c>
      <c r="N144" s="24" t="s">
        <v>25</v>
      </c>
      <c r="O144" s="25">
        <v>46127</v>
      </c>
      <c r="P144" s="25" t="str">
        <f>VLOOKUP(F144,[1]CLIENTES!B:L,11,0)</f>
        <v>RODRIGO</v>
      </c>
      <c r="Q144" s="25" t="str">
        <f>VLOOKUP(F144,[1]CLIENTES!B:M,12,0)</f>
        <v>JESSICA</v>
      </c>
      <c r="R144" s="26" t="str">
        <f>VLOOKUP(F144,[1]CLIENTES!B:J,9,0)</f>
        <v>JESSICA CARLA</v>
      </c>
      <c r="S144" s="27">
        <v>40000</v>
      </c>
      <c r="T144" s="28" t="s">
        <v>44</v>
      </c>
      <c r="U144" s="28" t="s">
        <v>28</v>
      </c>
      <c r="V144" s="28" t="s">
        <v>29</v>
      </c>
      <c r="W144" s="28" t="s">
        <v>204</v>
      </c>
    </row>
    <row r="145" spans="1:23" ht="15" customHeight="1" x14ac:dyDescent="0.25">
      <c r="A145" s="20" t="str">
        <f>VLOOKUP(F145,[1]CLIENTES!B:L,11,0)</f>
        <v>RODRIGO</v>
      </c>
      <c r="B145" s="20" t="s">
        <v>220</v>
      </c>
      <c r="C145" s="20">
        <v>46105</v>
      </c>
      <c r="D145" s="21" t="s">
        <v>21</v>
      </c>
      <c r="E145" s="21">
        <v>997</v>
      </c>
      <c r="F145" s="21">
        <v>5020319</v>
      </c>
      <c r="G145" s="21">
        <v>110315</v>
      </c>
      <c r="H145" s="21" t="s">
        <v>112</v>
      </c>
      <c r="I145" s="21" t="s">
        <v>113</v>
      </c>
      <c r="J145" s="21">
        <v>6127</v>
      </c>
      <c r="K145" s="21">
        <v>682</v>
      </c>
      <c r="L145" s="22">
        <v>92</v>
      </c>
      <c r="M145" s="23" t="s">
        <v>278</v>
      </c>
      <c r="N145" s="24" t="s">
        <v>25</v>
      </c>
      <c r="O145" s="25">
        <v>46113</v>
      </c>
      <c r="P145" s="25" t="str">
        <f>VLOOKUP(F145,[1]CLIENTES!B:L,11,0)</f>
        <v>RODRIGO</v>
      </c>
      <c r="Q145" s="25" t="str">
        <f>VLOOKUP(F145,[1]CLIENTES!B:M,12,0)</f>
        <v>MARIA LOURDES</v>
      </c>
      <c r="R145" s="26" t="str">
        <f>VLOOKUP(F145,[1]CLIENTES!B:J,9,0)</f>
        <v>CLAUDIO JORGE/LUIZ</v>
      </c>
      <c r="S145" s="27">
        <v>3600</v>
      </c>
      <c r="T145" s="28" t="s">
        <v>44</v>
      </c>
      <c r="U145" s="28" t="s">
        <v>28</v>
      </c>
      <c r="V145" s="28" t="s">
        <v>29</v>
      </c>
      <c r="W145" s="28" t="s">
        <v>52</v>
      </c>
    </row>
    <row r="146" spans="1:23" ht="15" customHeight="1" x14ac:dyDescent="0.25">
      <c r="A146" s="20" t="str">
        <f>VLOOKUP(F146,[1]CLIENTES!B:L,11,0)</f>
        <v>RODRIGO</v>
      </c>
      <c r="B146" s="20" t="s">
        <v>279</v>
      </c>
      <c r="C146" s="20">
        <v>46084</v>
      </c>
      <c r="D146" s="21" t="s">
        <v>21</v>
      </c>
      <c r="E146" s="21">
        <v>1422</v>
      </c>
      <c r="F146" s="21">
        <v>5020319</v>
      </c>
      <c r="G146" s="21">
        <v>110315</v>
      </c>
      <c r="H146" s="21" t="s">
        <v>112</v>
      </c>
      <c r="I146" s="21" t="s">
        <v>113</v>
      </c>
      <c r="J146" s="21">
        <v>6127</v>
      </c>
      <c r="K146" s="29">
        <v>682</v>
      </c>
      <c r="L146" s="22">
        <v>92</v>
      </c>
      <c r="M146" s="23" t="s">
        <v>225</v>
      </c>
      <c r="N146" s="24" t="s">
        <v>25</v>
      </c>
      <c r="O146" s="30">
        <v>46143</v>
      </c>
      <c r="P146" s="25" t="str">
        <f>VLOOKUP(F146,[1]CLIENTES!B:L,11,0)</f>
        <v>RODRIGO</v>
      </c>
      <c r="Q146" s="25" t="str">
        <f>VLOOKUP(F146,[1]CLIENTES!B:M,12,0)</f>
        <v>MARIA LOURDES</v>
      </c>
      <c r="R146" s="26" t="str">
        <f>VLOOKUP(F146,[1]CLIENTES!B:J,9,0)</f>
        <v>CLAUDIO JORGE/LUIZ</v>
      </c>
      <c r="S146" s="27">
        <v>15000</v>
      </c>
      <c r="T146" s="28" t="s">
        <v>44</v>
      </c>
      <c r="U146" s="28" t="s">
        <v>28</v>
      </c>
      <c r="V146" s="28" t="s">
        <v>29</v>
      </c>
      <c r="W146" s="28" t="s">
        <v>52</v>
      </c>
    </row>
    <row r="147" spans="1:23" ht="15" customHeight="1" x14ac:dyDescent="0.25">
      <c r="A147" s="20" t="str">
        <f>VLOOKUP(F147,[1]CLIENTES!B:L,11,0)</f>
        <v>RODRIGO</v>
      </c>
      <c r="B147" s="20" t="s">
        <v>279</v>
      </c>
      <c r="C147" s="20">
        <v>46104.769259259258</v>
      </c>
      <c r="D147" s="21" t="s">
        <v>21</v>
      </c>
      <c r="E147" s="21">
        <v>1481</v>
      </c>
      <c r="F147" s="21">
        <v>5225860</v>
      </c>
      <c r="G147" s="21">
        <v>180402</v>
      </c>
      <c r="H147" s="21" t="s">
        <v>39</v>
      </c>
      <c r="I147" s="21" t="s">
        <v>40</v>
      </c>
      <c r="J147" s="21" t="s">
        <v>41</v>
      </c>
      <c r="K147" s="29">
        <v>194</v>
      </c>
      <c r="L147" s="22">
        <v>92</v>
      </c>
      <c r="M147" s="23" t="s">
        <v>254</v>
      </c>
      <c r="N147" s="24" t="s">
        <v>25</v>
      </c>
      <c r="O147" s="30">
        <v>46143</v>
      </c>
      <c r="P147" s="25" t="str">
        <f>VLOOKUP(F147,[1]CLIENTES!B:L,11,0)</f>
        <v>RODRIGO</v>
      </c>
      <c r="Q147" s="25" t="str">
        <f>VLOOKUP(F147,[1]CLIENTES!B:M,12,0)</f>
        <v>MARIA LOURDES</v>
      </c>
      <c r="R147" s="26" t="str">
        <f>VLOOKUP(F147,[1]CLIENTES!B:J,9,0)</f>
        <v>CLAUDIO JORGE/AMANDA SANDS</v>
      </c>
      <c r="S147" s="27">
        <v>25000</v>
      </c>
      <c r="T147" s="28" t="s">
        <v>44</v>
      </c>
      <c r="U147" s="28" t="s">
        <v>28</v>
      </c>
      <c r="V147" s="28" t="s">
        <v>29</v>
      </c>
      <c r="W147" s="28" t="s">
        <v>52</v>
      </c>
    </row>
    <row r="148" spans="1:23" ht="15" customHeight="1" x14ac:dyDescent="0.25">
      <c r="A148" s="20" t="str">
        <f>VLOOKUP(F148,[1]CLIENTES!B:L,11,0)</f>
        <v>RODRIGO</v>
      </c>
      <c r="B148" s="20" t="s">
        <v>279</v>
      </c>
      <c r="C148" s="20">
        <v>46104.769259259258</v>
      </c>
      <c r="D148" s="21" t="s">
        <v>21</v>
      </c>
      <c r="E148" s="21">
        <v>1489</v>
      </c>
      <c r="F148" s="21">
        <v>5133664</v>
      </c>
      <c r="G148" s="21">
        <v>142632</v>
      </c>
      <c r="H148" s="21" t="s">
        <v>134</v>
      </c>
      <c r="I148" s="21" t="s">
        <v>40</v>
      </c>
      <c r="J148" s="21" t="s">
        <v>41</v>
      </c>
      <c r="K148" s="29">
        <v>194</v>
      </c>
      <c r="L148" s="22">
        <v>92</v>
      </c>
      <c r="M148" s="23" t="s">
        <v>254</v>
      </c>
      <c r="N148" s="24" t="s">
        <v>25</v>
      </c>
      <c r="O148" s="30">
        <v>46143</v>
      </c>
      <c r="P148" s="25" t="str">
        <f>VLOOKUP(F148,[1]CLIENTES!B:L,11,0)</f>
        <v>RODRIGO</v>
      </c>
      <c r="Q148" s="25" t="str">
        <f>VLOOKUP(F148,[1]CLIENTES!B:M,12,0)</f>
        <v>MARIA LOURDES</v>
      </c>
      <c r="R148" s="26" t="str">
        <f>VLOOKUP(F148,[1]CLIENTES!B:J,9,0)</f>
        <v>CLAUDIO JORGE/AMANDA SANDS</v>
      </c>
      <c r="S148" s="27">
        <v>10000</v>
      </c>
      <c r="T148" s="28" t="s">
        <v>44</v>
      </c>
      <c r="U148" s="28" t="s">
        <v>28</v>
      </c>
      <c r="V148" s="28" t="s">
        <v>29</v>
      </c>
      <c r="W148" s="28" t="s">
        <v>52</v>
      </c>
    </row>
    <row r="149" spans="1:23" ht="15" customHeight="1" x14ac:dyDescent="0.25">
      <c r="A149" s="20" t="str">
        <f>VLOOKUP(F149,[1]CLIENTES!B:L,11,0)</f>
        <v>RODRIGO</v>
      </c>
      <c r="B149" s="20" t="s">
        <v>279</v>
      </c>
      <c r="C149" s="20">
        <v>46104.769259259258</v>
      </c>
      <c r="D149" s="21" t="s">
        <v>21</v>
      </c>
      <c r="E149" s="21">
        <v>1489</v>
      </c>
      <c r="F149" s="21">
        <v>5133664</v>
      </c>
      <c r="G149" s="21">
        <v>142632</v>
      </c>
      <c r="H149" s="21" t="s">
        <v>134</v>
      </c>
      <c r="I149" s="21" t="s">
        <v>40</v>
      </c>
      <c r="J149" s="21" t="s">
        <v>41</v>
      </c>
      <c r="K149" s="29">
        <v>194</v>
      </c>
      <c r="L149" s="22">
        <v>92</v>
      </c>
      <c r="M149" s="23" t="s">
        <v>256</v>
      </c>
      <c r="N149" s="24" t="s">
        <v>25</v>
      </c>
      <c r="O149" s="30">
        <v>46143</v>
      </c>
      <c r="P149" s="25" t="str">
        <f>VLOOKUP(F149,[1]CLIENTES!B:L,11,0)</f>
        <v>RODRIGO</v>
      </c>
      <c r="Q149" s="25" t="str">
        <f>VLOOKUP(F149,[1]CLIENTES!B:M,12,0)</f>
        <v>MARIA LOURDES</v>
      </c>
      <c r="R149" s="26" t="str">
        <f>VLOOKUP(F149,[1]CLIENTES!B:J,9,0)</f>
        <v>CLAUDIO JORGE/AMANDA SANDS</v>
      </c>
      <c r="S149" s="27">
        <v>10000</v>
      </c>
      <c r="T149" s="28" t="s">
        <v>44</v>
      </c>
      <c r="U149" s="28" t="s">
        <v>28</v>
      </c>
      <c r="V149" s="28" t="s">
        <v>29</v>
      </c>
      <c r="W149" s="28" t="s">
        <v>52</v>
      </c>
    </row>
    <row r="150" spans="1:23" ht="15" customHeight="1" x14ac:dyDescent="0.25">
      <c r="A150" s="20" t="str">
        <f>VLOOKUP(F150,[1]CLIENTES!B:L,11,0)</f>
        <v>RODRIGO</v>
      </c>
      <c r="B150" s="20" t="s">
        <v>279</v>
      </c>
      <c r="C150" s="20">
        <v>46104.769259259258</v>
      </c>
      <c r="D150" s="21" t="s">
        <v>21</v>
      </c>
      <c r="E150" s="21">
        <v>1413</v>
      </c>
      <c r="F150" s="21">
        <v>5229985</v>
      </c>
      <c r="G150" s="21">
        <v>180738</v>
      </c>
      <c r="H150" s="21" t="s">
        <v>131</v>
      </c>
      <c r="I150" s="21" t="s">
        <v>132</v>
      </c>
      <c r="J150" s="21">
        <v>6127</v>
      </c>
      <c r="K150" s="29">
        <v>605</v>
      </c>
      <c r="L150" s="22">
        <v>92</v>
      </c>
      <c r="M150" s="23" t="s">
        <v>257</v>
      </c>
      <c r="N150" s="24" t="s">
        <v>25</v>
      </c>
      <c r="O150" s="30">
        <v>46143</v>
      </c>
      <c r="P150" s="25" t="str">
        <f>VLOOKUP(F150,[1]CLIENTES!B:L,11,0)</f>
        <v>RODRIGO</v>
      </c>
      <c r="Q150" s="25" t="str">
        <f>VLOOKUP(F150,[1]CLIENTES!B:M,12,0)</f>
        <v>MARIA LOURDES</v>
      </c>
      <c r="R150" s="26" t="str">
        <f>VLOOKUP(F150,[1]CLIENTES!B:J,9,0)</f>
        <v>WH FOOD SERVICE CE</v>
      </c>
      <c r="S150" s="27">
        <v>15000</v>
      </c>
      <c r="T150" s="28" t="s">
        <v>44</v>
      </c>
      <c r="U150" s="28" t="s">
        <v>28</v>
      </c>
      <c r="V150" s="28" t="s">
        <v>29</v>
      </c>
      <c r="W150" s="28" t="s">
        <v>52</v>
      </c>
    </row>
    <row r="151" spans="1:23" ht="15" customHeight="1" x14ac:dyDescent="0.25">
      <c r="A151" s="20" t="str">
        <f>VLOOKUP(F151,[1]CLIENTES!B:L,11,0)</f>
        <v>RODRIGO</v>
      </c>
      <c r="B151" s="20" t="s">
        <v>279</v>
      </c>
      <c r="C151" s="20">
        <v>46118</v>
      </c>
      <c r="D151" s="21" t="s">
        <v>21</v>
      </c>
      <c r="E151" s="21">
        <v>1422</v>
      </c>
      <c r="F151" s="21">
        <v>5020319</v>
      </c>
      <c r="G151" s="21">
        <v>110315</v>
      </c>
      <c r="H151" s="21" t="s">
        <v>112</v>
      </c>
      <c r="I151" s="21" t="s">
        <v>113</v>
      </c>
      <c r="J151" s="21">
        <v>6127</v>
      </c>
      <c r="K151" s="29">
        <v>682</v>
      </c>
      <c r="L151" s="22">
        <v>92</v>
      </c>
      <c r="M151" s="23" t="s">
        <v>280</v>
      </c>
      <c r="N151" s="24" t="s">
        <v>25</v>
      </c>
      <c r="O151" s="30">
        <v>46143</v>
      </c>
      <c r="P151" s="25" t="str">
        <f>VLOOKUP(F151,[1]CLIENTES!B:L,11,0)</f>
        <v>RODRIGO</v>
      </c>
      <c r="Q151" s="25" t="str">
        <f>VLOOKUP(F151,[1]CLIENTES!B:M,12,0)</f>
        <v>MARIA LOURDES</v>
      </c>
      <c r="R151" s="26" t="str">
        <f>VLOOKUP(F151,[1]CLIENTES!B:J,9,0)</f>
        <v>CLAUDIO JORGE/LUIZ</v>
      </c>
      <c r="S151" s="27">
        <v>13000</v>
      </c>
      <c r="T151" s="28" t="s">
        <v>44</v>
      </c>
      <c r="U151" s="28" t="s">
        <v>28</v>
      </c>
      <c r="V151" s="28" t="s">
        <v>29</v>
      </c>
      <c r="W151" s="28" t="s">
        <v>52</v>
      </c>
    </row>
    <row r="152" spans="1:23" ht="15" customHeight="1" x14ac:dyDescent="0.25">
      <c r="A152" s="20" t="str">
        <f>VLOOKUP(F152,[1]CLIENTES!B:L,11,0)</f>
        <v>RODRIGO</v>
      </c>
      <c r="B152" s="20" t="s">
        <v>279</v>
      </c>
      <c r="C152" s="20">
        <v>46121</v>
      </c>
      <c r="D152" s="21" t="s">
        <v>21</v>
      </c>
      <c r="E152" s="21">
        <v>1481</v>
      </c>
      <c r="F152" s="21">
        <v>5225860</v>
      </c>
      <c r="G152" s="21">
        <v>180402</v>
      </c>
      <c r="H152" s="21" t="s">
        <v>39</v>
      </c>
      <c r="I152" s="21" t="s">
        <v>40</v>
      </c>
      <c r="J152" s="21" t="s">
        <v>41</v>
      </c>
      <c r="K152" s="29">
        <v>194</v>
      </c>
      <c r="L152" s="22">
        <v>92</v>
      </c>
      <c r="M152" s="23" t="s">
        <v>281</v>
      </c>
      <c r="N152" s="24" t="s">
        <v>25</v>
      </c>
      <c r="O152" s="30">
        <v>46143</v>
      </c>
      <c r="P152" s="25" t="str">
        <f>VLOOKUP(F152,[1]CLIENTES!B:L,11,0)</f>
        <v>RODRIGO</v>
      </c>
      <c r="Q152" s="25" t="str">
        <f>VLOOKUP(F152,[1]CLIENTES!B:M,12,0)</f>
        <v>MARIA LOURDES</v>
      </c>
      <c r="R152" s="26" t="str">
        <f>VLOOKUP(F152,[1]CLIENTES!B:J,9,0)</f>
        <v>CLAUDIO JORGE/AMANDA SANDS</v>
      </c>
      <c r="S152" s="27">
        <v>30000</v>
      </c>
      <c r="T152" s="28" t="s">
        <v>44</v>
      </c>
      <c r="U152" s="28" t="s">
        <v>28</v>
      </c>
      <c r="V152" s="28" t="s">
        <v>29</v>
      </c>
      <c r="W152" s="28" t="s">
        <v>45</v>
      </c>
    </row>
    <row r="153" spans="1:23" ht="15" customHeight="1" x14ac:dyDescent="0.25">
      <c r="A153" s="20" t="str">
        <f>VLOOKUP(F153,[1]CLIENTES!B:L,11,0)</f>
        <v>RODRIGO</v>
      </c>
      <c r="B153" s="20" t="s">
        <v>279</v>
      </c>
      <c r="C153" s="20">
        <v>46122</v>
      </c>
      <c r="D153" s="21" t="s">
        <v>21</v>
      </c>
      <c r="E153" s="21">
        <v>1416</v>
      </c>
      <c r="F153" s="21">
        <v>5164717</v>
      </c>
      <c r="G153" s="21">
        <v>143313</v>
      </c>
      <c r="H153" s="21" t="s">
        <v>157</v>
      </c>
      <c r="I153" s="21" t="s">
        <v>23</v>
      </c>
      <c r="J153" s="21">
        <v>6125</v>
      </c>
      <c r="K153" s="29">
        <v>692</v>
      </c>
      <c r="L153" s="22">
        <v>93</v>
      </c>
      <c r="M153" s="23" t="s">
        <v>282</v>
      </c>
      <c r="N153" s="24" t="s">
        <v>25</v>
      </c>
      <c r="O153" s="30">
        <v>46143</v>
      </c>
      <c r="P153" s="25" t="str">
        <f>VLOOKUP(F153,[1]CLIENTES!B:L,11,0)</f>
        <v>RODRIGO</v>
      </c>
      <c r="Q153" s="25" t="str">
        <f>VLOOKUP(F153,[1]CLIENTES!B:M,12,0)</f>
        <v>RAQUEL BARBOSA</v>
      </c>
      <c r="R153" s="26" t="str">
        <f>VLOOKUP(F153,[1]CLIENTES!B:J,9,0)</f>
        <v>SP ITB FS FLAC REP.E COMERCIO</v>
      </c>
      <c r="S153" s="27">
        <v>318</v>
      </c>
      <c r="T153" s="28" t="s">
        <v>283</v>
      </c>
      <c r="U153" s="28" t="s">
        <v>28</v>
      </c>
      <c r="V153" s="28" t="s">
        <v>29</v>
      </c>
      <c r="W153" s="28" t="s">
        <v>52</v>
      </c>
    </row>
    <row r="154" spans="1:23" ht="15" customHeight="1" x14ac:dyDescent="0.25">
      <c r="A154" s="20" t="str">
        <f>VLOOKUP(F154,[1]CLIENTES!B:L,11,0)</f>
        <v>RODRIGO</v>
      </c>
      <c r="B154" s="20" t="s">
        <v>279</v>
      </c>
      <c r="C154" s="20">
        <v>46122</v>
      </c>
      <c r="D154" s="21" t="s">
        <v>21</v>
      </c>
      <c r="E154" s="21">
        <v>1417</v>
      </c>
      <c r="F154" s="21">
        <v>5131101</v>
      </c>
      <c r="G154" s="21">
        <v>167218</v>
      </c>
      <c r="H154" s="21" t="s">
        <v>164</v>
      </c>
      <c r="I154" s="21" t="s">
        <v>23</v>
      </c>
      <c r="J154" s="21">
        <v>6125</v>
      </c>
      <c r="K154" s="29">
        <v>692</v>
      </c>
      <c r="L154" s="22">
        <v>93</v>
      </c>
      <c r="M154" s="23" t="s">
        <v>284</v>
      </c>
      <c r="N154" s="24" t="s">
        <v>25</v>
      </c>
      <c r="O154" s="30">
        <v>46143</v>
      </c>
      <c r="P154" s="25" t="str">
        <f>VLOOKUP(F154,[1]CLIENTES!B:L,11,0)</f>
        <v>RODRIGO</v>
      </c>
      <c r="Q154" s="25" t="str">
        <f>VLOOKUP(F154,[1]CLIENTES!B:M,12,0)</f>
        <v>RAQUEL BARBOSA</v>
      </c>
      <c r="R154" s="26" t="str">
        <f>VLOOKUP(F154,[1]CLIENTES!B:J,9,0)</f>
        <v>VAGO SP</v>
      </c>
      <c r="S154" s="27">
        <v>1751.49</v>
      </c>
      <c r="T154" s="28" t="s">
        <v>44</v>
      </c>
      <c r="U154" s="28" t="s">
        <v>28</v>
      </c>
      <c r="V154" s="28" t="s">
        <v>29</v>
      </c>
      <c r="W154" s="28" t="s">
        <v>52</v>
      </c>
    </row>
    <row r="155" spans="1:23" ht="15" customHeight="1" x14ac:dyDescent="0.25">
      <c r="A155" s="20" t="str">
        <f>VLOOKUP(F155,[1]CLIENTES!B:L,11,0)</f>
        <v>RODRIGO</v>
      </c>
      <c r="B155" s="20" t="s">
        <v>279</v>
      </c>
      <c r="C155" s="20">
        <v>46122</v>
      </c>
      <c r="D155" s="21" t="s">
        <v>21</v>
      </c>
      <c r="E155" s="21">
        <v>1414</v>
      </c>
      <c r="F155" s="21">
        <v>5159289</v>
      </c>
      <c r="G155" s="21">
        <v>143188</v>
      </c>
      <c r="H155" s="21" t="s">
        <v>227</v>
      </c>
      <c r="I155" s="21" t="s">
        <v>23</v>
      </c>
      <c r="J155" s="21">
        <v>6125</v>
      </c>
      <c r="K155" s="29">
        <v>692</v>
      </c>
      <c r="L155" s="22">
        <v>93</v>
      </c>
      <c r="M155" s="23" t="s">
        <v>285</v>
      </c>
      <c r="N155" s="24" t="s">
        <v>25</v>
      </c>
      <c r="O155" s="30">
        <v>46143</v>
      </c>
      <c r="P155" s="25" t="str">
        <f>VLOOKUP(F155,[1]CLIENTES!B:L,11,0)</f>
        <v>RODRIGO</v>
      </c>
      <c r="Q155" s="25" t="str">
        <f>VLOOKUP(F155,[1]CLIENTES!B:M,12,0)</f>
        <v>RAQUEL BARBOSA</v>
      </c>
      <c r="R155" s="26" t="str">
        <f>VLOOKUP(F155,[1]CLIENTES!B:J,9,0)</f>
        <v>VAGO SP</v>
      </c>
      <c r="S155" s="27">
        <v>500</v>
      </c>
      <c r="T155" s="28" t="s">
        <v>44</v>
      </c>
      <c r="U155" s="28" t="s">
        <v>28</v>
      </c>
      <c r="V155" s="28" t="s">
        <v>29</v>
      </c>
      <c r="W155" s="28" t="s">
        <v>52</v>
      </c>
    </row>
    <row r="156" spans="1:23" ht="15" customHeight="1" x14ac:dyDescent="0.25">
      <c r="A156" s="20" t="str">
        <f>VLOOKUP(F156,[1]CLIENTES!B:L,11,0)</f>
        <v>RODRIGO</v>
      </c>
      <c r="B156" s="20" t="s">
        <v>279</v>
      </c>
      <c r="C156" s="20">
        <v>46127</v>
      </c>
      <c r="D156" s="21" t="s">
        <v>21</v>
      </c>
      <c r="E156" s="21">
        <v>1425</v>
      </c>
      <c r="F156" s="21">
        <v>5217293</v>
      </c>
      <c r="G156" s="21">
        <v>145966</v>
      </c>
      <c r="H156" s="21" t="s">
        <v>86</v>
      </c>
      <c r="I156" s="21" t="s">
        <v>23</v>
      </c>
      <c r="J156" s="21">
        <v>6125</v>
      </c>
      <c r="K156" s="29">
        <v>692</v>
      </c>
      <c r="L156" s="22">
        <v>92</v>
      </c>
      <c r="M156" s="23" t="s">
        <v>286</v>
      </c>
      <c r="N156" s="24" t="s">
        <v>25</v>
      </c>
      <c r="O156" s="30">
        <v>46143</v>
      </c>
      <c r="P156" s="25" t="str">
        <f>VLOOKUP(F156,[1]CLIENTES!B:L,11,0)</f>
        <v>RODRIGO</v>
      </c>
      <c r="Q156" s="25" t="str">
        <f>VLOOKUP(F156,[1]CLIENTES!B:M,12,0)</f>
        <v>RAQUEL BARBOSA</v>
      </c>
      <c r="R156" s="26" t="str">
        <f>VLOOKUP(F156,[1]CLIENTES!B:J,9,0)</f>
        <v>VAGO SP</v>
      </c>
      <c r="S156" s="27">
        <v>2222.2199999999998</v>
      </c>
      <c r="T156" s="28" t="s">
        <v>44</v>
      </c>
      <c r="U156" s="28" t="s">
        <v>28</v>
      </c>
      <c r="V156" s="28" t="s">
        <v>29</v>
      </c>
      <c r="W156" s="28" t="s">
        <v>35</v>
      </c>
    </row>
    <row r="157" spans="1:23" ht="15" customHeight="1" x14ac:dyDescent="0.25">
      <c r="A157" s="20" t="str">
        <f>VLOOKUP(F157,[1]CLIENTES!B:L,11,0)</f>
        <v>RODRIGO</v>
      </c>
      <c r="B157" s="20" t="s">
        <v>279</v>
      </c>
      <c r="C157" s="20">
        <v>46128</v>
      </c>
      <c r="D157" s="21" t="s">
        <v>21</v>
      </c>
      <c r="E157" s="21">
        <v>1412</v>
      </c>
      <c r="F157" s="21">
        <v>5109682</v>
      </c>
      <c r="G157" s="21">
        <v>128100</v>
      </c>
      <c r="H157" s="21" t="s">
        <v>88</v>
      </c>
      <c r="I157" s="21" t="s">
        <v>23</v>
      </c>
      <c r="J157" s="21">
        <v>6125</v>
      </c>
      <c r="K157" s="29">
        <v>692</v>
      </c>
      <c r="L157" s="22">
        <v>93</v>
      </c>
      <c r="M157" s="23" t="s">
        <v>287</v>
      </c>
      <c r="N157" s="24" t="s">
        <v>25</v>
      </c>
      <c r="O157" s="30">
        <v>46143</v>
      </c>
      <c r="P157" s="25" t="str">
        <f>VLOOKUP(F157,[1]CLIENTES!B:L,11,0)</f>
        <v>RODRIGO</v>
      </c>
      <c r="Q157" s="25" t="str">
        <f>VLOOKUP(F157,[1]CLIENTES!B:M,12,0)</f>
        <v>RAQUEL BARBOSA</v>
      </c>
      <c r="R157" s="26" t="str">
        <f>VLOOKUP(F157,[1]CLIENTES!B:J,9,0)</f>
        <v>VAGO SP</v>
      </c>
      <c r="S157" s="27">
        <v>3000</v>
      </c>
      <c r="T157" s="28" t="s">
        <v>44</v>
      </c>
      <c r="U157" s="28" t="s">
        <v>28</v>
      </c>
      <c r="V157" s="28" t="s">
        <v>29</v>
      </c>
      <c r="W157" s="28" t="s">
        <v>288</v>
      </c>
    </row>
    <row r="158" spans="1:23" ht="15" customHeight="1" x14ac:dyDescent="0.25">
      <c r="A158" s="20" t="str">
        <f>VLOOKUP(F158,[1]CLIENTES!B:L,11,0)</f>
        <v>RODRIGO</v>
      </c>
      <c r="B158" s="20" t="s">
        <v>279</v>
      </c>
      <c r="C158" s="20">
        <v>46128</v>
      </c>
      <c r="D158" s="21" t="s">
        <v>21</v>
      </c>
      <c r="E158" s="21">
        <v>1421</v>
      </c>
      <c r="F158" s="21">
        <v>5157891</v>
      </c>
      <c r="G158" s="21">
        <v>165987</v>
      </c>
      <c r="H158" s="21" t="s">
        <v>209</v>
      </c>
      <c r="I158" s="21" t="s">
        <v>23</v>
      </c>
      <c r="J158" s="21">
        <v>6125</v>
      </c>
      <c r="K158" s="29">
        <v>692</v>
      </c>
      <c r="L158" s="22">
        <v>92</v>
      </c>
      <c r="M158" s="23" t="s">
        <v>289</v>
      </c>
      <c r="N158" s="24" t="s">
        <v>25</v>
      </c>
      <c r="O158" s="30">
        <v>46143</v>
      </c>
      <c r="P158" s="25" t="str">
        <f>VLOOKUP(F158,[1]CLIENTES!B:L,11,0)</f>
        <v>RODRIGO</v>
      </c>
      <c r="Q158" s="25" t="str">
        <f>VLOOKUP(F158,[1]CLIENTES!B:M,12,0)</f>
        <v>RAQUEL BARBOSA</v>
      </c>
      <c r="R158" s="26" t="str">
        <f>VLOOKUP(F158,[1]CLIENTES!B:J,9,0)</f>
        <v>RAQUEL BARBOSA</v>
      </c>
      <c r="S158" s="27">
        <v>4365.6499999999996</v>
      </c>
      <c r="T158" s="28" t="s">
        <v>44</v>
      </c>
      <c r="U158" s="28" t="s">
        <v>28</v>
      </c>
      <c r="V158" s="28" t="s">
        <v>29</v>
      </c>
      <c r="W158" s="28" t="s">
        <v>149</v>
      </c>
    </row>
    <row r="159" spans="1:23" ht="15" customHeight="1" x14ac:dyDescent="0.25">
      <c r="A159" s="20" t="str">
        <f>VLOOKUP(F159,[1]CLIENTES!B:L,11,0)</f>
        <v>RODRIGO</v>
      </c>
      <c r="B159" s="20" t="s">
        <v>279</v>
      </c>
      <c r="C159" s="20">
        <v>46129</v>
      </c>
      <c r="D159" s="21" t="s">
        <v>21</v>
      </c>
      <c r="E159" s="21">
        <v>1411</v>
      </c>
      <c r="F159" s="21">
        <v>5006978</v>
      </c>
      <c r="G159" s="21">
        <v>103036</v>
      </c>
      <c r="H159" s="21" t="s">
        <v>58</v>
      </c>
      <c r="I159" s="21" t="s">
        <v>23</v>
      </c>
      <c r="J159" s="21">
        <v>6125</v>
      </c>
      <c r="K159" s="29">
        <v>692</v>
      </c>
      <c r="L159" s="22">
        <v>92</v>
      </c>
      <c r="M159" s="23" t="s">
        <v>290</v>
      </c>
      <c r="N159" s="24" t="s">
        <v>25</v>
      </c>
      <c r="O159" s="30">
        <v>46143</v>
      </c>
      <c r="P159" s="25" t="str">
        <f>VLOOKUP(F159,[1]CLIENTES!B:L,11,0)</f>
        <v>RODRIGO</v>
      </c>
      <c r="Q159" s="25" t="str">
        <f>VLOOKUP(F159,[1]CLIENTES!B:M,12,0)</f>
        <v>RAQUEL BARBOSA</v>
      </c>
      <c r="R159" s="26" t="str">
        <f>VLOOKUP(F159,[1]CLIENTES!B:J,9,0)</f>
        <v>RAQUEL BARBOSA</v>
      </c>
      <c r="S159" s="27">
        <v>34500</v>
      </c>
      <c r="T159" s="28" t="s">
        <v>44</v>
      </c>
      <c r="U159" s="28" t="s">
        <v>28</v>
      </c>
      <c r="V159" s="28" t="s">
        <v>29</v>
      </c>
      <c r="W159" s="28" t="s">
        <v>60</v>
      </c>
    </row>
    <row r="160" spans="1:23" ht="15" customHeight="1" x14ac:dyDescent="0.25">
      <c r="A160" s="20" t="str">
        <f>VLOOKUP(F160,[1]CLIENTES!B:L,11,0)</f>
        <v>RODRIGO</v>
      </c>
      <c r="B160" s="20" t="s">
        <v>279</v>
      </c>
      <c r="C160" s="20">
        <v>46134</v>
      </c>
      <c r="D160" s="21" t="s">
        <v>21</v>
      </c>
      <c r="E160" s="21">
        <v>1419</v>
      </c>
      <c r="F160" s="21">
        <v>5115019</v>
      </c>
      <c r="G160" s="21">
        <v>123456</v>
      </c>
      <c r="H160" s="21" t="s">
        <v>36</v>
      </c>
      <c r="I160" s="21" t="s">
        <v>37</v>
      </c>
      <c r="J160" s="21">
        <v>6169</v>
      </c>
      <c r="K160" s="29">
        <v>689</v>
      </c>
      <c r="L160" s="22">
        <v>92</v>
      </c>
      <c r="M160" s="23" t="s">
        <v>291</v>
      </c>
      <c r="N160" s="24" t="s">
        <v>25</v>
      </c>
      <c r="O160" s="30">
        <v>46143</v>
      </c>
      <c r="P160" s="25" t="str">
        <f>VLOOKUP(F160,[1]CLIENTES!B:L,11,0)</f>
        <v>RODRIGO</v>
      </c>
      <c r="Q160" s="25" t="str">
        <f>VLOOKUP(F160,[1]CLIENTES!B:M,12,0)</f>
        <v>JESSICA</v>
      </c>
      <c r="R160" s="26" t="str">
        <f>VLOOKUP(F160,[1]CLIENTES!B:J,9,0)</f>
        <v>JESSICA CARLA</v>
      </c>
      <c r="S160" s="27">
        <v>20000</v>
      </c>
      <c r="T160" s="28" t="s">
        <v>44</v>
      </c>
      <c r="U160" s="28" t="s">
        <v>28</v>
      </c>
      <c r="V160" s="28" t="s">
        <v>29</v>
      </c>
      <c r="W160" s="28" t="s">
        <v>52</v>
      </c>
    </row>
    <row r="161" spans="1:23" ht="15" customHeight="1" x14ac:dyDescent="0.25">
      <c r="A161" s="20" t="str">
        <f>VLOOKUP(F161,[1]CLIENTES!B:L,11,0)</f>
        <v>RODRIGO</v>
      </c>
      <c r="B161" s="20" t="s">
        <v>279</v>
      </c>
      <c r="C161" s="20">
        <v>46134</v>
      </c>
      <c r="D161" s="21" t="s">
        <v>21</v>
      </c>
      <c r="E161" s="21">
        <v>1406</v>
      </c>
      <c r="F161" s="21">
        <v>5017576</v>
      </c>
      <c r="G161" s="21">
        <v>116132</v>
      </c>
      <c r="H161" s="21" t="s">
        <v>31</v>
      </c>
      <c r="I161" s="21" t="s">
        <v>32</v>
      </c>
      <c r="J161" s="21">
        <v>6169</v>
      </c>
      <c r="K161" s="29">
        <v>690</v>
      </c>
      <c r="L161" s="22">
        <v>92</v>
      </c>
      <c r="M161" s="23" t="s">
        <v>292</v>
      </c>
      <c r="N161" s="24" t="s">
        <v>25</v>
      </c>
      <c r="O161" s="30">
        <v>46143</v>
      </c>
      <c r="P161" s="25" t="str">
        <f>VLOOKUP(F161,[1]CLIENTES!B:L,11,0)</f>
        <v>RODRIGO</v>
      </c>
      <c r="Q161" s="25" t="str">
        <f>VLOOKUP(F161,[1]CLIENTES!B:M,12,0)</f>
        <v>JESSICA</v>
      </c>
      <c r="R161" s="26" t="str">
        <f>VLOOKUP(F161,[1]CLIENTES!B:J,9,0)</f>
        <v>MARCELO DUARTE</v>
      </c>
      <c r="S161" s="27">
        <v>9000</v>
      </c>
      <c r="T161" s="28" t="s">
        <v>44</v>
      </c>
      <c r="U161" s="28" t="s">
        <v>28</v>
      </c>
      <c r="V161" s="28" t="s">
        <v>29</v>
      </c>
      <c r="W161" s="28" t="s">
        <v>52</v>
      </c>
    </row>
    <row r="162" spans="1:23" ht="15" customHeight="1" x14ac:dyDescent="0.25">
      <c r="A162" s="20" t="str">
        <f>VLOOKUP(F162,[1]CLIENTES!B:L,11,0)</f>
        <v>RODRIGO</v>
      </c>
      <c r="B162" s="20" t="s">
        <v>279</v>
      </c>
      <c r="C162" s="20">
        <v>46134</v>
      </c>
      <c r="D162" s="21" t="s">
        <v>21</v>
      </c>
      <c r="E162" s="21">
        <v>1405</v>
      </c>
      <c r="F162" s="21">
        <v>5040108</v>
      </c>
      <c r="G162" s="21">
        <v>123355</v>
      </c>
      <c r="H162" s="21" t="s">
        <v>93</v>
      </c>
      <c r="I162" s="21" t="s">
        <v>37</v>
      </c>
      <c r="J162" s="21">
        <v>6169</v>
      </c>
      <c r="K162" s="29">
        <v>689</v>
      </c>
      <c r="L162" s="22">
        <v>92</v>
      </c>
      <c r="M162" s="23" t="s">
        <v>293</v>
      </c>
      <c r="N162" s="24" t="s">
        <v>25</v>
      </c>
      <c r="O162" s="30">
        <v>46143</v>
      </c>
      <c r="P162" s="25" t="str">
        <f>VLOOKUP(F162,[1]CLIENTES!B:L,11,0)</f>
        <v>RODRIGO</v>
      </c>
      <c r="Q162" s="25" t="str">
        <f>VLOOKUP(F162,[1]CLIENTES!B:M,12,0)</f>
        <v>JESSICA</v>
      </c>
      <c r="R162" s="26" t="str">
        <f>VLOOKUP(F162,[1]CLIENTES!B:J,9,0)</f>
        <v>CLAUDIO JORGE</v>
      </c>
      <c r="S162" s="27">
        <v>15000</v>
      </c>
      <c r="T162" s="28" t="s">
        <v>44</v>
      </c>
      <c r="U162" s="28" t="s">
        <v>28</v>
      </c>
      <c r="V162" s="28" t="s">
        <v>29</v>
      </c>
      <c r="W162" s="28" t="s">
        <v>52</v>
      </c>
    </row>
    <row r="163" spans="1:23" ht="15" customHeight="1" x14ac:dyDescent="0.25">
      <c r="A163" s="20" t="str">
        <f>VLOOKUP(F163,[1]CLIENTES!B:L,11,0)</f>
        <v>RODRIGO</v>
      </c>
      <c r="B163" s="20" t="s">
        <v>279</v>
      </c>
      <c r="C163" s="20">
        <v>46135</v>
      </c>
      <c r="D163" s="21" t="s">
        <v>21</v>
      </c>
      <c r="E163" s="21">
        <v>1493</v>
      </c>
      <c r="F163" s="21">
        <v>5226805</v>
      </c>
      <c r="G163" s="21">
        <v>150155</v>
      </c>
      <c r="H163" s="21" t="s">
        <v>86</v>
      </c>
      <c r="I163" s="21" t="s">
        <v>71</v>
      </c>
      <c r="J163" s="21" t="s">
        <v>72</v>
      </c>
      <c r="K163" s="29">
        <v>186</v>
      </c>
      <c r="L163" s="22">
        <v>92</v>
      </c>
      <c r="M163" s="23" t="s">
        <v>294</v>
      </c>
      <c r="N163" s="24" t="s">
        <v>25</v>
      </c>
      <c r="O163" s="30">
        <v>46143</v>
      </c>
      <c r="P163" s="25" t="str">
        <f>VLOOKUP(F163,[1]CLIENTES!B:L,11,0)</f>
        <v>RODRIGO</v>
      </c>
      <c r="Q163" s="25" t="str">
        <f>VLOOKUP(F163,[1]CLIENTES!B:M,12,0)</f>
        <v>CELIO MARTINS</v>
      </c>
      <c r="R163" s="26" t="str">
        <f>VLOOKUP(F163,[1]CLIENTES!B:J,9,0)</f>
        <v>CELIO/MARANATHA</v>
      </c>
      <c r="S163" s="27">
        <v>5000</v>
      </c>
      <c r="T163" s="28" t="s">
        <v>44</v>
      </c>
      <c r="U163" s="28" t="s">
        <v>28</v>
      </c>
      <c r="V163" s="28" t="s">
        <v>29</v>
      </c>
      <c r="W163" s="28" t="s">
        <v>35</v>
      </c>
    </row>
    <row r="164" spans="1:23" ht="15" customHeight="1" x14ac:dyDescent="0.25">
      <c r="A164" s="20" t="str">
        <f>VLOOKUP(F164,[1]CLIENTES!B:L,11,0)</f>
        <v>RODRIGO</v>
      </c>
      <c r="B164" s="20" t="s">
        <v>279</v>
      </c>
      <c r="C164" s="20">
        <v>46135</v>
      </c>
      <c r="D164" s="21" t="s">
        <v>21</v>
      </c>
      <c r="E164" s="21">
        <v>1493</v>
      </c>
      <c r="F164" s="21">
        <v>5226805</v>
      </c>
      <c r="G164" s="21">
        <v>150155</v>
      </c>
      <c r="H164" s="21" t="s">
        <v>86</v>
      </c>
      <c r="I164" s="21" t="s">
        <v>71</v>
      </c>
      <c r="J164" s="21" t="s">
        <v>72</v>
      </c>
      <c r="K164" s="29">
        <v>186</v>
      </c>
      <c r="L164" s="22">
        <v>92</v>
      </c>
      <c r="M164" s="23" t="s">
        <v>295</v>
      </c>
      <c r="N164" s="24" t="s">
        <v>25</v>
      </c>
      <c r="O164" s="30">
        <v>46143</v>
      </c>
      <c r="P164" s="25" t="str">
        <f>VLOOKUP(F164,[1]CLIENTES!B:L,11,0)</f>
        <v>RODRIGO</v>
      </c>
      <c r="Q164" s="25" t="str">
        <f>VLOOKUP(F164,[1]CLIENTES!B:M,12,0)</f>
        <v>CELIO MARTINS</v>
      </c>
      <c r="R164" s="26" t="str">
        <f>VLOOKUP(F164,[1]CLIENTES!B:J,9,0)</f>
        <v>CELIO/MARANATHA</v>
      </c>
      <c r="S164" s="27">
        <v>2000</v>
      </c>
      <c r="T164" s="28" t="s">
        <v>44</v>
      </c>
      <c r="U164" s="28" t="s">
        <v>28</v>
      </c>
      <c r="V164" s="28" t="s">
        <v>29</v>
      </c>
      <c r="W164" s="28" t="s">
        <v>97</v>
      </c>
    </row>
    <row r="165" spans="1:23" ht="15" customHeight="1" x14ac:dyDescent="0.25">
      <c r="A165" s="20" t="str">
        <f>VLOOKUP(F165,[1]CLIENTES!B:L,11,0)</f>
        <v>RODRIGO</v>
      </c>
      <c r="B165" s="20" t="s">
        <v>279</v>
      </c>
      <c r="C165" s="20">
        <v>46135</v>
      </c>
      <c r="D165" s="21" t="s">
        <v>21</v>
      </c>
      <c r="E165" s="21">
        <v>1488</v>
      </c>
      <c r="F165" s="21">
        <v>5308411</v>
      </c>
      <c r="G165" s="21">
        <v>181236</v>
      </c>
      <c r="H165" s="21" t="s">
        <v>80</v>
      </c>
      <c r="I165" s="21" t="s">
        <v>71</v>
      </c>
      <c r="J165" s="21" t="s">
        <v>72</v>
      </c>
      <c r="K165" s="29">
        <v>186</v>
      </c>
      <c r="L165" s="22">
        <v>92</v>
      </c>
      <c r="M165" s="23" t="s">
        <v>296</v>
      </c>
      <c r="N165" s="24" t="s">
        <v>25</v>
      </c>
      <c r="O165" s="30">
        <v>46143</v>
      </c>
      <c r="P165" s="25" t="str">
        <f>VLOOKUP(F165,[1]CLIENTES!B:L,11,0)</f>
        <v>RODRIGO</v>
      </c>
      <c r="Q165" s="25" t="str">
        <f>VLOOKUP(F165,[1]CLIENTES!B:M,12,0)</f>
        <v>CELIO MARTINS</v>
      </c>
      <c r="R165" s="26" t="str">
        <f>VLOOKUP(F165,[1]CLIENTES!B:J,9,0)</f>
        <v>MARCELO SILVA</v>
      </c>
      <c r="S165" s="27">
        <v>3178</v>
      </c>
      <c r="T165" s="28" t="s">
        <v>44</v>
      </c>
      <c r="U165" s="28" t="s">
        <v>28</v>
      </c>
      <c r="V165" s="28" t="s">
        <v>29</v>
      </c>
      <c r="W165" s="28" t="s">
        <v>35</v>
      </c>
    </row>
    <row r="166" spans="1:23" ht="15" customHeight="1" x14ac:dyDescent="0.25">
      <c r="A166" s="20" t="str">
        <f>VLOOKUP(F166,[1]CLIENTES!B:L,11,0)</f>
        <v>RODRIGO</v>
      </c>
      <c r="B166" s="20" t="s">
        <v>279</v>
      </c>
      <c r="C166" s="20">
        <v>46135</v>
      </c>
      <c r="D166" s="21" t="s">
        <v>21</v>
      </c>
      <c r="E166" s="21">
        <v>1488</v>
      </c>
      <c r="F166" s="21">
        <v>5308411</v>
      </c>
      <c r="G166" s="21">
        <v>181236</v>
      </c>
      <c r="H166" s="21" t="s">
        <v>80</v>
      </c>
      <c r="I166" s="21" t="s">
        <v>71</v>
      </c>
      <c r="J166" s="21" t="s">
        <v>72</v>
      </c>
      <c r="K166" s="29">
        <v>186</v>
      </c>
      <c r="L166" s="22">
        <v>92</v>
      </c>
      <c r="M166" s="23" t="s">
        <v>297</v>
      </c>
      <c r="N166" s="24" t="s">
        <v>25</v>
      </c>
      <c r="O166" s="30">
        <v>46143</v>
      </c>
      <c r="P166" s="25" t="str">
        <f>VLOOKUP(F166,[1]CLIENTES!B:L,11,0)</f>
        <v>RODRIGO</v>
      </c>
      <c r="Q166" s="25" t="str">
        <f>VLOOKUP(F166,[1]CLIENTES!B:M,12,0)</f>
        <v>CELIO MARTINS</v>
      </c>
      <c r="R166" s="26" t="str">
        <f>VLOOKUP(F166,[1]CLIENTES!B:J,9,0)</f>
        <v>MARCELO SILVA</v>
      </c>
      <c r="S166" s="27">
        <v>1843.38</v>
      </c>
      <c r="T166" s="28" t="s">
        <v>44</v>
      </c>
      <c r="U166" s="28" t="s">
        <v>28</v>
      </c>
      <c r="V166" s="28" t="s">
        <v>29</v>
      </c>
      <c r="W166" s="28" t="s">
        <v>298</v>
      </c>
    </row>
    <row r="167" spans="1:23" ht="15" customHeight="1" x14ac:dyDescent="0.25">
      <c r="A167" s="20" t="str">
        <f>VLOOKUP(F167,[1]CLIENTES!B:L,11,0)</f>
        <v>RODRIGO</v>
      </c>
      <c r="B167" s="20" t="s">
        <v>279</v>
      </c>
      <c r="C167" s="20">
        <v>46135</v>
      </c>
      <c r="D167" s="21" t="s">
        <v>21</v>
      </c>
      <c r="E167" s="21">
        <v>1477</v>
      </c>
      <c r="F167" s="21">
        <v>5013871</v>
      </c>
      <c r="G167" s="21">
        <v>185063</v>
      </c>
      <c r="H167" s="21" t="s">
        <v>92</v>
      </c>
      <c r="I167" s="21" t="s">
        <v>71</v>
      </c>
      <c r="J167" s="21" t="s">
        <v>72</v>
      </c>
      <c r="K167" s="29">
        <v>186</v>
      </c>
      <c r="L167" s="22">
        <v>92</v>
      </c>
      <c r="M167" s="23" t="s">
        <v>299</v>
      </c>
      <c r="N167" s="24" t="s">
        <v>25</v>
      </c>
      <c r="O167" s="30">
        <v>46143</v>
      </c>
      <c r="P167" s="25" t="str">
        <f>VLOOKUP(F167,[1]CLIENTES!B:L,11,0)</f>
        <v>RODRIGO</v>
      </c>
      <c r="Q167" s="25" t="str">
        <f>VLOOKUP(F167,[1]CLIENTES!B:M,12,0)</f>
        <v>CELIO MARTINS</v>
      </c>
      <c r="R167" s="26" t="str">
        <f>VLOOKUP(F167,[1]CLIENTES!B:J,9,0)</f>
        <v>MARCELO SILVA</v>
      </c>
      <c r="S167" s="27">
        <v>200</v>
      </c>
      <c r="T167" s="28" t="s">
        <v>44</v>
      </c>
      <c r="U167" s="28" t="s">
        <v>28</v>
      </c>
      <c r="V167" s="28" t="s">
        <v>29</v>
      </c>
      <c r="W167" s="28" t="s">
        <v>52</v>
      </c>
    </row>
    <row r="168" spans="1:23" ht="15" customHeight="1" x14ac:dyDescent="0.25">
      <c r="A168" s="20" t="str">
        <f>VLOOKUP(F168,[1]CLIENTES!B:L,11,0)</f>
        <v>RODRIGO</v>
      </c>
      <c r="B168" s="20" t="s">
        <v>279</v>
      </c>
      <c r="C168" s="20">
        <v>46135</v>
      </c>
      <c r="D168" s="21" t="s">
        <v>21</v>
      </c>
      <c r="E168" s="21">
        <v>1491</v>
      </c>
      <c r="F168" s="21">
        <v>5361277</v>
      </c>
      <c r="G168" s="21">
        <v>192434</v>
      </c>
      <c r="H168" s="21" t="s">
        <v>182</v>
      </c>
      <c r="I168" s="21" t="s">
        <v>71</v>
      </c>
      <c r="J168" s="21" t="s">
        <v>72</v>
      </c>
      <c r="K168" s="29">
        <v>186</v>
      </c>
      <c r="L168" s="22">
        <v>93</v>
      </c>
      <c r="M168" s="23" t="s">
        <v>300</v>
      </c>
      <c r="N168" s="24" t="s">
        <v>25</v>
      </c>
      <c r="O168" s="30">
        <v>46143</v>
      </c>
      <c r="P168" s="25" t="str">
        <f>VLOOKUP(F168,[1]CLIENTES!B:L,11,0)</f>
        <v>RODRIGO</v>
      </c>
      <c r="Q168" s="25" t="str">
        <f>VLOOKUP(F168,[1]CLIENTES!B:M,12,0)</f>
        <v>CELIO MARTINS</v>
      </c>
      <c r="R168" s="26" t="str">
        <f>VLOOKUP(F168,[1]CLIENTES!B:J,9,0)</f>
        <v>MARCELO SILVA</v>
      </c>
      <c r="S168" s="27">
        <v>263</v>
      </c>
      <c r="T168" s="28" t="s">
        <v>44</v>
      </c>
      <c r="U168" s="28" t="s">
        <v>28</v>
      </c>
      <c r="V168" s="28" t="s">
        <v>29</v>
      </c>
      <c r="W168" s="28" t="s">
        <v>97</v>
      </c>
    </row>
    <row r="169" spans="1:23" ht="15" customHeight="1" x14ac:dyDescent="0.25">
      <c r="A169" s="20" t="str">
        <f>VLOOKUP(F169,[1]CLIENTES!B:L,11,0)</f>
        <v>RODRIGO</v>
      </c>
      <c r="B169" s="20" t="s">
        <v>279</v>
      </c>
      <c r="C169" s="20">
        <v>46135</v>
      </c>
      <c r="D169" s="21" t="s">
        <v>21</v>
      </c>
      <c r="E169" s="21">
        <v>1483</v>
      </c>
      <c r="F169" s="21">
        <v>5159222</v>
      </c>
      <c r="G169" s="21">
        <v>143312</v>
      </c>
      <c r="H169" s="21" t="s">
        <v>184</v>
      </c>
      <c r="I169" s="21" t="s">
        <v>71</v>
      </c>
      <c r="J169" s="21" t="s">
        <v>72</v>
      </c>
      <c r="K169" s="29">
        <v>186</v>
      </c>
      <c r="L169" s="22">
        <v>92</v>
      </c>
      <c r="M169" s="23" t="s">
        <v>301</v>
      </c>
      <c r="N169" s="24" t="s">
        <v>25</v>
      </c>
      <c r="O169" s="30">
        <v>46143</v>
      </c>
      <c r="P169" s="25" t="str">
        <f>VLOOKUP(F169,[1]CLIENTES!B:L,11,0)</f>
        <v>RODRIGO</v>
      </c>
      <c r="Q169" s="25" t="str">
        <f>VLOOKUP(F169,[1]CLIENTES!B:M,12,0)</f>
        <v>CELIO MARTINS</v>
      </c>
      <c r="R169" s="26" t="str">
        <f>VLOOKUP(F169,[1]CLIENTES!B:J,9,0)</f>
        <v>MARCELO SILVA</v>
      </c>
      <c r="S169" s="27">
        <v>1500</v>
      </c>
      <c r="T169" s="28" t="s">
        <v>44</v>
      </c>
      <c r="U169" s="28" t="s">
        <v>28</v>
      </c>
      <c r="V169" s="28" t="s">
        <v>29</v>
      </c>
      <c r="W169" s="28" t="s">
        <v>52</v>
      </c>
    </row>
    <row r="170" spans="1:23" ht="15" customHeight="1" x14ac:dyDescent="0.25">
      <c r="A170" s="20" t="str">
        <f>VLOOKUP(F170,[1]CLIENTES!B:L,11,0)</f>
        <v>RODRIGO</v>
      </c>
      <c r="B170" s="20" t="s">
        <v>279</v>
      </c>
      <c r="C170" s="20">
        <v>46135</v>
      </c>
      <c r="D170" s="21" t="s">
        <v>21</v>
      </c>
      <c r="E170" s="21">
        <v>1493</v>
      </c>
      <c r="F170" s="21">
        <v>5226805</v>
      </c>
      <c r="G170" s="21">
        <v>150155</v>
      </c>
      <c r="H170" s="21" t="s">
        <v>86</v>
      </c>
      <c r="I170" s="21" t="s">
        <v>71</v>
      </c>
      <c r="J170" s="21" t="s">
        <v>72</v>
      </c>
      <c r="K170" s="29">
        <v>186</v>
      </c>
      <c r="L170" s="22">
        <v>92</v>
      </c>
      <c r="M170" s="23" t="s">
        <v>302</v>
      </c>
      <c r="N170" s="24" t="s">
        <v>25</v>
      </c>
      <c r="O170" s="30">
        <v>46143</v>
      </c>
      <c r="P170" s="25" t="str">
        <f>VLOOKUP(F170,[1]CLIENTES!B:L,11,0)</f>
        <v>RODRIGO</v>
      </c>
      <c r="Q170" s="25" t="str">
        <f>VLOOKUP(F170,[1]CLIENTES!B:M,12,0)</f>
        <v>CELIO MARTINS</v>
      </c>
      <c r="R170" s="26" t="str">
        <f>VLOOKUP(F170,[1]CLIENTES!B:J,9,0)</f>
        <v>CELIO/MARANATHA</v>
      </c>
      <c r="S170" s="27">
        <v>1743.2</v>
      </c>
      <c r="T170" s="28" t="s">
        <v>44</v>
      </c>
      <c r="U170" s="28" t="s">
        <v>28</v>
      </c>
      <c r="V170" s="28" t="s">
        <v>29</v>
      </c>
      <c r="W170" s="28" t="s">
        <v>97</v>
      </c>
    </row>
    <row r="171" spans="1:23" ht="15" customHeight="1" x14ac:dyDescent="0.25">
      <c r="A171" s="20" t="str">
        <f>VLOOKUP(F171,[1]CLIENTES!B:L,11,0)</f>
        <v>RODRIGO</v>
      </c>
      <c r="B171" s="20" t="s">
        <v>279</v>
      </c>
      <c r="C171" s="20">
        <v>46135</v>
      </c>
      <c r="D171" s="21" t="s">
        <v>21</v>
      </c>
      <c r="E171" s="21">
        <v>1423</v>
      </c>
      <c r="F171" s="21">
        <v>5020319</v>
      </c>
      <c r="G171" s="21">
        <v>110315</v>
      </c>
      <c r="H171" s="21" t="s">
        <v>112</v>
      </c>
      <c r="I171" s="21" t="s">
        <v>113</v>
      </c>
      <c r="J171" s="21">
        <v>6127</v>
      </c>
      <c r="K171" s="29">
        <v>682</v>
      </c>
      <c r="L171" s="22">
        <v>92</v>
      </c>
      <c r="M171" s="23" t="s">
        <v>303</v>
      </c>
      <c r="N171" s="24" t="s">
        <v>25</v>
      </c>
      <c r="O171" s="30">
        <v>46143</v>
      </c>
      <c r="P171" s="25" t="str">
        <f>VLOOKUP(F171,[1]CLIENTES!B:L,11,0)</f>
        <v>RODRIGO</v>
      </c>
      <c r="Q171" s="25" t="str">
        <f>VLOOKUP(F171,[1]CLIENTES!B:M,12,0)</f>
        <v>MARIA LOURDES</v>
      </c>
      <c r="R171" s="26" t="str">
        <f>VLOOKUP(F171,[1]CLIENTES!B:J,9,0)</f>
        <v>CLAUDIO JORGE/LUIZ</v>
      </c>
      <c r="S171" s="27">
        <v>12000</v>
      </c>
      <c r="T171" s="28" t="s">
        <v>44</v>
      </c>
      <c r="U171" s="28" t="s">
        <v>28</v>
      </c>
      <c r="V171" s="28" t="s">
        <v>29</v>
      </c>
      <c r="W171" s="28" t="s">
        <v>52</v>
      </c>
    </row>
    <row r="172" spans="1:23" ht="15" customHeight="1" x14ac:dyDescent="0.25">
      <c r="A172" s="20" t="str">
        <f>VLOOKUP(F172,[1]CLIENTES!B:L,11,0)</f>
        <v>RODRIGO</v>
      </c>
      <c r="B172" s="20" t="s">
        <v>279</v>
      </c>
      <c r="C172" s="20">
        <v>46135</v>
      </c>
      <c r="D172" s="21" t="s">
        <v>21</v>
      </c>
      <c r="E172" s="21">
        <v>1420</v>
      </c>
      <c r="F172" s="21">
        <v>5107112</v>
      </c>
      <c r="G172" s="21">
        <v>123370</v>
      </c>
      <c r="H172" s="21" t="s">
        <v>62</v>
      </c>
      <c r="I172" s="21" t="s">
        <v>23</v>
      </c>
      <c r="J172" s="21">
        <v>6125</v>
      </c>
      <c r="K172" s="29">
        <v>692</v>
      </c>
      <c r="L172" s="22">
        <v>93</v>
      </c>
      <c r="M172" s="23" t="s">
        <v>304</v>
      </c>
      <c r="N172" s="24" t="s">
        <v>25</v>
      </c>
      <c r="O172" s="30">
        <v>46143</v>
      </c>
      <c r="P172" s="25" t="str">
        <f>VLOOKUP(F172,[1]CLIENTES!B:L,11,0)</f>
        <v>RODRIGO</v>
      </c>
      <c r="Q172" s="25" t="str">
        <f>VLOOKUP(F172,[1]CLIENTES!B:M,12,0)</f>
        <v>ALEXANDRO</v>
      </c>
      <c r="R172" s="26" t="str">
        <f>VLOOKUP(F172,[1]CLIENTES!B:J,9,0)</f>
        <v>GUILHERME NASCIMENTO</v>
      </c>
      <c r="S172" s="27">
        <v>4500</v>
      </c>
      <c r="T172" s="28" t="s">
        <v>44</v>
      </c>
      <c r="U172" s="28" t="s">
        <v>28</v>
      </c>
      <c r="V172" s="28" t="s">
        <v>29</v>
      </c>
      <c r="W172" s="28" t="s">
        <v>52</v>
      </c>
    </row>
    <row r="173" spans="1:23" ht="15" customHeight="1" x14ac:dyDescent="0.25">
      <c r="A173" s="20" t="str">
        <f>VLOOKUP(F173,[1]CLIENTES!B:L,11,0)</f>
        <v>RODRIGO</v>
      </c>
      <c r="B173" s="20" t="s">
        <v>279</v>
      </c>
      <c r="C173" s="20">
        <v>46135</v>
      </c>
      <c r="D173" s="21" t="s">
        <v>21</v>
      </c>
      <c r="E173" s="21">
        <v>1424</v>
      </c>
      <c r="F173" s="21">
        <v>5070522</v>
      </c>
      <c r="G173" s="21">
        <v>143311</v>
      </c>
      <c r="H173" s="21" t="s">
        <v>66</v>
      </c>
      <c r="I173" s="21" t="s">
        <v>23</v>
      </c>
      <c r="J173" s="21">
        <v>6125</v>
      </c>
      <c r="K173" s="29">
        <v>692</v>
      </c>
      <c r="L173" s="22">
        <v>93</v>
      </c>
      <c r="M173" s="23" t="s">
        <v>305</v>
      </c>
      <c r="N173" s="24" t="s">
        <v>25</v>
      </c>
      <c r="O173" s="30">
        <v>46143</v>
      </c>
      <c r="P173" s="25" t="str">
        <f>VLOOKUP(F173,[1]CLIENTES!B:L,11,0)</f>
        <v>RODRIGO</v>
      </c>
      <c r="Q173" s="25" t="str">
        <f>VLOOKUP(F173,[1]CLIENTES!B:M,12,0)</f>
        <v>ALEXANDRO</v>
      </c>
      <c r="R173" s="26" t="str">
        <f>VLOOKUP(F173,[1]CLIENTES!B:J,9,0)</f>
        <v>GUILHERME NASCIMENTO</v>
      </c>
      <c r="S173" s="27">
        <v>916</v>
      </c>
      <c r="T173" s="28" t="s">
        <v>44</v>
      </c>
      <c r="U173" s="28" t="s">
        <v>28</v>
      </c>
      <c r="V173" s="28" t="s">
        <v>29</v>
      </c>
      <c r="W173" s="28" t="s">
        <v>52</v>
      </c>
    </row>
    <row r="174" spans="1:23" ht="15" customHeight="1" x14ac:dyDescent="0.25">
      <c r="A174" s="20" t="str">
        <f>VLOOKUP(F174,[1]CLIENTES!B:L,11,0)</f>
        <v>RODRIGO</v>
      </c>
      <c r="B174" s="20" t="s">
        <v>279</v>
      </c>
      <c r="C174" s="20">
        <v>46135</v>
      </c>
      <c r="D174" s="21" t="s">
        <v>21</v>
      </c>
      <c r="E174" s="21">
        <v>1415</v>
      </c>
      <c r="F174" s="21">
        <v>5226500</v>
      </c>
      <c r="G174" s="21">
        <v>141142</v>
      </c>
      <c r="H174" s="21" t="s">
        <v>306</v>
      </c>
      <c r="I174" s="21" t="s">
        <v>266</v>
      </c>
      <c r="J174" s="21">
        <v>6123</v>
      </c>
      <c r="K174" s="29">
        <v>607</v>
      </c>
      <c r="L174" s="22">
        <v>93</v>
      </c>
      <c r="M174" s="23" t="s">
        <v>307</v>
      </c>
      <c r="N174" s="24" t="s">
        <v>25</v>
      </c>
      <c r="O174" s="30">
        <v>46143</v>
      </c>
      <c r="P174" s="25" t="str">
        <f>VLOOKUP(F174,[1]CLIENTES!B:L,11,0)</f>
        <v>RODRIGO</v>
      </c>
      <c r="Q174" s="25" t="str">
        <f>VLOOKUP(F174,[1]CLIENTES!B:M,12,0)</f>
        <v>MARCO AURELIO</v>
      </c>
      <c r="R174" s="26" t="str">
        <f>VLOOKUP(F174,[1]CLIENTES!B:J,9,0)</f>
        <v>CLAUDIO JORGE</v>
      </c>
      <c r="S174" s="27">
        <v>1500</v>
      </c>
      <c r="T174" s="28" t="s">
        <v>44</v>
      </c>
      <c r="U174" s="28" t="s">
        <v>28</v>
      </c>
      <c r="V174" s="28" t="s">
        <v>29</v>
      </c>
      <c r="W174" s="28" t="s">
        <v>52</v>
      </c>
    </row>
    <row r="175" spans="1:23" ht="15" customHeight="1" x14ac:dyDescent="0.25">
      <c r="A175" s="20" t="str">
        <f>VLOOKUP(F175,[1]CLIENTES!B:L,11,0)</f>
        <v>RODRIGO</v>
      </c>
      <c r="B175" s="20" t="s">
        <v>279</v>
      </c>
      <c r="C175" s="20">
        <v>46135</v>
      </c>
      <c r="D175" s="21" t="s">
        <v>21</v>
      </c>
      <c r="E175" s="21">
        <v>1495</v>
      </c>
      <c r="F175" s="21">
        <v>5115189</v>
      </c>
      <c r="G175" s="21">
        <v>129296</v>
      </c>
      <c r="H175" s="21" t="s">
        <v>68</v>
      </c>
      <c r="I175" s="21" t="s">
        <v>54</v>
      </c>
      <c r="J175" s="21" t="s">
        <v>55</v>
      </c>
      <c r="K175" s="29">
        <v>191</v>
      </c>
      <c r="L175" s="22">
        <v>92</v>
      </c>
      <c r="M175" s="23" t="s">
        <v>308</v>
      </c>
      <c r="N175" s="24" t="s">
        <v>25</v>
      </c>
      <c r="O175" s="30">
        <v>46143</v>
      </c>
      <c r="P175" s="25" t="str">
        <f>VLOOKUP(F175,[1]CLIENTES!B:L,11,0)</f>
        <v>RODRIGO</v>
      </c>
      <c r="Q175" s="25" t="str">
        <f>VLOOKUP(F175,[1]CLIENTES!B:M,12,0)</f>
        <v>MARCO AURELIO</v>
      </c>
      <c r="R175" s="26" t="str">
        <f>VLOOKUP(F175,[1]CLIENTES!B:J,9,0)</f>
        <v>CLAUDIO JORGE/MARIA LAURA</v>
      </c>
      <c r="S175" s="27">
        <v>11666.67</v>
      </c>
      <c r="T175" s="28" t="s">
        <v>44</v>
      </c>
      <c r="U175" s="28" t="s">
        <v>28</v>
      </c>
      <c r="V175" s="28" t="s">
        <v>29</v>
      </c>
      <c r="W175" s="28" t="s">
        <v>35</v>
      </c>
    </row>
    <row r="176" spans="1:23" ht="15" customHeight="1" x14ac:dyDescent="0.25">
      <c r="A176" s="20" t="str">
        <f>VLOOKUP(F176,[1]CLIENTES!B:L,11,0)</f>
        <v>RODRIGO</v>
      </c>
      <c r="B176" s="20" t="s">
        <v>279</v>
      </c>
      <c r="C176" s="20">
        <v>46135</v>
      </c>
      <c r="D176" s="21" t="s">
        <v>21</v>
      </c>
      <c r="E176" s="21">
        <v>1467</v>
      </c>
      <c r="F176" s="21">
        <v>5182828</v>
      </c>
      <c r="G176" s="21">
        <v>142649</v>
      </c>
      <c r="H176" s="21" t="s">
        <v>53</v>
      </c>
      <c r="I176" s="21" t="s">
        <v>54</v>
      </c>
      <c r="J176" s="21" t="s">
        <v>55</v>
      </c>
      <c r="K176" s="29">
        <v>191</v>
      </c>
      <c r="L176" s="22">
        <v>93</v>
      </c>
      <c r="M176" s="23" t="s">
        <v>309</v>
      </c>
      <c r="N176" s="24" t="s">
        <v>25</v>
      </c>
      <c r="O176" s="30">
        <v>46143</v>
      </c>
      <c r="P176" s="25" t="str">
        <f>VLOOKUP(F176,[1]CLIENTES!B:L,11,0)</f>
        <v>RODRIGO</v>
      </c>
      <c r="Q176" s="25" t="str">
        <f>VLOOKUP(F176,[1]CLIENTES!B:M,12,0)</f>
        <v>MARCO AURELIO</v>
      </c>
      <c r="R176" s="26" t="str">
        <f>VLOOKUP(F176,[1]CLIENTES!B:J,9,0)</f>
        <v>CLAUDIO JORGE</v>
      </c>
      <c r="S176" s="27">
        <v>5800</v>
      </c>
      <c r="T176" s="28" t="s">
        <v>44</v>
      </c>
      <c r="U176" s="28" t="s">
        <v>28</v>
      </c>
      <c r="V176" s="28" t="s">
        <v>29</v>
      </c>
      <c r="W176" s="28" t="s">
        <v>52</v>
      </c>
    </row>
    <row r="177" spans="1:23" ht="15" customHeight="1" x14ac:dyDescent="0.25">
      <c r="A177" s="20" t="str">
        <f>VLOOKUP(F177,[1]CLIENTES!B:L,11,0)</f>
        <v>RODRIGO</v>
      </c>
      <c r="B177" s="20" t="s">
        <v>279</v>
      </c>
      <c r="C177" s="20">
        <v>46135</v>
      </c>
      <c r="D177" s="21" t="s">
        <v>21</v>
      </c>
      <c r="E177" s="21">
        <v>1426</v>
      </c>
      <c r="F177" s="21">
        <v>5223419</v>
      </c>
      <c r="G177" s="21">
        <v>146094</v>
      </c>
      <c r="H177" s="21" t="s">
        <v>265</v>
      </c>
      <c r="I177" s="21" t="s">
        <v>266</v>
      </c>
      <c r="J177" s="21">
        <v>6123</v>
      </c>
      <c r="K177" s="29">
        <v>607</v>
      </c>
      <c r="L177" s="22">
        <v>93</v>
      </c>
      <c r="M177" s="23" t="s">
        <v>310</v>
      </c>
      <c r="N177" s="24" t="s">
        <v>25</v>
      </c>
      <c r="O177" s="30">
        <v>46143</v>
      </c>
      <c r="P177" s="25" t="str">
        <f>VLOOKUP(F177,[1]CLIENTES!B:L,11,0)</f>
        <v>RODRIGO</v>
      </c>
      <c r="Q177" s="25" t="str">
        <f>VLOOKUP(F177,[1]CLIENTES!B:M,12,0)</f>
        <v>MARCO AURELIO</v>
      </c>
      <c r="R177" s="26" t="str">
        <f>VLOOKUP(F177,[1]CLIENTES!B:J,9,0)</f>
        <v>CLAUDIO JORGE</v>
      </c>
      <c r="S177" s="27">
        <v>2200</v>
      </c>
      <c r="T177" s="28" t="s">
        <v>44</v>
      </c>
      <c r="U177" s="28" t="s">
        <v>28</v>
      </c>
      <c r="V177" s="28" t="s">
        <v>29</v>
      </c>
      <c r="W177" s="28" t="s">
        <v>52</v>
      </c>
    </row>
    <row r="178" spans="1:23" ht="15" customHeight="1" x14ac:dyDescent="0.25">
      <c r="A178" s="20" t="str">
        <f>VLOOKUP(F178,[1]CLIENTES!B:L,11,0)</f>
        <v>RODRIGO</v>
      </c>
      <c r="B178" s="20" t="s">
        <v>279</v>
      </c>
      <c r="C178" s="20">
        <v>46135</v>
      </c>
      <c r="D178" s="21" t="s">
        <v>21</v>
      </c>
      <c r="E178" s="21">
        <v>1494</v>
      </c>
      <c r="F178" s="21">
        <v>5186266</v>
      </c>
      <c r="G178" s="21">
        <v>142707</v>
      </c>
      <c r="H178" s="21" t="s">
        <v>212</v>
      </c>
      <c r="I178" s="21" t="s">
        <v>213</v>
      </c>
      <c r="J178" s="21" t="s">
        <v>214</v>
      </c>
      <c r="K178" s="29">
        <v>197</v>
      </c>
      <c r="L178" s="22">
        <v>92</v>
      </c>
      <c r="M178" s="23" t="s">
        <v>311</v>
      </c>
      <c r="N178" s="24" t="s">
        <v>25</v>
      </c>
      <c r="O178" s="30">
        <v>46143</v>
      </c>
      <c r="P178" s="25" t="str">
        <f>VLOOKUP(F178,[1]CLIENTES!B:L,11,0)</f>
        <v>RODRIGO</v>
      </c>
      <c r="Q178" s="25" t="str">
        <f>VLOOKUP(F178,[1]CLIENTES!B:M,12,0)</f>
        <v>MARCO AURELIO</v>
      </c>
      <c r="R178" s="26" t="str">
        <f>VLOOKUP(F178,[1]CLIENTES!B:J,9,0)</f>
        <v>CLAUDIO JORGE</v>
      </c>
      <c r="S178" s="27">
        <v>2194</v>
      </c>
      <c r="T178" s="28" t="s">
        <v>44</v>
      </c>
      <c r="U178" s="28" t="s">
        <v>28</v>
      </c>
      <c r="V178" s="28" t="s">
        <v>29</v>
      </c>
      <c r="W178" s="28" t="s">
        <v>52</v>
      </c>
    </row>
    <row r="179" spans="1:23" ht="15" customHeight="1" x14ac:dyDescent="0.25">
      <c r="A179" s="20" t="str">
        <f>VLOOKUP(F179,[1]CLIENTES!B:L,11,0)</f>
        <v>RODRIGO</v>
      </c>
      <c r="B179" s="20" t="s">
        <v>279</v>
      </c>
      <c r="C179" s="20">
        <v>46135</v>
      </c>
      <c r="D179" s="21" t="s">
        <v>21</v>
      </c>
      <c r="E179" s="21">
        <v>1486</v>
      </c>
      <c r="F179" s="21">
        <v>5019245</v>
      </c>
      <c r="G179" s="21">
        <v>145028</v>
      </c>
      <c r="H179" s="21" t="s">
        <v>312</v>
      </c>
      <c r="I179" s="21" t="s">
        <v>54</v>
      </c>
      <c r="J179" s="21" t="s">
        <v>55</v>
      </c>
      <c r="K179" s="29">
        <v>191</v>
      </c>
      <c r="L179" s="22">
        <v>92</v>
      </c>
      <c r="M179" s="23" t="s">
        <v>313</v>
      </c>
      <c r="N179" s="24" t="s">
        <v>25</v>
      </c>
      <c r="O179" s="30">
        <v>46143</v>
      </c>
      <c r="P179" s="25" t="str">
        <f>VLOOKUP(F179,[1]CLIENTES!B:L,11,0)</f>
        <v>RODRIGO</v>
      </c>
      <c r="Q179" s="25" t="str">
        <f>VLOOKUP(F179,[1]CLIENTES!B:M,12,0)</f>
        <v>MARCO AURELIO</v>
      </c>
      <c r="R179" s="26" t="str">
        <f>VLOOKUP(F179,[1]CLIENTES!B:J,9,0)</f>
        <v>CLAUDIO JORGE</v>
      </c>
      <c r="S179" s="27">
        <v>1203.8800000000001</v>
      </c>
      <c r="T179" s="28" t="s">
        <v>44</v>
      </c>
      <c r="U179" s="28" t="s">
        <v>28</v>
      </c>
      <c r="V179" s="28" t="s">
        <v>29</v>
      </c>
      <c r="W179" s="28" t="s">
        <v>60</v>
      </c>
    </row>
    <row r="180" spans="1:23" ht="15" customHeight="1" x14ac:dyDescent="0.25">
      <c r="A180" s="20" t="str">
        <f>VLOOKUP(F180,[1]CLIENTES!B:L,11,0)</f>
        <v>RODRIGO</v>
      </c>
      <c r="B180" s="20" t="s">
        <v>279</v>
      </c>
      <c r="C180" s="20">
        <v>46135</v>
      </c>
      <c r="D180" s="21" t="s">
        <v>21</v>
      </c>
      <c r="E180" s="21">
        <v>1408</v>
      </c>
      <c r="F180" s="21">
        <v>5004685</v>
      </c>
      <c r="G180" s="21">
        <v>110434</v>
      </c>
      <c r="H180" s="21" t="s">
        <v>116</v>
      </c>
      <c r="I180" s="21" t="s">
        <v>23</v>
      </c>
      <c r="J180" s="21">
        <v>6125</v>
      </c>
      <c r="K180" s="29">
        <v>692</v>
      </c>
      <c r="L180" s="22">
        <v>93</v>
      </c>
      <c r="M180" s="23" t="s">
        <v>314</v>
      </c>
      <c r="N180" s="24" t="s">
        <v>25</v>
      </c>
      <c r="O180" s="30">
        <v>46143</v>
      </c>
      <c r="P180" s="25" t="str">
        <f>VLOOKUP(F180,[1]CLIENTES!B:L,11,0)</f>
        <v>RODRIGO</v>
      </c>
      <c r="Q180" s="25" t="str">
        <f>VLOOKUP(F180,[1]CLIENTES!B:M,12,0)</f>
        <v>ALEXANDRO</v>
      </c>
      <c r="R180" s="26" t="str">
        <f>VLOOKUP(F180,[1]CLIENTES!B:J,9,0)</f>
        <v>ALEXANDRO RODRIGUES</v>
      </c>
      <c r="S180" s="27">
        <v>34978.519999999997</v>
      </c>
      <c r="T180" s="28" t="s">
        <v>44</v>
      </c>
      <c r="U180" s="28" t="s">
        <v>28</v>
      </c>
      <c r="V180" s="28" t="s">
        <v>29</v>
      </c>
      <c r="W180" s="28" t="s">
        <v>60</v>
      </c>
    </row>
    <row r="181" spans="1:23" ht="15" customHeight="1" x14ac:dyDescent="0.25">
      <c r="A181" s="20" t="str">
        <f>VLOOKUP(F181,[1]CLIENTES!B:L,11,0)</f>
        <v>RODRIGO</v>
      </c>
      <c r="B181" s="20" t="s">
        <v>279</v>
      </c>
      <c r="C181" s="20">
        <v>46135</v>
      </c>
      <c r="D181" s="21" t="s">
        <v>21</v>
      </c>
      <c r="E181" s="21">
        <v>1408</v>
      </c>
      <c r="F181" s="21">
        <v>5004685</v>
      </c>
      <c r="G181" s="21">
        <v>110434</v>
      </c>
      <c r="H181" s="21" t="s">
        <v>116</v>
      </c>
      <c r="I181" s="21" t="s">
        <v>23</v>
      </c>
      <c r="J181" s="21">
        <v>6125</v>
      </c>
      <c r="K181" s="29">
        <v>692</v>
      </c>
      <c r="L181" s="22">
        <v>93</v>
      </c>
      <c r="M181" s="23" t="s">
        <v>315</v>
      </c>
      <c r="N181" s="24" t="s">
        <v>25</v>
      </c>
      <c r="O181" s="30">
        <v>46143</v>
      </c>
      <c r="P181" s="25" t="str">
        <f>VLOOKUP(F181,[1]CLIENTES!B:L,11,0)</f>
        <v>RODRIGO</v>
      </c>
      <c r="Q181" s="25" t="str">
        <f>VLOOKUP(F181,[1]CLIENTES!B:M,12,0)</f>
        <v>ALEXANDRO</v>
      </c>
      <c r="R181" s="26" t="str">
        <f>VLOOKUP(F181,[1]CLIENTES!B:J,9,0)</f>
        <v>ALEXANDRO RODRIGUES</v>
      </c>
      <c r="S181" s="27">
        <v>2500</v>
      </c>
      <c r="T181" s="28" t="s">
        <v>44</v>
      </c>
      <c r="U181" s="28" t="s">
        <v>28</v>
      </c>
      <c r="V181" s="28" t="s">
        <v>29</v>
      </c>
      <c r="W181" s="28" t="s">
        <v>52</v>
      </c>
    </row>
    <row r="182" spans="1:23" ht="15" customHeight="1" x14ac:dyDescent="0.25">
      <c r="A182" s="20" t="str">
        <f>VLOOKUP(F182,[1]CLIENTES!B:L,11,0)</f>
        <v>RODRIGO</v>
      </c>
      <c r="B182" s="20" t="s">
        <v>279</v>
      </c>
      <c r="C182" s="20">
        <v>46135</v>
      </c>
      <c r="D182" s="21" t="s">
        <v>21</v>
      </c>
      <c r="E182" s="21">
        <v>1488</v>
      </c>
      <c r="F182" s="21">
        <v>5308411</v>
      </c>
      <c r="G182" s="21">
        <v>181236</v>
      </c>
      <c r="H182" s="21" t="s">
        <v>80</v>
      </c>
      <c r="I182" s="21" t="s">
        <v>71</v>
      </c>
      <c r="J182" s="21" t="s">
        <v>72</v>
      </c>
      <c r="K182" s="29">
        <v>186</v>
      </c>
      <c r="L182" s="22">
        <v>92</v>
      </c>
      <c r="M182" s="23" t="s">
        <v>316</v>
      </c>
      <c r="N182" s="24" t="s">
        <v>25</v>
      </c>
      <c r="O182" s="30">
        <v>46143</v>
      </c>
      <c r="P182" s="25" t="str">
        <f>VLOOKUP(F182,[1]CLIENTES!B:L,11,0)</f>
        <v>RODRIGO</v>
      </c>
      <c r="Q182" s="25" t="str">
        <f>VLOOKUP(F182,[1]CLIENTES!B:M,12,0)</f>
        <v>CELIO MARTINS</v>
      </c>
      <c r="R182" s="26" t="str">
        <f>VLOOKUP(F182,[1]CLIENTES!B:J,9,0)</f>
        <v>MARCELO SILVA</v>
      </c>
      <c r="S182" s="27">
        <v>500</v>
      </c>
      <c r="T182" s="28" t="s">
        <v>44</v>
      </c>
      <c r="U182" s="28" t="s">
        <v>28</v>
      </c>
      <c r="V182" s="28" t="s">
        <v>29</v>
      </c>
      <c r="W182" s="28" t="s">
        <v>52</v>
      </c>
    </row>
    <row r="183" spans="1:23" ht="15" customHeight="1" x14ac:dyDescent="0.25">
      <c r="A183" s="20" t="str">
        <f>VLOOKUP(F183,[1]CLIENTES!B:L,11,0)</f>
        <v>RODRIGO</v>
      </c>
      <c r="B183" s="20" t="s">
        <v>279</v>
      </c>
      <c r="C183" s="20">
        <v>46135</v>
      </c>
      <c r="D183" s="21" t="s">
        <v>21</v>
      </c>
      <c r="E183" s="21">
        <v>1484</v>
      </c>
      <c r="F183" s="21">
        <v>5127060</v>
      </c>
      <c r="G183" s="21">
        <v>187971</v>
      </c>
      <c r="H183" s="21" t="s">
        <v>90</v>
      </c>
      <c r="I183" s="21" t="s">
        <v>71</v>
      </c>
      <c r="J183" s="21" t="s">
        <v>72</v>
      </c>
      <c r="K183" s="29">
        <v>186</v>
      </c>
      <c r="L183" s="22">
        <v>92</v>
      </c>
      <c r="M183" s="23" t="s">
        <v>317</v>
      </c>
      <c r="N183" s="24" t="s">
        <v>25</v>
      </c>
      <c r="O183" s="30">
        <v>46143</v>
      </c>
      <c r="P183" s="25" t="str">
        <f>VLOOKUP(F183,[1]CLIENTES!B:L,11,0)</f>
        <v>RODRIGO</v>
      </c>
      <c r="Q183" s="25" t="str">
        <f>VLOOKUP(F183,[1]CLIENTES!B:M,12,0)</f>
        <v>CELIO MARTINS</v>
      </c>
      <c r="R183" s="26" t="str">
        <f>VLOOKUP(F183,[1]CLIENTES!B:J,9,0)</f>
        <v>MARCELO SILVA</v>
      </c>
      <c r="S183" s="27">
        <v>500</v>
      </c>
      <c r="T183" s="28" t="s">
        <v>44</v>
      </c>
      <c r="U183" s="28" t="s">
        <v>28</v>
      </c>
      <c r="V183" s="28" t="s">
        <v>29</v>
      </c>
      <c r="W183" s="28" t="s">
        <v>52</v>
      </c>
    </row>
    <row r="184" spans="1:23" ht="15" customHeight="1" x14ac:dyDescent="0.25">
      <c r="A184" s="20" t="str">
        <f>VLOOKUP(F184,[1]CLIENTES!B:L,11,0)</f>
        <v>RODRIGO</v>
      </c>
      <c r="B184" s="20" t="s">
        <v>279</v>
      </c>
      <c r="C184" s="20">
        <v>46136</v>
      </c>
      <c r="D184" s="21" t="s">
        <v>21</v>
      </c>
      <c r="E184" s="21">
        <v>1488</v>
      </c>
      <c r="F184" s="21">
        <v>5308411</v>
      </c>
      <c r="G184" s="21">
        <v>181236</v>
      </c>
      <c r="H184" s="21" t="s">
        <v>80</v>
      </c>
      <c r="I184" s="21" t="s">
        <v>71</v>
      </c>
      <c r="J184" s="21" t="s">
        <v>72</v>
      </c>
      <c r="K184" s="29">
        <v>186</v>
      </c>
      <c r="L184" s="22">
        <v>92</v>
      </c>
      <c r="M184" s="23" t="s">
        <v>318</v>
      </c>
      <c r="N184" s="24" t="s">
        <v>25</v>
      </c>
      <c r="O184" s="30">
        <v>46143</v>
      </c>
      <c r="P184" s="25" t="str">
        <f>VLOOKUP(F184,[1]CLIENTES!B:L,11,0)</f>
        <v>RODRIGO</v>
      </c>
      <c r="Q184" s="25" t="str">
        <f>VLOOKUP(F184,[1]CLIENTES!B:M,12,0)</f>
        <v>CELIO MARTINS</v>
      </c>
      <c r="R184" s="26" t="str">
        <f>VLOOKUP(F184,[1]CLIENTES!B:J,9,0)</f>
        <v>MARCELO SILVA</v>
      </c>
      <c r="S184" s="27">
        <v>1000</v>
      </c>
      <c r="T184" s="28" t="s">
        <v>44</v>
      </c>
      <c r="U184" s="28" t="s">
        <v>28</v>
      </c>
      <c r="V184" s="28" t="s">
        <v>29</v>
      </c>
      <c r="W184" s="28" t="s">
        <v>97</v>
      </c>
    </row>
    <row r="185" spans="1:23" ht="15" customHeight="1" x14ac:dyDescent="0.25">
      <c r="A185" s="20" t="str">
        <f>VLOOKUP(F185,[1]CLIENTES!B:L,11,0)</f>
        <v>RODRIGO</v>
      </c>
      <c r="B185" s="20" t="s">
        <v>279</v>
      </c>
      <c r="C185" s="20">
        <v>46136</v>
      </c>
      <c r="D185" s="21" t="s">
        <v>21</v>
      </c>
      <c r="E185" s="21">
        <v>1404</v>
      </c>
      <c r="F185" s="21">
        <v>5340656</v>
      </c>
      <c r="G185" s="21">
        <v>184833</v>
      </c>
      <c r="H185" s="21" t="s">
        <v>252</v>
      </c>
      <c r="I185" s="21" t="s">
        <v>23</v>
      </c>
      <c r="J185" s="21">
        <v>6125</v>
      </c>
      <c r="K185" s="29">
        <v>692</v>
      </c>
      <c r="L185" s="22">
        <v>93</v>
      </c>
      <c r="M185" s="23" t="s">
        <v>319</v>
      </c>
      <c r="N185" s="24" t="s">
        <v>25</v>
      </c>
      <c r="O185" s="30">
        <v>46143</v>
      </c>
      <c r="P185" s="25" t="str">
        <f>VLOOKUP(F185,[1]CLIENTES!B:L,11,0)</f>
        <v>RODRIGO</v>
      </c>
      <c r="Q185" s="25" t="str">
        <f>VLOOKUP(F185,[1]CLIENTES!B:M,12,0)</f>
        <v>ALEXANDRO</v>
      </c>
      <c r="R185" s="26" t="str">
        <f>VLOOKUP(F185,[1]CLIENTES!B:J,9,0)</f>
        <v>GUILHERME NASCIMENTO</v>
      </c>
      <c r="S185" s="27">
        <v>2315.88</v>
      </c>
      <c r="T185" s="28" t="s">
        <v>44</v>
      </c>
      <c r="U185" s="28" t="s">
        <v>28</v>
      </c>
      <c r="V185" s="28" t="s">
        <v>29</v>
      </c>
      <c r="W185" s="28" t="s">
        <v>52</v>
      </c>
    </row>
    <row r="186" spans="1:23" ht="15" customHeight="1" x14ac:dyDescent="0.25">
      <c r="A186" s="20" t="str">
        <f>VLOOKUP(F186,[1]CLIENTES!B:L,11,0)</f>
        <v>RODRIGO</v>
      </c>
      <c r="B186" s="20" t="s">
        <v>279</v>
      </c>
      <c r="C186" s="20">
        <v>46136</v>
      </c>
      <c r="D186" s="21" t="s">
        <v>21</v>
      </c>
      <c r="E186" s="21">
        <v>1427</v>
      </c>
      <c r="F186" s="21">
        <v>5020347</v>
      </c>
      <c r="G186" s="21">
        <v>112787</v>
      </c>
      <c r="H186" s="21" t="s">
        <v>129</v>
      </c>
      <c r="I186" s="21" t="s">
        <v>23</v>
      </c>
      <c r="J186" s="21">
        <v>6125</v>
      </c>
      <c r="K186" s="29">
        <v>692</v>
      </c>
      <c r="L186" s="22">
        <v>93</v>
      </c>
      <c r="M186" s="23" t="s">
        <v>320</v>
      </c>
      <c r="N186" s="24" t="s">
        <v>25</v>
      </c>
      <c r="O186" s="30">
        <v>46143</v>
      </c>
      <c r="P186" s="25" t="str">
        <f>VLOOKUP(F186,[1]CLIENTES!B:L,11,0)</f>
        <v>RODRIGO</v>
      </c>
      <c r="Q186" s="25" t="str">
        <f>VLOOKUP(F186,[1]CLIENTES!B:M,12,0)</f>
        <v>ALEXANDRO</v>
      </c>
      <c r="R186" s="26" t="str">
        <f>VLOOKUP(F186,[1]CLIENTES!B:J,9,0)</f>
        <v>GUILHERME NASCIMENTO</v>
      </c>
      <c r="S186" s="27">
        <v>4000</v>
      </c>
      <c r="T186" s="28" t="s">
        <v>44</v>
      </c>
      <c r="U186" s="28" t="s">
        <v>28</v>
      </c>
      <c r="V186" s="28" t="s">
        <v>29</v>
      </c>
      <c r="W186" s="28" t="s">
        <v>52</v>
      </c>
    </row>
    <row r="187" spans="1:23" ht="15" customHeight="1" x14ac:dyDescent="0.25">
      <c r="A187" s="20" t="str">
        <f>VLOOKUP(F187,[1]CLIENTES!B:L,11,0)</f>
        <v>RODRIGO</v>
      </c>
      <c r="B187" s="20" t="s">
        <v>279</v>
      </c>
      <c r="C187" s="20">
        <v>46136</v>
      </c>
      <c r="D187" s="21" t="s">
        <v>21</v>
      </c>
      <c r="E187" s="21">
        <v>1428</v>
      </c>
      <c r="F187" s="21">
        <v>5020352</v>
      </c>
      <c r="G187" s="21">
        <v>127298</v>
      </c>
      <c r="H187" s="21" t="s">
        <v>124</v>
      </c>
      <c r="I187" s="21" t="s">
        <v>23</v>
      </c>
      <c r="J187" s="21">
        <v>6125</v>
      </c>
      <c r="K187" s="29">
        <v>692</v>
      </c>
      <c r="L187" s="22">
        <v>92</v>
      </c>
      <c r="M187" s="23" t="s">
        <v>321</v>
      </c>
      <c r="N187" s="24" t="s">
        <v>25</v>
      </c>
      <c r="O187" s="30">
        <v>46143</v>
      </c>
      <c r="P187" s="25" t="str">
        <f>VLOOKUP(F187,[1]CLIENTES!B:L,11,0)</f>
        <v>RODRIGO</v>
      </c>
      <c r="Q187" s="25" t="str">
        <f>VLOOKUP(F187,[1]CLIENTES!B:M,12,0)</f>
        <v>ALEXANDRO</v>
      </c>
      <c r="R187" s="26" t="str">
        <f>VLOOKUP(F187,[1]CLIENTES!B:J,9,0)</f>
        <v>GUILHERME NASCIMENTO</v>
      </c>
      <c r="S187" s="27">
        <v>2000</v>
      </c>
      <c r="T187" s="28" t="s">
        <v>44</v>
      </c>
      <c r="U187" s="28" t="s">
        <v>28</v>
      </c>
      <c r="V187" s="28" t="s">
        <v>29</v>
      </c>
      <c r="W187" s="28" t="s">
        <v>52</v>
      </c>
    </row>
    <row r="188" spans="1:23" ht="15" customHeight="1" x14ac:dyDescent="0.25">
      <c r="A188" s="20" t="str">
        <f>VLOOKUP(F188,[1]CLIENTES!B:L,11,0)</f>
        <v>RODRIGO</v>
      </c>
      <c r="B188" s="20" t="s">
        <v>279</v>
      </c>
      <c r="C188" s="20">
        <v>46136</v>
      </c>
      <c r="D188" s="21" t="s">
        <v>21</v>
      </c>
      <c r="E188" s="21">
        <v>1492</v>
      </c>
      <c r="F188" s="21">
        <v>5231303</v>
      </c>
      <c r="G188" s="21">
        <v>167018</v>
      </c>
      <c r="H188" s="21" t="s">
        <v>104</v>
      </c>
      <c r="I188" s="21" t="s">
        <v>37</v>
      </c>
      <c r="J188" s="21" t="s">
        <v>322</v>
      </c>
      <c r="K188" s="29">
        <v>189</v>
      </c>
      <c r="L188" s="22">
        <v>93</v>
      </c>
      <c r="M188" s="23" t="s">
        <v>323</v>
      </c>
      <c r="N188" s="24" t="s">
        <v>25</v>
      </c>
      <c r="O188" s="30">
        <v>46143</v>
      </c>
      <c r="P188" s="25" t="str">
        <f>VLOOKUP(F188,[1]CLIENTES!B:L,11,0)</f>
        <v>RODRIGO</v>
      </c>
      <c r="Q188" s="25" t="str">
        <f>VLOOKUP(F188,[1]CLIENTES!B:M,12,0)</f>
        <v>JESSICA</v>
      </c>
      <c r="R188" s="26" t="str">
        <f>VLOOKUP(F188,[1]CLIENTES!B:J,9,0)</f>
        <v>LUCIANA MARTINS</v>
      </c>
      <c r="S188" s="27">
        <v>15000</v>
      </c>
      <c r="T188" s="28" t="s">
        <v>44</v>
      </c>
      <c r="U188" s="28" t="s">
        <v>28</v>
      </c>
      <c r="V188" s="28" t="s">
        <v>29</v>
      </c>
      <c r="W188" s="28" t="s">
        <v>52</v>
      </c>
    </row>
    <row r="189" spans="1:23" ht="15" customHeight="1" x14ac:dyDescent="0.25">
      <c r="A189" s="20" t="str">
        <f>VLOOKUP(F189,[1]CLIENTES!B:L,11,0)</f>
        <v>RODRIGO</v>
      </c>
      <c r="B189" s="20" t="s">
        <v>279</v>
      </c>
      <c r="C189" s="20">
        <v>46139</v>
      </c>
      <c r="D189" s="21" t="s">
        <v>21</v>
      </c>
      <c r="E189" s="21">
        <v>5536</v>
      </c>
      <c r="F189" s="21">
        <v>5006978</v>
      </c>
      <c r="G189" s="21">
        <v>103036</v>
      </c>
      <c r="H189" s="21" t="s">
        <v>58</v>
      </c>
      <c r="I189" s="21" t="s">
        <v>23</v>
      </c>
      <c r="J189" s="21" t="s">
        <v>47</v>
      </c>
      <c r="K189" s="29">
        <v>722</v>
      </c>
      <c r="L189" s="22">
        <v>25</v>
      </c>
      <c r="M189" s="23" t="s">
        <v>324</v>
      </c>
      <c r="N189" s="24" t="s">
        <v>25</v>
      </c>
      <c r="O189" s="30">
        <v>46143</v>
      </c>
      <c r="P189" s="25" t="str">
        <f>VLOOKUP(F189,[1]CLIENTES!B:L,11,0)</f>
        <v>RODRIGO</v>
      </c>
      <c r="Q189" s="25" t="str">
        <f>VLOOKUP(F189,[1]CLIENTES!B:M,12,0)</f>
        <v>RAQUEL BARBOSA</v>
      </c>
      <c r="R189" s="26" t="str">
        <f>VLOOKUP(F189,[1]CLIENTES!B:J,9,0)</f>
        <v>RAQUEL BARBOSA</v>
      </c>
      <c r="S189" s="27">
        <v>26345</v>
      </c>
      <c r="T189" s="28" t="s">
        <v>44</v>
      </c>
      <c r="U189" s="28" t="s">
        <v>50</v>
      </c>
      <c r="V189" s="28" t="s">
        <v>51</v>
      </c>
      <c r="W189" s="28" t="s">
        <v>60</v>
      </c>
    </row>
    <row r="190" spans="1:23" ht="15" customHeight="1" x14ac:dyDescent="0.25">
      <c r="A190" s="20" t="str">
        <f>VLOOKUP(F190,[1]CLIENTES!B:L,11,0)</f>
        <v>RODRIGO</v>
      </c>
      <c r="B190" s="20" t="s">
        <v>279</v>
      </c>
      <c r="C190" s="20">
        <v>46139</v>
      </c>
      <c r="D190" s="21" t="s">
        <v>21</v>
      </c>
      <c r="E190" s="21">
        <v>5536</v>
      </c>
      <c r="F190" s="21">
        <v>5006978</v>
      </c>
      <c r="G190" s="21">
        <v>103036</v>
      </c>
      <c r="H190" s="21" t="s">
        <v>58</v>
      </c>
      <c r="I190" s="21" t="s">
        <v>23</v>
      </c>
      <c r="J190" s="21" t="s">
        <v>47</v>
      </c>
      <c r="K190" s="29">
        <v>722</v>
      </c>
      <c r="L190" s="22">
        <v>25</v>
      </c>
      <c r="M190" s="23" t="s">
        <v>325</v>
      </c>
      <c r="N190" s="24" t="s">
        <v>25</v>
      </c>
      <c r="O190" s="30">
        <v>46143</v>
      </c>
      <c r="P190" s="25" t="str">
        <f>VLOOKUP(F190,[1]CLIENTES!B:L,11,0)</f>
        <v>RODRIGO</v>
      </c>
      <c r="Q190" s="25" t="str">
        <f>VLOOKUP(F190,[1]CLIENTES!B:M,12,0)</f>
        <v>RAQUEL BARBOSA</v>
      </c>
      <c r="R190" s="26" t="str">
        <f>VLOOKUP(F190,[1]CLIENTES!B:J,9,0)</f>
        <v>RAQUEL BARBOSA</v>
      </c>
      <c r="S190" s="27">
        <v>46841.305200000003</v>
      </c>
      <c r="T190" s="28" t="s">
        <v>44</v>
      </c>
      <c r="U190" s="28" t="s">
        <v>50</v>
      </c>
      <c r="V190" s="28" t="s">
        <v>51</v>
      </c>
      <c r="W190" s="28" t="s">
        <v>60</v>
      </c>
    </row>
    <row r="191" spans="1:23" ht="15" customHeight="1" x14ac:dyDescent="0.25">
      <c r="A191" s="20" t="str">
        <f>VLOOKUP(F191,[1]CLIENTES!B:L,11,0)</f>
        <v>RODRIGO</v>
      </c>
      <c r="B191" s="20" t="s">
        <v>279</v>
      </c>
      <c r="C191" s="20">
        <v>46121</v>
      </c>
      <c r="D191" s="21" t="s">
        <v>21</v>
      </c>
      <c r="E191" s="21">
        <v>1481</v>
      </c>
      <c r="F191" s="21">
        <v>5225860</v>
      </c>
      <c r="G191" s="21">
        <v>180402</v>
      </c>
      <c r="H191" s="21" t="s">
        <v>39</v>
      </c>
      <c r="I191" s="21" t="s">
        <v>40</v>
      </c>
      <c r="J191" s="21" t="s">
        <v>41</v>
      </c>
      <c r="K191" s="29">
        <v>194</v>
      </c>
      <c r="L191" s="22">
        <v>92</v>
      </c>
      <c r="M191" s="23" t="s">
        <v>260</v>
      </c>
      <c r="N191" s="24" t="s">
        <v>25</v>
      </c>
      <c r="O191" s="30">
        <v>46143</v>
      </c>
      <c r="P191" s="25" t="str">
        <f>VLOOKUP(F191,[1]CLIENTES!B:L,11,0)</f>
        <v>RODRIGO</v>
      </c>
      <c r="Q191" s="25" t="str">
        <f>VLOOKUP(F191,[1]CLIENTES!B:M,12,0)</f>
        <v>MARIA LOURDES</v>
      </c>
      <c r="R191" s="26" t="str">
        <f>VLOOKUP(F191,[1]CLIENTES!B:J,9,0)</f>
        <v>CLAUDIO JORGE/AMANDA SANDS</v>
      </c>
      <c r="S191" s="27">
        <v>60000</v>
      </c>
      <c r="T191" s="28" t="s">
        <v>44</v>
      </c>
      <c r="U191" s="28" t="s">
        <v>28</v>
      </c>
      <c r="V191" s="28" t="s">
        <v>29</v>
      </c>
      <c r="W191" s="28" t="s">
        <v>52</v>
      </c>
    </row>
    <row r="192" spans="1:23" ht="15" customHeight="1" x14ac:dyDescent="0.25">
      <c r="A192" s="20" t="str">
        <f>VLOOKUP(F192,[1]CLIENTES!B:L,11,0)</f>
        <v>RODRIGO</v>
      </c>
      <c r="B192" s="20" t="s">
        <v>279</v>
      </c>
      <c r="C192" s="20">
        <v>46139</v>
      </c>
      <c r="D192" s="21" t="s">
        <v>21</v>
      </c>
      <c r="E192" s="21">
        <v>1411</v>
      </c>
      <c r="F192" s="21">
        <v>5006978</v>
      </c>
      <c r="G192" s="21">
        <v>103036</v>
      </c>
      <c r="H192" s="21" t="s">
        <v>58</v>
      </c>
      <c r="I192" s="21" t="s">
        <v>23</v>
      </c>
      <c r="J192" s="21">
        <v>6125</v>
      </c>
      <c r="K192" s="29">
        <v>692</v>
      </c>
      <c r="L192" s="22">
        <v>92</v>
      </c>
      <c r="M192" s="23" t="s">
        <v>326</v>
      </c>
      <c r="N192" s="24" t="s">
        <v>25</v>
      </c>
      <c r="O192" s="30">
        <v>46143</v>
      </c>
      <c r="P192" s="25" t="str">
        <f>VLOOKUP(F192,[1]CLIENTES!B:L,11,0)</f>
        <v>RODRIGO</v>
      </c>
      <c r="Q192" s="25" t="str">
        <f>VLOOKUP(F192,[1]CLIENTES!B:M,12,0)</f>
        <v>RAQUEL BARBOSA</v>
      </c>
      <c r="R192" s="26" t="str">
        <f>VLOOKUP(F192,[1]CLIENTES!B:J,9,0)</f>
        <v>RAQUEL BARBOSA</v>
      </c>
      <c r="S192" s="27">
        <v>26220.628799999999</v>
      </c>
      <c r="T192" s="28" t="s">
        <v>44</v>
      </c>
      <c r="U192" s="28" t="s">
        <v>28</v>
      </c>
      <c r="V192" s="28" t="s">
        <v>29</v>
      </c>
      <c r="W192" s="28" t="s">
        <v>60</v>
      </c>
    </row>
    <row r="193" spans="1:23" ht="15" customHeight="1" x14ac:dyDescent="0.25">
      <c r="A193" s="20" t="str">
        <f>VLOOKUP(F193,[1]CLIENTES!B:L,11,0)</f>
        <v>RODRIGO</v>
      </c>
      <c r="B193" s="20" t="s">
        <v>279</v>
      </c>
      <c r="C193" s="20">
        <v>46134</v>
      </c>
      <c r="D193" s="21" t="s">
        <v>118</v>
      </c>
      <c r="E193" s="21">
        <v>4000165056</v>
      </c>
      <c r="F193" s="21">
        <v>5026399</v>
      </c>
      <c r="G193" s="21">
        <v>116247</v>
      </c>
      <c r="H193" s="21" t="s">
        <v>119</v>
      </c>
      <c r="I193" s="21" t="s">
        <v>37</v>
      </c>
      <c r="J193" s="21">
        <v>6169</v>
      </c>
      <c r="K193" s="29">
        <v>689</v>
      </c>
      <c r="L193" s="22">
        <v>92</v>
      </c>
      <c r="M193" s="23" t="s">
        <v>327</v>
      </c>
      <c r="N193" s="24" t="s">
        <v>25</v>
      </c>
      <c r="O193" s="30">
        <v>46143</v>
      </c>
      <c r="P193" s="25" t="str">
        <f>VLOOKUP(F193,[1]CLIENTES!B:L,11,0)</f>
        <v>RODRIGO</v>
      </c>
      <c r="Q193" s="25" t="str">
        <f>VLOOKUP(F193,[1]CLIENTES!B:M,12,0)</f>
        <v>JESSICA</v>
      </c>
      <c r="R193" s="26" t="str">
        <f>VLOOKUP(F193,[1]CLIENTES!B:J,9,0)</f>
        <v>JESSICA CARLA</v>
      </c>
      <c r="S193" s="27">
        <v>51000</v>
      </c>
      <c r="T193" s="28" t="s">
        <v>44</v>
      </c>
      <c r="U193" s="28" t="s">
        <v>28</v>
      </c>
      <c r="V193" s="28" t="s">
        <v>29</v>
      </c>
      <c r="W193" s="28" t="s">
        <v>204</v>
      </c>
    </row>
    <row r="194" spans="1:23" ht="15" customHeight="1" x14ac:dyDescent="0.25">
      <c r="A194" s="20" t="str">
        <f>VLOOKUP(F194,[1]CLIENTES!B:L,11,0)</f>
        <v>RODRIGO</v>
      </c>
      <c r="B194" s="20" t="s">
        <v>328</v>
      </c>
      <c r="C194" s="20">
        <v>46147</v>
      </c>
      <c r="D194" s="21" t="s">
        <v>21</v>
      </c>
      <c r="E194" s="21">
        <v>1896</v>
      </c>
      <c r="F194" s="21">
        <v>5118346</v>
      </c>
      <c r="G194" s="21">
        <v>143232</v>
      </c>
      <c r="H194" s="21" t="s">
        <v>237</v>
      </c>
      <c r="I194" s="21" t="s">
        <v>23</v>
      </c>
      <c r="J194" s="21">
        <v>6125</v>
      </c>
      <c r="K194" s="21">
        <v>692</v>
      </c>
      <c r="L194" s="22">
        <v>93</v>
      </c>
      <c r="M194" s="23" t="s">
        <v>329</v>
      </c>
      <c r="N194" s="24" t="s">
        <v>25</v>
      </c>
      <c r="O194" s="25">
        <v>46174</v>
      </c>
      <c r="P194" s="25" t="str">
        <f>VLOOKUP(F194,[1]CLIENTES!B:L,11,0)</f>
        <v>RODRIGO</v>
      </c>
      <c r="Q194" s="25" t="str">
        <f>VLOOKUP(F194,[1]CLIENTES!B:M,12,0)</f>
        <v>RAQUEL BARBOSA</v>
      </c>
      <c r="R194" s="26" t="str">
        <f>VLOOKUP(F194,[1]CLIENTES!B:J,9,0)</f>
        <v>VAGO SP</v>
      </c>
      <c r="S194" s="27">
        <v>3663</v>
      </c>
      <c r="T194" s="28" t="s">
        <v>44</v>
      </c>
      <c r="U194" s="28" t="s">
        <v>28</v>
      </c>
      <c r="V194" s="28" t="s">
        <v>29</v>
      </c>
      <c r="W194" s="28" t="s">
        <v>60</v>
      </c>
    </row>
    <row r="195" spans="1:23" ht="15" customHeight="1" x14ac:dyDescent="0.25">
      <c r="A195" s="20" t="str">
        <f>VLOOKUP(F195,[1]CLIENTES!B:L,11,0)</f>
        <v>RODRIGO</v>
      </c>
      <c r="B195" s="20" t="s">
        <v>328</v>
      </c>
      <c r="C195" s="20">
        <v>46147</v>
      </c>
      <c r="D195" s="21" t="s">
        <v>21</v>
      </c>
      <c r="E195" s="21">
        <v>1920</v>
      </c>
      <c r="F195" s="21">
        <v>5217293</v>
      </c>
      <c r="G195" s="21">
        <v>145966</v>
      </c>
      <c r="H195" s="21" t="s">
        <v>86</v>
      </c>
      <c r="I195" s="21" t="s">
        <v>23</v>
      </c>
      <c r="J195" s="21">
        <v>6125</v>
      </c>
      <c r="K195" s="21">
        <v>692</v>
      </c>
      <c r="L195" s="22">
        <v>92</v>
      </c>
      <c r="M195" s="23" t="s">
        <v>330</v>
      </c>
      <c r="N195" s="24" t="s">
        <v>25</v>
      </c>
      <c r="O195" s="25">
        <v>46174</v>
      </c>
      <c r="P195" s="25" t="str">
        <f>VLOOKUP(F195,[1]CLIENTES!B:L,11,0)</f>
        <v>RODRIGO</v>
      </c>
      <c r="Q195" s="25" t="str">
        <f>VLOOKUP(F195,[1]CLIENTES!B:M,12,0)</f>
        <v>RAQUEL BARBOSA</v>
      </c>
      <c r="R195" s="26" t="str">
        <f>VLOOKUP(F195,[1]CLIENTES!B:J,9,0)</f>
        <v>VAGO SP</v>
      </c>
      <c r="S195" s="27">
        <v>2222.2199999999998</v>
      </c>
      <c r="T195" s="28" t="s">
        <v>44</v>
      </c>
      <c r="U195" s="28" t="s">
        <v>28</v>
      </c>
      <c r="V195" s="28" t="s">
        <v>29</v>
      </c>
      <c r="W195" s="28" t="s">
        <v>35</v>
      </c>
    </row>
    <row r="196" spans="1:23" ht="15" customHeight="1" x14ac:dyDescent="0.25">
      <c r="A196" s="20" t="str">
        <f>VLOOKUP(F196,[1]CLIENTES!B:L,11,0)</f>
        <v>RODRIGO</v>
      </c>
      <c r="B196" s="20" t="s">
        <v>328</v>
      </c>
      <c r="C196" s="20">
        <v>46149</v>
      </c>
      <c r="D196" s="21" t="s">
        <v>21</v>
      </c>
      <c r="E196" s="21">
        <v>1892</v>
      </c>
      <c r="F196" s="21">
        <v>5185642</v>
      </c>
      <c r="G196" s="21">
        <v>142109</v>
      </c>
      <c r="H196" s="21" t="s">
        <v>166</v>
      </c>
      <c r="I196" s="21" t="s">
        <v>23</v>
      </c>
      <c r="J196" s="21">
        <v>6125</v>
      </c>
      <c r="K196" s="21">
        <v>692</v>
      </c>
      <c r="L196" s="22">
        <v>93</v>
      </c>
      <c r="M196" s="23" t="s">
        <v>331</v>
      </c>
      <c r="N196" s="24" t="s">
        <v>25</v>
      </c>
      <c r="O196" s="25">
        <v>46174</v>
      </c>
      <c r="P196" s="25" t="str">
        <f>VLOOKUP(F196,[1]CLIENTES!B:L,11,0)</f>
        <v>RODRIGO</v>
      </c>
      <c r="Q196" s="25" t="str">
        <f>VLOOKUP(F196,[1]CLIENTES!B:M,12,0)</f>
        <v>RAQUEL BARBOSA</v>
      </c>
      <c r="R196" s="26" t="str">
        <f>VLOOKUP(F196,[1]CLIENTES!B:J,9,0)</f>
        <v>VAGO SP</v>
      </c>
      <c r="S196" s="27">
        <v>3000</v>
      </c>
      <c r="T196" s="28" t="s">
        <v>44</v>
      </c>
      <c r="U196" s="28" t="s">
        <v>28</v>
      </c>
      <c r="V196" s="28" t="s">
        <v>29</v>
      </c>
      <c r="W196" s="28" t="s">
        <v>60</v>
      </c>
    </row>
    <row r="197" spans="1:23" ht="15" customHeight="1" x14ac:dyDescent="0.25">
      <c r="A197" s="20" t="str">
        <f>VLOOKUP(F197,[1]CLIENTES!B:L,11,0)</f>
        <v>RODRIGO</v>
      </c>
      <c r="B197" s="20" t="s">
        <v>328</v>
      </c>
      <c r="C197" s="20">
        <v>46149</v>
      </c>
      <c r="D197" s="21" t="s">
        <v>21</v>
      </c>
      <c r="E197" s="21">
        <v>1902</v>
      </c>
      <c r="F197" s="21">
        <v>5131101</v>
      </c>
      <c r="G197" s="21">
        <v>167218</v>
      </c>
      <c r="H197" s="21" t="s">
        <v>164</v>
      </c>
      <c r="I197" s="21" t="s">
        <v>23</v>
      </c>
      <c r="J197" s="21">
        <v>6125</v>
      </c>
      <c r="K197" s="21">
        <v>692</v>
      </c>
      <c r="L197" s="22">
        <v>93</v>
      </c>
      <c r="M197" s="23" t="s">
        <v>332</v>
      </c>
      <c r="N197" s="24" t="s">
        <v>25</v>
      </c>
      <c r="O197" s="25">
        <v>46174</v>
      </c>
      <c r="P197" s="25" t="str">
        <f>VLOOKUP(F197,[1]CLIENTES!B:L,11,0)</f>
        <v>RODRIGO</v>
      </c>
      <c r="Q197" s="25" t="str">
        <f>VLOOKUP(F197,[1]CLIENTES!B:M,12,0)</f>
        <v>RAQUEL BARBOSA</v>
      </c>
      <c r="R197" s="26" t="str">
        <f>VLOOKUP(F197,[1]CLIENTES!B:J,9,0)</f>
        <v>VAGO SP</v>
      </c>
      <c r="S197" s="27">
        <v>1500</v>
      </c>
      <c r="T197" s="28" t="s">
        <v>44</v>
      </c>
      <c r="U197" s="28" t="s">
        <v>28</v>
      </c>
      <c r="V197" s="28" t="s">
        <v>29</v>
      </c>
      <c r="W197" s="28" t="s">
        <v>52</v>
      </c>
    </row>
    <row r="198" spans="1:23" ht="15" customHeight="1" x14ac:dyDescent="0.25">
      <c r="A198" s="20" t="str">
        <f>VLOOKUP(F198,[1]CLIENTES!B:L,11,0)</f>
        <v>RODRIGO</v>
      </c>
      <c r="B198" s="20" t="s">
        <v>328</v>
      </c>
      <c r="C198" s="20">
        <v>46149</v>
      </c>
      <c r="D198" s="21" t="s">
        <v>21</v>
      </c>
      <c r="E198" s="21">
        <v>6943</v>
      </c>
      <c r="F198" s="21">
        <v>5006978</v>
      </c>
      <c r="G198" s="21">
        <v>103036</v>
      </c>
      <c r="H198" s="21" t="s">
        <v>58</v>
      </c>
      <c r="I198" s="21" t="s">
        <v>23</v>
      </c>
      <c r="J198" s="21" t="s">
        <v>47</v>
      </c>
      <c r="K198" s="21">
        <v>722</v>
      </c>
      <c r="L198" s="22">
        <v>25</v>
      </c>
      <c r="M198" s="23" t="s">
        <v>333</v>
      </c>
      <c r="N198" s="24" t="s">
        <v>25</v>
      </c>
      <c r="O198" s="25">
        <v>46174</v>
      </c>
      <c r="P198" s="25" t="str">
        <f>VLOOKUP(F198,[1]CLIENTES!B:L,11,0)</f>
        <v>RODRIGO</v>
      </c>
      <c r="Q198" s="25" t="str">
        <f>VLOOKUP(F198,[1]CLIENTES!B:M,12,0)</f>
        <v>RAQUEL BARBOSA</v>
      </c>
      <c r="R198" s="26" t="str">
        <f>VLOOKUP(F198,[1]CLIENTES!B:J,9,0)</f>
        <v>RAQUEL BARBOSA</v>
      </c>
      <c r="S198" s="27">
        <v>18228.349999999999</v>
      </c>
      <c r="T198" s="28" t="s">
        <v>44</v>
      </c>
      <c r="U198" s="28" t="s">
        <v>50</v>
      </c>
      <c r="V198" s="28" t="s">
        <v>51</v>
      </c>
      <c r="W198" s="28" t="s">
        <v>60</v>
      </c>
    </row>
    <row r="199" spans="1:23" ht="15" customHeight="1" x14ac:dyDescent="0.25">
      <c r="A199" s="20" t="str">
        <f>VLOOKUP(F199,[1]CLIENTES!B:L,11,0)</f>
        <v>RODRIGO</v>
      </c>
      <c r="B199" s="20" t="s">
        <v>328</v>
      </c>
      <c r="C199" s="20">
        <v>46149</v>
      </c>
      <c r="D199" s="21" t="s">
        <v>21</v>
      </c>
      <c r="E199" s="21">
        <v>6943</v>
      </c>
      <c r="F199" s="21">
        <v>5006978</v>
      </c>
      <c r="G199" s="21">
        <v>103036</v>
      </c>
      <c r="H199" s="21" t="s">
        <v>58</v>
      </c>
      <c r="I199" s="21" t="s">
        <v>23</v>
      </c>
      <c r="J199" s="21" t="s">
        <v>47</v>
      </c>
      <c r="K199" s="21">
        <v>722</v>
      </c>
      <c r="L199" s="22">
        <v>25</v>
      </c>
      <c r="M199" s="23" t="s">
        <v>334</v>
      </c>
      <c r="N199" s="24" t="s">
        <v>25</v>
      </c>
      <c r="O199" s="25">
        <v>46174</v>
      </c>
      <c r="P199" s="25" t="str">
        <f>VLOOKUP(F199,[1]CLIENTES!B:L,11,0)</f>
        <v>RODRIGO</v>
      </c>
      <c r="Q199" s="25" t="str">
        <f>VLOOKUP(F199,[1]CLIENTES!B:M,12,0)</f>
        <v>RAQUEL BARBOSA</v>
      </c>
      <c r="R199" s="26" t="str">
        <f>VLOOKUP(F199,[1]CLIENTES!B:J,9,0)</f>
        <v>RAQUEL BARBOSA</v>
      </c>
      <c r="S199" s="27">
        <v>7390.09</v>
      </c>
      <c r="T199" s="28" t="s">
        <v>44</v>
      </c>
      <c r="U199" s="28" t="s">
        <v>50</v>
      </c>
      <c r="V199" s="28" t="s">
        <v>51</v>
      </c>
      <c r="W199" s="28" t="s">
        <v>60</v>
      </c>
    </row>
    <row r="200" spans="1:23" ht="15" customHeight="1" x14ac:dyDescent="0.25">
      <c r="A200" s="20" t="str">
        <f>VLOOKUP(F200,[1]CLIENTES!B:L,11,0)</f>
        <v>RODRIGO</v>
      </c>
      <c r="B200" s="20" t="s">
        <v>328</v>
      </c>
      <c r="C200" s="20">
        <v>46149</v>
      </c>
      <c r="D200" s="21" t="s">
        <v>21</v>
      </c>
      <c r="E200" s="21">
        <v>1898</v>
      </c>
      <c r="F200" s="21">
        <v>5006978</v>
      </c>
      <c r="G200" s="21">
        <v>103036</v>
      </c>
      <c r="H200" s="21" t="s">
        <v>58</v>
      </c>
      <c r="I200" s="21" t="s">
        <v>23</v>
      </c>
      <c r="J200" s="21">
        <v>6125</v>
      </c>
      <c r="K200" s="21">
        <v>692</v>
      </c>
      <c r="L200" s="22">
        <v>93</v>
      </c>
      <c r="M200" s="23" t="s">
        <v>335</v>
      </c>
      <c r="N200" s="24" t="s">
        <v>25</v>
      </c>
      <c r="O200" s="25">
        <v>46174</v>
      </c>
      <c r="P200" s="25" t="str">
        <f>VLOOKUP(F200,[1]CLIENTES!B:L,11,0)</f>
        <v>RODRIGO</v>
      </c>
      <c r="Q200" s="25" t="str">
        <f>VLOOKUP(F200,[1]CLIENTES!B:M,12,0)</f>
        <v>RAQUEL BARBOSA</v>
      </c>
      <c r="R200" s="26" t="str">
        <f>VLOOKUP(F200,[1]CLIENTES!B:J,9,0)</f>
        <v>RAQUEL BARBOSA</v>
      </c>
      <c r="S200" s="27">
        <v>14049.71</v>
      </c>
      <c r="T200" s="28" t="s">
        <v>44</v>
      </c>
      <c r="U200" s="28" t="s">
        <v>28</v>
      </c>
      <c r="V200" s="28" t="s">
        <v>29</v>
      </c>
      <c r="W200" s="28" t="s">
        <v>60</v>
      </c>
    </row>
    <row r="201" spans="1:23" ht="15" customHeight="1" x14ac:dyDescent="0.25">
      <c r="A201" s="20" t="str">
        <f>VLOOKUP(F201,[1]CLIENTES!B:L,11,0)</f>
        <v>RODRIGO</v>
      </c>
      <c r="B201" s="20" t="s">
        <v>328</v>
      </c>
      <c r="C201" s="20">
        <v>46149</v>
      </c>
      <c r="D201" s="21" t="s">
        <v>21</v>
      </c>
      <c r="E201" s="21">
        <v>1909</v>
      </c>
      <c r="F201" s="21">
        <v>5157891</v>
      </c>
      <c r="G201" s="21">
        <v>165987</v>
      </c>
      <c r="H201" s="21" t="s">
        <v>209</v>
      </c>
      <c r="I201" s="21" t="s">
        <v>23</v>
      </c>
      <c r="J201" s="21">
        <v>6125</v>
      </c>
      <c r="K201" s="21">
        <v>692</v>
      </c>
      <c r="L201" s="22">
        <v>92</v>
      </c>
      <c r="M201" s="23" t="s">
        <v>336</v>
      </c>
      <c r="N201" s="24" t="s">
        <v>25</v>
      </c>
      <c r="O201" s="25">
        <v>46174</v>
      </c>
      <c r="P201" s="25" t="str">
        <f>VLOOKUP(F201,[1]CLIENTES!B:L,11,0)</f>
        <v>RODRIGO</v>
      </c>
      <c r="Q201" s="25" t="str">
        <f>VLOOKUP(F201,[1]CLIENTES!B:M,12,0)</f>
        <v>RAQUEL BARBOSA</v>
      </c>
      <c r="R201" s="26" t="str">
        <f>VLOOKUP(F201,[1]CLIENTES!B:J,9,0)</f>
        <v>RAQUEL BARBOSA</v>
      </c>
      <c r="S201" s="27">
        <v>4365.6499999999996</v>
      </c>
      <c r="T201" s="28" t="s">
        <v>44</v>
      </c>
      <c r="U201" s="28" t="s">
        <v>28</v>
      </c>
      <c r="V201" s="28" t="s">
        <v>29</v>
      </c>
      <c r="W201" s="28" t="s">
        <v>60</v>
      </c>
    </row>
    <row r="202" spans="1:23" ht="15" customHeight="1" x14ac:dyDescent="0.25">
      <c r="A202" s="20" t="str">
        <f>VLOOKUP(F202,[1]CLIENTES!B:L,11,0)</f>
        <v>RODRIGO</v>
      </c>
      <c r="B202" s="20" t="s">
        <v>328</v>
      </c>
      <c r="C202" s="20">
        <v>46149</v>
      </c>
      <c r="D202" s="21" t="s">
        <v>21</v>
      </c>
      <c r="E202" s="21">
        <v>1925</v>
      </c>
      <c r="F202" s="21">
        <v>5004685</v>
      </c>
      <c r="G202" s="21">
        <v>110434</v>
      </c>
      <c r="H202" s="21" t="s">
        <v>116</v>
      </c>
      <c r="I202" s="21" t="s">
        <v>23</v>
      </c>
      <c r="J202" s="21">
        <v>6125</v>
      </c>
      <c r="K202" s="21">
        <v>692</v>
      </c>
      <c r="L202" s="22">
        <v>93</v>
      </c>
      <c r="M202" s="23" t="s">
        <v>337</v>
      </c>
      <c r="N202" s="24" t="s">
        <v>25</v>
      </c>
      <c r="O202" s="25">
        <v>46174</v>
      </c>
      <c r="P202" s="25" t="str">
        <f>VLOOKUP(F202,[1]CLIENTES!B:L,11,0)</f>
        <v>RODRIGO</v>
      </c>
      <c r="Q202" s="25" t="str">
        <f>VLOOKUP(F202,[1]CLIENTES!B:M,12,0)</f>
        <v>ALEXANDRO</v>
      </c>
      <c r="R202" s="26" t="str">
        <f>VLOOKUP(F202,[1]CLIENTES!B:J,9,0)</f>
        <v>ALEXANDRO RODRIGUES</v>
      </c>
      <c r="S202" s="27">
        <v>12891.61</v>
      </c>
      <c r="T202" s="28" t="s">
        <v>44</v>
      </c>
      <c r="U202" s="28" t="s">
        <v>28</v>
      </c>
      <c r="V202" s="28" t="s">
        <v>29</v>
      </c>
      <c r="W202" s="28" t="s">
        <v>338</v>
      </c>
    </row>
    <row r="203" spans="1:23" ht="15" customHeight="1" x14ac:dyDescent="0.25">
      <c r="A203" s="20" t="str">
        <f>VLOOKUP(F203,[1]CLIENTES!B:L,11,0)</f>
        <v>RODRIGO</v>
      </c>
      <c r="B203" s="20" t="s">
        <v>328</v>
      </c>
      <c r="C203" s="20">
        <v>46153</v>
      </c>
      <c r="D203" s="21" t="s">
        <v>21</v>
      </c>
      <c r="E203" s="21">
        <v>1894</v>
      </c>
      <c r="F203" s="21">
        <v>5109334</v>
      </c>
      <c r="G203" s="21">
        <v>134327</v>
      </c>
      <c r="H203" s="21" t="s">
        <v>339</v>
      </c>
      <c r="I203" s="21" t="s">
        <v>23</v>
      </c>
      <c r="J203" s="21">
        <v>6125</v>
      </c>
      <c r="K203" s="21">
        <v>692</v>
      </c>
      <c r="L203" s="22">
        <v>93</v>
      </c>
      <c r="M203" s="23" t="s">
        <v>340</v>
      </c>
      <c r="N203" s="24" t="s">
        <v>25</v>
      </c>
      <c r="O203" s="25">
        <v>46174</v>
      </c>
      <c r="P203" s="25" t="str">
        <f>VLOOKUP(F203,[1]CLIENTES!B:L,11,0)</f>
        <v>RODRIGO</v>
      </c>
      <c r="Q203" s="25" t="str">
        <f>VLOOKUP(F203,[1]CLIENTES!B:M,12,0)</f>
        <v>RAQUEL BARBOSA</v>
      </c>
      <c r="R203" s="26" t="str">
        <f>VLOOKUP(F203,[1]CLIENTES!B:J,9,0)</f>
        <v>SP ITB FS FLAC REP.E COMERCIO</v>
      </c>
      <c r="S203" s="27">
        <v>149.24</v>
      </c>
      <c r="T203" s="28" t="s">
        <v>44</v>
      </c>
      <c r="U203" s="28" t="s">
        <v>28</v>
      </c>
      <c r="V203" s="28" t="s">
        <v>29</v>
      </c>
      <c r="W203" s="28" t="s">
        <v>60</v>
      </c>
    </row>
    <row r="204" spans="1:23" ht="15" customHeight="1" x14ac:dyDescent="0.25">
      <c r="A204" s="20" t="str">
        <f>VLOOKUP(F204,[1]CLIENTES!B:L,11,0)</f>
        <v>RODRIGO</v>
      </c>
      <c r="B204" s="20" t="s">
        <v>328</v>
      </c>
      <c r="C204" s="20">
        <v>46157</v>
      </c>
      <c r="D204" s="21" t="s">
        <v>21</v>
      </c>
      <c r="E204" s="21">
        <v>1913</v>
      </c>
      <c r="F204" s="21">
        <v>5023770</v>
      </c>
      <c r="G204" s="21">
        <v>111937</v>
      </c>
      <c r="H204" s="21" t="s">
        <v>341</v>
      </c>
      <c r="I204" s="21" t="s">
        <v>132</v>
      </c>
      <c r="J204" s="21">
        <v>6127</v>
      </c>
      <c r="K204" s="21">
        <v>605</v>
      </c>
      <c r="L204" s="22">
        <v>92</v>
      </c>
      <c r="M204" s="23" t="s">
        <v>342</v>
      </c>
      <c r="N204" s="24" t="s">
        <v>25</v>
      </c>
      <c r="O204" s="25">
        <v>46174</v>
      </c>
      <c r="P204" s="25" t="str">
        <f>VLOOKUP(F204,[1]CLIENTES!B:L,11,0)</f>
        <v>RODRIGO</v>
      </c>
      <c r="Q204" s="25" t="str">
        <f>VLOOKUP(F204,[1]CLIENTES!B:M,12,0)</f>
        <v>MARIA LOURDES</v>
      </c>
      <c r="R204" s="26" t="str">
        <f>VLOOKUP(F204,[1]CLIENTES!B:J,9,0)</f>
        <v>WH FOOD SERVICE CE</v>
      </c>
      <c r="S204" s="27">
        <v>2000</v>
      </c>
      <c r="T204" s="28" t="s">
        <v>44</v>
      </c>
      <c r="U204" s="28" t="s">
        <v>28</v>
      </c>
      <c r="V204" s="28" t="s">
        <v>29</v>
      </c>
      <c r="W204" s="28" t="s">
        <v>126</v>
      </c>
    </row>
    <row r="205" spans="1:23" ht="15" customHeight="1" x14ac:dyDescent="0.25">
      <c r="A205" s="20" t="str">
        <f>VLOOKUP(F205,[1]CLIENTES!B:L,11,0)</f>
        <v>RODRIGO</v>
      </c>
      <c r="B205" s="20" t="s">
        <v>328</v>
      </c>
      <c r="C205" s="20">
        <v>46160</v>
      </c>
      <c r="D205" s="21" t="s">
        <v>21</v>
      </c>
      <c r="E205" s="21">
        <v>1912</v>
      </c>
      <c r="F205" s="21">
        <v>5077852</v>
      </c>
      <c r="G205" s="21">
        <v>130737</v>
      </c>
      <c r="H205" s="21" t="s">
        <v>343</v>
      </c>
      <c r="I205" s="21" t="s">
        <v>23</v>
      </c>
      <c r="J205" s="21">
        <v>6125</v>
      </c>
      <c r="K205" s="21">
        <v>692</v>
      </c>
      <c r="L205" s="22">
        <v>93</v>
      </c>
      <c r="M205" s="23" t="s">
        <v>344</v>
      </c>
      <c r="N205" s="24" t="s">
        <v>25</v>
      </c>
      <c r="O205" s="25">
        <v>46174</v>
      </c>
      <c r="P205" s="25" t="str">
        <f>VLOOKUP(F205,[1]CLIENTES!B:L,11,0)</f>
        <v>RODRIGO</v>
      </c>
      <c r="Q205" s="25" t="str">
        <f>VLOOKUP(F205,[1]CLIENTES!B:M,12,0)</f>
        <v>ALEXANDRE BONANI</v>
      </c>
      <c r="R205" s="26" t="str">
        <f>VLOOKUP(F205,[1]CLIENTES!B:J,9,0)</f>
        <v>ALEXANDRE BONANI</v>
      </c>
      <c r="S205" s="27">
        <v>370</v>
      </c>
      <c r="T205" s="28" t="s">
        <v>44</v>
      </c>
      <c r="U205" s="28" t="s">
        <v>28</v>
      </c>
      <c r="V205" s="28" t="s">
        <v>29</v>
      </c>
      <c r="W205" s="28" t="s">
        <v>126</v>
      </c>
    </row>
    <row r="206" spans="1:23" ht="15" customHeight="1" x14ac:dyDescent="0.25">
      <c r="A206" s="20" t="str">
        <f>VLOOKUP(F206,[1]CLIENTES!B:L,11,0)</f>
        <v>RODRIGO</v>
      </c>
      <c r="B206" s="20" t="s">
        <v>328</v>
      </c>
      <c r="C206" s="20">
        <v>46160</v>
      </c>
      <c r="D206" s="21" t="s">
        <v>21</v>
      </c>
      <c r="E206" s="21">
        <v>1925</v>
      </c>
      <c r="F206" s="21">
        <v>5004685</v>
      </c>
      <c r="G206" s="21">
        <v>110434</v>
      </c>
      <c r="H206" s="21" t="s">
        <v>116</v>
      </c>
      <c r="I206" s="21" t="s">
        <v>23</v>
      </c>
      <c r="J206" s="21">
        <v>6125</v>
      </c>
      <c r="K206" s="21">
        <v>692</v>
      </c>
      <c r="L206" s="22">
        <v>93</v>
      </c>
      <c r="M206" s="23" t="s">
        <v>345</v>
      </c>
      <c r="N206" s="24" t="s">
        <v>25</v>
      </c>
      <c r="O206" s="25">
        <v>46174</v>
      </c>
      <c r="P206" s="25" t="str">
        <f>VLOOKUP(F206,[1]CLIENTES!B:L,11,0)</f>
        <v>RODRIGO</v>
      </c>
      <c r="Q206" s="25" t="str">
        <f>VLOOKUP(F206,[1]CLIENTES!B:M,12,0)</f>
        <v>ALEXANDRO</v>
      </c>
      <c r="R206" s="26" t="str">
        <f>VLOOKUP(F206,[1]CLIENTES!B:J,9,0)</f>
        <v>ALEXANDRO RODRIGUES</v>
      </c>
      <c r="S206" s="27">
        <v>2500</v>
      </c>
      <c r="T206" s="28" t="s">
        <v>44</v>
      </c>
      <c r="U206" s="28" t="s">
        <v>28</v>
      </c>
      <c r="V206" s="28" t="s">
        <v>29</v>
      </c>
      <c r="W206" s="28" t="s">
        <v>126</v>
      </c>
    </row>
    <row r="207" spans="1:23" ht="15" customHeight="1" x14ac:dyDescent="0.25">
      <c r="A207" s="20" t="str">
        <f>VLOOKUP(F207,[1]CLIENTES!B:L,11,0)</f>
        <v>RODRIGO</v>
      </c>
      <c r="B207" s="20" t="s">
        <v>328</v>
      </c>
      <c r="C207" s="20">
        <v>46160</v>
      </c>
      <c r="D207" s="21" t="s">
        <v>21</v>
      </c>
      <c r="E207" s="21">
        <v>1925</v>
      </c>
      <c r="F207" s="21">
        <v>5004685</v>
      </c>
      <c r="G207" s="21">
        <v>110434</v>
      </c>
      <c r="H207" s="21" t="s">
        <v>116</v>
      </c>
      <c r="I207" s="21" t="s">
        <v>23</v>
      </c>
      <c r="J207" s="21">
        <v>6125</v>
      </c>
      <c r="K207" s="21">
        <v>692</v>
      </c>
      <c r="L207" s="22">
        <v>93</v>
      </c>
      <c r="M207" s="23" t="s">
        <v>346</v>
      </c>
      <c r="N207" s="24" t="s">
        <v>25</v>
      </c>
      <c r="O207" s="25">
        <v>46174</v>
      </c>
      <c r="P207" s="25" t="str">
        <f>VLOOKUP(F207,[1]CLIENTES!B:L,11,0)</f>
        <v>RODRIGO</v>
      </c>
      <c r="Q207" s="25" t="str">
        <f>VLOOKUP(F207,[1]CLIENTES!B:M,12,0)</f>
        <v>ALEXANDRO</v>
      </c>
      <c r="R207" s="26" t="str">
        <f>VLOOKUP(F207,[1]CLIENTES!B:J,9,0)</f>
        <v>ALEXANDRO RODRIGUES</v>
      </c>
      <c r="S207" s="27">
        <v>17524.21</v>
      </c>
      <c r="T207" s="28" t="s">
        <v>44</v>
      </c>
      <c r="U207" s="28" t="s">
        <v>28</v>
      </c>
      <c r="V207" s="28" t="s">
        <v>29</v>
      </c>
      <c r="W207" s="28" t="s">
        <v>60</v>
      </c>
    </row>
    <row r="208" spans="1:23" ht="15" customHeight="1" x14ac:dyDescent="0.25">
      <c r="A208" s="20" t="str">
        <f>VLOOKUP(F208,[1]CLIENTES!B:L,11,0)</f>
        <v>RODRIGO</v>
      </c>
      <c r="B208" s="20" t="s">
        <v>328</v>
      </c>
      <c r="C208" s="20">
        <v>46163</v>
      </c>
      <c r="D208" s="21" t="s">
        <v>21</v>
      </c>
      <c r="E208" s="21">
        <v>1908</v>
      </c>
      <c r="F208" s="21">
        <v>5107112</v>
      </c>
      <c r="G208" s="21">
        <v>123370</v>
      </c>
      <c r="H208" s="21" t="s">
        <v>62</v>
      </c>
      <c r="I208" s="21" t="s">
        <v>23</v>
      </c>
      <c r="J208" s="21">
        <v>6125</v>
      </c>
      <c r="K208" s="21">
        <v>692</v>
      </c>
      <c r="L208" s="22">
        <v>93</v>
      </c>
      <c r="M208" s="23" t="s">
        <v>347</v>
      </c>
      <c r="N208" s="24" t="s">
        <v>25</v>
      </c>
      <c r="O208" s="25">
        <v>46174</v>
      </c>
      <c r="P208" s="25" t="str">
        <f>VLOOKUP(F208,[1]CLIENTES!B:L,11,0)</f>
        <v>RODRIGO</v>
      </c>
      <c r="Q208" s="25" t="str">
        <f>VLOOKUP(F208,[1]CLIENTES!B:M,12,0)</f>
        <v>ALEXANDRO</v>
      </c>
      <c r="R208" s="26" t="str">
        <f>VLOOKUP(F208,[1]CLIENTES!B:J,9,0)</f>
        <v>GUILHERME NASCIMENTO</v>
      </c>
      <c r="S208" s="27">
        <v>7692</v>
      </c>
      <c r="T208" s="28" t="s">
        <v>44</v>
      </c>
      <c r="U208" s="28" t="s">
        <v>28</v>
      </c>
      <c r="V208" s="28" t="s">
        <v>29</v>
      </c>
      <c r="W208" s="28" t="s">
        <v>126</v>
      </c>
    </row>
    <row r="209" spans="1:23" ht="15" customHeight="1" x14ac:dyDescent="0.25">
      <c r="A209" s="20" t="str">
        <f>VLOOKUP(F209,[1]CLIENTES!B:L,11,0)</f>
        <v>RODRIGO</v>
      </c>
      <c r="B209" s="20" t="s">
        <v>328</v>
      </c>
      <c r="C209" s="20">
        <v>46164</v>
      </c>
      <c r="D209" s="21" t="s">
        <v>21</v>
      </c>
      <c r="E209" s="21">
        <v>1891</v>
      </c>
      <c r="F209" s="21">
        <v>5149985</v>
      </c>
      <c r="G209" s="21">
        <v>142628</v>
      </c>
      <c r="H209" s="21" t="s">
        <v>233</v>
      </c>
      <c r="I209" s="21" t="s">
        <v>23</v>
      </c>
      <c r="J209" s="21">
        <v>6125</v>
      </c>
      <c r="K209" s="21">
        <v>692</v>
      </c>
      <c r="L209" s="22">
        <v>92</v>
      </c>
      <c r="M209" s="23" t="s">
        <v>348</v>
      </c>
      <c r="N209" s="24" t="s">
        <v>25</v>
      </c>
      <c r="O209" s="25">
        <v>46174</v>
      </c>
      <c r="P209" s="25" t="str">
        <f>VLOOKUP(F209,[1]CLIENTES!B:L,11,0)</f>
        <v>RODRIGO</v>
      </c>
      <c r="Q209" s="25" t="str">
        <f>VLOOKUP(F209,[1]CLIENTES!B:M,12,0)</f>
        <v>ALEXANDRO</v>
      </c>
      <c r="R209" s="26" t="str">
        <f>VLOOKUP(F209,[1]CLIENTES!B:J,9,0)</f>
        <v>GUILHERME NASCIMENTO</v>
      </c>
      <c r="S209" s="27">
        <v>4000</v>
      </c>
      <c r="T209" s="28" t="s">
        <v>44</v>
      </c>
      <c r="U209" s="28" t="s">
        <v>28</v>
      </c>
      <c r="V209" s="28" t="s">
        <v>29</v>
      </c>
      <c r="W209" s="28" t="s">
        <v>126</v>
      </c>
    </row>
    <row r="210" spans="1:23" ht="15" customHeight="1" x14ac:dyDescent="0.25">
      <c r="A210" s="20" t="str">
        <f>VLOOKUP(F210,[1]CLIENTES!B:L,11,0)</f>
        <v>RODRIGO</v>
      </c>
      <c r="B210" s="20" t="s">
        <v>328</v>
      </c>
      <c r="C210" s="20">
        <v>46164</v>
      </c>
      <c r="D210" s="21" t="s">
        <v>21</v>
      </c>
      <c r="E210" s="21">
        <v>1899</v>
      </c>
      <c r="F210" s="21">
        <v>5023831</v>
      </c>
      <c r="G210" s="21">
        <v>126676</v>
      </c>
      <c r="H210" s="21" t="s">
        <v>22</v>
      </c>
      <c r="I210" s="21" t="s">
        <v>23</v>
      </c>
      <c r="J210" s="21">
        <v>6125</v>
      </c>
      <c r="K210" s="21">
        <v>692</v>
      </c>
      <c r="L210" s="22">
        <v>93</v>
      </c>
      <c r="M210" s="23" t="s">
        <v>349</v>
      </c>
      <c r="N210" s="24" t="s">
        <v>25</v>
      </c>
      <c r="O210" s="25">
        <v>46174</v>
      </c>
      <c r="P210" s="25" t="str">
        <f>VLOOKUP(F210,[1]CLIENTES!B:L,11,0)</f>
        <v>RODRIGO</v>
      </c>
      <c r="Q210" s="25" t="str">
        <f>VLOOKUP(F210,[1]CLIENTES!B:M,12,0)</f>
        <v>RAQUEL BARBOSA</v>
      </c>
      <c r="R210" s="26" t="str">
        <f>VLOOKUP(F210,[1]CLIENTES!B:J,9,0)</f>
        <v>VAGO SP</v>
      </c>
      <c r="S210" s="27">
        <v>2950</v>
      </c>
      <c r="T210" s="28" t="s">
        <v>44</v>
      </c>
      <c r="U210" s="28" t="s">
        <v>28</v>
      </c>
      <c r="V210" s="28" t="s">
        <v>29</v>
      </c>
      <c r="W210" s="28" t="s">
        <v>60</v>
      </c>
    </row>
    <row r="211" spans="1:23" ht="15" customHeight="1" x14ac:dyDescent="0.25">
      <c r="A211" s="20" t="str">
        <f>VLOOKUP(F211,[1]CLIENTES!B:L,11,0)</f>
        <v>RODRIGO</v>
      </c>
      <c r="B211" s="20" t="s">
        <v>328</v>
      </c>
      <c r="C211" s="20">
        <v>46164</v>
      </c>
      <c r="D211" s="21" t="s">
        <v>21</v>
      </c>
      <c r="E211" s="21">
        <v>2060</v>
      </c>
      <c r="F211" s="21">
        <v>5011709</v>
      </c>
      <c r="G211" s="21">
        <v>117424</v>
      </c>
      <c r="H211" s="21" t="s">
        <v>70</v>
      </c>
      <c r="I211" s="21" t="s">
        <v>71</v>
      </c>
      <c r="J211" s="21" t="s">
        <v>72</v>
      </c>
      <c r="K211" s="21">
        <v>186</v>
      </c>
      <c r="L211" s="22">
        <v>92</v>
      </c>
      <c r="M211" s="23" t="s">
        <v>350</v>
      </c>
      <c r="N211" s="24" t="s">
        <v>25</v>
      </c>
      <c r="O211" s="25">
        <v>46174</v>
      </c>
      <c r="P211" s="25" t="str">
        <f>VLOOKUP(F211,[1]CLIENTES!B:L,11,0)</f>
        <v>RODRIGO</v>
      </c>
      <c r="Q211" s="25" t="str">
        <f>VLOOKUP(F211,[1]CLIENTES!B:M,12,0)</f>
        <v>CELIO MARTINS</v>
      </c>
      <c r="R211" s="26" t="str">
        <f>VLOOKUP(F211,[1]CLIENTES!B:J,9,0)</f>
        <v>CELIO MARTINS</v>
      </c>
      <c r="S211" s="27">
        <v>2878.88</v>
      </c>
      <c r="T211" s="28" t="s">
        <v>44</v>
      </c>
      <c r="U211" s="28" t="s">
        <v>28</v>
      </c>
      <c r="V211" s="28" t="s">
        <v>29</v>
      </c>
      <c r="W211" s="28" t="s">
        <v>60</v>
      </c>
    </row>
    <row r="212" spans="1:23" ht="15" customHeight="1" x14ac:dyDescent="0.25">
      <c r="A212" s="20" t="str">
        <f>VLOOKUP(F212,[1]CLIENTES!B:L,11,0)</f>
        <v>RODRIGO</v>
      </c>
      <c r="B212" s="20" t="s">
        <v>328</v>
      </c>
      <c r="C212" s="20">
        <v>46164</v>
      </c>
      <c r="D212" s="21" t="s">
        <v>21</v>
      </c>
      <c r="E212" s="21">
        <v>2076</v>
      </c>
      <c r="F212" s="21">
        <v>5366274</v>
      </c>
      <c r="G212" s="21"/>
      <c r="H212" s="21" t="s">
        <v>351</v>
      </c>
      <c r="I212" s="21" t="s">
        <v>71</v>
      </c>
      <c r="J212" s="21" t="s">
        <v>72</v>
      </c>
      <c r="K212" s="21">
        <v>186</v>
      </c>
      <c r="L212" s="22">
        <v>92</v>
      </c>
      <c r="M212" s="23" t="s">
        <v>352</v>
      </c>
      <c r="N212" s="24" t="s">
        <v>25</v>
      </c>
      <c r="O212" s="25">
        <v>46174</v>
      </c>
      <c r="P212" s="25" t="str">
        <f>VLOOKUP(F212,[1]CLIENTES!B:L,11,0)</f>
        <v>RODRIGO</v>
      </c>
      <c r="Q212" s="25" t="str">
        <f>VLOOKUP(F212,[1]CLIENTES!B:M,12,0)</f>
        <v>CELIO MARTINS</v>
      </c>
      <c r="R212" s="26" t="str">
        <f>VLOOKUP(F212,[1]CLIENTES!B:J,9,0)</f>
        <v>MARCELO SILVA</v>
      </c>
      <c r="S212" s="27">
        <v>1500</v>
      </c>
      <c r="T212" s="28" t="s">
        <v>44</v>
      </c>
      <c r="U212" s="28" t="s">
        <v>28</v>
      </c>
      <c r="V212" s="28" t="s">
        <v>29</v>
      </c>
      <c r="W212" s="28" t="s">
        <v>60</v>
      </c>
    </row>
    <row r="213" spans="1:23" ht="15" customHeight="1" x14ac:dyDescent="0.25">
      <c r="A213" s="20" t="str">
        <f>VLOOKUP(F213,[1]CLIENTES!B:L,11,0)</f>
        <v>RODRIGO</v>
      </c>
      <c r="B213" s="20" t="s">
        <v>328</v>
      </c>
      <c r="C213" s="20">
        <v>46164</v>
      </c>
      <c r="D213" s="21" t="s">
        <v>21</v>
      </c>
      <c r="E213" s="21">
        <v>2062</v>
      </c>
      <c r="F213" s="21">
        <v>5159222</v>
      </c>
      <c r="G213" s="21">
        <v>143312</v>
      </c>
      <c r="H213" s="21" t="s">
        <v>184</v>
      </c>
      <c r="I213" s="21" t="s">
        <v>71</v>
      </c>
      <c r="J213" s="21" t="s">
        <v>72</v>
      </c>
      <c r="K213" s="21">
        <v>186</v>
      </c>
      <c r="L213" s="22">
        <v>92</v>
      </c>
      <c r="M213" s="23" t="s">
        <v>353</v>
      </c>
      <c r="N213" s="24" t="s">
        <v>25</v>
      </c>
      <c r="O213" s="25">
        <v>46174</v>
      </c>
      <c r="P213" s="25" t="str">
        <f>VLOOKUP(F213,[1]CLIENTES!B:L,11,0)</f>
        <v>RODRIGO</v>
      </c>
      <c r="Q213" s="25" t="str">
        <f>VLOOKUP(F213,[1]CLIENTES!B:M,12,0)</f>
        <v>CELIO MARTINS</v>
      </c>
      <c r="R213" s="26" t="str">
        <f>VLOOKUP(F213,[1]CLIENTES!B:J,9,0)</f>
        <v>MARCELO SILVA</v>
      </c>
      <c r="S213" s="27">
        <v>1200</v>
      </c>
      <c r="T213" s="28" t="s">
        <v>44</v>
      </c>
      <c r="U213" s="28" t="s">
        <v>28</v>
      </c>
      <c r="V213" s="28" t="s">
        <v>29</v>
      </c>
      <c r="W213" s="28" t="s">
        <v>126</v>
      </c>
    </row>
    <row r="214" spans="1:23" ht="15" customHeight="1" x14ac:dyDescent="0.25">
      <c r="A214" s="20" t="str">
        <f>VLOOKUP(F214,[1]CLIENTES!B:L,11,0)</f>
        <v>RODRIGO</v>
      </c>
      <c r="B214" s="20" t="s">
        <v>328</v>
      </c>
      <c r="C214" s="20">
        <v>46164</v>
      </c>
      <c r="D214" s="21" t="s">
        <v>21</v>
      </c>
      <c r="E214" s="21">
        <v>2065</v>
      </c>
      <c r="F214" s="21">
        <v>5127060</v>
      </c>
      <c r="G214" s="21">
        <v>187971</v>
      </c>
      <c r="H214" s="21" t="s">
        <v>90</v>
      </c>
      <c r="I214" s="21" t="s">
        <v>71</v>
      </c>
      <c r="J214" s="21" t="s">
        <v>72</v>
      </c>
      <c r="K214" s="21">
        <v>186</v>
      </c>
      <c r="L214" s="22">
        <v>92</v>
      </c>
      <c r="M214" s="23" t="s">
        <v>354</v>
      </c>
      <c r="N214" s="24" t="s">
        <v>25</v>
      </c>
      <c r="O214" s="25">
        <v>46174</v>
      </c>
      <c r="P214" s="25" t="str">
        <f>VLOOKUP(F214,[1]CLIENTES!B:L,11,0)</f>
        <v>RODRIGO</v>
      </c>
      <c r="Q214" s="25" t="str">
        <f>VLOOKUP(F214,[1]CLIENTES!B:M,12,0)</f>
        <v>CELIO MARTINS</v>
      </c>
      <c r="R214" s="26" t="str">
        <f>VLOOKUP(F214,[1]CLIENTES!B:J,9,0)</f>
        <v>MARCELO SILVA</v>
      </c>
      <c r="S214" s="27">
        <v>500</v>
      </c>
      <c r="T214" s="28" t="s">
        <v>44</v>
      </c>
      <c r="U214" s="28" t="s">
        <v>28</v>
      </c>
      <c r="V214" s="28" t="s">
        <v>29</v>
      </c>
      <c r="W214" s="28" t="s">
        <v>60</v>
      </c>
    </row>
    <row r="215" spans="1:23" ht="15" customHeight="1" x14ac:dyDescent="0.25">
      <c r="A215" s="20" t="str">
        <f>VLOOKUP(F215,[1]CLIENTES!B:L,11,0)</f>
        <v>RODRIGO</v>
      </c>
      <c r="B215" s="20" t="s">
        <v>328</v>
      </c>
      <c r="C215" s="20">
        <v>46164</v>
      </c>
      <c r="D215" s="21" t="s">
        <v>21</v>
      </c>
      <c r="E215" s="21">
        <v>2078</v>
      </c>
      <c r="F215" s="21">
        <v>5226805</v>
      </c>
      <c r="G215" s="21">
        <v>150155</v>
      </c>
      <c r="H215" s="21" t="s">
        <v>86</v>
      </c>
      <c r="I215" s="21" t="s">
        <v>71</v>
      </c>
      <c r="J215" s="21" t="s">
        <v>72</v>
      </c>
      <c r="K215" s="21">
        <v>186</v>
      </c>
      <c r="L215" s="22">
        <v>92</v>
      </c>
      <c r="M215" s="23" t="s">
        <v>355</v>
      </c>
      <c r="N215" s="24" t="s">
        <v>25</v>
      </c>
      <c r="O215" s="25">
        <v>46174</v>
      </c>
      <c r="P215" s="25" t="str">
        <f>VLOOKUP(F215,[1]CLIENTES!B:L,11,0)</f>
        <v>RODRIGO</v>
      </c>
      <c r="Q215" s="25" t="str">
        <f>VLOOKUP(F215,[1]CLIENTES!B:M,12,0)</f>
        <v>CELIO MARTINS</v>
      </c>
      <c r="R215" s="26" t="str">
        <f>VLOOKUP(F215,[1]CLIENTES!B:J,9,0)</f>
        <v>CELIO/MARANATHA</v>
      </c>
      <c r="S215" s="27">
        <v>3500</v>
      </c>
      <c r="T215" s="28" t="s">
        <v>44</v>
      </c>
      <c r="U215" s="28" t="s">
        <v>28</v>
      </c>
      <c r="V215" s="28" t="s">
        <v>29</v>
      </c>
      <c r="W215" s="28" t="s">
        <v>60</v>
      </c>
    </row>
    <row r="216" spans="1:23" ht="15" customHeight="1" x14ac:dyDescent="0.25">
      <c r="A216" s="20" t="str">
        <f>VLOOKUP(F216,[1]CLIENTES!B:L,11,0)</f>
        <v>RODRIGO</v>
      </c>
      <c r="B216" s="20" t="s">
        <v>328</v>
      </c>
      <c r="C216" s="20">
        <v>46164</v>
      </c>
      <c r="D216" s="21" t="s">
        <v>21</v>
      </c>
      <c r="E216" s="21">
        <v>2075</v>
      </c>
      <c r="F216" s="21">
        <v>5349287</v>
      </c>
      <c r="G216" s="21">
        <v>188861</v>
      </c>
      <c r="H216" s="21" t="s">
        <v>247</v>
      </c>
      <c r="I216" s="21" t="s">
        <v>71</v>
      </c>
      <c r="J216" s="21" t="s">
        <v>72</v>
      </c>
      <c r="K216" s="21">
        <v>186</v>
      </c>
      <c r="L216" s="22">
        <v>93</v>
      </c>
      <c r="M216" s="23" t="s">
        <v>356</v>
      </c>
      <c r="N216" s="24" t="s">
        <v>25</v>
      </c>
      <c r="O216" s="25">
        <v>46174</v>
      </c>
      <c r="P216" s="25" t="str">
        <f>VLOOKUP(F216,[1]CLIENTES!B:L,11,0)</f>
        <v>RODRIGO</v>
      </c>
      <c r="Q216" s="25" t="str">
        <f>VLOOKUP(F216,[1]CLIENTES!B:M,12,0)</f>
        <v>CELIO MARTINS</v>
      </c>
      <c r="R216" s="26" t="str">
        <f>VLOOKUP(F216,[1]CLIENTES!B:J,9,0)</f>
        <v>MARCELO SILVA</v>
      </c>
      <c r="S216" s="27">
        <v>300</v>
      </c>
      <c r="T216" s="28" t="s">
        <v>44</v>
      </c>
      <c r="U216" s="28" t="s">
        <v>28</v>
      </c>
      <c r="V216" s="28" t="s">
        <v>29</v>
      </c>
      <c r="W216" s="28" t="s">
        <v>60</v>
      </c>
    </row>
    <row r="217" spans="1:23" ht="15" customHeight="1" x14ac:dyDescent="0.25">
      <c r="A217" s="20" t="str">
        <f>VLOOKUP(F217,[1]CLIENTES!B:L,11,0)</f>
        <v>RODRIGO</v>
      </c>
      <c r="B217" s="20" t="s">
        <v>328</v>
      </c>
      <c r="C217" s="20">
        <v>46164</v>
      </c>
      <c r="D217" s="21" t="s">
        <v>21</v>
      </c>
      <c r="E217" s="21">
        <v>2078</v>
      </c>
      <c r="F217" s="21">
        <v>5226805</v>
      </c>
      <c r="G217" s="21">
        <v>150155</v>
      </c>
      <c r="H217" s="21" t="s">
        <v>86</v>
      </c>
      <c r="I217" s="21" t="s">
        <v>71</v>
      </c>
      <c r="J217" s="21" t="s">
        <v>72</v>
      </c>
      <c r="K217" s="21">
        <v>186</v>
      </c>
      <c r="L217" s="22">
        <v>92</v>
      </c>
      <c r="M217" s="23" t="s">
        <v>357</v>
      </c>
      <c r="N217" s="24" t="s">
        <v>25</v>
      </c>
      <c r="O217" s="25">
        <v>46174</v>
      </c>
      <c r="P217" s="25" t="str">
        <f>VLOOKUP(F217,[1]CLIENTES!B:L,11,0)</f>
        <v>RODRIGO</v>
      </c>
      <c r="Q217" s="25" t="str">
        <f>VLOOKUP(F217,[1]CLIENTES!B:M,12,0)</f>
        <v>CELIO MARTINS</v>
      </c>
      <c r="R217" s="26" t="str">
        <f>VLOOKUP(F217,[1]CLIENTES!B:J,9,0)</f>
        <v>CELIO/MARANATHA</v>
      </c>
      <c r="S217" s="27">
        <v>5000</v>
      </c>
      <c r="T217" s="28" t="s">
        <v>44</v>
      </c>
      <c r="U217" s="28" t="s">
        <v>28</v>
      </c>
      <c r="V217" s="28" t="s">
        <v>29</v>
      </c>
      <c r="W217" s="28" t="s">
        <v>35</v>
      </c>
    </row>
    <row r="218" spans="1:23" ht="15" customHeight="1" x14ac:dyDescent="0.25">
      <c r="A218" s="20" t="str">
        <f>VLOOKUP(F218,[1]CLIENTES!B:L,11,0)</f>
        <v>RODRIGO</v>
      </c>
      <c r="B218" s="20" t="s">
        <v>328</v>
      </c>
      <c r="C218" s="20">
        <v>46164</v>
      </c>
      <c r="D218" s="21" t="s">
        <v>21</v>
      </c>
      <c r="E218" s="21">
        <v>2076</v>
      </c>
      <c r="F218" s="21">
        <v>5366274</v>
      </c>
      <c r="G218" s="21"/>
      <c r="H218" s="21" t="s">
        <v>351</v>
      </c>
      <c r="I218" s="21" t="s">
        <v>71</v>
      </c>
      <c r="J218" s="21" t="s">
        <v>72</v>
      </c>
      <c r="K218" s="21">
        <v>186</v>
      </c>
      <c r="L218" s="22">
        <v>92</v>
      </c>
      <c r="M218" s="23" t="s">
        <v>358</v>
      </c>
      <c r="N218" s="24" t="s">
        <v>25</v>
      </c>
      <c r="O218" s="25">
        <v>46174</v>
      </c>
      <c r="P218" s="25" t="str">
        <f>VLOOKUP(F218,[1]CLIENTES!B:L,11,0)</f>
        <v>RODRIGO</v>
      </c>
      <c r="Q218" s="25" t="str">
        <f>VLOOKUP(F218,[1]CLIENTES!B:M,12,0)</f>
        <v>CELIO MARTINS</v>
      </c>
      <c r="R218" s="26" t="str">
        <f>VLOOKUP(F218,[1]CLIENTES!B:J,9,0)</f>
        <v>MARCELO SILVA</v>
      </c>
      <c r="S218" s="27">
        <v>3178</v>
      </c>
      <c r="T218" s="28" t="s">
        <v>44</v>
      </c>
      <c r="U218" s="28" t="s">
        <v>28</v>
      </c>
      <c r="V218" s="28" t="s">
        <v>29</v>
      </c>
      <c r="W218" s="28" t="s">
        <v>60</v>
      </c>
    </row>
    <row r="219" spans="1:23" ht="15" customHeight="1" x14ac:dyDescent="0.25">
      <c r="A219" s="20" t="str">
        <f>VLOOKUP(F219,[1]CLIENTES!B:L,11,0)</f>
        <v>RODRIGO</v>
      </c>
      <c r="B219" s="20" t="s">
        <v>328</v>
      </c>
      <c r="C219" s="20">
        <v>46167</v>
      </c>
      <c r="D219" s="21" t="s">
        <v>21</v>
      </c>
      <c r="E219" s="21">
        <v>1920</v>
      </c>
      <c r="F219" s="21">
        <v>5217293</v>
      </c>
      <c r="G219" s="21">
        <v>145966</v>
      </c>
      <c r="H219" s="21" t="s">
        <v>86</v>
      </c>
      <c r="I219" s="21" t="s">
        <v>23</v>
      </c>
      <c r="J219" s="21">
        <v>6125</v>
      </c>
      <c r="K219" s="21">
        <v>692</v>
      </c>
      <c r="L219" s="22">
        <v>92</v>
      </c>
      <c r="M219" s="23" t="s">
        <v>359</v>
      </c>
      <c r="N219" s="24" t="s">
        <v>25</v>
      </c>
      <c r="O219" s="25">
        <v>46174</v>
      </c>
      <c r="P219" s="25" t="str">
        <f>VLOOKUP(F219,[1]CLIENTES!B:L,11,0)</f>
        <v>RODRIGO</v>
      </c>
      <c r="Q219" s="25" t="str">
        <f>VLOOKUP(F219,[1]CLIENTES!B:M,12,0)</f>
        <v>RAQUEL BARBOSA</v>
      </c>
      <c r="R219" s="26" t="str">
        <f>VLOOKUP(F219,[1]CLIENTES!B:J,9,0)</f>
        <v>VAGO SP</v>
      </c>
      <c r="S219" s="27">
        <v>500</v>
      </c>
      <c r="T219" s="28" t="s">
        <v>44</v>
      </c>
      <c r="U219" s="28" t="s">
        <v>28</v>
      </c>
      <c r="V219" s="28" t="s">
        <v>29</v>
      </c>
      <c r="W219" s="28" t="s">
        <v>126</v>
      </c>
    </row>
    <row r="220" spans="1:23" ht="15" customHeight="1" x14ac:dyDescent="0.25">
      <c r="A220" s="20" t="str">
        <f>VLOOKUP(F220,[1]CLIENTES!B:L,11,0)</f>
        <v>RODRIGO</v>
      </c>
      <c r="B220" s="20" t="s">
        <v>328</v>
      </c>
      <c r="C220" s="20">
        <v>46167</v>
      </c>
      <c r="D220" s="21" t="s">
        <v>21</v>
      </c>
      <c r="E220" s="21">
        <v>1902</v>
      </c>
      <c r="F220" s="21">
        <v>5131101</v>
      </c>
      <c r="G220" s="21">
        <v>167218</v>
      </c>
      <c r="H220" s="21" t="s">
        <v>164</v>
      </c>
      <c r="I220" s="21" t="s">
        <v>23</v>
      </c>
      <c r="J220" s="21">
        <v>6125</v>
      </c>
      <c r="K220" s="21">
        <v>692</v>
      </c>
      <c r="L220" s="22">
        <v>93</v>
      </c>
      <c r="M220" s="23" t="s">
        <v>360</v>
      </c>
      <c r="N220" s="24" t="s">
        <v>25</v>
      </c>
      <c r="O220" s="25">
        <v>46174</v>
      </c>
      <c r="P220" s="25" t="str">
        <f>VLOOKUP(F220,[1]CLIENTES!B:L,11,0)</f>
        <v>RODRIGO</v>
      </c>
      <c r="Q220" s="25" t="str">
        <f>VLOOKUP(F220,[1]CLIENTES!B:M,12,0)</f>
        <v>RAQUEL BARBOSA</v>
      </c>
      <c r="R220" s="26" t="str">
        <f>VLOOKUP(F220,[1]CLIENTES!B:J,9,0)</f>
        <v>VAGO SP</v>
      </c>
      <c r="S220" s="27">
        <v>1000</v>
      </c>
      <c r="T220" s="28" t="s">
        <v>44</v>
      </c>
      <c r="U220" s="28" t="s">
        <v>28</v>
      </c>
      <c r="V220" s="28" t="s">
        <v>29</v>
      </c>
      <c r="W220" s="28" t="s">
        <v>126</v>
      </c>
    </row>
    <row r="221" spans="1:23" ht="15" customHeight="1" x14ac:dyDescent="0.25">
      <c r="A221" s="20" t="str">
        <f>VLOOKUP(F221,[1]CLIENTES!B:L,11,0)</f>
        <v>RODRIGO</v>
      </c>
      <c r="B221" s="20" t="s">
        <v>328</v>
      </c>
      <c r="C221" s="20">
        <v>46167</v>
      </c>
      <c r="D221" s="21" t="s">
        <v>21</v>
      </c>
      <c r="E221" s="21">
        <v>1904</v>
      </c>
      <c r="F221" s="21">
        <v>5261089</v>
      </c>
      <c r="G221" s="21"/>
      <c r="H221" s="21" t="s">
        <v>361</v>
      </c>
      <c r="I221" s="21" t="s">
        <v>23</v>
      </c>
      <c r="J221" s="21">
        <v>6125</v>
      </c>
      <c r="K221" s="21">
        <v>692</v>
      </c>
      <c r="L221" s="22">
        <v>93</v>
      </c>
      <c r="M221" s="23" t="s">
        <v>362</v>
      </c>
      <c r="N221" s="24" t="s">
        <v>25</v>
      </c>
      <c r="O221" s="25">
        <v>46174</v>
      </c>
      <c r="P221" s="25" t="str">
        <f>VLOOKUP(F221,[1]CLIENTES!B:L,11,0)</f>
        <v>RODRIGO</v>
      </c>
      <c r="Q221" s="25" t="str">
        <f>VLOOKUP(F221,[1]CLIENTES!B:M,12,0)</f>
        <v>ALEXANDRO</v>
      </c>
      <c r="R221" s="26" t="str">
        <f>VLOOKUP(F221,[1]CLIENTES!B:J,9,0)</f>
        <v>GUILHERME NASCIMENTO</v>
      </c>
      <c r="S221" s="27">
        <v>523.79999999999995</v>
      </c>
      <c r="T221" s="28" t="s">
        <v>44</v>
      </c>
      <c r="U221" s="28" t="s">
        <v>28</v>
      </c>
      <c r="V221" s="28" t="s">
        <v>29</v>
      </c>
      <c r="W221" s="28" t="s">
        <v>126</v>
      </c>
    </row>
    <row r="222" spans="1:23" ht="15" customHeight="1" x14ac:dyDescent="0.25">
      <c r="A222" s="20" t="str">
        <f>VLOOKUP(F222,[1]CLIENTES!B:L,11,0)</f>
        <v>RODRIGO</v>
      </c>
      <c r="B222" s="20" t="s">
        <v>328</v>
      </c>
      <c r="C222" s="20">
        <v>46167</v>
      </c>
      <c r="D222" s="21" t="s">
        <v>21</v>
      </c>
      <c r="E222" s="21">
        <v>1923</v>
      </c>
      <c r="F222" s="21">
        <v>5020347</v>
      </c>
      <c r="G222" s="21">
        <v>112787</v>
      </c>
      <c r="H222" s="21" t="s">
        <v>129</v>
      </c>
      <c r="I222" s="21" t="s">
        <v>23</v>
      </c>
      <c r="J222" s="21">
        <v>6125</v>
      </c>
      <c r="K222" s="21">
        <v>692</v>
      </c>
      <c r="L222" s="22">
        <v>93</v>
      </c>
      <c r="M222" s="23" t="s">
        <v>363</v>
      </c>
      <c r="N222" s="24" t="s">
        <v>25</v>
      </c>
      <c r="O222" s="25">
        <v>46174</v>
      </c>
      <c r="P222" s="25" t="str">
        <f>VLOOKUP(F222,[1]CLIENTES!B:L,11,0)</f>
        <v>RODRIGO</v>
      </c>
      <c r="Q222" s="25" t="str">
        <f>VLOOKUP(F222,[1]CLIENTES!B:M,12,0)</f>
        <v>ALEXANDRO</v>
      </c>
      <c r="R222" s="26" t="str">
        <f>VLOOKUP(F222,[1]CLIENTES!B:J,9,0)</f>
        <v>GUILHERME NASCIMENTO</v>
      </c>
      <c r="S222" s="27">
        <v>400</v>
      </c>
      <c r="T222" s="28" t="s">
        <v>44</v>
      </c>
      <c r="U222" s="28" t="s">
        <v>28</v>
      </c>
      <c r="V222" s="28" t="s">
        <v>29</v>
      </c>
      <c r="W222" s="28" t="s">
        <v>126</v>
      </c>
    </row>
    <row r="223" spans="1:23" ht="15" customHeight="1" x14ac:dyDescent="0.25">
      <c r="A223" s="20" t="str">
        <f>VLOOKUP(F223,[1]CLIENTES!B:L,11,0)</f>
        <v>RODRIGO</v>
      </c>
      <c r="B223" s="20" t="s">
        <v>328</v>
      </c>
      <c r="C223" s="20">
        <v>46167</v>
      </c>
      <c r="D223" s="21" t="s">
        <v>21</v>
      </c>
      <c r="E223" s="21">
        <v>2077</v>
      </c>
      <c r="F223" s="21">
        <v>5115189</v>
      </c>
      <c r="G223" s="21">
        <v>129296</v>
      </c>
      <c r="H223" s="21" t="s">
        <v>68</v>
      </c>
      <c r="I223" s="21" t="s">
        <v>54</v>
      </c>
      <c r="J223" s="21" t="s">
        <v>55</v>
      </c>
      <c r="K223" s="21">
        <v>191</v>
      </c>
      <c r="L223" s="22">
        <v>93</v>
      </c>
      <c r="M223" s="23" t="s">
        <v>364</v>
      </c>
      <c r="N223" s="24" t="s">
        <v>25</v>
      </c>
      <c r="O223" s="25">
        <v>46174</v>
      </c>
      <c r="P223" s="25" t="str">
        <f>VLOOKUP(F223,[1]CLIENTES!B:L,11,0)</f>
        <v>RODRIGO</v>
      </c>
      <c r="Q223" s="25" t="str">
        <f>VLOOKUP(F223,[1]CLIENTES!B:M,12,0)</f>
        <v>MARCO AURELIO</v>
      </c>
      <c r="R223" s="26" t="str">
        <f>VLOOKUP(F223,[1]CLIENTES!B:J,9,0)</f>
        <v>CLAUDIO JORGE/MARIA LAURA</v>
      </c>
      <c r="S223" s="27">
        <v>11666.67</v>
      </c>
      <c r="T223" s="28" t="s">
        <v>44</v>
      </c>
      <c r="U223" s="28" t="s">
        <v>28</v>
      </c>
      <c r="V223" s="28" t="s">
        <v>29</v>
      </c>
      <c r="W223" s="28" t="s">
        <v>126</v>
      </c>
    </row>
    <row r="224" spans="1:23" ht="15" customHeight="1" x14ac:dyDescent="0.25">
      <c r="A224" s="20" t="str">
        <f>VLOOKUP(F224,[1]CLIENTES!B:L,11,0)</f>
        <v>RODRIGO</v>
      </c>
      <c r="B224" s="20" t="s">
        <v>328</v>
      </c>
      <c r="C224" s="20">
        <v>46167</v>
      </c>
      <c r="D224" s="21" t="s">
        <v>21</v>
      </c>
      <c r="E224" s="21">
        <v>2052</v>
      </c>
      <c r="F224" s="21">
        <v>5182828</v>
      </c>
      <c r="G224" s="21">
        <v>142649</v>
      </c>
      <c r="H224" s="21" t="s">
        <v>53</v>
      </c>
      <c r="I224" s="21" t="s">
        <v>54</v>
      </c>
      <c r="J224" s="21" t="s">
        <v>55</v>
      </c>
      <c r="K224" s="21">
        <v>191</v>
      </c>
      <c r="L224" s="22">
        <v>93</v>
      </c>
      <c r="M224" s="23" t="s">
        <v>365</v>
      </c>
      <c r="N224" s="24" t="s">
        <v>25</v>
      </c>
      <c r="O224" s="25">
        <v>46174</v>
      </c>
      <c r="P224" s="25" t="str">
        <f>VLOOKUP(F224,[1]CLIENTES!B:L,11,0)</f>
        <v>RODRIGO</v>
      </c>
      <c r="Q224" s="25" t="str">
        <f>VLOOKUP(F224,[1]CLIENTES!B:M,12,0)</f>
        <v>MARCO AURELIO</v>
      </c>
      <c r="R224" s="26" t="str">
        <f>VLOOKUP(F224,[1]CLIENTES!B:J,9,0)</f>
        <v>CLAUDIO JORGE</v>
      </c>
      <c r="S224" s="27">
        <v>3000</v>
      </c>
      <c r="T224" s="28" t="s">
        <v>44</v>
      </c>
      <c r="U224" s="28" t="s">
        <v>28</v>
      </c>
      <c r="V224" s="28" t="s">
        <v>29</v>
      </c>
      <c r="W224" s="28" t="s">
        <v>126</v>
      </c>
    </row>
    <row r="225" spans="1:23" ht="15" customHeight="1" x14ac:dyDescent="0.25">
      <c r="A225" s="20" t="str">
        <f>VLOOKUP(F225,[1]CLIENTES!B:L,11,0)</f>
        <v>RODRIGO</v>
      </c>
      <c r="B225" s="20" t="s">
        <v>328</v>
      </c>
      <c r="C225" s="20">
        <v>46167</v>
      </c>
      <c r="D225" s="21" t="s">
        <v>21</v>
      </c>
      <c r="E225" s="21">
        <v>1910</v>
      </c>
      <c r="F225" s="21">
        <v>5223419</v>
      </c>
      <c r="G225" s="21">
        <v>146094</v>
      </c>
      <c r="H225" s="21" t="s">
        <v>265</v>
      </c>
      <c r="I225" s="21" t="s">
        <v>266</v>
      </c>
      <c r="J225" s="21">
        <v>6123</v>
      </c>
      <c r="K225" s="21">
        <v>675</v>
      </c>
      <c r="L225" s="22">
        <v>93</v>
      </c>
      <c r="M225" s="23" t="s">
        <v>366</v>
      </c>
      <c r="N225" s="24" t="s">
        <v>25</v>
      </c>
      <c r="O225" s="25">
        <v>46174</v>
      </c>
      <c r="P225" s="25" t="str">
        <f>VLOOKUP(F225,[1]CLIENTES!B:L,11,0)</f>
        <v>RODRIGO</v>
      </c>
      <c r="Q225" s="25" t="str">
        <f>VLOOKUP(F225,[1]CLIENTES!B:M,12,0)</f>
        <v>MARCO AURELIO</v>
      </c>
      <c r="R225" s="26" t="str">
        <f>VLOOKUP(F225,[1]CLIENTES!B:J,9,0)</f>
        <v>CLAUDIO JORGE</v>
      </c>
      <c r="S225" s="27">
        <v>1800</v>
      </c>
      <c r="T225" s="28" t="s">
        <v>44</v>
      </c>
      <c r="U225" s="28" t="s">
        <v>28</v>
      </c>
      <c r="V225" s="28" t="s">
        <v>29</v>
      </c>
      <c r="W225" s="28" t="s">
        <v>126</v>
      </c>
    </row>
    <row r="226" spans="1:23" ht="15" customHeight="1" x14ac:dyDescent="0.25">
      <c r="A226" s="20" t="str">
        <f>VLOOKUP(F226,[1]CLIENTES!B:L,11,0)</f>
        <v>RODRIGO</v>
      </c>
      <c r="B226" s="20" t="s">
        <v>328</v>
      </c>
      <c r="C226" s="20">
        <v>46167</v>
      </c>
      <c r="D226" s="21" t="s">
        <v>21</v>
      </c>
      <c r="E226" s="21">
        <v>2073</v>
      </c>
      <c r="F226" s="21">
        <v>5186266</v>
      </c>
      <c r="G226" s="21">
        <v>142707</v>
      </c>
      <c r="H226" s="21" t="s">
        <v>212</v>
      </c>
      <c r="I226" s="21" t="s">
        <v>213</v>
      </c>
      <c r="J226" s="21" t="s">
        <v>214</v>
      </c>
      <c r="K226" s="21">
        <v>197</v>
      </c>
      <c r="L226" s="22">
        <v>92</v>
      </c>
      <c r="M226" s="23" t="s">
        <v>367</v>
      </c>
      <c r="N226" s="24" t="s">
        <v>25</v>
      </c>
      <c r="O226" s="25">
        <v>46174</v>
      </c>
      <c r="P226" s="25" t="str">
        <f>VLOOKUP(F226,[1]CLIENTES!B:L,11,0)</f>
        <v>RODRIGO</v>
      </c>
      <c r="Q226" s="25" t="str">
        <f>VLOOKUP(F226,[1]CLIENTES!B:M,12,0)</f>
        <v>MARCO AURELIO</v>
      </c>
      <c r="R226" s="26" t="str">
        <f>VLOOKUP(F226,[1]CLIENTES!B:J,9,0)</f>
        <v>CLAUDIO JORGE</v>
      </c>
      <c r="S226" s="27">
        <v>2193.85</v>
      </c>
      <c r="T226" s="28" t="s">
        <v>44</v>
      </c>
      <c r="U226" s="28" t="s">
        <v>28</v>
      </c>
      <c r="V226" s="28" t="s">
        <v>29</v>
      </c>
      <c r="W226" s="28" t="s">
        <v>126</v>
      </c>
    </row>
    <row r="227" spans="1:23" ht="15" customHeight="1" x14ac:dyDescent="0.25">
      <c r="A227" s="20" t="str">
        <f>VLOOKUP(F227,[1]CLIENTES!B:L,11,0)</f>
        <v>RODRIGO</v>
      </c>
      <c r="B227" s="20" t="s">
        <v>328</v>
      </c>
      <c r="C227" s="20">
        <v>46167</v>
      </c>
      <c r="D227" s="21" t="s">
        <v>21</v>
      </c>
      <c r="E227" s="21">
        <v>1917</v>
      </c>
      <c r="F227" s="21">
        <v>5161469</v>
      </c>
      <c r="G227" s="21">
        <v>141489</v>
      </c>
      <c r="H227" s="21" t="s">
        <v>368</v>
      </c>
      <c r="I227" s="21" t="s">
        <v>37</v>
      </c>
      <c r="J227" s="21">
        <v>6169</v>
      </c>
      <c r="K227" s="21">
        <v>690</v>
      </c>
      <c r="L227" s="22">
        <v>92</v>
      </c>
      <c r="M227" s="23" t="s">
        <v>369</v>
      </c>
      <c r="N227" s="24" t="s">
        <v>25</v>
      </c>
      <c r="O227" s="25">
        <v>46174</v>
      </c>
      <c r="P227" s="25" t="str">
        <f>VLOOKUP(F227,[1]CLIENTES!B:L,11,0)</f>
        <v>RODRIGO</v>
      </c>
      <c r="Q227" s="25" t="str">
        <f>VLOOKUP(F227,[1]CLIENTES!B:M,12,0)</f>
        <v>JESSICA</v>
      </c>
      <c r="R227" s="26" t="str">
        <f>VLOOKUP(F227,[1]CLIENTES!B:J,9,0)</f>
        <v>LUCIANA MARTINS</v>
      </c>
      <c r="S227" s="27">
        <v>1500</v>
      </c>
      <c r="T227" s="28" t="s">
        <v>44</v>
      </c>
      <c r="U227" s="28" t="s">
        <v>28</v>
      </c>
      <c r="V227" s="28" t="s">
        <v>29</v>
      </c>
      <c r="W227" s="28" t="s">
        <v>126</v>
      </c>
    </row>
    <row r="228" spans="1:23" ht="15" customHeight="1" x14ac:dyDescent="0.25">
      <c r="A228" s="20" t="str">
        <f>VLOOKUP(F228,[1]CLIENTES!B:L,11,0)</f>
        <v>RODRIGO</v>
      </c>
      <c r="B228" s="20" t="s">
        <v>328</v>
      </c>
      <c r="C228" s="20">
        <v>46167</v>
      </c>
      <c r="D228" s="21" t="s">
        <v>21</v>
      </c>
      <c r="E228" s="21">
        <v>1906</v>
      </c>
      <c r="F228" s="21">
        <v>5115019</v>
      </c>
      <c r="G228" s="21">
        <v>123456</v>
      </c>
      <c r="H228" s="21" t="s">
        <v>36</v>
      </c>
      <c r="I228" s="21" t="s">
        <v>37</v>
      </c>
      <c r="J228" s="21">
        <v>6169</v>
      </c>
      <c r="K228" s="21">
        <v>690</v>
      </c>
      <c r="L228" s="22">
        <v>92</v>
      </c>
      <c r="M228" s="23" t="s">
        <v>370</v>
      </c>
      <c r="N228" s="24" t="s">
        <v>25</v>
      </c>
      <c r="O228" s="25">
        <v>46174</v>
      </c>
      <c r="P228" s="25" t="str">
        <f>VLOOKUP(F228,[1]CLIENTES!B:L,11,0)</f>
        <v>RODRIGO</v>
      </c>
      <c r="Q228" s="25" t="str">
        <f>VLOOKUP(F228,[1]CLIENTES!B:M,12,0)</f>
        <v>JESSICA</v>
      </c>
      <c r="R228" s="26" t="str">
        <f>VLOOKUP(F228,[1]CLIENTES!B:J,9,0)</f>
        <v>JESSICA CARLA</v>
      </c>
      <c r="S228" s="27">
        <v>20000</v>
      </c>
      <c r="T228" s="28" t="s">
        <v>44</v>
      </c>
      <c r="U228" s="28" t="s">
        <v>28</v>
      </c>
      <c r="V228" s="28" t="s">
        <v>29</v>
      </c>
      <c r="W228" s="28" t="s">
        <v>126</v>
      </c>
    </row>
    <row r="229" spans="1:23" ht="15" customHeight="1" x14ac:dyDescent="0.25">
      <c r="A229" s="20" t="str">
        <f>VLOOKUP(F229,[1]CLIENTES!B:L,11,0)</f>
        <v>RODRIGO</v>
      </c>
      <c r="B229" s="20" t="s">
        <v>328</v>
      </c>
      <c r="C229" s="20">
        <v>46167</v>
      </c>
      <c r="D229" s="21" t="s">
        <v>21</v>
      </c>
      <c r="E229" s="21">
        <v>1895</v>
      </c>
      <c r="F229" s="21">
        <v>5017576</v>
      </c>
      <c r="G229" s="21">
        <v>116132</v>
      </c>
      <c r="H229" s="21" t="s">
        <v>31</v>
      </c>
      <c r="I229" s="21" t="s">
        <v>32</v>
      </c>
      <c r="J229" s="21">
        <v>6169</v>
      </c>
      <c r="K229" s="21">
        <v>690</v>
      </c>
      <c r="L229" s="22">
        <v>92</v>
      </c>
      <c r="M229" s="23" t="s">
        <v>371</v>
      </c>
      <c r="N229" s="24" t="s">
        <v>25</v>
      </c>
      <c r="O229" s="25">
        <v>46174</v>
      </c>
      <c r="P229" s="25" t="str">
        <f>VLOOKUP(F229,[1]CLIENTES!B:L,11,0)</f>
        <v>RODRIGO</v>
      </c>
      <c r="Q229" s="25" t="str">
        <f>VLOOKUP(F229,[1]CLIENTES!B:M,12,0)</f>
        <v>JESSICA</v>
      </c>
      <c r="R229" s="26" t="str">
        <f>VLOOKUP(F229,[1]CLIENTES!B:J,9,0)</f>
        <v>MARCELO DUARTE</v>
      </c>
      <c r="S229" s="27">
        <v>10000</v>
      </c>
      <c r="T229" s="28" t="s">
        <v>44</v>
      </c>
      <c r="U229" s="28" t="s">
        <v>28</v>
      </c>
      <c r="V229" s="28" t="s">
        <v>29</v>
      </c>
      <c r="W229" s="28" t="s">
        <v>126</v>
      </c>
    </row>
    <row r="230" spans="1:23" ht="15" customHeight="1" x14ac:dyDescent="0.25">
      <c r="A230" s="20" t="str">
        <f>VLOOKUP(F230,[1]CLIENTES!B:L,11,0)</f>
        <v>RODRIGO</v>
      </c>
      <c r="B230" s="20" t="s">
        <v>328</v>
      </c>
      <c r="C230" s="20">
        <v>46167</v>
      </c>
      <c r="D230" s="21" t="s">
        <v>21</v>
      </c>
      <c r="E230" s="21">
        <v>1893</v>
      </c>
      <c r="F230" s="21">
        <v>5040108</v>
      </c>
      <c r="G230" s="21">
        <v>123355</v>
      </c>
      <c r="H230" s="21" t="s">
        <v>93</v>
      </c>
      <c r="I230" s="21" t="s">
        <v>37</v>
      </c>
      <c r="J230" s="21">
        <v>6169</v>
      </c>
      <c r="K230" s="21">
        <v>690</v>
      </c>
      <c r="L230" s="22">
        <v>92</v>
      </c>
      <c r="M230" s="23" t="s">
        <v>372</v>
      </c>
      <c r="N230" s="24" t="s">
        <v>25</v>
      </c>
      <c r="O230" s="25">
        <v>46174</v>
      </c>
      <c r="P230" s="25" t="str">
        <f>VLOOKUP(F230,[1]CLIENTES!B:L,11,0)</f>
        <v>RODRIGO</v>
      </c>
      <c r="Q230" s="25" t="str">
        <f>VLOOKUP(F230,[1]CLIENTES!B:M,12,0)</f>
        <v>JESSICA</v>
      </c>
      <c r="R230" s="26" t="str">
        <f>VLOOKUP(F230,[1]CLIENTES!B:J,9,0)</f>
        <v>CLAUDIO JORGE</v>
      </c>
      <c r="S230" s="27">
        <v>10000</v>
      </c>
      <c r="T230" s="28" t="s">
        <v>44</v>
      </c>
      <c r="U230" s="28" t="s">
        <v>28</v>
      </c>
      <c r="V230" s="28" t="s">
        <v>29</v>
      </c>
      <c r="W230" s="28" t="s">
        <v>126</v>
      </c>
    </row>
    <row r="231" spans="1:23" ht="15" customHeight="1" x14ac:dyDescent="0.25">
      <c r="A231" s="20" t="str">
        <f>VLOOKUP(F231,[1]CLIENTES!B:L,11,0)</f>
        <v>RODRIGO</v>
      </c>
      <c r="B231" s="20" t="s">
        <v>328</v>
      </c>
      <c r="C231" s="20">
        <v>46167</v>
      </c>
      <c r="D231" s="21" t="s">
        <v>21</v>
      </c>
      <c r="E231" s="21">
        <v>1922</v>
      </c>
      <c r="F231" s="21">
        <v>5231303</v>
      </c>
      <c r="G231" s="21">
        <v>167018</v>
      </c>
      <c r="H231" s="21" t="s">
        <v>104</v>
      </c>
      <c r="I231" s="21" t="s">
        <v>37</v>
      </c>
      <c r="J231" s="21">
        <v>6169</v>
      </c>
      <c r="K231" s="21">
        <v>690</v>
      </c>
      <c r="L231" s="22">
        <v>92</v>
      </c>
      <c r="M231" s="23" t="s">
        <v>373</v>
      </c>
      <c r="N231" s="24" t="s">
        <v>25</v>
      </c>
      <c r="O231" s="25">
        <v>46174</v>
      </c>
      <c r="P231" s="25" t="str">
        <f>VLOOKUP(F231,[1]CLIENTES!B:L,11,0)</f>
        <v>RODRIGO</v>
      </c>
      <c r="Q231" s="25" t="str">
        <f>VLOOKUP(F231,[1]CLIENTES!B:M,12,0)</f>
        <v>JESSICA</v>
      </c>
      <c r="R231" s="26" t="str">
        <f>VLOOKUP(F231,[1]CLIENTES!B:J,9,0)</f>
        <v>LUCIANA MARTINS</v>
      </c>
      <c r="S231" s="27">
        <v>10000</v>
      </c>
      <c r="T231" s="28" t="s">
        <v>44</v>
      </c>
      <c r="U231" s="28" t="s">
        <v>28</v>
      </c>
      <c r="V231" s="28" t="s">
        <v>29</v>
      </c>
      <c r="W231" s="28" t="s">
        <v>126</v>
      </c>
    </row>
    <row r="232" spans="1:23" ht="15" customHeight="1" x14ac:dyDescent="0.25">
      <c r="A232" s="20" t="str">
        <f>VLOOKUP(F232,[1]CLIENTES!B:L,11,0)</f>
        <v>RODRIGO</v>
      </c>
      <c r="B232" s="20" t="s">
        <v>328</v>
      </c>
      <c r="C232" s="20">
        <v>46167</v>
      </c>
      <c r="D232" s="21" t="s">
        <v>21</v>
      </c>
      <c r="E232" s="21">
        <v>1924</v>
      </c>
      <c r="F232" s="21">
        <v>5141420</v>
      </c>
      <c r="G232" s="21">
        <v>129963</v>
      </c>
      <c r="H232" s="21" t="s">
        <v>374</v>
      </c>
      <c r="I232" s="21" t="s">
        <v>266</v>
      </c>
      <c r="J232" s="21">
        <v>6123</v>
      </c>
      <c r="K232" s="21">
        <v>607</v>
      </c>
      <c r="L232" s="22">
        <v>93</v>
      </c>
      <c r="M232" s="23" t="s">
        <v>375</v>
      </c>
      <c r="N232" s="24" t="s">
        <v>25</v>
      </c>
      <c r="O232" s="25">
        <v>46174</v>
      </c>
      <c r="P232" s="25" t="str">
        <f>VLOOKUP(F232,[1]CLIENTES!B:L,11,0)</f>
        <v>RODRIGO</v>
      </c>
      <c r="Q232" s="25" t="str">
        <f>VLOOKUP(F232,[1]CLIENTES!B:M,12,0)</f>
        <v>MARCO AURELIO</v>
      </c>
      <c r="R232" s="26" t="str">
        <f>VLOOKUP(F232,[1]CLIENTES!B:J,9,0)</f>
        <v>CLAUDIO JORGE</v>
      </c>
      <c r="S232" s="27">
        <v>5000</v>
      </c>
      <c r="T232" s="28" t="s">
        <v>44</v>
      </c>
      <c r="U232" s="28" t="s">
        <v>28</v>
      </c>
      <c r="V232" s="28" t="s">
        <v>29</v>
      </c>
      <c r="W232" s="28" t="s">
        <v>126</v>
      </c>
    </row>
    <row r="233" spans="1:23" ht="15" customHeight="1" x14ac:dyDescent="0.25">
      <c r="A233" s="20" t="str">
        <f>VLOOKUP(F233,[1]CLIENTES!B:L,11,0)</f>
        <v>RODRIGO</v>
      </c>
      <c r="B233" s="20" t="s">
        <v>328</v>
      </c>
      <c r="C233" s="20">
        <v>46167</v>
      </c>
      <c r="D233" s="21" t="s">
        <v>21</v>
      </c>
      <c r="E233" s="21">
        <v>2074</v>
      </c>
      <c r="F233" s="21">
        <v>5225860</v>
      </c>
      <c r="G233" s="21">
        <v>180402</v>
      </c>
      <c r="H233" s="21" t="s">
        <v>39</v>
      </c>
      <c r="I233" s="21" t="s">
        <v>40</v>
      </c>
      <c r="J233" s="21" t="s">
        <v>41</v>
      </c>
      <c r="K233" s="21">
        <v>194</v>
      </c>
      <c r="L233" s="22">
        <v>92</v>
      </c>
      <c r="M233" s="23" t="s">
        <v>376</v>
      </c>
      <c r="N233" s="24" t="s">
        <v>25</v>
      </c>
      <c r="O233" s="25">
        <v>46174</v>
      </c>
      <c r="P233" s="25" t="str">
        <f>VLOOKUP(F233,[1]CLIENTES!B:L,11,0)</f>
        <v>RODRIGO</v>
      </c>
      <c r="Q233" s="25" t="str">
        <f>VLOOKUP(F233,[1]CLIENTES!B:M,12,0)</f>
        <v>MARIA LOURDES</v>
      </c>
      <c r="R233" s="26" t="str">
        <f>VLOOKUP(F233,[1]CLIENTES!B:J,9,0)</f>
        <v>CLAUDIO JORGE/AMANDA SANDS</v>
      </c>
      <c r="S233" s="27">
        <v>20000</v>
      </c>
      <c r="T233" s="28" t="s">
        <v>44</v>
      </c>
      <c r="U233" s="28" t="s">
        <v>28</v>
      </c>
      <c r="V233" s="28" t="s">
        <v>29</v>
      </c>
      <c r="W233" s="28" t="s">
        <v>126</v>
      </c>
    </row>
    <row r="234" spans="1:23" ht="15" customHeight="1" x14ac:dyDescent="0.25">
      <c r="A234" s="20" t="str">
        <f>VLOOKUP(F234,[1]CLIENTES!B:L,11,0)</f>
        <v>RODRIGO</v>
      </c>
      <c r="B234" s="20" t="s">
        <v>328</v>
      </c>
      <c r="C234" s="20">
        <v>46167</v>
      </c>
      <c r="D234" s="21" t="s">
        <v>21</v>
      </c>
      <c r="E234" s="21">
        <v>2072</v>
      </c>
      <c r="F234" s="21">
        <v>5133664</v>
      </c>
      <c r="G234" s="21">
        <v>142632</v>
      </c>
      <c r="H234" s="21" t="s">
        <v>134</v>
      </c>
      <c r="I234" s="21" t="s">
        <v>40</v>
      </c>
      <c r="J234" s="21" t="s">
        <v>41</v>
      </c>
      <c r="K234" s="21">
        <v>194</v>
      </c>
      <c r="L234" s="22">
        <v>92</v>
      </c>
      <c r="M234" s="23" t="s">
        <v>377</v>
      </c>
      <c r="N234" s="24" t="s">
        <v>25</v>
      </c>
      <c r="O234" s="25">
        <v>46174</v>
      </c>
      <c r="P234" s="25" t="str">
        <f>VLOOKUP(F234,[1]CLIENTES!B:L,11,0)</f>
        <v>RODRIGO</v>
      </c>
      <c r="Q234" s="25" t="str">
        <f>VLOOKUP(F234,[1]CLIENTES!B:M,12,0)</f>
        <v>MARIA LOURDES</v>
      </c>
      <c r="R234" s="26" t="str">
        <f>VLOOKUP(F234,[1]CLIENTES!B:J,9,0)</f>
        <v>CLAUDIO JORGE/AMANDA SANDS</v>
      </c>
      <c r="S234" s="27">
        <v>30000</v>
      </c>
      <c r="T234" s="28" t="s">
        <v>44</v>
      </c>
      <c r="U234" s="28" t="s">
        <v>28</v>
      </c>
      <c r="V234" s="28" t="s">
        <v>29</v>
      </c>
      <c r="W234" s="28" t="s">
        <v>126</v>
      </c>
    </row>
    <row r="235" spans="1:23" ht="15" customHeight="1" x14ac:dyDescent="0.25">
      <c r="A235" s="20" t="str">
        <f>VLOOKUP(F235,[1]CLIENTES!B:L,11,0)</f>
        <v>RODRIGO</v>
      </c>
      <c r="B235" s="20" t="s">
        <v>328</v>
      </c>
      <c r="C235" s="20">
        <v>46167</v>
      </c>
      <c r="D235" s="21" t="s">
        <v>21</v>
      </c>
      <c r="E235" s="21">
        <v>1901</v>
      </c>
      <c r="F235" s="21">
        <v>5229985</v>
      </c>
      <c r="G235" s="21">
        <v>180738</v>
      </c>
      <c r="H235" s="21" t="s">
        <v>131</v>
      </c>
      <c r="I235" s="21" t="s">
        <v>132</v>
      </c>
      <c r="J235" s="21">
        <v>6127</v>
      </c>
      <c r="K235" s="21">
        <v>682</v>
      </c>
      <c r="L235" s="22">
        <v>92</v>
      </c>
      <c r="M235" s="23" t="s">
        <v>378</v>
      </c>
      <c r="N235" s="24" t="s">
        <v>25</v>
      </c>
      <c r="O235" s="25">
        <v>46174</v>
      </c>
      <c r="P235" s="25" t="str">
        <f>VLOOKUP(F235,[1]CLIENTES!B:L,11,0)</f>
        <v>RODRIGO</v>
      </c>
      <c r="Q235" s="25" t="str">
        <f>VLOOKUP(F235,[1]CLIENTES!B:M,12,0)</f>
        <v>MARIA LOURDES</v>
      </c>
      <c r="R235" s="26" t="str">
        <f>VLOOKUP(F235,[1]CLIENTES!B:J,9,0)</f>
        <v>WH FOOD SERVICE CE</v>
      </c>
      <c r="S235" s="27">
        <v>15000</v>
      </c>
      <c r="T235" s="28" t="s">
        <v>44</v>
      </c>
      <c r="U235" s="28" t="s">
        <v>28</v>
      </c>
      <c r="V235" s="28" t="s">
        <v>29</v>
      </c>
      <c r="W235" s="28" t="s">
        <v>126</v>
      </c>
    </row>
    <row r="236" spans="1:23" ht="15" customHeight="1" x14ac:dyDescent="0.25">
      <c r="A236" s="20" t="str">
        <f>VLOOKUP(F236,[1]CLIENTES!B:L,11,0)</f>
        <v>RODRIGO</v>
      </c>
      <c r="B236" s="20" t="s">
        <v>328</v>
      </c>
      <c r="C236" s="20">
        <v>46167</v>
      </c>
      <c r="D236" s="21" t="s">
        <v>21</v>
      </c>
      <c r="E236" s="21">
        <v>1914</v>
      </c>
      <c r="F236" s="21">
        <v>5020319</v>
      </c>
      <c r="G236" s="21">
        <v>110315</v>
      </c>
      <c r="H236" s="21" t="s">
        <v>112</v>
      </c>
      <c r="I236" s="21" t="s">
        <v>113</v>
      </c>
      <c r="J236" s="21">
        <v>6127</v>
      </c>
      <c r="K236" s="21">
        <v>682</v>
      </c>
      <c r="L236" s="22">
        <v>92</v>
      </c>
      <c r="M236" s="23" t="s">
        <v>379</v>
      </c>
      <c r="N236" s="24" t="s">
        <v>25</v>
      </c>
      <c r="O236" s="25">
        <v>46174</v>
      </c>
      <c r="P236" s="25" t="str">
        <f>VLOOKUP(F236,[1]CLIENTES!B:L,11,0)</f>
        <v>RODRIGO</v>
      </c>
      <c r="Q236" s="25" t="str">
        <f>VLOOKUP(F236,[1]CLIENTES!B:M,12,0)</f>
        <v>MARIA LOURDES</v>
      </c>
      <c r="R236" s="26" t="str">
        <f>VLOOKUP(F236,[1]CLIENTES!B:J,9,0)</f>
        <v>CLAUDIO JORGE/LUIZ</v>
      </c>
      <c r="S236" s="27">
        <v>12000</v>
      </c>
      <c r="T236" s="28" t="s">
        <v>44</v>
      </c>
      <c r="U236" s="28" t="s">
        <v>28</v>
      </c>
      <c r="V236" s="28" t="s">
        <v>29</v>
      </c>
      <c r="W236" s="28" t="s">
        <v>126</v>
      </c>
    </row>
    <row r="237" spans="1:23" ht="15" customHeight="1" x14ac:dyDescent="0.25">
      <c r="A237" s="20" t="str">
        <f>VLOOKUP(F237,[1]CLIENTES!B:L,11,0)</f>
        <v>RODRIGO</v>
      </c>
      <c r="B237" s="20" t="s">
        <v>328</v>
      </c>
      <c r="C237" s="20">
        <v>46167</v>
      </c>
      <c r="D237" s="21" t="s">
        <v>21</v>
      </c>
      <c r="E237" s="21">
        <v>1900</v>
      </c>
      <c r="F237" s="21">
        <v>5026768</v>
      </c>
      <c r="G237" s="21">
        <v>113399</v>
      </c>
      <c r="H237" s="21" t="s">
        <v>139</v>
      </c>
      <c r="I237" s="21" t="s">
        <v>132</v>
      </c>
      <c r="J237" s="21">
        <v>6127</v>
      </c>
      <c r="K237" s="21">
        <v>605</v>
      </c>
      <c r="L237" s="22">
        <v>92</v>
      </c>
      <c r="M237" s="23" t="s">
        <v>380</v>
      </c>
      <c r="N237" s="24" t="s">
        <v>25</v>
      </c>
      <c r="O237" s="25">
        <v>46174</v>
      </c>
      <c r="P237" s="25" t="str">
        <f>VLOOKUP(F237,[1]CLIENTES!B:L,11,0)</f>
        <v>RODRIGO</v>
      </c>
      <c r="Q237" s="25" t="str">
        <f>VLOOKUP(F237,[1]CLIENTES!B:M,12,0)</f>
        <v>MARIA LOURDES</v>
      </c>
      <c r="R237" s="26" t="str">
        <f>VLOOKUP(F237,[1]CLIENTES!B:J,9,0)</f>
        <v>WH FOOD SERVICE CE</v>
      </c>
      <c r="S237" s="27">
        <v>5000</v>
      </c>
      <c r="T237" s="28" t="s">
        <v>44</v>
      </c>
      <c r="U237" s="28" t="s">
        <v>28</v>
      </c>
      <c r="V237" s="28" t="s">
        <v>29</v>
      </c>
      <c r="W237" s="28" t="s">
        <v>126</v>
      </c>
    </row>
    <row r="238" spans="1:23" ht="15" customHeight="1" x14ac:dyDescent="0.25">
      <c r="A238" s="20" t="str">
        <f>VLOOKUP(F238,[1]CLIENTES!B:L,11,0)</f>
        <v>RODRIGO</v>
      </c>
      <c r="B238" s="20" t="s">
        <v>328</v>
      </c>
      <c r="C238" s="20">
        <v>46167</v>
      </c>
      <c r="D238" s="21" t="s">
        <v>21</v>
      </c>
      <c r="E238" s="21">
        <v>1885</v>
      </c>
      <c r="F238" s="21">
        <v>5128707</v>
      </c>
      <c r="G238" s="21">
        <v>128420</v>
      </c>
      <c r="H238" s="21" t="s">
        <v>261</v>
      </c>
      <c r="I238" s="21" t="s">
        <v>113</v>
      </c>
      <c r="J238" s="21">
        <v>6127</v>
      </c>
      <c r="K238" s="21">
        <v>682</v>
      </c>
      <c r="L238" s="22">
        <v>92</v>
      </c>
      <c r="M238" s="23" t="s">
        <v>381</v>
      </c>
      <c r="N238" s="24" t="s">
        <v>25</v>
      </c>
      <c r="O238" s="25">
        <v>46174</v>
      </c>
      <c r="P238" s="25" t="str">
        <f>VLOOKUP(F238,[1]CLIENTES!B:L,11,0)</f>
        <v>RODRIGO</v>
      </c>
      <c r="Q238" s="25" t="str">
        <f>VLOOKUP(F238,[1]CLIENTES!B:M,12,0)</f>
        <v>MARIA LOURDES</v>
      </c>
      <c r="R238" s="26" t="str">
        <f>VLOOKUP(F238,[1]CLIENTES!B:J,9,0)</f>
        <v>CLAUDIO JORGE/LUIZ</v>
      </c>
      <c r="S238" s="27">
        <v>8000</v>
      </c>
      <c r="T238" s="28" t="s">
        <v>44</v>
      </c>
      <c r="U238" s="28" t="s">
        <v>28</v>
      </c>
      <c r="V238" s="28" t="s">
        <v>29</v>
      </c>
      <c r="W238" s="28" t="s">
        <v>126</v>
      </c>
    </row>
    <row r="239" spans="1:23" ht="15" customHeight="1" x14ac:dyDescent="0.25">
      <c r="A239" s="20" t="str">
        <f>VLOOKUP(F239,[1]CLIENTES!B:L,11,0)</f>
        <v>RODRIGO</v>
      </c>
      <c r="B239" s="20" t="s">
        <v>328</v>
      </c>
      <c r="C239" s="20">
        <v>46168</v>
      </c>
      <c r="D239" s="21" t="s">
        <v>118</v>
      </c>
      <c r="E239" s="21" t="s">
        <v>436</v>
      </c>
      <c r="F239" s="21">
        <v>5026399</v>
      </c>
      <c r="G239" s="21">
        <v>116247</v>
      </c>
      <c r="H239" s="21" t="s">
        <v>119</v>
      </c>
      <c r="I239" s="21" t="s">
        <v>37</v>
      </c>
      <c r="J239" s="21">
        <v>6169</v>
      </c>
      <c r="K239" s="21">
        <v>689</v>
      </c>
      <c r="L239" s="22">
        <v>92</v>
      </c>
      <c r="M239" s="23" t="s">
        <v>382</v>
      </c>
      <c r="N239" s="24" t="s">
        <v>25</v>
      </c>
      <c r="O239" s="25">
        <v>46176</v>
      </c>
      <c r="P239" s="25" t="str">
        <f>VLOOKUP(F239,[1]CLIENTES!B:L,11,0)</f>
        <v>RODRIGO</v>
      </c>
      <c r="Q239" s="25" t="str">
        <f>VLOOKUP(F239,[1]CLIENTES!B:M,12,0)</f>
        <v>JESSICA</v>
      </c>
      <c r="R239" s="26" t="str">
        <f>VLOOKUP(F239,[1]CLIENTES!B:J,9,0)</f>
        <v>JESSICA CARLA</v>
      </c>
      <c r="S239" s="27">
        <v>50000</v>
      </c>
      <c r="T239" s="28" t="s">
        <v>44</v>
      </c>
      <c r="U239" s="28" t="s">
        <v>28</v>
      </c>
      <c r="V239" s="28" t="s">
        <v>29</v>
      </c>
      <c r="W239" s="28" t="s">
        <v>204</v>
      </c>
    </row>
    <row r="240" spans="1:23" ht="15" customHeight="1" x14ac:dyDescent="0.25">
      <c r="A240" s="20" t="str">
        <f>VLOOKUP(F240,[1]CLIENTES!B:L,11,0)</f>
        <v>RODRIGO</v>
      </c>
      <c r="B240" s="20" t="s">
        <v>328</v>
      </c>
      <c r="C240" s="20">
        <v>46169</v>
      </c>
      <c r="D240" s="21" t="s">
        <v>21</v>
      </c>
      <c r="E240" s="21">
        <v>1921</v>
      </c>
      <c r="F240" s="21">
        <v>5020352</v>
      </c>
      <c r="G240" s="21">
        <v>127298</v>
      </c>
      <c r="H240" s="21" t="s">
        <v>124</v>
      </c>
      <c r="I240" s="21" t="s">
        <v>23</v>
      </c>
      <c r="J240" s="21">
        <v>6125</v>
      </c>
      <c r="K240" s="21">
        <v>692</v>
      </c>
      <c r="L240" s="22">
        <v>92</v>
      </c>
      <c r="M240" s="23" t="s">
        <v>383</v>
      </c>
      <c r="N240" s="24" t="s">
        <v>25</v>
      </c>
      <c r="O240" s="25">
        <v>46174</v>
      </c>
      <c r="P240" s="25" t="str">
        <f>VLOOKUP(F240,[1]CLIENTES!B:L,11,0)</f>
        <v>RODRIGO</v>
      </c>
      <c r="Q240" s="25" t="str">
        <f>VLOOKUP(F240,[1]CLIENTES!B:M,12,0)</f>
        <v>ALEXANDRO</v>
      </c>
      <c r="R240" s="26" t="str">
        <f>VLOOKUP(F240,[1]CLIENTES!B:J,9,0)</f>
        <v>GUILHERME NASCIMENTO</v>
      </c>
      <c r="S240" s="27">
        <v>2000</v>
      </c>
      <c r="T240" s="28" t="s">
        <v>44</v>
      </c>
      <c r="U240" s="28" t="s">
        <v>28</v>
      </c>
      <c r="V240" s="28" t="s">
        <v>29</v>
      </c>
      <c r="W240" s="28" t="s">
        <v>126</v>
      </c>
    </row>
    <row r="241" spans="1:23" ht="15" customHeight="1" x14ac:dyDescent="0.25">
      <c r="A241" s="20" t="str">
        <f>VLOOKUP(F241,[1]CLIENTES!B:L,11,0)</f>
        <v>RODRIGO</v>
      </c>
      <c r="B241" s="20" t="s">
        <v>328</v>
      </c>
      <c r="C241" s="20">
        <v>46169</v>
      </c>
      <c r="D241" s="21" t="s">
        <v>21</v>
      </c>
      <c r="E241" s="21">
        <v>1930</v>
      </c>
      <c r="F241" s="21">
        <v>5352113</v>
      </c>
      <c r="G241" s="21"/>
      <c r="H241" s="21" t="s">
        <v>384</v>
      </c>
      <c r="I241" s="21" t="s">
        <v>23</v>
      </c>
      <c r="J241" s="21">
        <v>6125</v>
      </c>
      <c r="K241" s="21">
        <v>692</v>
      </c>
      <c r="L241" s="22">
        <v>91</v>
      </c>
      <c r="M241" s="23" t="s">
        <v>385</v>
      </c>
      <c r="N241" s="24" t="s">
        <v>25</v>
      </c>
      <c r="O241" s="25">
        <v>46174</v>
      </c>
      <c r="P241" s="25" t="str">
        <f>VLOOKUP(F241,[1]CLIENTES!B:L,11,0)</f>
        <v>RODRIGO</v>
      </c>
      <c r="Q241" s="25" t="str">
        <f>VLOOKUP(F241,[1]CLIENTES!B:M,12,0)</f>
        <v>RAQUEL BARBOSA</v>
      </c>
      <c r="R241" s="26" t="str">
        <f>VLOOKUP(F241,[1]CLIENTES!B:J,9,0)</f>
        <v>VAGO SP</v>
      </c>
      <c r="S241" s="27">
        <v>200</v>
      </c>
      <c r="T241" s="28" t="s">
        <v>44</v>
      </c>
      <c r="U241" s="28" t="s">
        <v>28</v>
      </c>
      <c r="V241" s="28" t="s">
        <v>29</v>
      </c>
      <c r="W241" s="28" t="s">
        <v>52</v>
      </c>
    </row>
    <row r="242" spans="1:23" ht="15" customHeight="1" x14ac:dyDescent="0.25">
      <c r="A242" s="20" t="str">
        <f>VLOOKUP(F242,[1]CLIENTES!B:L,11,0)</f>
        <v>RODRIGO</v>
      </c>
      <c r="B242" s="20" t="s">
        <v>328</v>
      </c>
      <c r="C242" s="20">
        <v>46169</v>
      </c>
      <c r="D242" s="21" t="s">
        <v>21</v>
      </c>
      <c r="E242" s="21">
        <v>1929</v>
      </c>
      <c r="F242" s="21">
        <v>5019126</v>
      </c>
      <c r="G242" s="21">
        <v>103036</v>
      </c>
      <c r="H242" s="21" t="s">
        <v>386</v>
      </c>
      <c r="I242" s="21" t="s">
        <v>23</v>
      </c>
      <c r="J242" s="21">
        <v>6125</v>
      </c>
      <c r="K242" s="21">
        <v>692</v>
      </c>
      <c r="L242" s="22">
        <v>93</v>
      </c>
      <c r="M242" s="23" t="s">
        <v>387</v>
      </c>
      <c r="N242" s="24" t="s">
        <v>25</v>
      </c>
      <c r="O242" s="25">
        <v>46174</v>
      </c>
      <c r="P242" s="25" t="str">
        <f>VLOOKUP(F242,[1]CLIENTES!B:L,11,0)</f>
        <v>RODRIGO</v>
      </c>
      <c r="Q242" s="25" t="str">
        <f>VLOOKUP(F242,[1]CLIENTES!B:M,12,0)</f>
        <v>RAQUEL BARBOSA</v>
      </c>
      <c r="R242" s="26" t="str">
        <f>VLOOKUP(F242,[1]CLIENTES!B:J,9,0)</f>
        <v>VAGO SP</v>
      </c>
      <c r="S242" s="27">
        <v>632.67999999999995</v>
      </c>
      <c r="T242" s="28" t="s">
        <v>44</v>
      </c>
      <c r="U242" s="28" t="s">
        <v>28</v>
      </c>
      <c r="V242" s="28" t="s">
        <v>29</v>
      </c>
      <c r="W242" s="28" t="s">
        <v>52</v>
      </c>
    </row>
    <row r="243" spans="1:23" ht="15" customHeight="1" x14ac:dyDescent="0.25">
      <c r="A243" s="20" t="str">
        <f>VLOOKUP(F243,[1]CLIENTES!B:L,11,0)</f>
        <v>RODRIGO</v>
      </c>
      <c r="B243" s="20" t="s">
        <v>328</v>
      </c>
      <c r="C243" s="20">
        <v>46170</v>
      </c>
      <c r="D243" s="21" t="s">
        <v>21</v>
      </c>
      <c r="E243" s="21">
        <v>1944</v>
      </c>
      <c r="F243" s="21">
        <v>5109682</v>
      </c>
      <c r="G243" s="21">
        <v>128100</v>
      </c>
      <c r="H243" s="21" t="s">
        <v>88</v>
      </c>
      <c r="I243" s="21" t="s">
        <v>23</v>
      </c>
      <c r="J243" s="21">
        <v>6125</v>
      </c>
      <c r="K243" s="21">
        <v>692</v>
      </c>
      <c r="L243" s="22">
        <v>93</v>
      </c>
      <c r="M243" s="23" t="s">
        <v>388</v>
      </c>
      <c r="N243" s="24" t="s">
        <v>25</v>
      </c>
      <c r="O243" s="25">
        <v>46174</v>
      </c>
      <c r="P243" s="25" t="str">
        <f>VLOOKUP(F243,[1]CLIENTES!B:L,11,0)</f>
        <v>RODRIGO</v>
      </c>
      <c r="Q243" s="25" t="str">
        <f>VLOOKUP(F243,[1]CLIENTES!B:M,12,0)</f>
        <v>RAQUEL BARBOSA</v>
      </c>
      <c r="R243" s="26" t="str">
        <f>VLOOKUP(F243,[1]CLIENTES!B:J,9,0)</f>
        <v>VAGO SP</v>
      </c>
      <c r="S243" s="27">
        <v>4000</v>
      </c>
      <c r="T243" s="28" t="s">
        <v>44</v>
      </c>
      <c r="U243" s="28" t="s">
        <v>28</v>
      </c>
      <c r="V243" s="28" t="s">
        <v>29</v>
      </c>
      <c r="W243" s="28" t="s">
        <v>52</v>
      </c>
    </row>
    <row r="244" spans="1:23" ht="15" customHeight="1" x14ac:dyDescent="0.25">
      <c r="A244" s="20" t="str">
        <f>VLOOKUP(F244,[1]CLIENTES!B:L,11,0)</f>
        <v>RODRIGO</v>
      </c>
      <c r="B244" s="20" t="s">
        <v>328</v>
      </c>
      <c r="C244" s="20">
        <v>46170</v>
      </c>
      <c r="D244" s="21" t="s">
        <v>21</v>
      </c>
      <c r="E244" s="21">
        <v>1943</v>
      </c>
      <c r="F244" s="21">
        <v>5004685</v>
      </c>
      <c r="G244" s="21">
        <v>110434</v>
      </c>
      <c r="H244" s="21" t="s">
        <v>116</v>
      </c>
      <c r="I244" s="21" t="s">
        <v>23</v>
      </c>
      <c r="J244" s="21">
        <v>6125</v>
      </c>
      <c r="K244" s="21">
        <v>692</v>
      </c>
      <c r="L244" s="22">
        <v>92</v>
      </c>
      <c r="M244" s="23" t="s">
        <v>389</v>
      </c>
      <c r="N244" s="24" t="s">
        <v>25</v>
      </c>
      <c r="O244" s="25">
        <v>46174</v>
      </c>
      <c r="P244" s="25" t="str">
        <f>VLOOKUP(F244,[1]CLIENTES!B:L,11,0)</f>
        <v>RODRIGO</v>
      </c>
      <c r="Q244" s="25" t="str">
        <f>VLOOKUP(F244,[1]CLIENTES!B:M,12,0)</f>
        <v>ALEXANDRO</v>
      </c>
      <c r="R244" s="26" t="str">
        <f>VLOOKUP(F244,[1]CLIENTES!B:J,9,0)</f>
        <v>ALEXANDRO RODRIGUES</v>
      </c>
      <c r="S244" s="27">
        <v>4000</v>
      </c>
      <c r="T244" s="28" t="s">
        <v>44</v>
      </c>
      <c r="U244" s="28" t="s">
        <v>28</v>
      </c>
      <c r="V244" s="28" t="s">
        <v>29</v>
      </c>
      <c r="W244" s="28" t="s">
        <v>52</v>
      </c>
    </row>
    <row r="245" spans="1:23" ht="15" customHeight="1" x14ac:dyDescent="0.25">
      <c r="A245" s="20" t="str">
        <f>VLOOKUP(F245,[1]CLIENTES!B:L,11,0)</f>
        <v>PEDRO</v>
      </c>
      <c r="B245" s="20" t="s">
        <v>328</v>
      </c>
      <c r="C245" s="20">
        <v>46153</v>
      </c>
      <c r="D245" s="21" t="s">
        <v>21</v>
      </c>
      <c r="E245" s="21">
        <v>1858</v>
      </c>
      <c r="F245" s="21">
        <v>5223622</v>
      </c>
      <c r="G245" s="21"/>
      <c r="H245" s="21" t="s">
        <v>390</v>
      </c>
      <c r="I245" s="21" t="s">
        <v>76</v>
      </c>
      <c r="J245" s="21" t="s">
        <v>391</v>
      </c>
      <c r="K245" s="21" t="s">
        <v>392</v>
      </c>
      <c r="L245" s="22">
        <v>91</v>
      </c>
      <c r="M245" s="23" t="s">
        <v>393</v>
      </c>
      <c r="N245" s="24" t="s">
        <v>25</v>
      </c>
      <c r="O245" s="25">
        <v>46174</v>
      </c>
      <c r="P245" s="25" t="str">
        <f>VLOOKUP(F245,[1]CLIENTES!B:L,11,0)</f>
        <v>PEDRO</v>
      </c>
      <c r="Q245" s="25" t="str">
        <f>VLOOKUP(F245,[1]CLIENTES!B:M,12,0)</f>
        <v>VAGO QSR</v>
      </c>
      <c r="R245" s="26" t="str">
        <f>VLOOKUP(F245,[1]CLIENTES!B:J,9,0)</f>
        <v>VAGO QSR</v>
      </c>
      <c r="S245" s="27">
        <v>322</v>
      </c>
      <c r="T245" s="28" t="s">
        <v>44</v>
      </c>
      <c r="U245" s="28" t="s">
        <v>28</v>
      </c>
      <c r="V245" s="28" t="s">
        <v>29</v>
      </c>
      <c r="W245" s="28" t="s">
        <v>394</v>
      </c>
    </row>
    <row r="246" spans="1:23" ht="15" customHeight="1" x14ac:dyDescent="0.25">
      <c r="A246" s="20" t="str">
        <f>VLOOKUP(F246,[1]CLIENTES!B:L,11,0)</f>
        <v>PEDRO</v>
      </c>
      <c r="B246" s="20" t="s">
        <v>328</v>
      </c>
      <c r="C246" s="20">
        <v>46167</v>
      </c>
      <c r="D246" s="21" t="s">
        <v>21</v>
      </c>
      <c r="E246" s="21">
        <v>6944</v>
      </c>
      <c r="F246" s="21">
        <v>5337773</v>
      </c>
      <c r="G246" s="21"/>
      <c r="H246" s="21" t="s">
        <v>395</v>
      </c>
      <c r="I246" s="21" t="s">
        <v>23</v>
      </c>
      <c r="J246" s="21" t="s">
        <v>47</v>
      </c>
      <c r="K246" s="21">
        <v>722</v>
      </c>
      <c r="L246" s="22">
        <v>13</v>
      </c>
      <c r="M246" s="23" t="s">
        <v>396</v>
      </c>
      <c r="N246" s="24" t="s">
        <v>25</v>
      </c>
      <c r="O246" s="25">
        <v>46174</v>
      </c>
      <c r="P246" s="25" t="str">
        <f>VLOOKUP(F246,[1]CLIENTES!B:L,11,0)</f>
        <v>PEDRO</v>
      </c>
      <c r="Q246" s="25" t="str">
        <f>VLOOKUP(F246,[1]CLIENTES!B:M,12,0)</f>
        <v>VAGO QSR</v>
      </c>
      <c r="R246" s="26" t="str">
        <f>VLOOKUP(F246,[1]CLIENTES!B:J,9,0)</f>
        <v>VAGO QSR</v>
      </c>
      <c r="S246" s="27">
        <v>46290.1</v>
      </c>
      <c r="T246" s="28" t="s">
        <v>44</v>
      </c>
      <c r="U246" s="28" t="s">
        <v>50</v>
      </c>
      <c r="V246" s="28" t="s">
        <v>29</v>
      </c>
      <c r="W246" s="28" t="s">
        <v>394</v>
      </c>
    </row>
    <row r="247" spans="1:23" ht="15" customHeight="1" x14ac:dyDescent="0.25">
      <c r="A247" s="20" t="str">
        <f>VLOOKUP(F247,[1]CLIENTES!B:L,11,0)</f>
        <v>RODRIGO</v>
      </c>
      <c r="B247" s="20" t="s">
        <v>403</v>
      </c>
      <c r="C247" s="20">
        <v>46176</v>
      </c>
      <c r="D247" s="21" t="s">
        <v>21</v>
      </c>
      <c r="E247" s="21">
        <v>2356</v>
      </c>
      <c r="F247" s="21">
        <v>5004685</v>
      </c>
      <c r="G247" s="21">
        <v>110434</v>
      </c>
      <c r="H247" s="21" t="s">
        <v>116</v>
      </c>
      <c r="I247" s="21" t="s">
        <v>23</v>
      </c>
      <c r="J247" s="21">
        <v>6125</v>
      </c>
      <c r="K247" s="21">
        <v>692</v>
      </c>
      <c r="L247" s="22">
        <v>93</v>
      </c>
      <c r="M247" s="23" t="s">
        <v>404</v>
      </c>
      <c r="N247" s="24" t="s">
        <v>25</v>
      </c>
      <c r="O247" s="25">
        <v>46204</v>
      </c>
      <c r="P247" s="21" t="s">
        <v>398</v>
      </c>
      <c r="Q247" s="21" t="s">
        <v>49</v>
      </c>
      <c r="R247" s="26" t="s">
        <v>402</v>
      </c>
      <c r="S247" s="27">
        <v>11427.26</v>
      </c>
      <c r="T247" s="28" t="s">
        <v>27</v>
      </c>
      <c r="U247" s="28" t="s">
        <v>28</v>
      </c>
      <c r="V247" s="28" t="s">
        <v>29</v>
      </c>
      <c r="W247" s="28" t="s">
        <v>338</v>
      </c>
    </row>
    <row r="248" spans="1:23" ht="15" customHeight="1" x14ac:dyDescent="0.25">
      <c r="A248" s="20" t="str">
        <f>VLOOKUP(F248,[1]CLIENTES!B:L,11,0)</f>
        <v>RODRIGO</v>
      </c>
      <c r="B248" s="20" t="s">
        <v>403</v>
      </c>
      <c r="C248" s="20">
        <v>46148</v>
      </c>
      <c r="D248" s="21" t="s">
        <v>21</v>
      </c>
      <c r="E248" s="21">
        <v>2603</v>
      </c>
      <c r="F248" s="21">
        <v>5115189</v>
      </c>
      <c r="G248" s="21">
        <v>129296</v>
      </c>
      <c r="H248" s="21" t="s">
        <v>68</v>
      </c>
      <c r="I248" s="21" t="s">
        <v>54</v>
      </c>
      <c r="J248" s="21" t="s">
        <v>55</v>
      </c>
      <c r="K248" s="21">
        <v>191</v>
      </c>
      <c r="L248" s="22">
        <v>92</v>
      </c>
      <c r="M248" s="23" t="s">
        <v>405</v>
      </c>
      <c r="N248" s="24" t="s">
        <v>25</v>
      </c>
      <c r="O248" s="25">
        <v>46204</v>
      </c>
      <c r="P248" s="21" t="s">
        <v>398</v>
      </c>
      <c r="Q248" s="21" t="s">
        <v>57</v>
      </c>
      <c r="R248" s="26" t="s">
        <v>401</v>
      </c>
      <c r="S248" s="27">
        <v>1200</v>
      </c>
      <c r="T248" s="28" t="s">
        <v>27</v>
      </c>
      <c r="U248" s="28" t="s">
        <v>28</v>
      </c>
      <c r="V248" s="28" t="s">
        <v>29</v>
      </c>
      <c r="W248" s="28" t="s">
        <v>52</v>
      </c>
    </row>
    <row r="249" spans="1:23" ht="15" customHeight="1" x14ac:dyDescent="0.25">
      <c r="A249" s="20" t="str">
        <f>VLOOKUP(F249,[1]CLIENTES!B:L,11,0)</f>
        <v>RODRIGO</v>
      </c>
      <c r="B249" s="20" t="s">
        <v>403</v>
      </c>
      <c r="C249" s="20">
        <v>46148</v>
      </c>
      <c r="D249" s="21" t="s">
        <v>21</v>
      </c>
      <c r="E249" s="21">
        <v>2603</v>
      </c>
      <c r="F249" s="21">
        <v>5115189</v>
      </c>
      <c r="G249" s="21">
        <v>129296</v>
      </c>
      <c r="H249" s="21" t="s">
        <v>68</v>
      </c>
      <c r="I249" s="21" t="s">
        <v>54</v>
      </c>
      <c r="J249" s="21" t="s">
        <v>55</v>
      </c>
      <c r="K249" s="21">
        <v>191</v>
      </c>
      <c r="L249" s="22">
        <v>92</v>
      </c>
      <c r="M249" s="23" t="s">
        <v>406</v>
      </c>
      <c r="N249" s="24" t="s">
        <v>25</v>
      </c>
      <c r="O249" s="25">
        <v>46204</v>
      </c>
      <c r="P249" s="21" t="s">
        <v>398</v>
      </c>
      <c r="Q249" s="21" t="s">
        <v>57</v>
      </c>
      <c r="R249" s="26" t="s">
        <v>401</v>
      </c>
      <c r="S249" s="27">
        <v>6654.3</v>
      </c>
      <c r="T249" s="28" t="s">
        <v>27</v>
      </c>
      <c r="U249" s="28" t="s">
        <v>28</v>
      </c>
      <c r="V249" s="28" t="s">
        <v>29</v>
      </c>
      <c r="W249" s="28" t="s">
        <v>52</v>
      </c>
    </row>
    <row r="250" spans="1:23" ht="15" customHeight="1" x14ac:dyDescent="0.25">
      <c r="A250" s="20" t="str">
        <f>VLOOKUP(F250,[1]CLIENTES!B:L,11,0)</f>
        <v>RODRIGO</v>
      </c>
      <c r="B250" s="20" t="s">
        <v>403</v>
      </c>
      <c r="C250" s="20">
        <v>46148</v>
      </c>
      <c r="D250" s="21" t="s">
        <v>21</v>
      </c>
      <c r="E250" s="21">
        <v>2358</v>
      </c>
      <c r="F250" s="21">
        <v>5006978</v>
      </c>
      <c r="G250" s="21">
        <v>103036</v>
      </c>
      <c r="H250" s="21" t="s">
        <v>58</v>
      </c>
      <c r="I250" s="21" t="s">
        <v>23</v>
      </c>
      <c r="J250" s="21">
        <v>6125</v>
      </c>
      <c r="K250" s="21">
        <v>692</v>
      </c>
      <c r="L250" s="22">
        <v>92</v>
      </c>
      <c r="M250" s="23" t="s">
        <v>407</v>
      </c>
      <c r="N250" s="24" t="s">
        <v>25</v>
      </c>
      <c r="O250" s="25">
        <v>46204</v>
      </c>
      <c r="P250" s="21" t="s">
        <v>398</v>
      </c>
      <c r="Q250" s="21" t="s">
        <v>26</v>
      </c>
      <c r="R250" s="26" t="s">
        <v>26</v>
      </c>
      <c r="S250" s="27">
        <v>15753.94</v>
      </c>
      <c r="T250" s="28" t="s">
        <v>27</v>
      </c>
      <c r="U250" s="28" t="s">
        <v>28</v>
      </c>
      <c r="V250" s="28" t="s">
        <v>29</v>
      </c>
      <c r="W250" s="28" t="s">
        <v>52</v>
      </c>
    </row>
    <row r="251" spans="1:23" ht="15" customHeight="1" x14ac:dyDescent="0.25">
      <c r="A251" s="20" t="str">
        <f>VLOOKUP(F251,[1]CLIENTES!B:L,11,0)</f>
        <v>RODRIGO</v>
      </c>
      <c r="B251" s="20" t="s">
        <v>403</v>
      </c>
      <c r="C251" s="20">
        <v>46148</v>
      </c>
      <c r="D251" s="21" t="s">
        <v>21</v>
      </c>
      <c r="E251" s="21">
        <v>8706</v>
      </c>
      <c r="F251" s="21">
        <v>5006978</v>
      </c>
      <c r="G251" s="21">
        <v>103036</v>
      </c>
      <c r="H251" s="21" t="s">
        <v>58</v>
      </c>
      <c r="I251" s="21" t="s">
        <v>23</v>
      </c>
      <c r="J251" s="21" t="s">
        <v>47</v>
      </c>
      <c r="K251" s="21">
        <v>722</v>
      </c>
      <c r="L251" s="22">
        <v>25</v>
      </c>
      <c r="M251" s="23" t="s">
        <v>408</v>
      </c>
      <c r="N251" s="24" t="s">
        <v>25</v>
      </c>
      <c r="O251" s="25">
        <v>46204</v>
      </c>
      <c r="P251" s="21" t="s">
        <v>398</v>
      </c>
      <c r="Q251" s="21" t="s">
        <v>26</v>
      </c>
      <c r="R251" s="26" t="s">
        <v>26</v>
      </c>
      <c r="S251" s="27">
        <v>33342.51</v>
      </c>
      <c r="T251" s="28" t="s">
        <v>27</v>
      </c>
      <c r="U251" s="28" t="s">
        <v>50</v>
      </c>
      <c r="V251" s="28" t="s">
        <v>51</v>
      </c>
      <c r="W251" s="28" t="s">
        <v>52</v>
      </c>
    </row>
    <row r="252" spans="1:23" ht="15" customHeight="1" x14ac:dyDescent="0.25">
      <c r="A252" s="20" t="str">
        <f>VLOOKUP(F252,[1]CLIENTES!B:L,11,0)</f>
        <v>RODRIGO</v>
      </c>
      <c r="B252" s="20" t="s">
        <v>403</v>
      </c>
      <c r="C252" s="20">
        <v>46148</v>
      </c>
      <c r="D252" s="21" t="s">
        <v>21</v>
      </c>
      <c r="E252" s="21">
        <v>8706</v>
      </c>
      <c r="F252" s="21">
        <v>5006978</v>
      </c>
      <c r="G252" s="21">
        <v>103036</v>
      </c>
      <c r="H252" s="21" t="s">
        <v>58</v>
      </c>
      <c r="I252" s="21" t="s">
        <v>23</v>
      </c>
      <c r="J252" s="21" t="s">
        <v>47</v>
      </c>
      <c r="K252" s="21">
        <v>722</v>
      </c>
      <c r="L252" s="22">
        <v>25</v>
      </c>
      <c r="M252" s="23" t="s">
        <v>409</v>
      </c>
      <c r="N252" s="24" t="s">
        <v>25</v>
      </c>
      <c r="O252" s="25">
        <v>46204</v>
      </c>
      <c r="P252" s="21" t="s">
        <v>398</v>
      </c>
      <c r="Q252" s="21" t="s">
        <v>26</v>
      </c>
      <c r="R252" s="26" t="s">
        <v>26</v>
      </c>
      <c r="S252" s="27">
        <v>12714</v>
      </c>
      <c r="T252" s="28" t="s">
        <v>27</v>
      </c>
      <c r="U252" s="28" t="s">
        <v>50</v>
      </c>
      <c r="V252" s="28" t="s">
        <v>51</v>
      </c>
      <c r="W252" s="28" t="s">
        <v>52</v>
      </c>
    </row>
    <row r="253" spans="1:23" ht="15" customHeight="1" x14ac:dyDescent="0.25">
      <c r="A253" s="20" t="str">
        <f>VLOOKUP(F253,[1]CLIENTES!B:L,11,0)</f>
        <v>RODRIGO</v>
      </c>
      <c r="B253" s="20" t="s">
        <v>403</v>
      </c>
      <c r="C253" s="20">
        <v>46148</v>
      </c>
      <c r="D253" s="21" t="s">
        <v>21</v>
      </c>
      <c r="E253" s="21">
        <v>2376</v>
      </c>
      <c r="F253" s="21">
        <v>5190347</v>
      </c>
      <c r="G253" s="21">
        <v>143655</v>
      </c>
      <c r="H253" s="21" t="s">
        <v>410</v>
      </c>
      <c r="I253" s="21" t="s">
        <v>113</v>
      </c>
      <c r="J253" s="21">
        <v>6127</v>
      </c>
      <c r="K253" s="21">
        <v>682</v>
      </c>
      <c r="L253" s="22">
        <v>91</v>
      </c>
      <c r="M253" s="23" t="s">
        <v>411</v>
      </c>
      <c r="N253" s="24" t="s">
        <v>25</v>
      </c>
      <c r="O253" s="25">
        <v>46204</v>
      </c>
      <c r="P253" s="21" t="s">
        <v>398</v>
      </c>
      <c r="Q253" s="21" t="s">
        <v>43</v>
      </c>
      <c r="R253" s="26" t="s">
        <v>692</v>
      </c>
      <c r="S253" s="27">
        <v>2000</v>
      </c>
      <c r="T253" s="28" t="s">
        <v>27</v>
      </c>
      <c r="U253" s="28" t="s">
        <v>28</v>
      </c>
      <c r="V253" s="28" t="s">
        <v>29</v>
      </c>
      <c r="W253" s="28" t="s">
        <v>52</v>
      </c>
    </row>
    <row r="254" spans="1:23" ht="15" customHeight="1" x14ac:dyDescent="0.25">
      <c r="A254" s="20" t="str">
        <f>VLOOKUP(F254,[1]CLIENTES!B:L,11,0)</f>
        <v>RODRIGO</v>
      </c>
      <c r="B254" s="20" t="s">
        <v>403</v>
      </c>
      <c r="C254" s="20">
        <v>46183</v>
      </c>
      <c r="D254" s="21" t="s">
        <v>21</v>
      </c>
      <c r="E254" s="21">
        <v>2356</v>
      </c>
      <c r="F254" s="21">
        <v>5004685</v>
      </c>
      <c r="G254" s="21">
        <v>110434</v>
      </c>
      <c r="H254" s="21" t="s">
        <v>116</v>
      </c>
      <c r="I254" s="21" t="s">
        <v>23</v>
      </c>
      <c r="J254" s="21">
        <v>6125</v>
      </c>
      <c r="K254" s="21">
        <v>692</v>
      </c>
      <c r="L254" s="22">
        <v>93</v>
      </c>
      <c r="M254" s="23" t="s">
        <v>412</v>
      </c>
      <c r="N254" s="24" t="s">
        <v>25</v>
      </c>
      <c r="O254" s="25">
        <v>46204</v>
      </c>
      <c r="P254" s="21" t="s">
        <v>398</v>
      </c>
      <c r="Q254" s="21" t="s">
        <v>49</v>
      </c>
      <c r="R254" s="26" t="s">
        <v>402</v>
      </c>
      <c r="S254" s="27">
        <v>20012.02</v>
      </c>
      <c r="T254" s="28" t="s">
        <v>27</v>
      </c>
      <c r="U254" s="28" t="s">
        <v>28</v>
      </c>
      <c r="V254" s="28" t="s">
        <v>29</v>
      </c>
      <c r="W254" s="28" t="s">
        <v>338</v>
      </c>
    </row>
    <row r="255" spans="1:23" ht="15" customHeight="1" x14ac:dyDescent="0.25">
      <c r="A255" s="20" t="str">
        <f>VLOOKUP(F255,[1]CLIENTES!B:L,11,0)</f>
        <v>RODRIGO</v>
      </c>
      <c r="B255" s="20" t="s">
        <v>403</v>
      </c>
      <c r="C255" s="20">
        <v>46188</v>
      </c>
      <c r="D255" s="21" t="s">
        <v>21</v>
      </c>
      <c r="E255" s="21">
        <v>2378</v>
      </c>
      <c r="F255" s="21">
        <v>5020319</v>
      </c>
      <c r="G255" s="21">
        <v>110315</v>
      </c>
      <c r="H255" s="21" t="s">
        <v>112</v>
      </c>
      <c r="I255" s="21" t="s">
        <v>113</v>
      </c>
      <c r="J255" s="21">
        <v>6127</v>
      </c>
      <c r="K255" s="21">
        <v>682</v>
      </c>
      <c r="L255" s="22">
        <v>92</v>
      </c>
      <c r="M255" s="23" t="s">
        <v>413</v>
      </c>
      <c r="N255" s="24" t="s">
        <v>25</v>
      </c>
      <c r="O255" s="25">
        <v>46204</v>
      </c>
      <c r="P255" s="21" t="s">
        <v>398</v>
      </c>
      <c r="Q255" s="21" t="s">
        <v>43</v>
      </c>
      <c r="R255" s="26" t="s">
        <v>692</v>
      </c>
      <c r="S255" s="27">
        <v>6666</v>
      </c>
      <c r="T255" s="28" t="s">
        <v>27</v>
      </c>
      <c r="U255" s="28" t="s">
        <v>28</v>
      </c>
      <c r="V255" s="28" t="s">
        <v>29</v>
      </c>
      <c r="W255" s="28" t="s">
        <v>45</v>
      </c>
    </row>
    <row r="256" spans="1:23" ht="15" customHeight="1" x14ac:dyDescent="0.25">
      <c r="A256" s="20" t="str">
        <f>VLOOKUP(F256,[1]CLIENTES!B:L,11,0)</f>
        <v>RODRIGO</v>
      </c>
      <c r="B256" s="20" t="s">
        <v>403</v>
      </c>
      <c r="C256" s="20">
        <v>46189</v>
      </c>
      <c r="D256" s="21" t="s">
        <v>21</v>
      </c>
      <c r="E256" s="21">
        <v>2356</v>
      </c>
      <c r="F256" s="21">
        <v>5004685</v>
      </c>
      <c r="G256" s="21">
        <v>110434</v>
      </c>
      <c r="H256" s="21" t="s">
        <v>116</v>
      </c>
      <c r="I256" s="21" t="s">
        <v>23</v>
      </c>
      <c r="J256" s="21">
        <v>6125</v>
      </c>
      <c r="K256" s="21">
        <v>692</v>
      </c>
      <c r="L256" s="22">
        <v>93</v>
      </c>
      <c r="M256" s="23" t="s">
        <v>414</v>
      </c>
      <c r="N256" s="24" t="s">
        <v>25</v>
      </c>
      <c r="O256" s="25">
        <v>46204</v>
      </c>
      <c r="P256" s="21" t="s">
        <v>398</v>
      </c>
      <c r="Q256" s="21" t="s">
        <v>49</v>
      </c>
      <c r="R256" s="26" t="s">
        <v>402</v>
      </c>
      <c r="S256" s="27">
        <v>14946.22</v>
      </c>
      <c r="T256" s="28" t="s">
        <v>27</v>
      </c>
      <c r="U256" s="28" t="s">
        <v>28</v>
      </c>
      <c r="V256" s="28" t="s">
        <v>29</v>
      </c>
      <c r="W256" s="28" t="s">
        <v>338</v>
      </c>
    </row>
    <row r="257" spans="1:23" ht="15" customHeight="1" x14ac:dyDescent="0.25">
      <c r="A257" s="20" t="str">
        <f>VLOOKUP(F257,[1]CLIENTES!B:L,11,0)</f>
        <v>RODRIGO</v>
      </c>
      <c r="B257" s="20" t="s">
        <v>403</v>
      </c>
      <c r="C257" s="20">
        <v>46189</v>
      </c>
      <c r="D257" s="21" t="s">
        <v>21</v>
      </c>
      <c r="E257" s="21">
        <v>2369</v>
      </c>
      <c r="F257" s="21">
        <v>5217293</v>
      </c>
      <c r="G257" s="21">
        <v>145966</v>
      </c>
      <c r="H257" s="21" t="s">
        <v>86</v>
      </c>
      <c r="I257" s="21" t="s">
        <v>23</v>
      </c>
      <c r="J257" s="21">
        <v>6125</v>
      </c>
      <c r="K257" s="21">
        <v>692</v>
      </c>
      <c r="L257" s="22">
        <v>92</v>
      </c>
      <c r="M257" s="23" t="s">
        <v>415</v>
      </c>
      <c r="N257" s="24" t="s">
        <v>25</v>
      </c>
      <c r="O257" s="25">
        <v>46204</v>
      </c>
      <c r="P257" s="21" t="s">
        <v>398</v>
      </c>
      <c r="Q257" s="21" t="s">
        <v>26</v>
      </c>
      <c r="R257" s="26" t="s">
        <v>399</v>
      </c>
      <c r="S257" s="27">
        <v>2222.2199999999998</v>
      </c>
      <c r="T257" s="28" t="s">
        <v>27</v>
      </c>
      <c r="U257" s="28" t="s">
        <v>28</v>
      </c>
      <c r="V257" s="28" t="s">
        <v>29</v>
      </c>
      <c r="W257" s="28" t="s">
        <v>35</v>
      </c>
    </row>
    <row r="258" spans="1:23" ht="15" customHeight="1" x14ac:dyDescent="0.25">
      <c r="A258" s="20" t="str">
        <f>VLOOKUP(F258,[1]CLIENTES!B:L,11,0)</f>
        <v>RODRIGO</v>
      </c>
      <c r="B258" s="20" t="s">
        <v>403</v>
      </c>
      <c r="C258" s="20">
        <v>46191</v>
      </c>
      <c r="D258" s="21" t="s">
        <v>21</v>
      </c>
      <c r="E258" s="21">
        <v>2353</v>
      </c>
      <c r="F258" s="21">
        <v>5149985</v>
      </c>
      <c r="G258" s="21">
        <v>142628</v>
      </c>
      <c r="H258" s="21" t="s">
        <v>233</v>
      </c>
      <c r="I258" s="21" t="s">
        <v>23</v>
      </c>
      <c r="J258" s="21">
        <v>6125</v>
      </c>
      <c r="K258" s="21">
        <v>692</v>
      </c>
      <c r="L258" s="22">
        <v>92</v>
      </c>
      <c r="M258" s="23" t="s">
        <v>416</v>
      </c>
      <c r="N258" s="24" t="s">
        <v>25</v>
      </c>
      <c r="O258" s="25">
        <v>46204</v>
      </c>
      <c r="P258" s="21" t="s">
        <v>398</v>
      </c>
      <c r="Q258" s="21" t="s">
        <v>49</v>
      </c>
      <c r="R258" s="26" t="s">
        <v>400</v>
      </c>
      <c r="S258" s="27">
        <v>4775</v>
      </c>
      <c r="T258" s="28" t="s">
        <v>27</v>
      </c>
      <c r="U258" s="28" t="s">
        <v>28</v>
      </c>
      <c r="V258" s="28" t="s">
        <v>29</v>
      </c>
      <c r="W258" s="28" t="s">
        <v>52</v>
      </c>
    </row>
    <row r="259" spans="1:23" ht="15" customHeight="1" x14ac:dyDescent="0.25">
      <c r="A259" s="20" t="str">
        <f>VLOOKUP(F259,[1]CLIENTES!B:L,11,0)</f>
        <v>RODRIGO</v>
      </c>
      <c r="B259" s="20" t="s">
        <v>403</v>
      </c>
      <c r="C259" s="20">
        <v>46191</v>
      </c>
      <c r="D259" s="21" t="s">
        <v>21</v>
      </c>
      <c r="E259" s="21">
        <v>2363</v>
      </c>
      <c r="F259" s="21">
        <v>5261089</v>
      </c>
      <c r="G259" s="21">
        <v>190043</v>
      </c>
      <c r="H259" s="21" t="s">
        <v>361</v>
      </c>
      <c r="I259" s="21" t="s">
        <v>23</v>
      </c>
      <c r="J259" s="21">
        <v>6125</v>
      </c>
      <c r="K259" s="21">
        <v>692</v>
      </c>
      <c r="L259" s="22">
        <v>92</v>
      </c>
      <c r="M259" s="23" t="s">
        <v>417</v>
      </c>
      <c r="N259" s="24" t="s">
        <v>25</v>
      </c>
      <c r="O259" s="25">
        <v>46204</v>
      </c>
      <c r="P259" s="21" t="s">
        <v>398</v>
      </c>
      <c r="Q259" s="21" t="s">
        <v>49</v>
      </c>
      <c r="R259" s="26" t="s">
        <v>400</v>
      </c>
      <c r="S259" s="27">
        <v>345</v>
      </c>
      <c r="T259" s="28" t="s">
        <v>27</v>
      </c>
      <c r="U259" s="28" t="s">
        <v>28</v>
      </c>
      <c r="V259" s="28" t="s">
        <v>29</v>
      </c>
      <c r="W259" s="28" t="s">
        <v>52</v>
      </c>
    </row>
    <row r="260" spans="1:23" ht="15" customHeight="1" x14ac:dyDescent="0.25">
      <c r="A260" s="20" t="str">
        <f>VLOOKUP(F260,[1]CLIENTES!B:L,11,0)</f>
        <v>RODRIGO</v>
      </c>
      <c r="B260" s="20" t="s">
        <v>403</v>
      </c>
      <c r="C260" s="20">
        <v>46192</v>
      </c>
      <c r="D260" s="21" t="s">
        <v>21</v>
      </c>
      <c r="E260" s="21">
        <v>2377</v>
      </c>
      <c r="F260" s="21">
        <v>5109656</v>
      </c>
      <c r="G260" s="21">
        <v>133996</v>
      </c>
      <c r="H260" s="21" t="s">
        <v>418</v>
      </c>
      <c r="I260" s="21" t="s">
        <v>23</v>
      </c>
      <c r="J260" s="21">
        <v>6125</v>
      </c>
      <c r="K260" s="21">
        <v>692</v>
      </c>
      <c r="L260" s="22">
        <v>92</v>
      </c>
      <c r="M260" s="23" t="s">
        <v>419</v>
      </c>
      <c r="N260" s="24" t="s">
        <v>25</v>
      </c>
      <c r="O260" s="25">
        <v>46204</v>
      </c>
      <c r="P260" s="21" t="s">
        <v>398</v>
      </c>
      <c r="Q260" s="21" t="s">
        <v>420</v>
      </c>
      <c r="R260" s="26" t="s">
        <v>420</v>
      </c>
      <c r="S260" s="27">
        <v>10000</v>
      </c>
      <c r="T260" s="28" t="s">
        <v>27</v>
      </c>
      <c r="U260" s="28" t="s">
        <v>28</v>
      </c>
      <c r="V260" s="28" t="s">
        <v>29</v>
      </c>
      <c r="W260" s="28" t="s">
        <v>52</v>
      </c>
    </row>
    <row r="261" spans="1:23" ht="15" customHeight="1" x14ac:dyDescent="0.25">
      <c r="A261" s="20" t="str">
        <f>VLOOKUP(F261,[1]CLIENTES!B:L,11,0)</f>
        <v>RODRIGO</v>
      </c>
      <c r="B261" s="20" t="s">
        <v>403</v>
      </c>
      <c r="C261" s="20">
        <v>46192</v>
      </c>
      <c r="D261" s="21" t="s">
        <v>21</v>
      </c>
      <c r="E261" s="21">
        <v>2365</v>
      </c>
      <c r="F261" s="21">
        <v>5107112</v>
      </c>
      <c r="G261" s="21">
        <v>123370</v>
      </c>
      <c r="H261" s="21" t="s">
        <v>62</v>
      </c>
      <c r="I261" s="21" t="s">
        <v>23</v>
      </c>
      <c r="J261" s="21">
        <v>6125</v>
      </c>
      <c r="K261" s="21">
        <v>692</v>
      </c>
      <c r="L261" s="22">
        <v>93</v>
      </c>
      <c r="M261" s="23" t="s">
        <v>421</v>
      </c>
      <c r="N261" s="24" t="s">
        <v>25</v>
      </c>
      <c r="O261" s="25">
        <v>46204</v>
      </c>
      <c r="P261" s="21" t="s">
        <v>398</v>
      </c>
      <c r="Q261" s="21" t="s">
        <v>49</v>
      </c>
      <c r="R261" s="26" t="s">
        <v>400</v>
      </c>
      <c r="S261" s="27">
        <v>6600</v>
      </c>
      <c r="T261" s="28" t="s">
        <v>27</v>
      </c>
      <c r="U261" s="28" t="s">
        <v>28</v>
      </c>
      <c r="V261" s="28" t="s">
        <v>29</v>
      </c>
      <c r="W261" s="28" t="s">
        <v>52</v>
      </c>
    </row>
    <row r="262" spans="1:23" ht="15" customHeight="1" x14ac:dyDescent="0.25">
      <c r="A262" s="20" t="str">
        <f>VLOOKUP(F262,[1]CLIENTES!B:L,11,0)</f>
        <v>RODRIGO</v>
      </c>
      <c r="B262" s="20" t="s">
        <v>403</v>
      </c>
      <c r="C262" s="20">
        <v>46195</v>
      </c>
      <c r="D262" s="21" t="s">
        <v>21</v>
      </c>
      <c r="E262" s="21">
        <v>2378</v>
      </c>
      <c r="F262" s="21">
        <v>5020319</v>
      </c>
      <c r="G262" s="21">
        <v>110315</v>
      </c>
      <c r="H262" s="21" t="s">
        <v>112</v>
      </c>
      <c r="I262" s="21" t="s">
        <v>113</v>
      </c>
      <c r="J262" s="21">
        <v>6127</v>
      </c>
      <c r="K262" s="21">
        <v>682</v>
      </c>
      <c r="L262" s="22">
        <v>92</v>
      </c>
      <c r="M262" s="23" t="s">
        <v>422</v>
      </c>
      <c r="N262" s="24" t="s">
        <v>25</v>
      </c>
      <c r="O262" s="25">
        <v>46204</v>
      </c>
      <c r="P262" s="21" t="s">
        <v>398</v>
      </c>
      <c r="Q262" s="21" t="s">
        <v>43</v>
      </c>
      <c r="R262" s="26" t="s">
        <v>692</v>
      </c>
      <c r="S262" s="27">
        <v>12000</v>
      </c>
      <c r="T262" s="28" t="s">
        <v>27</v>
      </c>
      <c r="U262" s="28" t="s">
        <v>28</v>
      </c>
      <c r="V262" s="28" t="s">
        <v>29</v>
      </c>
      <c r="W262" s="28" t="s">
        <v>52</v>
      </c>
    </row>
    <row r="263" spans="1:23" ht="15" customHeight="1" x14ac:dyDescent="0.25">
      <c r="A263" s="20" t="str">
        <f>VLOOKUP(F263,[1]CLIENTES!B:L,11,0)</f>
        <v>RODRIGO</v>
      </c>
      <c r="B263" s="20" t="s">
        <v>403</v>
      </c>
      <c r="C263" s="20">
        <v>46196</v>
      </c>
      <c r="D263" s="21" t="s">
        <v>21</v>
      </c>
      <c r="E263" s="21">
        <v>2593</v>
      </c>
      <c r="F263" s="21">
        <v>5226805</v>
      </c>
      <c r="G263" s="21">
        <v>150155</v>
      </c>
      <c r="H263" s="21" t="s">
        <v>86</v>
      </c>
      <c r="I263" s="21" t="s">
        <v>71</v>
      </c>
      <c r="J263" s="21" t="s">
        <v>72</v>
      </c>
      <c r="K263" s="21">
        <v>186</v>
      </c>
      <c r="L263" s="22">
        <v>92</v>
      </c>
      <c r="M263" s="23" t="s">
        <v>437</v>
      </c>
      <c r="N263" s="24" t="s">
        <v>25</v>
      </c>
      <c r="O263" s="25">
        <v>46204</v>
      </c>
      <c r="P263" s="21" t="s">
        <v>398</v>
      </c>
      <c r="Q263" s="21" t="s">
        <v>428</v>
      </c>
      <c r="R263" s="26" t="s">
        <v>431</v>
      </c>
      <c r="S263" s="27">
        <v>5000</v>
      </c>
      <c r="T263" s="28" t="s">
        <v>27</v>
      </c>
      <c r="U263" s="28" t="s">
        <v>28</v>
      </c>
      <c r="V263" s="28" t="s">
        <v>29</v>
      </c>
      <c r="W263" s="28" t="s">
        <v>35</v>
      </c>
    </row>
    <row r="264" spans="1:23" ht="15" customHeight="1" x14ac:dyDescent="0.25">
      <c r="A264" s="20" t="str">
        <f>VLOOKUP(F264,[1]CLIENTES!B:L,11,0)</f>
        <v>RODRIGO</v>
      </c>
      <c r="B264" s="20" t="s">
        <v>403</v>
      </c>
      <c r="C264" s="20">
        <v>46196</v>
      </c>
      <c r="D264" s="21" t="s">
        <v>21</v>
      </c>
      <c r="E264" s="21">
        <v>2594</v>
      </c>
      <c r="F264" s="21">
        <v>5366274</v>
      </c>
      <c r="G264" s="21">
        <v>193277</v>
      </c>
      <c r="H264" s="21" t="s">
        <v>351</v>
      </c>
      <c r="I264" s="21" t="s">
        <v>71</v>
      </c>
      <c r="J264" s="21" t="s">
        <v>72</v>
      </c>
      <c r="K264" s="21">
        <v>186</v>
      </c>
      <c r="L264" s="22">
        <v>92</v>
      </c>
      <c r="M264" s="23" t="s">
        <v>438</v>
      </c>
      <c r="N264" s="24" t="s">
        <v>25</v>
      </c>
      <c r="O264" s="25">
        <v>46204</v>
      </c>
      <c r="P264" s="21" t="s">
        <v>398</v>
      </c>
      <c r="Q264" s="21" t="s">
        <v>428</v>
      </c>
      <c r="R264" s="26" t="s">
        <v>430</v>
      </c>
      <c r="S264" s="27">
        <v>3178</v>
      </c>
      <c r="T264" s="28" t="s">
        <v>27</v>
      </c>
      <c r="U264" s="28" t="s">
        <v>28</v>
      </c>
      <c r="V264" s="28" t="s">
        <v>29</v>
      </c>
      <c r="W264" s="28" t="s">
        <v>45</v>
      </c>
    </row>
    <row r="265" spans="1:23" ht="15" customHeight="1" x14ac:dyDescent="0.25">
      <c r="A265" s="20" t="str">
        <f>VLOOKUP(F265,[1]CLIENTES!B:L,11,0)</f>
        <v>RODRIGO</v>
      </c>
      <c r="B265" s="20" t="s">
        <v>403</v>
      </c>
      <c r="C265" s="20">
        <v>46196</v>
      </c>
      <c r="D265" s="21" t="s">
        <v>21</v>
      </c>
      <c r="E265" s="21">
        <v>2593</v>
      </c>
      <c r="F265" s="21">
        <v>5226805</v>
      </c>
      <c r="G265" s="21">
        <v>150155</v>
      </c>
      <c r="H265" s="21" t="s">
        <v>86</v>
      </c>
      <c r="I265" s="21" t="s">
        <v>71</v>
      </c>
      <c r="J265" s="21" t="s">
        <v>72</v>
      </c>
      <c r="K265" s="21">
        <v>186</v>
      </c>
      <c r="L265" s="22">
        <v>92</v>
      </c>
      <c r="M265" s="23" t="s">
        <v>439</v>
      </c>
      <c r="N265" s="24" t="s">
        <v>25</v>
      </c>
      <c r="O265" s="25">
        <v>46204</v>
      </c>
      <c r="P265" s="21" t="s">
        <v>398</v>
      </c>
      <c r="Q265" s="21" t="s">
        <v>428</v>
      </c>
      <c r="R265" s="26" t="s">
        <v>431</v>
      </c>
      <c r="S265" s="27">
        <v>5150</v>
      </c>
      <c r="T265" s="28" t="s">
        <v>27</v>
      </c>
      <c r="U265" s="28" t="s">
        <v>28</v>
      </c>
      <c r="V265" s="28" t="s">
        <v>29</v>
      </c>
      <c r="W265" s="28" t="s">
        <v>35</v>
      </c>
    </row>
    <row r="266" spans="1:23" ht="15" customHeight="1" x14ac:dyDescent="0.25">
      <c r="A266" s="20" t="str">
        <f>VLOOKUP(F266,[1]CLIENTES!B:L,11,0)</f>
        <v>RODRIGO</v>
      </c>
      <c r="B266" s="20" t="s">
        <v>403</v>
      </c>
      <c r="C266" s="20">
        <v>46196</v>
      </c>
      <c r="D266" s="21" t="s">
        <v>21</v>
      </c>
      <c r="E266" s="21">
        <v>2593</v>
      </c>
      <c r="F266" s="21">
        <v>5226805</v>
      </c>
      <c r="G266" s="21">
        <v>150155</v>
      </c>
      <c r="H266" s="21" t="s">
        <v>86</v>
      </c>
      <c r="I266" s="21" t="s">
        <v>71</v>
      </c>
      <c r="J266" s="21" t="s">
        <v>72</v>
      </c>
      <c r="K266" s="21">
        <v>186</v>
      </c>
      <c r="L266" s="22">
        <v>92</v>
      </c>
      <c r="M266" s="23" t="s">
        <v>440</v>
      </c>
      <c r="N266" s="24" t="s">
        <v>25</v>
      </c>
      <c r="O266" s="25">
        <v>46204</v>
      </c>
      <c r="P266" s="21" t="s">
        <v>398</v>
      </c>
      <c r="Q266" s="21" t="s">
        <v>428</v>
      </c>
      <c r="R266" s="26" t="s">
        <v>431</v>
      </c>
      <c r="S266" s="27">
        <v>2000</v>
      </c>
      <c r="T266" s="28" t="s">
        <v>27</v>
      </c>
      <c r="U266" s="28" t="s">
        <v>28</v>
      </c>
      <c r="V266" s="28" t="s">
        <v>29</v>
      </c>
      <c r="W266" s="28" t="s">
        <v>52</v>
      </c>
    </row>
    <row r="267" spans="1:23" ht="15" customHeight="1" x14ac:dyDescent="0.25">
      <c r="A267" s="20" t="str">
        <f>VLOOKUP(F267,[1]CLIENTES!B:L,11,0)</f>
        <v>RODRIGO</v>
      </c>
      <c r="B267" s="20" t="s">
        <v>403</v>
      </c>
      <c r="C267" s="20">
        <v>46196</v>
      </c>
      <c r="D267" s="21" t="s">
        <v>21</v>
      </c>
      <c r="E267" s="21">
        <v>2594</v>
      </c>
      <c r="F267" s="21">
        <v>5366274</v>
      </c>
      <c r="G267" s="21">
        <v>193277</v>
      </c>
      <c r="H267" s="21" t="s">
        <v>351</v>
      </c>
      <c r="I267" s="21" t="s">
        <v>71</v>
      </c>
      <c r="J267" s="21" t="s">
        <v>72</v>
      </c>
      <c r="K267" s="21">
        <v>186</v>
      </c>
      <c r="L267" s="22">
        <v>92</v>
      </c>
      <c r="M267" s="23" t="s">
        <v>441</v>
      </c>
      <c r="N267" s="24" t="s">
        <v>25</v>
      </c>
      <c r="O267" s="25">
        <v>46204</v>
      </c>
      <c r="P267" s="21" t="s">
        <v>398</v>
      </c>
      <c r="Q267" s="21" t="s">
        <v>428</v>
      </c>
      <c r="R267" s="26" t="s">
        <v>430</v>
      </c>
      <c r="S267" s="27">
        <v>2124.75</v>
      </c>
      <c r="T267" s="28" t="s">
        <v>27</v>
      </c>
      <c r="U267" s="28" t="s">
        <v>28</v>
      </c>
      <c r="V267" s="28" t="s">
        <v>29</v>
      </c>
      <c r="W267" s="28" t="s">
        <v>97</v>
      </c>
    </row>
    <row r="268" spans="1:23" ht="15" customHeight="1" x14ac:dyDescent="0.25">
      <c r="A268" s="20" t="str">
        <f>VLOOKUP(F268,[1]CLIENTES!B:L,11,0)</f>
        <v>RODRIGO</v>
      </c>
      <c r="B268" s="20" t="s">
        <v>403</v>
      </c>
      <c r="C268" s="20">
        <v>46196</v>
      </c>
      <c r="D268" s="21" t="s">
        <v>21</v>
      </c>
      <c r="E268" s="21">
        <v>2603</v>
      </c>
      <c r="F268" s="21">
        <v>5115189</v>
      </c>
      <c r="G268" s="21">
        <v>129296</v>
      </c>
      <c r="H268" s="21" t="s">
        <v>68</v>
      </c>
      <c r="I268" s="21" t="s">
        <v>54</v>
      </c>
      <c r="J268" s="21" t="s">
        <v>55</v>
      </c>
      <c r="K268" s="21">
        <v>191</v>
      </c>
      <c r="L268" s="22">
        <v>92</v>
      </c>
      <c r="M268" s="23" t="s">
        <v>442</v>
      </c>
      <c r="N268" s="24" t="s">
        <v>25</v>
      </c>
      <c r="O268" s="25">
        <v>46204</v>
      </c>
      <c r="P268" s="21" t="s">
        <v>398</v>
      </c>
      <c r="Q268" s="21" t="s">
        <v>57</v>
      </c>
      <c r="R268" s="26" t="s">
        <v>401</v>
      </c>
      <c r="S268" s="27">
        <v>11666.66</v>
      </c>
      <c r="T268" s="28" t="s">
        <v>27</v>
      </c>
      <c r="U268" s="28" t="s">
        <v>28</v>
      </c>
      <c r="V268" s="28" t="s">
        <v>29</v>
      </c>
      <c r="W268" s="28" t="s">
        <v>35</v>
      </c>
    </row>
    <row r="269" spans="1:23" ht="15" customHeight="1" x14ac:dyDescent="0.25">
      <c r="A269" s="20" t="str">
        <f>VLOOKUP(F269,[1]CLIENTES!B:L,11,0)</f>
        <v>RODRIGO</v>
      </c>
      <c r="B269" s="20" t="s">
        <v>403</v>
      </c>
      <c r="C269" s="20">
        <v>46196</v>
      </c>
      <c r="D269" s="21" t="s">
        <v>21</v>
      </c>
      <c r="E269" s="21">
        <v>2603</v>
      </c>
      <c r="F269" s="21">
        <v>5115189</v>
      </c>
      <c r="G269" s="21">
        <v>129296</v>
      </c>
      <c r="H269" s="21" t="s">
        <v>68</v>
      </c>
      <c r="I269" s="21" t="s">
        <v>54</v>
      </c>
      <c r="J269" s="21" t="s">
        <v>55</v>
      </c>
      <c r="K269" s="21">
        <v>191</v>
      </c>
      <c r="L269" s="22">
        <v>92</v>
      </c>
      <c r="M269" s="23" t="s">
        <v>443</v>
      </c>
      <c r="N269" s="24" t="s">
        <v>25</v>
      </c>
      <c r="O269" s="25">
        <v>46204</v>
      </c>
      <c r="P269" s="21" t="s">
        <v>398</v>
      </c>
      <c r="Q269" s="21" t="s">
        <v>57</v>
      </c>
      <c r="R269" s="26" t="s">
        <v>401</v>
      </c>
      <c r="S269" s="27">
        <v>4350.7</v>
      </c>
      <c r="T269" s="28" t="s">
        <v>27</v>
      </c>
      <c r="U269" s="28" t="s">
        <v>28</v>
      </c>
      <c r="V269" s="28" t="s">
        <v>29</v>
      </c>
      <c r="W269" s="28" t="s">
        <v>52</v>
      </c>
    </row>
    <row r="270" spans="1:23" ht="15" customHeight="1" x14ac:dyDescent="0.25">
      <c r="A270" s="20" t="str">
        <f>VLOOKUP(F270,[1]CLIENTES!B:L,11,0)</f>
        <v>RODRIGO</v>
      </c>
      <c r="B270" s="20" t="s">
        <v>403</v>
      </c>
      <c r="C270" s="20">
        <v>46196</v>
      </c>
      <c r="D270" s="21" t="s">
        <v>21</v>
      </c>
      <c r="E270" s="21">
        <v>2366</v>
      </c>
      <c r="F270" s="21">
        <v>5223419</v>
      </c>
      <c r="G270" s="21">
        <v>146094</v>
      </c>
      <c r="H270" s="21" t="s">
        <v>265</v>
      </c>
      <c r="I270" s="21" t="s">
        <v>266</v>
      </c>
      <c r="J270" s="21">
        <v>6123</v>
      </c>
      <c r="K270" s="21">
        <v>607</v>
      </c>
      <c r="L270" s="22">
        <v>93</v>
      </c>
      <c r="M270" s="23" t="s">
        <v>444</v>
      </c>
      <c r="N270" s="24" t="s">
        <v>25</v>
      </c>
      <c r="O270" s="25">
        <v>46204</v>
      </c>
      <c r="P270" s="21" t="s">
        <v>398</v>
      </c>
      <c r="Q270" s="21" t="s">
        <v>57</v>
      </c>
      <c r="R270" s="26" t="s">
        <v>427</v>
      </c>
      <c r="S270" s="27">
        <v>3000</v>
      </c>
      <c r="T270" s="28" t="s">
        <v>27</v>
      </c>
      <c r="U270" s="28" t="s">
        <v>28</v>
      </c>
      <c r="V270" s="28" t="s">
        <v>29</v>
      </c>
      <c r="W270" s="28" t="s">
        <v>52</v>
      </c>
    </row>
    <row r="271" spans="1:23" ht="15" customHeight="1" x14ac:dyDescent="0.25">
      <c r="A271" s="20" t="str">
        <f>VLOOKUP(F271,[1]CLIENTES!B:L,11,0)</f>
        <v>RODRIGO</v>
      </c>
      <c r="B271" s="20" t="s">
        <v>403</v>
      </c>
      <c r="C271" s="20">
        <v>46196</v>
      </c>
      <c r="D271" s="21" t="s">
        <v>21</v>
      </c>
      <c r="E271" s="21">
        <v>2598</v>
      </c>
      <c r="F271" s="21">
        <v>5186266</v>
      </c>
      <c r="G271" s="21">
        <v>142707</v>
      </c>
      <c r="H271" s="21" t="s">
        <v>212</v>
      </c>
      <c r="I271" s="21" t="s">
        <v>213</v>
      </c>
      <c r="J271" s="21" t="s">
        <v>214</v>
      </c>
      <c r="K271" s="21">
        <v>197</v>
      </c>
      <c r="L271" s="22">
        <v>92</v>
      </c>
      <c r="M271" s="23" t="s">
        <v>445</v>
      </c>
      <c r="N271" s="24" t="s">
        <v>25</v>
      </c>
      <c r="O271" s="25">
        <v>46204</v>
      </c>
      <c r="P271" s="21" t="s">
        <v>398</v>
      </c>
      <c r="Q271" s="21" t="s">
        <v>57</v>
      </c>
      <c r="R271" s="26" t="s">
        <v>427</v>
      </c>
      <c r="S271" s="27">
        <v>2500</v>
      </c>
      <c r="T271" s="28" t="s">
        <v>27</v>
      </c>
      <c r="U271" s="28" t="s">
        <v>28</v>
      </c>
      <c r="V271" s="28" t="s">
        <v>29</v>
      </c>
      <c r="W271" s="28" t="s">
        <v>52</v>
      </c>
    </row>
    <row r="272" spans="1:23" ht="15" customHeight="1" x14ac:dyDescent="0.25">
      <c r="A272" s="20" t="str">
        <f>VLOOKUP(F272,[1]CLIENTES!B:L,11,0)</f>
        <v>RODRIGO</v>
      </c>
      <c r="B272" s="20" t="s">
        <v>403</v>
      </c>
      <c r="C272" s="20">
        <v>46196</v>
      </c>
      <c r="D272" s="21" t="s">
        <v>21</v>
      </c>
      <c r="E272" s="21">
        <v>2379</v>
      </c>
      <c r="F272" s="21">
        <v>5141420</v>
      </c>
      <c r="G272" s="21">
        <v>129963</v>
      </c>
      <c r="H272" s="21" t="s">
        <v>374</v>
      </c>
      <c r="I272" s="21" t="s">
        <v>266</v>
      </c>
      <c r="J272" s="21">
        <v>6123</v>
      </c>
      <c r="K272" s="21">
        <v>607</v>
      </c>
      <c r="L272" s="22">
        <v>93</v>
      </c>
      <c r="M272" s="23" t="s">
        <v>446</v>
      </c>
      <c r="N272" s="24" t="s">
        <v>25</v>
      </c>
      <c r="O272" s="25">
        <v>46204</v>
      </c>
      <c r="P272" s="21" t="s">
        <v>398</v>
      </c>
      <c r="Q272" s="21" t="s">
        <v>57</v>
      </c>
      <c r="R272" s="26" t="s">
        <v>427</v>
      </c>
      <c r="S272" s="27">
        <v>5500</v>
      </c>
      <c r="T272" s="28" t="s">
        <v>27</v>
      </c>
      <c r="U272" s="28" t="s">
        <v>28</v>
      </c>
      <c r="V272" s="28" t="s">
        <v>29</v>
      </c>
      <c r="W272" s="28" t="s">
        <v>52</v>
      </c>
    </row>
    <row r="273" spans="1:23" ht="15" customHeight="1" x14ac:dyDescent="0.25">
      <c r="A273" s="20" t="str">
        <f>VLOOKUP(F273,[1]CLIENTES!B:L,11,0)</f>
        <v>RODRIGO</v>
      </c>
      <c r="B273" s="20" t="s">
        <v>403</v>
      </c>
      <c r="C273" s="20">
        <v>46196</v>
      </c>
      <c r="D273" s="21" t="s">
        <v>21</v>
      </c>
      <c r="E273" s="21">
        <v>2595</v>
      </c>
      <c r="F273" s="21">
        <v>5019245</v>
      </c>
      <c r="G273" s="21">
        <v>145028</v>
      </c>
      <c r="H273" s="21" t="s">
        <v>312</v>
      </c>
      <c r="I273" s="21" t="s">
        <v>54</v>
      </c>
      <c r="J273" s="21" t="s">
        <v>55</v>
      </c>
      <c r="K273" s="21">
        <v>191</v>
      </c>
      <c r="L273" s="22">
        <v>92</v>
      </c>
      <c r="M273" s="23" t="s">
        <v>447</v>
      </c>
      <c r="N273" s="24" t="s">
        <v>25</v>
      </c>
      <c r="O273" s="25">
        <v>46204</v>
      </c>
      <c r="P273" s="21" t="s">
        <v>398</v>
      </c>
      <c r="Q273" s="21" t="s">
        <v>57</v>
      </c>
      <c r="R273" s="26" t="s">
        <v>427</v>
      </c>
      <c r="S273" s="27">
        <v>200</v>
      </c>
      <c r="T273" s="28" t="s">
        <v>27</v>
      </c>
      <c r="U273" s="28" t="s">
        <v>28</v>
      </c>
      <c r="V273" s="28" t="s">
        <v>29</v>
      </c>
      <c r="W273" s="28" t="s">
        <v>52</v>
      </c>
    </row>
    <row r="274" spans="1:23" ht="15" customHeight="1" x14ac:dyDescent="0.25">
      <c r="A274" s="20" t="str">
        <f>VLOOKUP(F274,[1]CLIENTES!B:L,11,0)</f>
        <v>RODRIGO</v>
      </c>
      <c r="B274" s="20" t="s">
        <v>403</v>
      </c>
      <c r="C274" s="20">
        <v>46198</v>
      </c>
      <c r="D274" s="21" t="s">
        <v>21</v>
      </c>
      <c r="E274" s="21">
        <v>2354</v>
      </c>
      <c r="F274" s="21">
        <v>5040108</v>
      </c>
      <c r="G274" s="21">
        <v>123355</v>
      </c>
      <c r="H274" s="21" t="s">
        <v>93</v>
      </c>
      <c r="I274" s="21" t="s">
        <v>37</v>
      </c>
      <c r="J274" s="21">
        <v>6169</v>
      </c>
      <c r="K274" s="21">
        <v>689</v>
      </c>
      <c r="L274" s="22">
        <v>92</v>
      </c>
      <c r="M274" s="23" t="s">
        <v>448</v>
      </c>
      <c r="N274" s="24" t="s">
        <v>25</v>
      </c>
      <c r="O274" s="25">
        <v>46204</v>
      </c>
      <c r="P274" s="21" t="s">
        <v>398</v>
      </c>
      <c r="Q274" s="21" t="s">
        <v>423</v>
      </c>
      <c r="R274" s="26" t="s">
        <v>427</v>
      </c>
      <c r="S274" s="27">
        <v>10000</v>
      </c>
      <c r="T274" s="28" t="s">
        <v>27</v>
      </c>
      <c r="U274" s="28" t="s">
        <v>28</v>
      </c>
      <c r="V274" s="28" t="s">
        <v>29</v>
      </c>
      <c r="W274" s="28" t="s">
        <v>52</v>
      </c>
    </row>
    <row r="275" spans="1:23" ht="15" customHeight="1" x14ac:dyDescent="0.25">
      <c r="A275" s="20" t="str">
        <f>VLOOKUP(F275,[1]CLIENTES!B:L,11,0)</f>
        <v>RODRIGO</v>
      </c>
      <c r="B275" s="20" t="s">
        <v>403</v>
      </c>
      <c r="C275" s="20">
        <v>46198</v>
      </c>
      <c r="D275" s="21" t="s">
        <v>21</v>
      </c>
      <c r="E275" s="21">
        <v>2364</v>
      </c>
      <c r="F275" s="21">
        <v>5115019</v>
      </c>
      <c r="G275" s="21">
        <v>123456</v>
      </c>
      <c r="H275" s="21" t="s">
        <v>36</v>
      </c>
      <c r="I275" s="21" t="s">
        <v>37</v>
      </c>
      <c r="J275" s="21">
        <v>6169</v>
      </c>
      <c r="K275" s="21">
        <v>689</v>
      </c>
      <c r="L275" s="22">
        <v>92</v>
      </c>
      <c r="M275" s="23" t="s">
        <v>449</v>
      </c>
      <c r="N275" s="24" t="s">
        <v>25</v>
      </c>
      <c r="O275" s="25">
        <v>46204</v>
      </c>
      <c r="P275" s="21" t="s">
        <v>398</v>
      </c>
      <c r="Q275" s="21" t="s">
        <v>423</v>
      </c>
      <c r="R275" s="26" t="s">
        <v>425</v>
      </c>
      <c r="S275" s="27">
        <v>45000</v>
      </c>
      <c r="T275" s="28" t="s">
        <v>27</v>
      </c>
      <c r="U275" s="28" t="s">
        <v>28</v>
      </c>
      <c r="V275" s="28" t="s">
        <v>29</v>
      </c>
      <c r="W275" s="28" t="s">
        <v>52</v>
      </c>
    </row>
    <row r="276" spans="1:23" ht="15" customHeight="1" x14ac:dyDescent="0.25">
      <c r="A276" s="20" t="str">
        <f>VLOOKUP(F276,[1]CLIENTES!B:L,11,0)</f>
        <v>RODRIGO</v>
      </c>
      <c r="B276" s="20" t="s">
        <v>403</v>
      </c>
      <c r="C276" s="20">
        <v>46198</v>
      </c>
      <c r="D276" s="21" t="s">
        <v>21</v>
      </c>
      <c r="E276" s="21">
        <v>2607</v>
      </c>
      <c r="F276" s="21">
        <v>5231303</v>
      </c>
      <c r="G276" s="21">
        <v>167018</v>
      </c>
      <c r="H276" s="21" t="s">
        <v>104</v>
      </c>
      <c r="I276" s="21" t="s">
        <v>37</v>
      </c>
      <c r="J276" s="21" t="s">
        <v>105</v>
      </c>
      <c r="K276" s="21">
        <v>189</v>
      </c>
      <c r="L276" s="22">
        <v>93</v>
      </c>
      <c r="M276" s="23" t="s">
        <v>450</v>
      </c>
      <c r="N276" s="24" t="s">
        <v>25</v>
      </c>
      <c r="O276" s="25">
        <v>46204</v>
      </c>
      <c r="P276" s="21" t="s">
        <v>398</v>
      </c>
      <c r="Q276" s="21" t="s">
        <v>423</v>
      </c>
      <c r="R276" s="26" t="s">
        <v>432</v>
      </c>
      <c r="S276" s="27">
        <v>10000</v>
      </c>
      <c r="T276" s="28" t="s">
        <v>27</v>
      </c>
      <c r="U276" s="28" t="s">
        <v>28</v>
      </c>
      <c r="V276" s="28" t="s">
        <v>29</v>
      </c>
      <c r="W276" s="28" t="s">
        <v>52</v>
      </c>
    </row>
    <row r="277" spans="1:23" ht="15" customHeight="1" x14ac:dyDescent="0.25">
      <c r="A277" s="20" t="str">
        <f>VLOOKUP(F277,[1]CLIENTES!B:L,11,0)</f>
        <v>RODRIGO</v>
      </c>
      <c r="B277" s="20" t="s">
        <v>403</v>
      </c>
      <c r="C277" s="20">
        <v>46198</v>
      </c>
      <c r="D277" s="21" t="s">
        <v>21</v>
      </c>
      <c r="E277" s="21">
        <v>2355</v>
      </c>
      <c r="F277" s="21">
        <v>5017576</v>
      </c>
      <c r="G277" s="21">
        <v>116132</v>
      </c>
      <c r="H277" s="21" t="s">
        <v>31</v>
      </c>
      <c r="I277" s="21" t="s">
        <v>32</v>
      </c>
      <c r="J277" s="21">
        <v>6169</v>
      </c>
      <c r="K277" s="21">
        <v>690</v>
      </c>
      <c r="L277" s="22">
        <v>92</v>
      </c>
      <c r="M277" s="23" t="s">
        <v>451</v>
      </c>
      <c r="N277" s="24" t="s">
        <v>25</v>
      </c>
      <c r="O277" s="25">
        <v>46204</v>
      </c>
      <c r="P277" s="21" t="s">
        <v>398</v>
      </c>
      <c r="Q277" s="21" t="s">
        <v>423</v>
      </c>
      <c r="R277" s="26" t="s">
        <v>424</v>
      </c>
      <c r="S277" s="27">
        <v>10000</v>
      </c>
      <c r="T277" s="28" t="s">
        <v>27</v>
      </c>
      <c r="U277" s="28" t="s">
        <v>28</v>
      </c>
      <c r="V277" s="28" t="s">
        <v>29</v>
      </c>
      <c r="W277" s="28" t="s">
        <v>35</v>
      </c>
    </row>
    <row r="278" spans="1:23" ht="15" customHeight="1" x14ac:dyDescent="0.25">
      <c r="A278" s="20" t="str">
        <f>VLOOKUP(F278,[1]CLIENTES!B:L,11,0)</f>
        <v>RODRIGO</v>
      </c>
      <c r="B278" s="20" t="s">
        <v>403</v>
      </c>
      <c r="C278" s="20">
        <v>46198</v>
      </c>
      <c r="D278" s="21" t="s">
        <v>21</v>
      </c>
      <c r="E278" s="21">
        <v>2355</v>
      </c>
      <c r="F278" s="21">
        <v>5017576</v>
      </c>
      <c r="G278" s="21">
        <v>116132</v>
      </c>
      <c r="H278" s="21" t="s">
        <v>31</v>
      </c>
      <c r="I278" s="21" t="s">
        <v>32</v>
      </c>
      <c r="J278" s="21">
        <v>6169</v>
      </c>
      <c r="K278" s="21">
        <v>690</v>
      </c>
      <c r="L278" s="22">
        <v>92</v>
      </c>
      <c r="M278" s="23" t="s">
        <v>452</v>
      </c>
      <c r="N278" s="24" t="s">
        <v>25</v>
      </c>
      <c r="O278" s="25">
        <v>46204</v>
      </c>
      <c r="P278" s="21" t="s">
        <v>398</v>
      </c>
      <c r="Q278" s="21" t="s">
        <v>423</v>
      </c>
      <c r="R278" s="26" t="s">
        <v>424</v>
      </c>
      <c r="S278" s="27">
        <v>9000</v>
      </c>
      <c r="T278" s="28" t="s">
        <v>27</v>
      </c>
      <c r="U278" s="28" t="s">
        <v>28</v>
      </c>
      <c r="V278" s="28" t="s">
        <v>29</v>
      </c>
      <c r="W278" s="28" t="s">
        <v>52</v>
      </c>
    </row>
    <row r="279" spans="1:23" ht="15" customHeight="1" x14ac:dyDescent="0.25">
      <c r="A279" s="20" t="str">
        <f>VLOOKUP(F279,[1]CLIENTES!B:L,11,0)</f>
        <v>RODRIGO</v>
      </c>
      <c r="B279" s="20" t="s">
        <v>403</v>
      </c>
      <c r="C279" s="20">
        <v>46198</v>
      </c>
      <c r="D279" s="21" t="s">
        <v>21</v>
      </c>
      <c r="E279" s="21">
        <v>2359</v>
      </c>
      <c r="F279" s="21">
        <v>5161469</v>
      </c>
      <c r="G279" s="21">
        <v>141489</v>
      </c>
      <c r="H279" s="21" t="s">
        <v>368</v>
      </c>
      <c r="I279" s="21" t="s">
        <v>37</v>
      </c>
      <c r="J279" s="21">
        <v>6169</v>
      </c>
      <c r="K279" s="21">
        <v>690</v>
      </c>
      <c r="L279" s="22">
        <v>92</v>
      </c>
      <c r="M279" s="23" t="s">
        <v>453</v>
      </c>
      <c r="N279" s="24" t="s">
        <v>25</v>
      </c>
      <c r="O279" s="25">
        <v>46204</v>
      </c>
      <c r="P279" s="21" t="s">
        <v>398</v>
      </c>
      <c r="Q279" s="21" t="s">
        <v>423</v>
      </c>
      <c r="R279" s="26" t="s">
        <v>432</v>
      </c>
      <c r="S279" s="27">
        <v>1500</v>
      </c>
      <c r="T279" s="28" t="s">
        <v>27</v>
      </c>
      <c r="U279" s="28" t="s">
        <v>28</v>
      </c>
      <c r="V279" s="28" t="s">
        <v>29</v>
      </c>
      <c r="W279" s="28" t="s">
        <v>52</v>
      </c>
    </row>
    <row r="280" spans="1:23" ht="15" customHeight="1" x14ac:dyDescent="0.25">
      <c r="A280" s="20" t="str">
        <f>VLOOKUP(F280,[1]CLIENTES!B:L,11,0)</f>
        <v>RODRIGO</v>
      </c>
      <c r="B280" s="20" t="s">
        <v>403</v>
      </c>
      <c r="C280" s="20">
        <v>46198</v>
      </c>
      <c r="D280" s="21" t="s">
        <v>21</v>
      </c>
      <c r="E280" s="21">
        <v>2372</v>
      </c>
      <c r="F280" s="21">
        <v>5020347</v>
      </c>
      <c r="G280" s="21">
        <v>112787</v>
      </c>
      <c r="H280" s="21" t="s">
        <v>129</v>
      </c>
      <c r="I280" s="21" t="s">
        <v>23</v>
      </c>
      <c r="J280" s="21">
        <v>6125</v>
      </c>
      <c r="K280" s="21">
        <v>692</v>
      </c>
      <c r="L280" s="22">
        <v>92</v>
      </c>
      <c r="M280" s="23" t="s">
        <v>454</v>
      </c>
      <c r="N280" s="24" t="s">
        <v>25</v>
      </c>
      <c r="O280" s="25">
        <v>46204</v>
      </c>
      <c r="P280" s="21" t="s">
        <v>398</v>
      </c>
      <c r="Q280" s="21" t="s">
        <v>49</v>
      </c>
      <c r="R280" s="26" t="s">
        <v>400</v>
      </c>
      <c r="S280" s="27">
        <v>15036</v>
      </c>
      <c r="T280" s="28" t="s">
        <v>27</v>
      </c>
      <c r="U280" s="28" t="s">
        <v>28</v>
      </c>
      <c r="V280" s="28" t="s">
        <v>29</v>
      </c>
      <c r="W280" s="28" t="s">
        <v>52</v>
      </c>
    </row>
    <row r="281" spans="1:23" ht="15" customHeight="1" x14ac:dyDescent="0.25">
      <c r="A281" s="20" t="str">
        <f>VLOOKUP(F281,[1]CLIENTES!B:L,11,0)</f>
        <v>RODRIGO</v>
      </c>
      <c r="B281" s="20" t="s">
        <v>403</v>
      </c>
      <c r="C281" s="20">
        <v>46198</v>
      </c>
      <c r="D281" s="21" t="s">
        <v>21</v>
      </c>
      <c r="E281" s="21">
        <v>2372</v>
      </c>
      <c r="F281" s="21">
        <v>5020347</v>
      </c>
      <c r="G281" s="21">
        <v>112787</v>
      </c>
      <c r="H281" s="21" t="s">
        <v>129</v>
      </c>
      <c r="I281" s="21" t="s">
        <v>23</v>
      </c>
      <c r="J281" s="21">
        <v>6125</v>
      </c>
      <c r="K281" s="21">
        <v>692</v>
      </c>
      <c r="L281" s="22">
        <v>92</v>
      </c>
      <c r="M281" s="23" t="s">
        <v>455</v>
      </c>
      <c r="N281" s="24" t="s">
        <v>25</v>
      </c>
      <c r="O281" s="25">
        <v>46204</v>
      </c>
      <c r="P281" s="21" t="s">
        <v>398</v>
      </c>
      <c r="Q281" s="21" t="s">
        <v>49</v>
      </c>
      <c r="R281" s="26" t="s">
        <v>400</v>
      </c>
      <c r="S281" s="27">
        <v>5834</v>
      </c>
      <c r="T281" s="28" t="s">
        <v>27</v>
      </c>
      <c r="U281" s="28" t="s">
        <v>28</v>
      </c>
      <c r="V281" s="28" t="s">
        <v>29</v>
      </c>
      <c r="W281" s="28" t="s">
        <v>45</v>
      </c>
    </row>
    <row r="282" spans="1:23" ht="15" customHeight="1" x14ac:dyDescent="0.25">
      <c r="A282" s="20" t="str">
        <f>VLOOKUP(F282,[1]CLIENTES!B:L,11,0)</f>
        <v>RODRIGO</v>
      </c>
      <c r="B282" s="20" t="s">
        <v>403</v>
      </c>
      <c r="C282" s="20">
        <v>46198</v>
      </c>
      <c r="D282" s="21" t="s">
        <v>21</v>
      </c>
      <c r="E282" s="21">
        <v>2371</v>
      </c>
      <c r="F282" s="21">
        <v>5020352</v>
      </c>
      <c r="G282" s="21">
        <v>127298</v>
      </c>
      <c r="H282" s="21" t="s">
        <v>124</v>
      </c>
      <c r="I282" s="21" t="s">
        <v>23</v>
      </c>
      <c r="J282" s="21">
        <v>6125</v>
      </c>
      <c r="K282" s="21">
        <v>692</v>
      </c>
      <c r="L282" s="22">
        <v>92</v>
      </c>
      <c r="M282" s="23" t="s">
        <v>456</v>
      </c>
      <c r="N282" s="24" t="s">
        <v>25</v>
      </c>
      <c r="O282" s="25">
        <v>46204</v>
      </c>
      <c r="P282" s="21" t="s">
        <v>398</v>
      </c>
      <c r="Q282" s="21" t="s">
        <v>49</v>
      </c>
      <c r="R282" s="26" t="s">
        <v>400</v>
      </c>
      <c r="S282" s="27">
        <v>6000</v>
      </c>
      <c r="T282" s="28" t="s">
        <v>27</v>
      </c>
      <c r="U282" s="28" t="s">
        <v>28</v>
      </c>
      <c r="V282" s="28" t="s">
        <v>29</v>
      </c>
      <c r="W282" s="28" t="s">
        <v>52</v>
      </c>
    </row>
    <row r="283" spans="1:23" ht="15" customHeight="1" x14ac:dyDescent="0.25">
      <c r="A283" s="20" t="str">
        <f>VLOOKUP(F283,[1]CLIENTES!B:L,11,0)</f>
        <v>RODRIGO</v>
      </c>
      <c r="B283" s="20" t="s">
        <v>403</v>
      </c>
      <c r="C283" s="20">
        <v>46198</v>
      </c>
      <c r="D283" s="21" t="s">
        <v>21</v>
      </c>
      <c r="E283" s="21">
        <v>2581</v>
      </c>
      <c r="F283" s="21">
        <v>5159222</v>
      </c>
      <c r="G283" s="21">
        <v>143312</v>
      </c>
      <c r="H283" s="21" t="s">
        <v>184</v>
      </c>
      <c r="I283" s="21" t="s">
        <v>71</v>
      </c>
      <c r="J283" s="21" t="s">
        <v>72</v>
      </c>
      <c r="K283" s="21">
        <v>186</v>
      </c>
      <c r="L283" s="22">
        <v>92</v>
      </c>
      <c r="M283" s="23" t="s">
        <v>457</v>
      </c>
      <c r="N283" s="24" t="s">
        <v>25</v>
      </c>
      <c r="O283" s="25">
        <v>46204</v>
      </c>
      <c r="P283" s="21" t="s">
        <v>398</v>
      </c>
      <c r="Q283" s="21" t="s">
        <v>428</v>
      </c>
      <c r="R283" s="26" t="s">
        <v>430</v>
      </c>
      <c r="S283" s="27">
        <v>1500</v>
      </c>
      <c r="T283" s="28" t="s">
        <v>27</v>
      </c>
      <c r="U283" s="28" t="s">
        <v>28</v>
      </c>
      <c r="V283" s="28" t="s">
        <v>29</v>
      </c>
      <c r="W283" s="28" t="s">
        <v>52</v>
      </c>
    </row>
    <row r="284" spans="1:23" ht="15" customHeight="1" x14ac:dyDescent="0.25">
      <c r="A284" s="20" t="str">
        <f>VLOOKUP(F284,[1]CLIENTES!B:L,11,0)</f>
        <v>RODRIGO</v>
      </c>
      <c r="B284" s="20" t="s">
        <v>403</v>
      </c>
      <c r="C284" s="20">
        <v>46198</v>
      </c>
      <c r="D284" s="21" t="s">
        <v>21</v>
      </c>
      <c r="E284" s="21">
        <v>2583</v>
      </c>
      <c r="F284" s="21">
        <v>5127060</v>
      </c>
      <c r="G284" s="21">
        <v>187971</v>
      </c>
      <c r="H284" s="21" t="s">
        <v>90</v>
      </c>
      <c r="I284" s="21" t="s">
        <v>71</v>
      </c>
      <c r="J284" s="21" t="s">
        <v>72</v>
      </c>
      <c r="K284" s="21">
        <v>186</v>
      </c>
      <c r="L284" s="22">
        <v>92</v>
      </c>
      <c r="M284" s="23" t="s">
        <v>458</v>
      </c>
      <c r="N284" s="24" t="s">
        <v>25</v>
      </c>
      <c r="O284" s="25">
        <v>46204</v>
      </c>
      <c r="P284" s="21" t="s">
        <v>398</v>
      </c>
      <c r="Q284" s="21" t="s">
        <v>428</v>
      </c>
      <c r="R284" s="26" t="s">
        <v>430</v>
      </c>
      <c r="S284" s="27">
        <v>1000</v>
      </c>
      <c r="T284" s="28" t="s">
        <v>27</v>
      </c>
      <c r="U284" s="28" t="s">
        <v>28</v>
      </c>
      <c r="V284" s="28" t="s">
        <v>29</v>
      </c>
      <c r="W284" s="28" t="s">
        <v>52</v>
      </c>
    </row>
    <row r="285" spans="1:23" ht="15" customHeight="1" x14ac:dyDescent="0.25">
      <c r="A285" s="20" t="str">
        <f>VLOOKUP(F285,[1]CLIENTES!B:L,11,0)</f>
        <v>RODRIGO</v>
      </c>
      <c r="B285" s="20" t="s">
        <v>403</v>
      </c>
      <c r="C285" s="20">
        <v>46198</v>
      </c>
      <c r="D285" s="21" t="s">
        <v>21</v>
      </c>
      <c r="E285" s="21">
        <v>2640</v>
      </c>
      <c r="F285" s="21">
        <v>5349287</v>
      </c>
      <c r="G285" s="21">
        <v>188861</v>
      </c>
      <c r="H285" s="21" t="s">
        <v>247</v>
      </c>
      <c r="I285" s="21" t="s">
        <v>71</v>
      </c>
      <c r="J285" s="21" t="s">
        <v>72</v>
      </c>
      <c r="K285" s="21">
        <v>186</v>
      </c>
      <c r="L285" s="22">
        <v>93</v>
      </c>
      <c r="M285" s="23" t="s">
        <v>459</v>
      </c>
      <c r="N285" s="24" t="s">
        <v>25</v>
      </c>
      <c r="O285" s="25">
        <v>46204</v>
      </c>
      <c r="P285" s="21" t="s">
        <v>398</v>
      </c>
      <c r="Q285" s="21" t="s">
        <v>428</v>
      </c>
      <c r="R285" s="26" t="s">
        <v>430</v>
      </c>
      <c r="S285" s="27">
        <v>300</v>
      </c>
      <c r="T285" s="28" t="s">
        <v>27</v>
      </c>
      <c r="U285" s="28" t="s">
        <v>28</v>
      </c>
      <c r="V285" s="28" t="s">
        <v>29</v>
      </c>
      <c r="W285" s="28" t="s">
        <v>52</v>
      </c>
    </row>
    <row r="286" spans="1:23" ht="15" customHeight="1" x14ac:dyDescent="0.25">
      <c r="A286" s="20" t="str">
        <f>VLOOKUP(F286,[1]CLIENTES!B:L,11,0)</f>
        <v>RODRIGO</v>
      </c>
      <c r="B286" s="20" t="s">
        <v>403</v>
      </c>
      <c r="C286" s="20">
        <v>46198</v>
      </c>
      <c r="D286" s="21" t="s">
        <v>21</v>
      </c>
      <c r="E286" s="21">
        <v>2594</v>
      </c>
      <c r="F286" s="21">
        <v>5366274</v>
      </c>
      <c r="G286" s="21">
        <v>193277</v>
      </c>
      <c r="H286" s="21" t="s">
        <v>351</v>
      </c>
      <c r="I286" s="21" t="s">
        <v>71</v>
      </c>
      <c r="J286" s="21" t="s">
        <v>72</v>
      </c>
      <c r="K286" s="21">
        <v>186</v>
      </c>
      <c r="L286" s="22">
        <v>92</v>
      </c>
      <c r="M286" s="23" t="s">
        <v>460</v>
      </c>
      <c r="N286" s="24" t="s">
        <v>25</v>
      </c>
      <c r="O286" s="25">
        <v>46204</v>
      </c>
      <c r="P286" s="21" t="s">
        <v>398</v>
      </c>
      <c r="Q286" s="21" t="s">
        <v>428</v>
      </c>
      <c r="R286" s="26" t="s">
        <v>430</v>
      </c>
      <c r="S286" s="27">
        <v>1800</v>
      </c>
      <c r="T286" s="28" t="s">
        <v>27</v>
      </c>
      <c r="U286" s="28" t="s">
        <v>28</v>
      </c>
      <c r="V286" s="28" t="s">
        <v>29</v>
      </c>
      <c r="W286" s="28" t="s">
        <v>52</v>
      </c>
    </row>
    <row r="287" spans="1:23" ht="15" customHeight="1" x14ac:dyDescent="0.25">
      <c r="A287" s="20" t="str">
        <f>VLOOKUP(F287,[1]CLIENTES!B:L,11,0)</f>
        <v>RODRIGO</v>
      </c>
      <c r="B287" s="20" t="s">
        <v>403</v>
      </c>
      <c r="C287" s="20">
        <v>46198</v>
      </c>
      <c r="D287" s="21" t="s">
        <v>21</v>
      </c>
      <c r="E287" s="21">
        <v>2597</v>
      </c>
      <c r="F287" s="21">
        <v>5160852</v>
      </c>
      <c r="G287" s="21">
        <v>144793</v>
      </c>
      <c r="H287" s="21" t="s">
        <v>461</v>
      </c>
      <c r="I287" s="21" t="s">
        <v>71</v>
      </c>
      <c r="J287" s="21" t="s">
        <v>72</v>
      </c>
      <c r="K287" s="21">
        <v>186</v>
      </c>
      <c r="L287" s="22">
        <v>92</v>
      </c>
      <c r="M287" s="23" t="s">
        <v>462</v>
      </c>
      <c r="N287" s="24" t="s">
        <v>25</v>
      </c>
      <c r="O287" s="25">
        <v>46204</v>
      </c>
      <c r="P287" s="21" t="s">
        <v>398</v>
      </c>
      <c r="Q287" s="21" t="s">
        <v>428</v>
      </c>
      <c r="R287" s="26" t="s">
        <v>430</v>
      </c>
      <c r="S287" s="27">
        <v>1000</v>
      </c>
      <c r="T287" s="28" t="s">
        <v>27</v>
      </c>
      <c r="U287" s="28" t="s">
        <v>28</v>
      </c>
      <c r="V287" s="28" t="s">
        <v>29</v>
      </c>
      <c r="W287" s="28" t="s">
        <v>52</v>
      </c>
    </row>
    <row r="288" spans="1:23" ht="15" customHeight="1" x14ac:dyDescent="0.25">
      <c r="A288" s="20" t="str">
        <f>VLOOKUP(F288,[1]CLIENTES!B:L,11,0)</f>
        <v>RODRIGO</v>
      </c>
      <c r="B288" s="20" t="s">
        <v>403</v>
      </c>
      <c r="C288" s="20">
        <v>46198</v>
      </c>
      <c r="D288" s="21" t="s">
        <v>21</v>
      </c>
      <c r="E288" s="21">
        <v>2593</v>
      </c>
      <c r="F288" s="21">
        <v>5226805</v>
      </c>
      <c r="G288" s="21">
        <v>150155</v>
      </c>
      <c r="H288" s="21" t="s">
        <v>86</v>
      </c>
      <c r="I288" s="21" t="s">
        <v>71</v>
      </c>
      <c r="J288" s="21" t="s">
        <v>72</v>
      </c>
      <c r="K288" s="21">
        <v>186</v>
      </c>
      <c r="L288" s="22">
        <v>92</v>
      </c>
      <c r="M288" s="23" t="s">
        <v>463</v>
      </c>
      <c r="N288" s="24" t="s">
        <v>25</v>
      </c>
      <c r="O288" s="25">
        <v>46204</v>
      </c>
      <c r="P288" s="21" t="s">
        <v>398</v>
      </c>
      <c r="Q288" s="21" t="s">
        <v>428</v>
      </c>
      <c r="R288" s="26" t="s">
        <v>431</v>
      </c>
      <c r="S288" s="27">
        <v>3000</v>
      </c>
      <c r="T288" s="28" t="s">
        <v>27</v>
      </c>
      <c r="U288" s="28" t="s">
        <v>28</v>
      </c>
      <c r="V288" s="28" t="s">
        <v>29</v>
      </c>
      <c r="W288" s="28" t="s">
        <v>52</v>
      </c>
    </row>
    <row r="289" spans="1:23" ht="15" customHeight="1" x14ac:dyDescent="0.25">
      <c r="A289" s="20" t="str">
        <f>VLOOKUP(F289,[1]CLIENTES!B:L,11,0)</f>
        <v>RODRIGO</v>
      </c>
      <c r="B289" s="20" t="s">
        <v>403</v>
      </c>
      <c r="C289" s="20">
        <v>46198</v>
      </c>
      <c r="D289" s="21" t="s">
        <v>21</v>
      </c>
      <c r="E289" s="21">
        <v>2356</v>
      </c>
      <c r="F289" s="21">
        <v>5004685</v>
      </c>
      <c r="G289" s="21">
        <v>110434</v>
      </c>
      <c r="H289" s="21" t="s">
        <v>116</v>
      </c>
      <c r="I289" s="21" t="s">
        <v>23</v>
      </c>
      <c r="J289" s="21">
        <v>6125</v>
      </c>
      <c r="K289" s="21">
        <v>692</v>
      </c>
      <c r="L289" s="22">
        <v>93</v>
      </c>
      <c r="M289" s="23" t="s">
        <v>464</v>
      </c>
      <c r="N289" s="24" t="s">
        <v>25</v>
      </c>
      <c r="O289" s="25">
        <v>46204</v>
      </c>
      <c r="P289" s="21" t="s">
        <v>398</v>
      </c>
      <c r="Q289" s="21" t="s">
        <v>49</v>
      </c>
      <c r="R289" s="26" t="s">
        <v>402</v>
      </c>
      <c r="S289" s="27">
        <v>26860.12</v>
      </c>
      <c r="T289" s="28" t="s">
        <v>27</v>
      </c>
      <c r="U289" s="28" t="s">
        <v>28</v>
      </c>
      <c r="V289" s="28" t="s">
        <v>29</v>
      </c>
      <c r="W289" s="28" t="s">
        <v>338</v>
      </c>
    </row>
    <row r="290" spans="1:23" ht="15" customHeight="1" x14ac:dyDescent="0.25">
      <c r="A290" s="20" t="str">
        <f>VLOOKUP(F290,[1]CLIENTES!B:L,11,0)</f>
        <v>RODRIGO</v>
      </c>
      <c r="B290" s="20" t="s">
        <v>403</v>
      </c>
      <c r="C290" s="20">
        <v>46198</v>
      </c>
      <c r="D290" s="21" t="s">
        <v>118</v>
      </c>
      <c r="E290" s="31">
        <v>4000171135</v>
      </c>
      <c r="F290" s="21">
        <v>5026399</v>
      </c>
      <c r="G290" s="21">
        <v>116247</v>
      </c>
      <c r="H290" s="21" t="s">
        <v>119</v>
      </c>
      <c r="I290" s="21" t="s">
        <v>37</v>
      </c>
      <c r="J290" s="21">
        <v>6169</v>
      </c>
      <c r="K290" s="21">
        <v>689</v>
      </c>
      <c r="L290" s="22">
        <v>92</v>
      </c>
      <c r="M290" s="23" t="s">
        <v>466</v>
      </c>
      <c r="N290" s="24" t="s">
        <v>25</v>
      </c>
      <c r="O290" s="25">
        <v>46204</v>
      </c>
      <c r="P290" s="21" t="s">
        <v>398</v>
      </c>
      <c r="Q290" s="21" t="s">
        <v>423</v>
      </c>
      <c r="R290" s="26" t="s">
        <v>425</v>
      </c>
      <c r="S290" s="27">
        <v>50000</v>
      </c>
      <c r="T290" s="28" t="s">
        <v>27</v>
      </c>
      <c r="U290" s="28" t="s">
        <v>28</v>
      </c>
      <c r="V290" s="28" t="s">
        <v>29</v>
      </c>
      <c r="W290" s="28" t="s">
        <v>204</v>
      </c>
    </row>
    <row r="291" spans="1:23" ht="15" customHeight="1" x14ac:dyDescent="0.25">
      <c r="A291" s="20" t="str">
        <f>VLOOKUP(F291,[1]CLIENTES!B:L,11,0)</f>
        <v>RODRIGO</v>
      </c>
      <c r="B291" s="20" t="s">
        <v>403</v>
      </c>
      <c r="C291" s="20">
        <v>46198</v>
      </c>
      <c r="D291" s="21" t="s">
        <v>21</v>
      </c>
      <c r="E291" s="21">
        <v>2596</v>
      </c>
      <c r="F291" s="21">
        <v>5133664</v>
      </c>
      <c r="G291" s="21">
        <v>142632</v>
      </c>
      <c r="H291" s="21" t="s">
        <v>134</v>
      </c>
      <c r="I291" s="21" t="s">
        <v>40</v>
      </c>
      <c r="J291" s="21" t="s">
        <v>41</v>
      </c>
      <c r="K291" s="21">
        <v>194</v>
      </c>
      <c r="L291" s="22">
        <v>92</v>
      </c>
      <c r="M291" s="23" t="s">
        <v>467</v>
      </c>
      <c r="N291" s="24" t="s">
        <v>25</v>
      </c>
      <c r="O291" s="25">
        <v>46204</v>
      </c>
      <c r="P291" s="21" t="s">
        <v>398</v>
      </c>
      <c r="Q291" s="21" t="s">
        <v>43</v>
      </c>
      <c r="R291" s="26" t="s">
        <v>426</v>
      </c>
      <c r="S291" s="27">
        <v>30000</v>
      </c>
      <c r="T291" s="28" t="s">
        <v>27</v>
      </c>
      <c r="U291" s="28" t="s">
        <v>28</v>
      </c>
      <c r="V291" s="28" t="s">
        <v>29</v>
      </c>
      <c r="W291" s="28" t="s">
        <v>52</v>
      </c>
    </row>
    <row r="292" spans="1:23" ht="15" customHeight="1" x14ac:dyDescent="0.25">
      <c r="A292" s="20" t="str">
        <f>VLOOKUP(F292,[1]CLIENTES!B:L,11,0)</f>
        <v>RODRIGO</v>
      </c>
      <c r="B292" s="20" t="s">
        <v>403</v>
      </c>
      <c r="C292" s="20">
        <v>46198</v>
      </c>
      <c r="D292" s="21" t="s">
        <v>21</v>
      </c>
      <c r="E292" s="21">
        <v>2642</v>
      </c>
      <c r="F292" s="21">
        <v>5225860</v>
      </c>
      <c r="G292" s="21">
        <v>180402</v>
      </c>
      <c r="H292" s="21" t="s">
        <v>39</v>
      </c>
      <c r="I292" s="21" t="s">
        <v>40</v>
      </c>
      <c r="J292" s="21" t="s">
        <v>41</v>
      </c>
      <c r="K292" s="21">
        <v>194</v>
      </c>
      <c r="L292" s="22">
        <v>92</v>
      </c>
      <c r="M292" s="23" t="s">
        <v>467</v>
      </c>
      <c r="N292" s="24" t="s">
        <v>25</v>
      </c>
      <c r="O292" s="25">
        <v>46204</v>
      </c>
      <c r="P292" s="21" t="s">
        <v>398</v>
      </c>
      <c r="Q292" s="21" t="s">
        <v>43</v>
      </c>
      <c r="R292" s="26" t="s">
        <v>426</v>
      </c>
      <c r="S292" s="27">
        <v>25000</v>
      </c>
      <c r="T292" s="28" t="s">
        <v>27</v>
      </c>
      <c r="U292" s="28" t="s">
        <v>28</v>
      </c>
      <c r="V292" s="28" t="s">
        <v>29</v>
      </c>
      <c r="W292" s="28" t="s">
        <v>52</v>
      </c>
    </row>
    <row r="293" spans="1:23" ht="15" customHeight="1" x14ac:dyDescent="0.25">
      <c r="A293" s="20" t="str">
        <f>VLOOKUP(F293,[1]CLIENTES!B:L,11,0)</f>
        <v>RODRIGO</v>
      </c>
      <c r="B293" s="20" t="s">
        <v>403</v>
      </c>
      <c r="C293" s="20">
        <v>46198</v>
      </c>
      <c r="D293" s="21" t="s">
        <v>21</v>
      </c>
      <c r="E293" s="21">
        <v>2403</v>
      </c>
      <c r="F293" s="21">
        <v>5023770</v>
      </c>
      <c r="G293" s="21">
        <v>111937</v>
      </c>
      <c r="H293" s="21" t="s">
        <v>341</v>
      </c>
      <c r="I293" s="21" t="s">
        <v>132</v>
      </c>
      <c r="J293" s="21">
        <v>6127</v>
      </c>
      <c r="K293" s="21">
        <v>605</v>
      </c>
      <c r="L293" s="22">
        <v>92</v>
      </c>
      <c r="M293" s="23" t="s">
        <v>468</v>
      </c>
      <c r="N293" s="24" t="s">
        <v>25</v>
      </c>
      <c r="O293" s="25">
        <v>46204</v>
      </c>
      <c r="P293" s="21" t="s">
        <v>398</v>
      </c>
      <c r="Q293" s="21" t="s">
        <v>43</v>
      </c>
      <c r="R293" s="26" t="s">
        <v>433</v>
      </c>
      <c r="S293" s="27">
        <v>2000</v>
      </c>
      <c r="T293" s="28" t="s">
        <v>27</v>
      </c>
      <c r="U293" s="28" t="s">
        <v>28</v>
      </c>
      <c r="V293" s="28" t="s">
        <v>29</v>
      </c>
      <c r="W293" s="28" t="s">
        <v>52</v>
      </c>
    </row>
    <row r="294" spans="1:23" ht="15" customHeight="1" x14ac:dyDescent="0.25">
      <c r="A294" s="20" t="str">
        <f>VLOOKUP(F294,[1]CLIENTES!B:L,11,0)</f>
        <v>RODRIGO</v>
      </c>
      <c r="B294" s="20" t="s">
        <v>403</v>
      </c>
      <c r="C294" s="20">
        <v>46198</v>
      </c>
      <c r="D294" s="21" t="s">
        <v>21</v>
      </c>
      <c r="E294" s="21">
        <v>2361</v>
      </c>
      <c r="F294" s="21">
        <v>5229985</v>
      </c>
      <c r="G294" s="21">
        <v>180738</v>
      </c>
      <c r="H294" s="21" t="s">
        <v>131</v>
      </c>
      <c r="I294" s="21" t="s">
        <v>132</v>
      </c>
      <c r="J294" s="21">
        <v>6127</v>
      </c>
      <c r="K294" s="21">
        <v>605</v>
      </c>
      <c r="L294" s="22">
        <v>92</v>
      </c>
      <c r="M294" s="23" t="s">
        <v>468</v>
      </c>
      <c r="N294" s="24" t="s">
        <v>25</v>
      </c>
      <c r="O294" s="25">
        <v>46204</v>
      </c>
      <c r="P294" s="21" t="s">
        <v>398</v>
      </c>
      <c r="Q294" s="21" t="s">
        <v>43</v>
      </c>
      <c r="R294" s="26" t="s">
        <v>433</v>
      </c>
      <c r="S294" s="27">
        <v>15000</v>
      </c>
      <c r="T294" s="28" t="s">
        <v>27</v>
      </c>
      <c r="U294" s="28" t="s">
        <v>28</v>
      </c>
      <c r="V294" s="28" t="s">
        <v>29</v>
      </c>
      <c r="W294" s="28" t="s">
        <v>52</v>
      </c>
    </row>
    <row r="295" spans="1:23" ht="15" customHeight="1" x14ac:dyDescent="0.25">
      <c r="A295" s="20" t="str">
        <f>VLOOKUP(F295,[1]CLIENTES!B:L,11,0)</f>
        <v>RODRIGO</v>
      </c>
      <c r="B295" s="20" t="s">
        <v>403</v>
      </c>
      <c r="C295" s="20">
        <v>46198</v>
      </c>
      <c r="D295" s="21" t="s">
        <v>21</v>
      </c>
      <c r="E295" s="21">
        <v>2360</v>
      </c>
      <c r="F295" s="21">
        <v>5026768</v>
      </c>
      <c r="G295" s="21">
        <v>113399</v>
      </c>
      <c r="H295" s="21" t="s">
        <v>139</v>
      </c>
      <c r="I295" s="21" t="s">
        <v>132</v>
      </c>
      <c r="J295" s="21">
        <v>6127</v>
      </c>
      <c r="K295" s="21">
        <v>605</v>
      </c>
      <c r="L295" s="22">
        <v>92</v>
      </c>
      <c r="M295" s="23" t="s">
        <v>468</v>
      </c>
      <c r="N295" s="24" t="s">
        <v>25</v>
      </c>
      <c r="O295" s="25">
        <v>46204</v>
      </c>
      <c r="P295" s="21" t="s">
        <v>398</v>
      </c>
      <c r="Q295" s="21" t="s">
        <v>43</v>
      </c>
      <c r="R295" s="26" t="s">
        <v>433</v>
      </c>
      <c r="S295" s="27">
        <v>10000</v>
      </c>
      <c r="T295" s="28" t="s">
        <v>27</v>
      </c>
      <c r="U295" s="28" t="s">
        <v>28</v>
      </c>
      <c r="V295" s="28" t="s">
        <v>29</v>
      </c>
      <c r="W295" s="28" t="s">
        <v>52</v>
      </c>
    </row>
    <row r="296" spans="1:23" ht="15" customHeight="1" x14ac:dyDescent="0.25">
      <c r="A296" s="20" t="str">
        <f>VLOOKUP(F296,[1]CLIENTES!B:L,11,0)</f>
        <v>RODRIGO</v>
      </c>
      <c r="B296" s="20" t="s">
        <v>403</v>
      </c>
      <c r="C296" s="20">
        <v>46198</v>
      </c>
      <c r="D296" s="21" t="s">
        <v>21</v>
      </c>
      <c r="E296" s="21">
        <v>2373</v>
      </c>
      <c r="F296" s="21">
        <v>5109682</v>
      </c>
      <c r="G296" s="21">
        <v>128100</v>
      </c>
      <c r="H296" s="21" t="s">
        <v>88</v>
      </c>
      <c r="I296" s="21" t="s">
        <v>23</v>
      </c>
      <c r="J296" s="21">
        <v>6125</v>
      </c>
      <c r="K296" s="21">
        <v>692</v>
      </c>
      <c r="L296" s="22">
        <v>93</v>
      </c>
      <c r="M296" s="23" t="s">
        <v>469</v>
      </c>
      <c r="N296" s="24" t="s">
        <v>25</v>
      </c>
      <c r="O296" s="25">
        <v>46204</v>
      </c>
      <c r="P296" s="21" t="s">
        <v>398</v>
      </c>
      <c r="Q296" s="21" t="s">
        <v>26</v>
      </c>
      <c r="R296" s="26" t="s">
        <v>399</v>
      </c>
      <c r="S296" s="27">
        <v>4000</v>
      </c>
      <c r="T296" s="28" t="s">
        <v>27</v>
      </c>
      <c r="U296" s="28" t="s">
        <v>28</v>
      </c>
      <c r="V296" s="28" t="s">
        <v>29</v>
      </c>
      <c r="W296" s="28" t="s">
        <v>52</v>
      </c>
    </row>
    <row r="297" spans="1:23" ht="15" customHeight="1" x14ac:dyDescent="0.25">
      <c r="A297" s="20" t="str">
        <f>VLOOKUP(F297,[1]CLIENTES!B:L,11,0)</f>
        <v>RODRIGO</v>
      </c>
      <c r="B297" s="20" t="s">
        <v>470</v>
      </c>
      <c r="C297" s="20">
        <v>46203</v>
      </c>
      <c r="D297" s="21" t="s">
        <v>21</v>
      </c>
      <c r="E297" s="21">
        <v>3170</v>
      </c>
      <c r="F297" s="21">
        <v>5133664</v>
      </c>
      <c r="G297" s="21">
        <v>142632</v>
      </c>
      <c r="H297" s="21" t="s">
        <v>134</v>
      </c>
      <c r="I297" s="21" t="s">
        <v>40</v>
      </c>
      <c r="J297" s="21" t="s">
        <v>41</v>
      </c>
      <c r="K297" s="21">
        <v>194</v>
      </c>
      <c r="L297" s="22">
        <v>92</v>
      </c>
      <c r="M297" s="24" t="s">
        <v>467</v>
      </c>
      <c r="N297" s="24" t="s">
        <v>25</v>
      </c>
      <c r="O297" s="25">
        <v>46235</v>
      </c>
      <c r="P297" s="21" t="s">
        <v>398</v>
      </c>
      <c r="Q297" s="26" t="s">
        <v>471</v>
      </c>
      <c r="R297" s="27" t="s">
        <v>426</v>
      </c>
      <c r="S297" s="27">
        <v>30000</v>
      </c>
      <c r="T297" s="28" t="s">
        <v>27</v>
      </c>
      <c r="U297" s="28" t="s">
        <v>28</v>
      </c>
      <c r="V297" s="28" t="s">
        <v>29</v>
      </c>
      <c r="W297" s="28" t="s">
        <v>126</v>
      </c>
    </row>
    <row r="298" spans="1:23" ht="15" customHeight="1" x14ac:dyDescent="0.25">
      <c r="A298" s="20" t="str">
        <f>VLOOKUP(F298,[1]CLIENTES!B:L,11,0)</f>
        <v>RODRIGO</v>
      </c>
      <c r="B298" s="20" t="s">
        <v>470</v>
      </c>
      <c r="C298" s="20">
        <v>46209</v>
      </c>
      <c r="D298" s="21" t="s">
        <v>21</v>
      </c>
      <c r="E298" s="21">
        <v>10782</v>
      </c>
      <c r="F298" s="21">
        <v>5006978</v>
      </c>
      <c r="G298" s="21">
        <v>103036</v>
      </c>
      <c r="H298" s="21" t="s">
        <v>58</v>
      </c>
      <c r="I298" s="21" t="s">
        <v>23</v>
      </c>
      <c r="J298" s="21" t="s">
        <v>47</v>
      </c>
      <c r="K298" s="21">
        <v>722</v>
      </c>
      <c r="L298" s="22">
        <v>25</v>
      </c>
      <c r="M298" s="24" t="s">
        <v>472</v>
      </c>
      <c r="N298" s="24" t="s">
        <v>25</v>
      </c>
      <c r="O298" s="25">
        <v>46235</v>
      </c>
      <c r="P298" s="21" t="s">
        <v>398</v>
      </c>
      <c r="Q298" s="26" t="s">
        <v>26</v>
      </c>
      <c r="R298" s="27" t="s">
        <v>26</v>
      </c>
      <c r="S298" s="27">
        <v>20516</v>
      </c>
      <c r="T298" s="28" t="s">
        <v>27</v>
      </c>
      <c r="U298" s="28" t="s">
        <v>50</v>
      </c>
      <c r="V298" s="28" t="s">
        <v>51</v>
      </c>
      <c r="W298" s="28" t="s">
        <v>60</v>
      </c>
    </row>
    <row r="299" spans="1:23" ht="15" customHeight="1" x14ac:dyDescent="0.25">
      <c r="A299" s="20" t="str">
        <f>VLOOKUP(F299,[1]CLIENTES!B:L,11,0)</f>
        <v>RODRIGO</v>
      </c>
      <c r="B299" s="20" t="s">
        <v>470</v>
      </c>
      <c r="C299" s="20">
        <v>46209</v>
      </c>
      <c r="D299" s="21" t="s">
        <v>21</v>
      </c>
      <c r="E299" s="21">
        <v>2850</v>
      </c>
      <c r="F299" s="21">
        <v>5006978</v>
      </c>
      <c r="G299" s="21">
        <v>103036</v>
      </c>
      <c r="H299" s="21" t="s">
        <v>58</v>
      </c>
      <c r="I299" s="21" t="s">
        <v>23</v>
      </c>
      <c r="J299" s="21">
        <v>6125</v>
      </c>
      <c r="K299" s="21">
        <v>692</v>
      </c>
      <c r="L299" s="22">
        <v>92</v>
      </c>
      <c r="M299" s="24" t="s">
        <v>473</v>
      </c>
      <c r="N299" s="24" t="s">
        <v>25</v>
      </c>
      <c r="O299" s="25">
        <v>46235</v>
      </c>
      <c r="P299" s="21" t="s">
        <v>398</v>
      </c>
      <c r="Q299" s="26" t="s">
        <v>26</v>
      </c>
      <c r="R299" s="27" t="s">
        <v>26</v>
      </c>
      <c r="S299" s="27">
        <v>19515.060000000001</v>
      </c>
      <c r="T299" s="28" t="s">
        <v>27</v>
      </c>
      <c r="U299" s="28" t="s">
        <v>28</v>
      </c>
      <c r="V299" s="28" t="s">
        <v>29</v>
      </c>
      <c r="W299" s="28" t="s">
        <v>60</v>
      </c>
    </row>
    <row r="300" spans="1:23" ht="15" customHeight="1" x14ac:dyDescent="0.25">
      <c r="A300" s="20" t="str">
        <f>VLOOKUP(F300,[1]CLIENTES!B:L,11,0)</f>
        <v>RODRIGO</v>
      </c>
      <c r="B300" s="20" t="s">
        <v>470</v>
      </c>
      <c r="C300" s="20">
        <v>46209</v>
      </c>
      <c r="D300" s="21" t="s">
        <v>21</v>
      </c>
      <c r="E300" s="21">
        <v>10782</v>
      </c>
      <c r="F300" s="21">
        <v>5006978</v>
      </c>
      <c r="G300" s="21">
        <v>103036</v>
      </c>
      <c r="H300" s="21" t="s">
        <v>58</v>
      </c>
      <c r="I300" s="21" t="s">
        <v>23</v>
      </c>
      <c r="J300" s="21" t="s">
        <v>47</v>
      </c>
      <c r="K300" s="21">
        <v>722</v>
      </c>
      <c r="L300" s="22">
        <v>25</v>
      </c>
      <c r="M300" s="24" t="s">
        <v>474</v>
      </c>
      <c r="N300" s="24" t="s">
        <v>25</v>
      </c>
      <c r="O300" s="25">
        <v>46235</v>
      </c>
      <c r="P300" s="21" t="s">
        <v>398</v>
      </c>
      <c r="Q300" s="26" t="s">
        <v>26</v>
      </c>
      <c r="R300" s="27" t="s">
        <v>26</v>
      </c>
      <c r="S300" s="27">
        <v>31923.87</v>
      </c>
      <c r="T300" s="28" t="s">
        <v>27</v>
      </c>
      <c r="U300" s="28" t="s">
        <v>50</v>
      </c>
      <c r="V300" s="28" t="s">
        <v>51</v>
      </c>
      <c r="W300" s="28" t="s">
        <v>60</v>
      </c>
    </row>
    <row r="301" spans="1:23" ht="15" customHeight="1" x14ac:dyDescent="0.25">
      <c r="A301" s="20" t="str">
        <f>VLOOKUP(F301,[1]CLIENTES!B:L,11,0)</f>
        <v>RODRIGO</v>
      </c>
      <c r="B301" s="20" t="s">
        <v>470</v>
      </c>
      <c r="C301" s="20">
        <v>46183</v>
      </c>
      <c r="D301" s="21" t="s">
        <v>21</v>
      </c>
      <c r="E301" s="21">
        <v>2851</v>
      </c>
      <c r="F301" s="21">
        <v>5004685</v>
      </c>
      <c r="G301" s="21">
        <v>110434</v>
      </c>
      <c r="H301" s="21" t="s">
        <v>116</v>
      </c>
      <c r="I301" s="21" t="s">
        <v>23</v>
      </c>
      <c r="J301" s="21">
        <v>6125</v>
      </c>
      <c r="K301" s="21">
        <v>692</v>
      </c>
      <c r="L301" s="22">
        <v>92</v>
      </c>
      <c r="M301" s="24" t="s">
        <v>486</v>
      </c>
      <c r="N301" s="24" t="s">
        <v>25</v>
      </c>
      <c r="O301" s="25">
        <v>46235</v>
      </c>
      <c r="P301" s="21" t="s">
        <v>398</v>
      </c>
      <c r="Q301" s="26" t="s">
        <v>49</v>
      </c>
      <c r="R301" s="27" t="s">
        <v>402</v>
      </c>
      <c r="S301" s="27">
        <v>467.1</v>
      </c>
      <c r="T301" s="28" t="s">
        <v>27</v>
      </c>
      <c r="U301" s="28" t="s">
        <v>28</v>
      </c>
      <c r="V301" s="28" t="s">
        <v>29</v>
      </c>
      <c r="W301" s="28" t="s">
        <v>487</v>
      </c>
    </row>
    <row r="302" spans="1:23" ht="15" customHeight="1" x14ac:dyDescent="0.25">
      <c r="A302" s="20" t="str">
        <f>VLOOKUP(F302,[1]CLIENTES!B:L,11,0)</f>
        <v>RODRIGO</v>
      </c>
      <c r="B302" s="20" t="s">
        <v>470</v>
      </c>
      <c r="C302" s="20">
        <v>46183</v>
      </c>
      <c r="D302" s="21" t="s">
        <v>21</v>
      </c>
      <c r="E302" s="21">
        <v>2851</v>
      </c>
      <c r="F302" s="21">
        <v>5004685</v>
      </c>
      <c r="G302" s="21">
        <v>110434</v>
      </c>
      <c r="H302" s="21" t="s">
        <v>116</v>
      </c>
      <c r="I302" s="21" t="s">
        <v>23</v>
      </c>
      <c r="J302" s="21">
        <v>6125</v>
      </c>
      <c r="K302" s="21">
        <v>692</v>
      </c>
      <c r="L302" s="22">
        <v>92</v>
      </c>
      <c r="M302" s="24" t="s">
        <v>475</v>
      </c>
      <c r="N302" s="24" t="s">
        <v>25</v>
      </c>
      <c r="O302" s="25">
        <v>46235</v>
      </c>
      <c r="P302" s="21" t="s">
        <v>398</v>
      </c>
      <c r="Q302" s="26" t="s">
        <v>49</v>
      </c>
      <c r="R302" s="27" t="s">
        <v>402</v>
      </c>
      <c r="S302" s="27">
        <v>2000</v>
      </c>
      <c r="T302" s="28" t="s">
        <v>27</v>
      </c>
      <c r="U302" s="28" t="s">
        <v>28</v>
      </c>
      <c r="V302" s="28" t="s">
        <v>29</v>
      </c>
      <c r="W302" s="28" t="s">
        <v>126</v>
      </c>
    </row>
    <row r="303" spans="1:23" ht="15" customHeight="1" x14ac:dyDescent="0.25">
      <c r="A303" s="20" t="str">
        <f>VLOOKUP(F303,[1]CLIENTES!B:L,11,0)</f>
        <v>RODRIGO</v>
      </c>
      <c r="B303" s="20" t="s">
        <v>470</v>
      </c>
      <c r="C303" s="20">
        <v>46183</v>
      </c>
      <c r="D303" s="21" t="s">
        <v>21</v>
      </c>
      <c r="E303" s="21">
        <v>2852</v>
      </c>
      <c r="F303" s="21">
        <v>5185642</v>
      </c>
      <c r="G303" s="21">
        <v>142109</v>
      </c>
      <c r="H303" s="21" t="s">
        <v>166</v>
      </c>
      <c r="I303" s="21" t="s">
        <v>23</v>
      </c>
      <c r="J303" s="21">
        <v>6125</v>
      </c>
      <c r="K303" s="21">
        <v>692</v>
      </c>
      <c r="L303" s="22">
        <v>92</v>
      </c>
      <c r="M303" s="24" t="s">
        <v>488</v>
      </c>
      <c r="N303" s="24" t="s">
        <v>25</v>
      </c>
      <c r="O303" s="25">
        <v>46235</v>
      </c>
      <c r="P303" s="21" t="s">
        <v>398</v>
      </c>
      <c r="Q303" s="26" t="s">
        <v>26</v>
      </c>
      <c r="R303" s="27" t="s">
        <v>399</v>
      </c>
      <c r="S303" s="27">
        <v>5053.68</v>
      </c>
      <c r="T303" s="28" t="s">
        <v>27</v>
      </c>
      <c r="U303" s="28" t="s">
        <v>28</v>
      </c>
      <c r="V303" s="28" t="s">
        <v>29</v>
      </c>
      <c r="W303" s="28" t="s">
        <v>190</v>
      </c>
    </row>
    <row r="304" spans="1:23" ht="15" customHeight="1" x14ac:dyDescent="0.25">
      <c r="A304" s="20" t="str">
        <f>VLOOKUP(F304,[1]CLIENTES!B:L,11,0)</f>
        <v>RODRIGO</v>
      </c>
      <c r="B304" s="20" t="s">
        <v>470</v>
      </c>
      <c r="C304" s="20">
        <v>46183</v>
      </c>
      <c r="D304" s="21" t="s">
        <v>21</v>
      </c>
      <c r="E304" s="21">
        <v>2858</v>
      </c>
      <c r="F304" s="21">
        <v>5217293</v>
      </c>
      <c r="G304" s="21">
        <v>145966</v>
      </c>
      <c r="H304" s="21" t="s">
        <v>86</v>
      </c>
      <c r="I304" s="21" t="s">
        <v>23</v>
      </c>
      <c r="J304" s="21">
        <v>6125</v>
      </c>
      <c r="K304" s="21">
        <v>692</v>
      </c>
      <c r="L304" s="22">
        <v>92</v>
      </c>
      <c r="M304" s="24" t="s">
        <v>476</v>
      </c>
      <c r="N304" s="24" t="s">
        <v>25</v>
      </c>
      <c r="O304" s="25">
        <v>46235</v>
      </c>
      <c r="P304" s="21" t="s">
        <v>398</v>
      </c>
      <c r="Q304" s="26" t="s">
        <v>26</v>
      </c>
      <c r="R304" s="27" t="s">
        <v>399</v>
      </c>
      <c r="S304" s="27">
        <v>2222.2199999999998</v>
      </c>
      <c r="T304" s="28" t="s">
        <v>27</v>
      </c>
      <c r="U304" s="28" t="s">
        <v>28</v>
      </c>
      <c r="V304" s="28" t="s">
        <v>29</v>
      </c>
      <c r="W304" s="28" t="s">
        <v>35</v>
      </c>
    </row>
    <row r="305" spans="1:23" ht="15" customHeight="1" x14ac:dyDescent="0.25">
      <c r="A305" s="20" t="str">
        <f>VLOOKUP(F305,[1]CLIENTES!B:L,11,0)</f>
        <v>RODRIGO</v>
      </c>
      <c r="B305" s="20" t="s">
        <v>470</v>
      </c>
      <c r="C305" s="20">
        <v>46186</v>
      </c>
      <c r="D305" s="21" t="s">
        <v>21</v>
      </c>
      <c r="E305" s="21">
        <v>2851</v>
      </c>
      <c r="F305" s="21">
        <v>5004685</v>
      </c>
      <c r="G305" s="21">
        <v>110434</v>
      </c>
      <c r="H305" s="21" t="s">
        <v>116</v>
      </c>
      <c r="I305" s="21" t="s">
        <v>23</v>
      </c>
      <c r="J305" s="21">
        <v>6125</v>
      </c>
      <c r="K305" s="21">
        <v>692</v>
      </c>
      <c r="L305" s="22">
        <v>92</v>
      </c>
      <c r="M305" s="24" t="s">
        <v>477</v>
      </c>
      <c r="N305" s="24" t="s">
        <v>25</v>
      </c>
      <c r="O305" s="25">
        <v>46235</v>
      </c>
      <c r="P305" s="21" t="s">
        <v>398</v>
      </c>
      <c r="Q305" s="26" t="s">
        <v>49</v>
      </c>
      <c r="R305" s="27" t="s">
        <v>402</v>
      </c>
      <c r="S305" s="27">
        <v>6183.51</v>
      </c>
      <c r="T305" s="28" t="s">
        <v>27</v>
      </c>
      <c r="U305" s="28" t="s">
        <v>28</v>
      </c>
      <c r="V305" s="28" t="s">
        <v>29</v>
      </c>
      <c r="W305" s="28" t="s">
        <v>60</v>
      </c>
    </row>
    <row r="306" spans="1:23" ht="15" customHeight="1" x14ac:dyDescent="0.25">
      <c r="A306" s="20" t="str">
        <f>VLOOKUP(F306,[1]CLIENTES!B:L,11,0)</f>
        <v>RODRIGO</v>
      </c>
      <c r="B306" s="20" t="s">
        <v>470</v>
      </c>
      <c r="C306" s="20">
        <v>46186</v>
      </c>
      <c r="D306" s="21" t="s">
        <v>21</v>
      </c>
      <c r="E306" s="21">
        <v>2871</v>
      </c>
      <c r="F306" s="21">
        <v>5020319</v>
      </c>
      <c r="G306" s="21">
        <v>110315</v>
      </c>
      <c r="H306" s="21" t="s">
        <v>112</v>
      </c>
      <c r="I306" s="21" t="s">
        <v>113</v>
      </c>
      <c r="J306" s="21">
        <v>6127</v>
      </c>
      <c r="K306" s="21">
        <v>682</v>
      </c>
      <c r="L306" s="22">
        <v>92</v>
      </c>
      <c r="M306" s="24" t="s">
        <v>478</v>
      </c>
      <c r="N306" s="24" t="s">
        <v>25</v>
      </c>
      <c r="O306" s="25">
        <v>46235</v>
      </c>
      <c r="P306" s="21" t="s">
        <v>398</v>
      </c>
      <c r="Q306" s="26" t="s">
        <v>471</v>
      </c>
      <c r="R306" s="27" t="s">
        <v>692</v>
      </c>
      <c r="S306" s="27">
        <v>6666</v>
      </c>
      <c r="T306" s="28" t="s">
        <v>27</v>
      </c>
      <c r="U306" s="28" t="s">
        <v>28</v>
      </c>
      <c r="V306" s="28" t="s">
        <v>29</v>
      </c>
      <c r="W306" s="28" t="s">
        <v>45</v>
      </c>
    </row>
    <row r="307" spans="1:23" ht="15" customHeight="1" x14ac:dyDescent="0.25">
      <c r="A307" s="20" t="str">
        <f>VLOOKUP(F307,[1]CLIENTES!B:L,11,0)</f>
        <v>RODRIGO</v>
      </c>
      <c r="B307" s="20" t="s">
        <v>470</v>
      </c>
      <c r="C307" s="20">
        <v>46230</v>
      </c>
      <c r="D307" s="21" t="s">
        <v>21</v>
      </c>
      <c r="E307" s="21">
        <v>3200</v>
      </c>
      <c r="F307" s="21">
        <v>5133664</v>
      </c>
      <c r="G307" s="21">
        <v>142632</v>
      </c>
      <c r="H307" s="21" t="s">
        <v>134</v>
      </c>
      <c r="I307" s="21" t="s">
        <v>40</v>
      </c>
      <c r="J307" s="21" t="s">
        <v>41</v>
      </c>
      <c r="K307" s="21">
        <v>194</v>
      </c>
      <c r="L307" s="22">
        <v>92</v>
      </c>
      <c r="M307" s="24" t="s">
        <v>534</v>
      </c>
      <c r="N307" s="24" t="s">
        <v>25</v>
      </c>
      <c r="O307" s="25">
        <v>46235</v>
      </c>
      <c r="P307" s="21" t="s">
        <v>398</v>
      </c>
      <c r="Q307" s="26" t="s">
        <v>471</v>
      </c>
      <c r="R307" s="27" t="s">
        <v>426</v>
      </c>
      <c r="S307" s="27">
        <v>10000</v>
      </c>
      <c r="T307" s="28" t="s">
        <v>27</v>
      </c>
      <c r="U307" s="28" t="s">
        <v>28</v>
      </c>
      <c r="V307" s="28" t="s">
        <v>29</v>
      </c>
      <c r="W307" s="28" t="s">
        <v>126</v>
      </c>
    </row>
    <row r="308" spans="1:23" ht="15" customHeight="1" x14ac:dyDescent="0.25">
      <c r="A308" s="20" t="str">
        <f>VLOOKUP(F308,[1]CLIENTES!B:L,11,0)</f>
        <v>PEDRO</v>
      </c>
      <c r="B308" s="20" t="s">
        <v>470</v>
      </c>
      <c r="C308" s="20">
        <v>46219</v>
      </c>
      <c r="D308" s="21" t="s">
        <v>21</v>
      </c>
      <c r="E308" s="21">
        <v>10784</v>
      </c>
      <c r="F308" s="21">
        <v>5335135</v>
      </c>
      <c r="G308" s="21">
        <v>189543</v>
      </c>
      <c r="H308" s="21" t="s">
        <v>479</v>
      </c>
      <c r="I308" s="21" t="s">
        <v>23</v>
      </c>
      <c r="J308" s="31" t="s">
        <v>47</v>
      </c>
      <c r="K308" s="21">
        <v>722</v>
      </c>
      <c r="L308" s="22">
        <v>25</v>
      </c>
      <c r="M308" s="24" t="s">
        <v>480</v>
      </c>
      <c r="N308" s="24" t="s">
        <v>25</v>
      </c>
      <c r="O308" s="25">
        <v>46235</v>
      </c>
      <c r="P308" s="21" t="s">
        <v>434</v>
      </c>
      <c r="Q308" s="26" t="s">
        <v>435</v>
      </c>
      <c r="R308" s="27" t="s">
        <v>435</v>
      </c>
      <c r="S308" s="27">
        <v>15000</v>
      </c>
      <c r="T308" s="28" t="s">
        <v>27</v>
      </c>
      <c r="U308" s="28" t="s">
        <v>50</v>
      </c>
      <c r="V308" s="28" t="s">
        <v>51</v>
      </c>
      <c r="W308" s="28" t="s">
        <v>35</v>
      </c>
    </row>
    <row r="309" spans="1:23" ht="15" customHeight="1" x14ac:dyDescent="0.25">
      <c r="A309" s="20" t="str">
        <f>VLOOKUP(F309,[1]CLIENTES!B:L,11,0)</f>
        <v>RODRIGO</v>
      </c>
      <c r="B309" s="20" t="s">
        <v>470</v>
      </c>
      <c r="C309" s="20">
        <v>46220</v>
      </c>
      <c r="D309" s="21" t="s">
        <v>21</v>
      </c>
      <c r="E309" s="21">
        <v>2855</v>
      </c>
      <c r="F309" s="21">
        <v>5131101</v>
      </c>
      <c r="G309" s="21">
        <v>167218</v>
      </c>
      <c r="H309" s="21" t="s">
        <v>164</v>
      </c>
      <c r="I309" s="21" t="s">
        <v>23</v>
      </c>
      <c r="J309" s="21">
        <v>6125</v>
      </c>
      <c r="K309" s="21">
        <v>692</v>
      </c>
      <c r="L309" s="22">
        <v>92</v>
      </c>
      <c r="M309" s="24" t="s">
        <v>481</v>
      </c>
      <c r="N309" s="24" t="s">
        <v>25</v>
      </c>
      <c r="O309" s="25">
        <v>46235</v>
      </c>
      <c r="P309" s="21" t="s">
        <v>398</v>
      </c>
      <c r="Q309" s="26" t="s">
        <v>26</v>
      </c>
      <c r="R309" s="27" t="s">
        <v>399</v>
      </c>
      <c r="S309" s="27">
        <v>200</v>
      </c>
      <c r="T309" s="28" t="s">
        <v>27</v>
      </c>
      <c r="U309" s="28" t="s">
        <v>28</v>
      </c>
      <c r="V309" s="28" t="s">
        <v>29</v>
      </c>
      <c r="W309" s="28" t="s">
        <v>126</v>
      </c>
    </row>
    <row r="310" spans="1:23" ht="15" customHeight="1" x14ac:dyDescent="0.25">
      <c r="A310" s="20" t="str">
        <f>VLOOKUP(F310,[1]CLIENTES!B:L,11,0)</f>
        <v>RODRIGO</v>
      </c>
      <c r="B310" s="20" t="s">
        <v>470</v>
      </c>
      <c r="C310" s="20">
        <v>46223</v>
      </c>
      <c r="D310" s="21" t="s">
        <v>21</v>
      </c>
      <c r="E310" s="21">
        <v>3187</v>
      </c>
      <c r="F310" s="21">
        <v>5015597</v>
      </c>
      <c r="G310" s="21">
        <v>146602</v>
      </c>
      <c r="H310" s="21" t="s">
        <v>482</v>
      </c>
      <c r="I310" s="21" t="s">
        <v>483</v>
      </c>
      <c r="J310" s="21" t="s">
        <v>218</v>
      </c>
      <c r="K310" s="21">
        <v>193</v>
      </c>
      <c r="L310" s="32">
        <v>92</v>
      </c>
      <c r="M310" s="24" t="s">
        <v>484</v>
      </c>
      <c r="N310" s="24" t="s">
        <v>25</v>
      </c>
      <c r="O310" s="25">
        <v>46235</v>
      </c>
      <c r="P310" s="21" t="s">
        <v>398</v>
      </c>
      <c r="Q310" s="26" t="s">
        <v>485</v>
      </c>
      <c r="R310" s="27" t="s">
        <v>485</v>
      </c>
      <c r="S310" s="27">
        <v>800</v>
      </c>
      <c r="T310" s="28" t="s">
        <v>27</v>
      </c>
      <c r="U310" s="28" t="s">
        <v>28</v>
      </c>
      <c r="V310" s="28" t="s">
        <v>29</v>
      </c>
      <c r="W310" s="28" t="s">
        <v>126</v>
      </c>
    </row>
    <row r="311" spans="1:23" ht="15" customHeight="1" x14ac:dyDescent="0.25">
      <c r="A311" s="20" t="str">
        <f>VLOOKUP(F311,[1]CLIENTES!B:L,11,0)</f>
        <v>RODRIGO</v>
      </c>
      <c r="B311" s="20" t="s">
        <v>470</v>
      </c>
      <c r="C311" s="20">
        <v>46225</v>
      </c>
      <c r="D311" s="21" t="s">
        <v>21</v>
      </c>
      <c r="E311" s="21">
        <v>2853</v>
      </c>
      <c r="F311" s="21">
        <v>5118346</v>
      </c>
      <c r="G311" s="21">
        <v>143232</v>
      </c>
      <c r="H311" s="21" t="s">
        <v>489</v>
      </c>
      <c r="I311" s="21" t="s">
        <v>23</v>
      </c>
      <c r="J311" s="21">
        <v>6125</v>
      </c>
      <c r="K311" s="21">
        <v>692</v>
      </c>
      <c r="L311" s="22">
        <v>92</v>
      </c>
      <c r="M311" s="24" t="s">
        <v>490</v>
      </c>
      <c r="N311" s="24" t="s">
        <v>25</v>
      </c>
      <c r="O311" s="25">
        <v>46235</v>
      </c>
      <c r="P311" s="21" t="s">
        <v>398</v>
      </c>
      <c r="Q311" s="26" t="s">
        <v>26</v>
      </c>
      <c r="R311" s="27" t="s">
        <v>399</v>
      </c>
      <c r="S311" s="27">
        <v>4330</v>
      </c>
      <c r="T311" s="28" t="s">
        <v>27</v>
      </c>
      <c r="U311" s="28" t="s">
        <v>28</v>
      </c>
      <c r="V311" s="28" t="s">
        <v>29</v>
      </c>
      <c r="W311" s="28" t="s">
        <v>126</v>
      </c>
    </row>
    <row r="312" spans="1:23" ht="15" customHeight="1" x14ac:dyDescent="0.25">
      <c r="A312" s="20" t="str">
        <f>VLOOKUP(F312,[1]CLIENTES!B:L,11,0)</f>
        <v>RODRIGO</v>
      </c>
      <c r="B312" s="20" t="s">
        <v>470</v>
      </c>
      <c r="C312" s="20">
        <v>46227</v>
      </c>
      <c r="D312" s="21" t="s">
        <v>21</v>
      </c>
      <c r="E312" s="21">
        <v>2871</v>
      </c>
      <c r="F312" s="21">
        <v>5020319</v>
      </c>
      <c r="G312" s="21">
        <v>110315</v>
      </c>
      <c r="H312" s="21" t="s">
        <v>112</v>
      </c>
      <c r="I312" s="21" t="s">
        <v>113</v>
      </c>
      <c r="J312" s="21">
        <v>6127</v>
      </c>
      <c r="K312" s="21">
        <v>682</v>
      </c>
      <c r="L312" s="22">
        <v>92</v>
      </c>
      <c r="M312" s="24" t="s">
        <v>491</v>
      </c>
      <c r="N312" s="24" t="s">
        <v>25</v>
      </c>
      <c r="O312" s="25">
        <v>46235</v>
      </c>
      <c r="P312" s="21" t="s">
        <v>398</v>
      </c>
      <c r="Q312" s="26" t="s">
        <v>471</v>
      </c>
      <c r="R312" s="27" t="s">
        <v>692</v>
      </c>
      <c r="S312" s="27">
        <v>20668</v>
      </c>
      <c r="T312" s="28" t="s">
        <v>27</v>
      </c>
      <c r="U312" s="28" t="s">
        <v>28</v>
      </c>
      <c r="V312" s="28" t="s">
        <v>29</v>
      </c>
      <c r="W312" s="28" t="s">
        <v>126</v>
      </c>
    </row>
    <row r="313" spans="1:23" ht="15" customHeight="1" x14ac:dyDescent="0.25">
      <c r="A313" s="20" t="str">
        <f>VLOOKUP(F313,[1]CLIENTES!B:L,11,0)</f>
        <v>RODRIGO</v>
      </c>
      <c r="B313" s="20" t="s">
        <v>470</v>
      </c>
      <c r="C313" s="20">
        <v>46227</v>
      </c>
      <c r="D313" s="21" t="s">
        <v>21</v>
      </c>
      <c r="E313" s="21">
        <v>3173</v>
      </c>
      <c r="F313" s="21">
        <v>5231303</v>
      </c>
      <c r="G313" s="21">
        <v>167018</v>
      </c>
      <c r="H313" s="21" t="s">
        <v>104</v>
      </c>
      <c r="I313" s="21" t="s">
        <v>37</v>
      </c>
      <c r="J313" s="21" t="s">
        <v>105</v>
      </c>
      <c r="K313" s="21">
        <v>189</v>
      </c>
      <c r="L313" s="22">
        <v>93</v>
      </c>
      <c r="M313" s="24" t="s">
        <v>492</v>
      </c>
      <c r="N313" s="24" t="s">
        <v>25</v>
      </c>
      <c r="O313" s="25">
        <v>46235</v>
      </c>
      <c r="P313" s="21" t="s">
        <v>398</v>
      </c>
      <c r="Q313" s="26" t="s">
        <v>423</v>
      </c>
      <c r="R313" s="27" t="s">
        <v>432</v>
      </c>
      <c r="S313" s="27">
        <v>6000</v>
      </c>
      <c r="T313" s="28" t="s">
        <v>27</v>
      </c>
      <c r="U313" s="28" t="s">
        <v>28</v>
      </c>
      <c r="V313" s="28" t="s">
        <v>29</v>
      </c>
      <c r="W313" s="28" t="s">
        <v>126</v>
      </c>
    </row>
    <row r="314" spans="1:23" ht="15" customHeight="1" x14ac:dyDescent="0.25">
      <c r="A314" s="20" t="str">
        <f>VLOOKUP(F314,[1]CLIENTES!B:L,11,0)</f>
        <v>RODRIGO</v>
      </c>
      <c r="B314" s="20" t="s">
        <v>470</v>
      </c>
      <c r="C314" s="20">
        <v>46227</v>
      </c>
      <c r="D314" s="21" t="s">
        <v>21</v>
      </c>
      <c r="E314" s="21">
        <v>2872</v>
      </c>
      <c r="F314" s="21">
        <v>5017576</v>
      </c>
      <c r="G314" s="21">
        <v>116132</v>
      </c>
      <c r="H314" s="21" t="s">
        <v>493</v>
      </c>
      <c r="I314" s="21" t="s">
        <v>32</v>
      </c>
      <c r="J314" s="21">
        <v>6169</v>
      </c>
      <c r="K314" s="21">
        <v>690</v>
      </c>
      <c r="L314" s="22">
        <v>92</v>
      </c>
      <c r="M314" s="24" t="s">
        <v>494</v>
      </c>
      <c r="N314" s="24" t="s">
        <v>25</v>
      </c>
      <c r="O314" s="25">
        <v>46235</v>
      </c>
      <c r="P314" s="21" t="s">
        <v>398</v>
      </c>
      <c r="Q314" s="26" t="s">
        <v>423</v>
      </c>
      <c r="R314" s="27" t="s">
        <v>424</v>
      </c>
      <c r="S314" s="27">
        <v>10000</v>
      </c>
      <c r="T314" s="28" t="s">
        <v>27</v>
      </c>
      <c r="U314" s="28" t="s">
        <v>28</v>
      </c>
      <c r="V314" s="28" t="s">
        <v>29</v>
      </c>
      <c r="W314" s="28" t="s">
        <v>35</v>
      </c>
    </row>
    <row r="315" spans="1:23" ht="15" customHeight="1" x14ac:dyDescent="0.25">
      <c r="A315" s="20" t="str">
        <f>VLOOKUP(F315,[1]CLIENTES!B:L,11,0)</f>
        <v>RODRIGO</v>
      </c>
      <c r="B315" s="20" t="s">
        <v>470</v>
      </c>
      <c r="C315" s="20">
        <v>46227</v>
      </c>
      <c r="D315" s="21" t="s">
        <v>21</v>
      </c>
      <c r="E315" s="21">
        <v>2872</v>
      </c>
      <c r="F315" s="21">
        <v>5017576</v>
      </c>
      <c r="G315" s="21">
        <v>116132</v>
      </c>
      <c r="H315" s="21" t="s">
        <v>493</v>
      </c>
      <c r="I315" s="21" t="s">
        <v>32</v>
      </c>
      <c r="J315" s="21">
        <v>6169</v>
      </c>
      <c r="K315" s="21">
        <v>690</v>
      </c>
      <c r="L315" s="22">
        <v>92</v>
      </c>
      <c r="M315" s="24" t="s">
        <v>495</v>
      </c>
      <c r="N315" s="24" t="s">
        <v>25</v>
      </c>
      <c r="O315" s="25">
        <v>46235</v>
      </c>
      <c r="P315" s="21" t="s">
        <v>398</v>
      </c>
      <c r="Q315" s="26" t="s">
        <v>423</v>
      </c>
      <c r="R315" s="27" t="s">
        <v>424</v>
      </c>
      <c r="S315" s="27">
        <v>10000</v>
      </c>
      <c r="T315" s="28" t="s">
        <v>27</v>
      </c>
      <c r="U315" s="28" t="s">
        <v>28</v>
      </c>
      <c r="V315" s="28" t="s">
        <v>29</v>
      </c>
      <c r="W315" s="28" t="s">
        <v>126</v>
      </c>
    </row>
    <row r="316" spans="1:23" ht="15" customHeight="1" x14ac:dyDescent="0.25">
      <c r="A316" s="20" t="str">
        <f>VLOOKUP(F316,[1]CLIENTES!B:L,11,0)</f>
        <v>RODRIGO</v>
      </c>
      <c r="B316" s="20" t="s">
        <v>470</v>
      </c>
      <c r="C316" s="20">
        <v>46227</v>
      </c>
      <c r="D316" s="21" t="s">
        <v>21</v>
      </c>
      <c r="E316" s="21">
        <v>2869</v>
      </c>
      <c r="F316" s="21">
        <v>5115019</v>
      </c>
      <c r="G316" s="21">
        <v>123456</v>
      </c>
      <c r="H316" s="21" t="s">
        <v>36</v>
      </c>
      <c r="I316" s="21" t="s">
        <v>37</v>
      </c>
      <c r="J316" s="21">
        <v>6169</v>
      </c>
      <c r="K316" s="21">
        <v>689</v>
      </c>
      <c r="L316" s="22">
        <v>92</v>
      </c>
      <c r="M316" s="24" t="s">
        <v>496</v>
      </c>
      <c r="N316" s="24" t="s">
        <v>25</v>
      </c>
      <c r="O316" s="25">
        <v>46235</v>
      </c>
      <c r="P316" s="21" t="s">
        <v>398</v>
      </c>
      <c r="Q316" s="26" t="s">
        <v>423</v>
      </c>
      <c r="R316" s="27" t="s">
        <v>425</v>
      </c>
      <c r="S316" s="27">
        <v>30000</v>
      </c>
      <c r="T316" s="28" t="s">
        <v>27</v>
      </c>
      <c r="U316" s="28" t="s">
        <v>28</v>
      </c>
      <c r="V316" s="28" t="s">
        <v>29</v>
      </c>
      <c r="W316" s="28" t="s">
        <v>126</v>
      </c>
    </row>
    <row r="317" spans="1:23" ht="15" customHeight="1" x14ac:dyDescent="0.25">
      <c r="A317" s="20" t="str">
        <f>VLOOKUP(F317,[1]CLIENTES!B:L,11,0)</f>
        <v>RODRIGO</v>
      </c>
      <c r="B317" s="20" t="s">
        <v>470</v>
      </c>
      <c r="C317" s="20">
        <v>46227</v>
      </c>
      <c r="D317" s="21" t="s">
        <v>21</v>
      </c>
      <c r="E317" s="21">
        <v>2867</v>
      </c>
      <c r="F317" s="21">
        <v>5161469</v>
      </c>
      <c r="G317" s="21">
        <v>141489</v>
      </c>
      <c r="H317" s="21" t="s">
        <v>497</v>
      </c>
      <c r="I317" s="21" t="s">
        <v>37</v>
      </c>
      <c r="J317" s="21">
        <v>6169</v>
      </c>
      <c r="K317" s="21">
        <v>689</v>
      </c>
      <c r="L317" s="22">
        <v>92</v>
      </c>
      <c r="M317" s="24" t="s">
        <v>498</v>
      </c>
      <c r="N317" s="24" t="s">
        <v>25</v>
      </c>
      <c r="O317" s="25">
        <v>46237</v>
      </c>
      <c r="P317" s="21" t="s">
        <v>398</v>
      </c>
      <c r="Q317" s="26" t="s">
        <v>423</v>
      </c>
      <c r="R317" s="27" t="s">
        <v>432</v>
      </c>
      <c r="S317" s="27">
        <v>2000</v>
      </c>
      <c r="T317" s="28" t="s">
        <v>27</v>
      </c>
      <c r="U317" s="28" t="s">
        <v>28</v>
      </c>
      <c r="V317" s="28" t="s">
        <v>29</v>
      </c>
      <c r="W317" s="28" t="s">
        <v>126</v>
      </c>
    </row>
    <row r="318" spans="1:23" ht="15" customHeight="1" x14ac:dyDescent="0.25">
      <c r="A318" s="20" t="str">
        <f>VLOOKUP(F318,[1]CLIENTES!B:L,11,0)</f>
        <v>RODRIGO</v>
      </c>
      <c r="B318" s="20" t="s">
        <v>470</v>
      </c>
      <c r="C318" s="20">
        <v>46227</v>
      </c>
      <c r="D318" s="21" t="s">
        <v>21</v>
      </c>
      <c r="E318" s="21">
        <v>2880</v>
      </c>
      <c r="F318" s="21">
        <v>5178518</v>
      </c>
      <c r="G318" s="21">
        <v>142230</v>
      </c>
      <c r="H318" s="21" t="s">
        <v>499</v>
      </c>
      <c r="I318" s="21" t="s">
        <v>37</v>
      </c>
      <c r="J318" s="21">
        <v>6169</v>
      </c>
      <c r="K318" s="21">
        <v>689</v>
      </c>
      <c r="L318" s="32">
        <v>92</v>
      </c>
      <c r="M318" s="24" t="s">
        <v>500</v>
      </c>
      <c r="N318" s="24" t="s">
        <v>25</v>
      </c>
      <c r="O318" s="25">
        <v>46235</v>
      </c>
      <c r="P318" s="21" t="s">
        <v>398</v>
      </c>
      <c r="Q318" s="26" t="s">
        <v>423</v>
      </c>
      <c r="R318" s="27" t="s">
        <v>432</v>
      </c>
      <c r="S318" s="27">
        <v>1500</v>
      </c>
      <c r="T318" s="28" t="s">
        <v>27</v>
      </c>
      <c r="U318" s="28" t="s">
        <v>28</v>
      </c>
      <c r="V318" s="28" t="s">
        <v>29</v>
      </c>
      <c r="W318" s="28" t="s">
        <v>126</v>
      </c>
    </row>
    <row r="319" spans="1:23" ht="15" customHeight="1" x14ac:dyDescent="0.25">
      <c r="A319" s="20" t="str">
        <f>VLOOKUP(F319,[1]CLIENTES!B:L,11,0)</f>
        <v>RODRIGO</v>
      </c>
      <c r="B319" s="20" t="s">
        <v>470</v>
      </c>
      <c r="C319" s="20">
        <v>46227</v>
      </c>
      <c r="D319" s="21" t="s">
        <v>21</v>
      </c>
      <c r="E319" s="21">
        <v>2881</v>
      </c>
      <c r="F319" s="21">
        <v>5172699</v>
      </c>
      <c r="G319" s="21">
        <v>143254</v>
      </c>
      <c r="H319" s="21" t="s">
        <v>501</v>
      </c>
      <c r="I319" s="21" t="s">
        <v>23</v>
      </c>
      <c r="J319" s="21">
        <v>6125</v>
      </c>
      <c r="K319" s="21">
        <v>692</v>
      </c>
      <c r="L319" s="22">
        <v>92</v>
      </c>
      <c r="M319" s="24" t="s">
        <v>502</v>
      </c>
      <c r="N319" s="24" t="s">
        <v>25</v>
      </c>
      <c r="O319" s="25">
        <v>46235</v>
      </c>
      <c r="P319" s="21" t="s">
        <v>398</v>
      </c>
      <c r="Q319" s="26" t="s">
        <v>26</v>
      </c>
      <c r="R319" s="27" t="s">
        <v>399</v>
      </c>
      <c r="S319" s="27">
        <v>500</v>
      </c>
      <c r="T319" s="28" t="s">
        <v>27</v>
      </c>
      <c r="U319" s="28" t="s">
        <v>28</v>
      </c>
      <c r="V319" s="28" t="s">
        <v>29</v>
      </c>
      <c r="W319" s="28" t="s">
        <v>126</v>
      </c>
    </row>
    <row r="320" spans="1:23" ht="15" customHeight="1" x14ac:dyDescent="0.25">
      <c r="A320" s="20" t="str">
        <f>VLOOKUP(F320,[1]CLIENTES!B:L,11,0)</f>
        <v>RODRIGO</v>
      </c>
      <c r="B320" s="20" t="s">
        <v>470</v>
      </c>
      <c r="C320" s="20">
        <v>46227</v>
      </c>
      <c r="D320" s="21" t="s">
        <v>21</v>
      </c>
      <c r="E320" s="21">
        <v>2854</v>
      </c>
      <c r="F320" s="21">
        <v>5109682</v>
      </c>
      <c r="G320" s="21">
        <v>128100</v>
      </c>
      <c r="H320" s="21" t="s">
        <v>503</v>
      </c>
      <c r="I320" s="21" t="s">
        <v>23</v>
      </c>
      <c r="J320" s="21">
        <v>6125</v>
      </c>
      <c r="K320" s="21">
        <v>692</v>
      </c>
      <c r="L320" s="22">
        <v>92</v>
      </c>
      <c r="M320" s="24" t="s">
        <v>504</v>
      </c>
      <c r="N320" s="24" t="s">
        <v>25</v>
      </c>
      <c r="O320" s="25">
        <v>46235</v>
      </c>
      <c r="P320" s="21" t="s">
        <v>398</v>
      </c>
      <c r="Q320" s="26" t="s">
        <v>26</v>
      </c>
      <c r="R320" s="27" t="s">
        <v>399</v>
      </c>
      <c r="S320" s="27">
        <v>8000</v>
      </c>
      <c r="T320" s="28" t="s">
        <v>27</v>
      </c>
      <c r="U320" s="28" t="s">
        <v>28</v>
      </c>
      <c r="V320" s="28" t="s">
        <v>29</v>
      </c>
      <c r="W320" s="28" t="s">
        <v>126</v>
      </c>
    </row>
    <row r="321" spans="1:23" ht="15" customHeight="1" x14ac:dyDescent="0.25">
      <c r="A321" s="20" t="str">
        <f>VLOOKUP(F321,[1]CLIENTES!B:L,11,0)</f>
        <v>RODRIGO</v>
      </c>
      <c r="B321" s="20" t="s">
        <v>470</v>
      </c>
      <c r="C321" s="20">
        <v>46227</v>
      </c>
      <c r="D321" s="21" t="s">
        <v>21</v>
      </c>
      <c r="E321" s="21">
        <v>3168</v>
      </c>
      <c r="F321" s="21">
        <v>5226805</v>
      </c>
      <c r="G321" s="21">
        <v>150155</v>
      </c>
      <c r="H321" s="21" t="s">
        <v>505</v>
      </c>
      <c r="I321" s="21" t="s">
        <v>71</v>
      </c>
      <c r="J321" s="21" t="s">
        <v>72</v>
      </c>
      <c r="K321" s="21">
        <v>186</v>
      </c>
      <c r="L321" s="22">
        <v>92</v>
      </c>
      <c r="M321" s="24" t="s">
        <v>506</v>
      </c>
      <c r="N321" s="24" t="s">
        <v>25</v>
      </c>
      <c r="O321" s="25">
        <v>46235</v>
      </c>
      <c r="P321" s="21" t="s">
        <v>398</v>
      </c>
      <c r="Q321" s="26" t="s">
        <v>428</v>
      </c>
      <c r="R321" s="27" t="s">
        <v>431</v>
      </c>
      <c r="S321" s="27">
        <v>3000</v>
      </c>
      <c r="T321" s="28" t="s">
        <v>27</v>
      </c>
      <c r="U321" s="28" t="s">
        <v>28</v>
      </c>
      <c r="V321" s="28" t="s">
        <v>29</v>
      </c>
      <c r="W321" s="28" t="s">
        <v>126</v>
      </c>
    </row>
    <row r="322" spans="1:23" ht="15" customHeight="1" x14ac:dyDescent="0.25">
      <c r="A322" s="20" t="str">
        <f>VLOOKUP(F322,[1]CLIENTES!B:L,11,0)</f>
        <v>RODRIGO</v>
      </c>
      <c r="B322" s="20" t="s">
        <v>470</v>
      </c>
      <c r="C322" s="20">
        <v>46227</v>
      </c>
      <c r="D322" s="21" t="s">
        <v>21</v>
      </c>
      <c r="E322" s="21">
        <v>3168</v>
      </c>
      <c r="F322" s="21">
        <v>5226805</v>
      </c>
      <c r="G322" s="21">
        <v>150155</v>
      </c>
      <c r="H322" s="21" t="s">
        <v>505</v>
      </c>
      <c r="I322" s="21" t="s">
        <v>71</v>
      </c>
      <c r="J322" s="21" t="s">
        <v>72</v>
      </c>
      <c r="K322" s="21">
        <v>186</v>
      </c>
      <c r="L322" s="22">
        <v>92</v>
      </c>
      <c r="M322" s="24" t="s">
        <v>507</v>
      </c>
      <c r="N322" s="24" t="s">
        <v>25</v>
      </c>
      <c r="O322" s="25">
        <v>46235</v>
      </c>
      <c r="P322" s="21" t="s">
        <v>398</v>
      </c>
      <c r="Q322" s="26" t="s">
        <v>428</v>
      </c>
      <c r="R322" s="27" t="s">
        <v>431</v>
      </c>
      <c r="S322" s="27">
        <v>5000</v>
      </c>
      <c r="T322" s="28" t="s">
        <v>27</v>
      </c>
      <c r="U322" s="28" t="s">
        <v>28</v>
      </c>
      <c r="V322" s="28" t="s">
        <v>29</v>
      </c>
      <c r="W322" s="28" t="s">
        <v>35</v>
      </c>
    </row>
    <row r="323" spans="1:23" ht="15" customHeight="1" x14ac:dyDescent="0.25">
      <c r="A323" s="20" t="str">
        <f>VLOOKUP(F323,[1]CLIENTES!B:L,11,0)</f>
        <v>RODRIGO</v>
      </c>
      <c r="B323" s="20" t="s">
        <v>470</v>
      </c>
      <c r="C323" s="20">
        <v>46227</v>
      </c>
      <c r="D323" s="21" t="s">
        <v>21</v>
      </c>
      <c r="E323" s="21">
        <v>3169</v>
      </c>
      <c r="F323" s="21">
        <v>5366274</v>
      </c>
      <c r="G323" s="21">
        <v>193277</v>
      </c>
      <c r="H323" s="21" t="s">
        <v>351</v>
      </c>
      <c r="I323" s="21" t="s">
        <v>71</v>
      </c>
      <c r="J323" s="21" t="s">
        <v>72</v>
      </c>
      <c r="K323" s="21">
        <v>186</v>
      </c>
      <c r="L323" s="22">
        <v>92</v>
      </c>
      <c r="M323" s="24" t="s">
        <v>508</v>
      </c>
      <c r="N323" s="24" t="s">
        <v>25</v>
      </c>
      <c r="O323" s="25">
        <v>46235</v>
      </c>
      <c r="P323" s="21" t="s">
        <v>398</v>
      </c>
      <c r="Q323" s="26" t="s">
        <v>428</v>
      </c>
      <c r="R323" s="27" t="s">
        <v>430</v>
      </c>
      <c r="S323" s="27">
        <v>3178</v>
      </c>
      <c r="T323" s="28" t="s">
        <v>27</v>
      </c>
      <c r="U323" s="28" t="s">
        <v>28</v>
      </c>
      <c r="V323" s="28" t="s">
        <v>29</v>
      </c>
      <c r="W323" s="28" t="s">
        <v>45</v>
      </c>
    </row>
    <row r="324" spans="1:23" ht="15" customHeight="1" x14ac:dyDescent="0.25">
      <c r="A324" s="20" t="str">
        <f>VLOOKUP(F324,[1]CLIENTES!B:L,11,0)</f>
        <v>RODRIGO</v>
      </c>
      <c r="B324" s="20" t="s">
        <v>470</v>
      </c>
      <c r="C324" s="20">
        <v>46227</v>
      </c>
      <c r="D324" s="21" t="s">
        <v>21</v>
      </c>
      <c r="E324" s="21">
        <v>3168</v>
      </c>
      <c r="F324" s="21">
        <v>5226805</v>
      </c>
      <c r="G324" s="21">
        <v>150155</v>
      </c>
      <c r="H324" s="21" t="s">
        <v>505</v>
      </c>
      <c r="I324" s="21" t="s">
        <v>71</v>
      </c>
      <c r="J324" s="21" t="s">
        <v>72</v>
      </c>
      <c r="K324" s="21">
        <v>186</v>
      </c>
      <c r="L324" s="22">
        <v>92</v>
      </c>
      <c r="M324" s="24" t="s">
        <v>509</v>
      </c>
      <c r="N324" s="24" t="s">
        <v>25</v>
      </c>
      <c r="O324" s="25">
        <v>46235</v>
      </c>
      <c r="P324" s="21" t="s">
        <v>398</v>
      </c>
      <c r="Q324" s="26" t="s">
        <v>428</v>
      </c>
      <c r="R324" s="27" t="s">
        <v>431</v>
      </c>
      <c r="S324" s="27">
        <v>2000</v>
      </c>
      <c r="T324" s="28" t="s">
        <v>27</v>
      </c>
      <c r="U324" s="28" t="s">
        <v>28</v>
      </c>
      <c r="V324" s="28" t="s">
        <v>29</v>
      </c>
      <c r="W324" s="28" t="s">
        <v>126</v>
      </c>
    </row>
    <row r="325" spans="1:23" ht="15" customHeight="1" x14ac:dyDescent="0.25">
      <c r="A325" s="20" t="str">
        <f>VLOOKUP(F325,[1]CLIENTES!B:L,11,0)</f>
        <v>RODRIGO</v>
      </c>
      <c r="B325" s="20" t="s">
        <v>470</v>
      </c>
      <c r="C325" s="20">
        <v>46227</v>
      </c>
      <c r="D325" s="21" t="s">
        <v>21</v>
      </c>
      <c r="E325" s="21">
        <v>3163</v>
      </c>
      <c r="F325" s="21">
        <v>5159222</v>
      </c>
      <c r="G325" s="21">
        <v>143312</v>
      </c>
      <c r="H325" s="21" t="s">
        <v>184</v>
      </c>
      <c r="I325" s="21" t="s">
        <v>71</v>
      </c>
      <c r="J325" s="21" t="s">
        <v>72</v>
      </c>
      <c r="K325" s="21">
        <v>186</v>
      </c>
      <c r="L325" s="22">
        <v>92</v>
      </c>
      <c r="M325" s="24" t="s">
        <v>510</v>
      </c>
      <c r="N325" s="24" t="s">
        <v>25</v>
      </c>
      <c r="O325" s="25">
        <v>46235</v>
      </c>
      <c r="P325" s="21" t="s">
        <v>398</v>
      </c>
      <c r="Q325" s="26" t="s">
        <v>428</v>
      </c>
      <c r="R325" s="27" t="s">
        <v>430</v>
      </c>
      <c r="S325" s="27">
        <v>1000</v>
      </c>
      <c r="T325" s="28" t="s">
        <v>27</v>
      </c>
      <c r="U325" s="28" t="s">
        <v>28</v>
      </c>
      <c r="V325" s="28" t="s">
        <v>29</v>
      </c>
      <c r="W325" s="28" t="s">
        <v>126</v>
      </c>
    </row>
    <row r="326" spans="1:23" ht="15" customHeight="1" x14ac:dyDescent="0.25">
      <c r="A326" s="20" t="str">
        <f>VLOOKUP(F326,[1]CLIENTES!B:L,11,0)</f>
        <v>RODRIGO</v>
      </c>
      <c r="B326" s="20" t="s">
        <v>470</v>
      </c>
      <c r="C326" s="20">
        <v>46227</v>
      </c>
      <c r="D326" s="21" t="s">
        <v>21</v>
      </c>
      <c r="E326" s="21">
        <v>3169</v>
      </c>
      <c r="F326" s="21">
        <v>5366274</v>
      </c>
      <c r="G326" s="21">
        <v>193277</v>
      </c>
      <c r="H326" s="21" t="s">
        <v>351</v>
      </c>
      <c r="I326" s="21" t="s">
        <v>71</v>
      </c>
      <c r="J326" s="21" t="s">
        <v>72</v>
      </c>
      <c r="K326" s="21">
        <v>186</v>
      </c>
      <c r="L326" s="22">
        <v>92</v>
      </c>
      <c r="M326" s="24" t="s">
        <v>511</v>
      </c>
      <c r="N326" s="24" t="s">
        <v>25</v>
      </c>
      <c r="O326" s="25">
        <v>46235</v>
      </c>
      <c r="P326" s="21" t="s">
        <v>398</v>
      </c>
      <c r="Q326" s="26" t="s">
        <v>428</v>
      </c>
      <c r="R326" s="27" t="s">
        <v>430</v>
      </c>
      <c r="S326" s="27">
        <v>3400</v>
      </c>
      <c r="T326" s="28" t="s">
        <v>27</v>
      </c>
      <c r="U326" s="28" t="s">
        <v>28</v>
      </c>
      <c r="V326" s="28" t="s">
        <v>29</v>
      </c>
      <c r="W326" s="28" t="s">
        <v>126</v>
      </c>
    </row>
    <row r="327" spans="1:23" ht="15" customHeight="1" x14ac:dyDescent="0.25">
      <c r="A327" s="20" t="str">
        <f>VLOOKUP(F327,[1]CLIENTES!B:L,11,0)</f>
        <v>RODRIGO</v>
      </c>
      <c r="B327" s="20" t="s">
        <v>470</v>
      </c>
      <c r="C327" s="20">
        <v>46227</v>
      </c>
      <c r="D327" s="21" t="s">
        <v>21</v>
      </c>
      <c r="E327" s="21">
        <v>2860</v>
      </c>
      <c r="F327" s="21">
        <v>5020347</v>
      </c>
      <c r="G327" s="21">
        <v>112787</v>
      </c>
      <c r="H327" s="21" t="s">
        <v>129</v>
      </c>
      <c r="I327" s="21" t="s">
        <v>23</v>
      </c>
      <c r="J327" s="21">
        <v>6125</v>
      </c>
      <c r="K327" s="21">
        <v>692</v>
      </c>
      <c r="L327" s="22">
        <v>92</v>
      </c>
      <c r="M327" s="24" t="s">
        <v>512</v>
      </c>
      <c r="N327" s="24" t="s">
        <v>25</v>
      </c>
      <c r="O327" s="25">
        <v>46235</v>
      </c>
      <c r="P327" s="21" t="s">
        <v>398</v>
      </c>
      <c r="Q327" s="26" t="s">
        <v>49</v>
      </c>
      <c r="R327" s="27" t="s">
        <v>400</v>
      </c>
      <c r="S327" s="27">
        <v>5834</v>
      </c>
      <c r="T327" s="28" t="s">
        <v>27</v>
      </c>
      <c r="U327" s="28" t="s">
        <v>28</v>
      </c>
      <c r="V327" s="28" t="s">
        <v>29</v>
      </c>
      <c r="W327" s="28" t="s">
        <v>45</v>
      </c>
    </row>
    <row r="328" spans="1:23" ht="15" customHeight="1" x14ac:dyDescent="0.25">
      <c r="A328" s="20" t="str">
        <f>VLOOKUP(F328,[1]CLIENTES!B:L,11,0)</f>
        <v>RODRIGO</v>
      </c>
      <c r="B328" s="20" t="s">
        <v>470</v>
      </c>
      <c r="C328" s="20">
        <v>46227</v>
      </c>
      <c r="D328" s="21" t="s">
        <v>21</v>
      </c>
      <c r="E328" s="21">
        <v>2856</v>
      </c>
      <c r="F328" s="21">
        <v>5107112</v>
      </c>
      <c r="G328" s="21">
        <v>123370</v>
      </c>
      <c r="H328" s="21" t="s">
        <v>62</v>
      </c>
      <c r="I328" s="21" t="s">
        <v>23</v>
      </c>
      <c r="J328" s="21">
        <v>6125</v>
      </c>
      <c r="K328" s="21">
        <v>692</v>
      </c>
      <c r="L328" s="22">
        <v>92</v>
      </c>
      <c r="M328" s="24" t="s">
        <v>513</v>
      </c>
      <c r="N328" s="24" t="s">
        <v>25</v>
      </c>
      <c r="O328" s="25">
        <v>46235</v>
      </c>
      <c r="P328" s="21" t="s">
        <v>398</v>
      </c>
      <c r="Q328" s="26" t="s">
        <v>49</v>
      </c>
      <c r="R328" s="27" t="s">
        <v>400</v>
      </c>
      <c r="S328" s="27">
        <v>11400</v>
      </c>
      <c r="T328" s="28" t="s">
        <v>27</v>
      </c>
      <c r="U328" s="28" t="s">
        <v>28</v>
      </c>
      <c r="V328" s="28" t="s">
        <v>29</v>
      </c>
      <c r="W328" s="28" t="s">
        <v>126</v>
      </c>
    </row>
    <row r="329" spans="1:23" ht="15" customHeight="1" x14ac:dyDescent="0.25">
      <c r="A329" s="20" t="str">
        <f>VLOOKUP(F329,[1]CLIENTES!B:L,11,0)</f>
        <v>RODRIGO</v>
      </c>
      <c r="B329" s="20" t="s">
        <v>470</v>
      </c>
      <c r="C329" s="20">
        <v>46227</v>
      </c>
      <c r="D329" s="21" t="s">
        <v>21</v>
      </c>
      <c r="E329" s="21">
        <v>2860</v>
      </c>
      <c r="F329" s="21">
        <v>5020347</v>
      </c>
      <c r="G329" s="21">
        <v>112787</v>
      </c>
      <c r="H329" s="21" t="s">
        <v>129</v>
      </c>
      <c r="I329" s="21" t="s">
        <v>23</v>
      </c>
      <c r="J329" s="21">
        <v>6125</v>
      </c>
      <c r="K329" s="21">
        <v>692</v>
      </c>
      <c r="L329" s="22">
        <v>92</v>
      </c>
      <c r="M329" s="24" t="s">
        <v>514</v>
      </c>
      <c r="N329" s="24" t="s">
        <v>25</v>
      </c>
      <c r="O329" s="25">
        <v>46235</v>
      </c>
      <c r="P329" s="21" t="s">
        <v>398</v>
      </c>
      <c r="Q329" s="26" t="s">
        <v>49</v>
      </c>
      <c r="R329" s="27" t="s">
        <v>400</v>
      </c>
      <c r="S329" s="27">
        <v>16518</v>
      </c>
      <c r="T329" s="28" t="s">
        <v>27</v>
      </c>
      <c r="U329" s="28" t="s">
        <v>28</v>
      </c>
      <c r="V329" s="28" t="s">
        <v>29</v>
      </c>
      <c r="W329" s="28" t="s">
        <v>126</v>
      </c>
    </row>
    <row r="330" spans="1:23" ht="15" customHeight="1" x14ac:dyDescent="0.25">
      <c r="A330" s="20" t="str">
        <f>VLOOKUP(F330,[1]CLIENTES!B:L,11,0)</f>
        <v>RODRIGO</v>
      </c>
      <c r="B330" s="20" t="s">
        <v>470</v>
      </c>
      <c r="C330" s="20">
        <v>46227</v>
      </c>
      <c r="D330" s="21" t="s">
        <v>118</v>
      </c>
      <c r="E330" s="21" t="s">
        <v>595</v>
      </c>
      <c r="F330" s="21">
        <v>5026399</v>
      </c>
      <c r="G330" s="21">
        <v>116247</v>
      </c>
      <c r="H330" s="21" t="s">
        <v>119</v>
      </c>
      <c r="I330" s="21" t="s">
        <v>37</v>
      </c>
      <c r="J330" s="21">
        <v>6169</v>
      </c>
      <c r="K330" s="29">
        <v>689</v>
      </c>
      <c r="L330" s="22">
        <v>92</v>
      </c>
      <c r="M330" s="24" t="s">
        <v>515</v>
      </c>
      <c r="N330" s="24" t="s">
        <v>25</v>
      </c>
      <c r="O330" s="25">
        <v>46266</v>
      </c>
      <c r="P330" s="21" t="s">
        <v>398</v>
      </c>
      <c r="Q330" s="26" t="s">
        <v>423</v>
      </c>
      <c r="R330" s="27" t="s">
        <v>425</v>
      </c>
      <c r="S330" s="27">
        <v>65000</v>
      </c>
      <c r="T330" s="28" t="s">
        <v>27</v>
      </c>
      <c r="U330" s="28" t="s">
        <v>28</v>
      </c>
      <c r="V330" s="28" t="s">
        <v>29</v>
      </c>
      <c r="W330" s="28" t="s">
        <v>204</v>
      </c>
    </row>
    <row r="331" spans="1:23" ht="15" customHeight="1" x14ac:dyDescent="0.25">
      <c r="A331" s="20" t="str">
        <f>VLOOKUP(F331,[1]CLIENTES!B:L,11,0)</f>
        <v>RODRIGO</v>
      </c>
      <c r="B331" s="20" t="s">
        <v>470</v>
      </c>
      <c r="C331" s="20">
        <v>46230</v>
      </c>
      <c r="D331" s="21" t="s">
        <v>21</v>
      </c>
      <c r="E331" s="21">
        <v>3172</v>
      </c>
      <c r="F331" s="21">
        <v>5115189</v>
      </c>
      <c r="G331" s="21">
        <v>129296</v>
      </c>
      <c r="H331" s="21" t="s">
        <v>516</v>
      </c>
      <c r="I331" s="21" t="s">
        <v>54</v>
      </c>
      <c r="J331" s="21" t="s">
        <v>55</v>
      </c>
      <c r="K331" s="21">
        <v>191</v>
      </c>
      <c r="L331" s="22">
        <v>93</v>
      </c>
      <c r="M331" s="24" t="s">
        <v>517</v>
      </c>
      <c r="N331" s="24" t="s">
        <v>25</v>
      </c>
      <c r="O331" s="25">
        <v>46235</v>
      </c>
      <c r="P331" s="21" t="s">
        <v>398</v>
      </c>
      <c r="Q331" s="26" t="s">
        <v>57</v>
      </c>
      <c r="R331" s="27" t="s">
        <v>401</v>
      </c>
      <c r="S331" s="27">
        <v>11666.66</v>
      </c>
      <c r="T331" s="28" t="s">
        <v>27</v>
      </c>
      <c r="U331" s="28" t="s">
        <v>28</v>
      </c>
      <c r="V331" s="28" t="s">
        <v>29</v>
      </c>
      <c r="W331" s="28" t="s">
        <v>35</v>
      </c>
    </row>
    <row r="332" spans="1:23" ht="15" customHeight="1" x14ac:dyDescent="0.25">
      <c r="A332" s="20" t="str">
        <f>VLOOKUP(F332,[1]CLIENTES!B:L,11,0)</f>
        <v>RODRIGO</v>
      </c>
      <c r="B332" s="20" t="s">
        <v>470</v>
      </c>
      <c r="C332" s="20">
        <v>46230</v>
      </c>
      <c r="D332" s="21" t="s">
        <v>21</v>
      </c>
      <c r="E332" s="21">
        <v>3172</v>
      </c>
      <c r="F332" s="21">
        <v>5115189</v>
      </c>
      <c r="G332" s="21">
        <v>129296</v>
      </c>
      <c r="H332" s="21" t="s">
        <v>516</v>
      </c>
      <c r="I332" s="21" t="s">
        <v>54</v>
      </c>
      <c r="J332" s="21" t="s">
        <v>55</v>
      </c>
      <c r="K332" s="21">
        <v>191</v>
      </c>
      <c r="L332" s="22">
        <v>93</v>
      </c>
      <c r="M332" s="24" t="s">
        <v>518</v>
      </c>
      <c r="N332" s="24" t="s">
        <v>25</v>
      </c>
      <c r="O332" s="25">
        <v>46235</v>
      </c>
      <c r="P332" s="21" t="s">
        <v>398</v>
      </c>
      <c r="Q332" s="26" t="s">
        <v>57</v>
      </c>
      <c r="R332" s="27" t="s">
        <v>401</v>
      </c>
      <c r="S332" s="27">
        <v>7000</v>
      </c>
      <c r="T332" s="28" t="s">
        <v>27</v>
      </c>
      <c r="U332" s="28" t="s">
        <v>28</v>
      </c>
      <c r="V332" s="28" t="s">
        <v>29</v>
      </c>
      <c r="W332" s="28" t="s">
        <v>35</v>
      </c>
    </row>
    <row r="333" spans="1:23" ht="15" customHeight="1" x14ac:dyDescent="0.25">
      <c r="A333" s="20" t="str">
        <f>VLOOKUP(F333,[1]CLIENTES!B:L,11,0)</f>
        <v>RODRIGO</v>
      </c>
      <c r="B333" s="20" t="s">
        <v>470</v>
      </c>
      <c r="C333" s="20">
        <v>46230</v>
      </c>
      <c r="D333" s="21" t="s">
        <v>21</v>
      </c>
      <c r="E333" s="21">
        <v>3172</v>
      </c>
      <c r="F333" s="21">
        <v>5115189</v>
      </c>
      <c r="G333" s="21">
        <v>129296</v>
      </c>
      <c r="H333" s="21" t="s">
        <v>516</v>
      </c>
      <c r="I333" s="21" t="s">
        <v>54</v>
      </c>
      <c r="J333" s="21" t="s">
        <v>55</v>
      </c>
      <c r="K333" s="21">
        <v>191</v>
      </c>
      <c r="L333" s="22">
        <v>93</v>
      </c>
      <c r="M333" s="24" t="s">
        <v>519</v>
      </c>
      <c r="N333" s="24" t="s">
        <v>25</v>
      </c>
      <c r="O333" s="25">
        <v>46235</v>
      </c>
      <c r="P333" s="21" t="s">
        <v>398</v>
      </c>
      <c r="Q333" s="26" t="s">
        <v>57</v>
      </c>
      <c r="R333" s="27" t="s">
        <v>401</v>
      </c>
      <c r="S333" s="27">
        <v>15000</v>
      </c>
      <c r="T333" s="28" t="s">
        <v>27</v>
      </c>
      <c r="U333" s="28" t="s">
        <v>28</v>
      </c>
      <c r="V333" s="28" t="s">
        <v>29</v>
      </c>
      <c r="W333" s="28" t="s">
        <v>126</v>
      </c>
    </row>
    <row r="334" spans="1:23" ht="15" customHeight="1" x14ac:dyDescent="0.25">
      <c r="A334" s="20" t="str">
        <f>VLOOKUP(F334,[1]CLIENTES!B:L,11,0)</f>
        <v>RODRIGO</v>
      </c>
      <c r="B334" s="20" t="s">
        <v>470</v>
      </c>
      <c r="C334" s="20">
        <v>46230</v>
      </c>
      <c r="D334" s="21" t="s">
        <v>21</v>
      </c>
      <c r="E334" s="21">
        <v>2859</v>
      </c>
      <c r="F334" s="21">
        <v>5020352</v>
      </c>
      <c r="G334" s="21">
        <v>127298</v>
      </c>
      <c r="H334" s="21" t="s">
        <v>124</v>
      </c>
      <c r="I334" s="21" t="s">
        <v>23</v>
      </c>
      <c r="J334" s="21">
        <v>6125</v>
      </c>
      <c r="K334" s="21">
        <v>692</v>
      </c>
      <c r="L334" s="22">
        <v>92</v>
      </c>
      <c r="M334" s="24" t="s">
        <v>520</v>
      </c>
      <c r="N334" s="24" t="s">
        <v>25</v>
      </c>
      <c r="O334" s="25">
        <v>46235</v>
      </c>
      <c r="P334" s="21" t="s">
        <v>398</v>
      </c>
      <c r="Q334" s="26" t="s">
        <v>49</v>
      </c>
      <c r="R334" s="27" t="s">
        <v>400</v>
      </c>
      <c r="S334" s="27">
        <v>6418</v>
      </c>
      <c r="T334" s="28" t="s">
        <v>27</v>
      </c>
      <c r="U334" s="28" t="s">
        <v>28</v>
      </c>
      <c r="V334" s="28" t="s">
        <v>29</v>
      </c>
      <c r="W334" s="28" t="s">
        <v>126</v>
      </c>
    </row>
    <row r="335" spans="1:23" ht="15" customHeight="1" x14ac:dyDescent="0.25">
      <c r="A335" s="20" t="str">
        <f>VLOOKUP(F335,[1]CLIENTES!B:L,11,0)</f>
        <v>RODRIGO</v>
      </c>
      <c r="B335" s="20" t="s">
        <v>470</v>
      </c>
      <c r="C335" s="20">
        <v>46230</v>
      </c>
      <c r="D335" s="21" t="s">
        <v>21</v>
      </c>
      <c r="E335" s="21">
        <v>2848</v>
      </c>
      <c r="F335" s="21">
        <v>5223419</v>
      </c>
      <c r="G335" s="21">
        <v>146094</v>
      </c>
      <c r="H335" s="21" t="s">
        <v>265</v>
      </c>
      <c r="I335" s="21" t="s">
        <v>266</v>
      </c>
      <c r="J335" s="21">
        <v>6123</v>
      </c>
      <c r="K335" s="21">
        <v>607</v>
      </c>
      <c r="L335" s="22">
        <v>93</v>
      </c>
      <c r="M335" s="24" t="s">
        <v>521</v>
      </c>
      <c r="N335" s="24" t="s">
        <v>25</v>
      </c>
      <c r="O335" s="25">
        <v>46235</v>
      </c>
      <c r="P335" s="21" t="s">
        <v>398</v>
      </c>
      <c r="Q335" s="26" t="s">
        <v>57</v>
      </c>
      <c r="R335" s="27" t="s">
        <v>427</v>
      </c>
      <c r="S335" s="27">
        <v>2200</v>
      </c>
      <c r="T335" s="28" t="s">
        <v>27</v>
      </c>
      <c r="U335" s="28" t="s">
        <v>28</v>
      </c>
      <c r="V335" s="28" t="s">
        <v>29</v>
      </c>
      <c r="W335" s="28" t="s">
        <v>126</v>
      </c>
    </row>
    <row r="336" spans="1:23" ht="15" customHeight="1" x14ac:dyDescent="0.25">
      <c r="A336" s="20" t="str">
        <f>VLOOKUP(F336,[1]CLIENTES!B:L,11,0)</f>
        <v>RODRIGO</v>
      </c>
      <c r="B336" s="20" t="s">
        <v>470</v>
      </c>
      <c r="C336" s="20">
        <v>46230</v>
      </c>
      <c r="D336" s="21" t="s">
        <v>21</v>
      </c>
      <c r="E336" s="21">
        <v>3171</v>
      </c>
      <c r="F336" s="21">
        <v>5186266</v>
      </c>
      <c r="G336" s="21">
        <v>142707</v>
      </c>
      <c r="H336" s="21" t="s">
        <v>212</v>
      </c>
      <c r="I336" s="21" t="s">
        <v>213</v>
      </c>
      <c r="J336" s="21" t="s">
        <v>214</v>
      </c>
      <c r="K336" s="21">
        <v>197</v>
      </c>
      <c r="L336" s="32">
        <v>92</v>
      </c>
      <c r="M336" s="24" t="s">
        <v>522</v>
      </c>
      <c r="N336" s="24" t="s">
        <v>25</v>
      </c>
      <c r="O336" s="25">
        <v>46235</v>
      </c>
      <c r="P336" s="21" t="s">
        <v>398</v>
      </c>
      <c r="Q336" s="26" t="s">
        <v>57</v>
      </c>
      <c r="R336" s="27" t="s">
        <v>427</v>
      </c>
      <c r="S336" s="27">
        <v>2500</v>
      </c>
      <c r="T336" s="28" t="s">
        <v>27</v>
      </c>
      <c r="U336" s="28" t="s">
        <v>28</v>
      </c>
      <c r="V336" s="28" t="s">
        <v>29</v>
      </c>
      <c r="W336" s="28" t="s">
        <v>126</v>
      </c>
    </row>
    <row r="337" spans="1:23" ht="15" customHeight="1" x14ac:dyDescent="0.25">
      <c r="A337" s="20" t="str">
        <f>VLOOKUP(F337,[1]CLIENTES!B:L,11,0)</f>
        <v>RODRIGO</v>
      </c>
      <c r="B337" s="20" t="s">
        <v>470</v>
      </c>
      <c r="C337" s="20">
        <v>46230</v>
      </c>
      <c r="D337" s="21" t="s">
        <v>21</v>
      </c>
      <c r="E337" s="21">
        <v>2849</v>
      </c>
      <c r="F337" s="21">
        <v>5141420</v>
      </c>
      <c r="G337" s="21">
        <v>129963</v>
      </c>
      <c r="H337" s="21" t="s">
        <v>374</v>
      </c>
      <c r="I337" s="21" t="s">
        <v>266</v>
      </c>
      <c r="J337" s="21">
        <v>6123</v>
      </c>
      <c r="K337" s="21">
        <v>607</v>
      </c>
      <c r="L337" s="22">
        <v>93</v>
      </c>
      <c r="M337" s="24" t="s">
        <v>523</v>
      </c>
      <c r="N337" s="24" t="s">
        <v>25</v>
      </c>
      <c r="O337" s="25">
        <v>46235</v>
      </c>
      <c r="P337" s="21" t="s">
        <v>398</v>
      </c>
      <c r="Q337" s="26" t="s">
        <v>57</v>
      </c>
      <c r="R337" s="27" t="s">
        <v>427</v>
      </c>
      <c r="S337" s="27">
        <v>4500</v>
      </c>
      <c r="T337" s="28" t="s">
        <v>27</v>
      </c>
      <c r="U337" s="28" t="s">
        <v>28</v>
      </c>
      <c r="V337" s="28" t="s">
        <v>29</v>
      </c>
      <c r="W337" s="28" t="s">
        <v>126</v>
      </c>
    </row>
    <row r="338" spans="1:23" ht="15" customHeight="1" x14ac:dyDescent="0.25">
      <c r="A338" s="20" t="str">
        <f>VLOOKUP(F338,[1]CLIENTES!B:L,11,0)</f>
        <v>RODRIGO</v>
      </c>
      <c r="B338" s="20" t="s">
        <v>470</v>
      </c>
      <c r="C338" s="20">
        <v>46230</v>
      </c>
      <c r="D338" s="21" t="s">
        <v>21</v>
      </c>
      <c r="E338" s="21">
        <v>3180</v>
      </c>
      <c r="F338" s="21">
        <v>5019245</v>
      </c>
      <c r="G338" s="21">
        <v>145028</v>
      </c>
      <c r="H338" s="21" t="s">
        <v>312</v>
      </c>
      <c r="I338" s="21" t="s">
        <v>54</v>
      </c>
      <c r="J338" s="21" t="s">
        <v>55</v>
      </c>
      <c r="K338" s="21">
        <v>191</v>
      </c>
      <c r="L338" s="22">
        <v>92</v>
      </c>
      <c r="M338" s="24" t="s">
        <v>524</v>
      </c>
      <c r="N338" s="24" t="s">
        <v>25</v>
      </c>
      <c r="O338" s="25">
        <v>46235</v>
      </c>
      <c r="P338" s="21" t="s">
        <v>398</v>
      </c>
      <c r="Q338" s="26" t="s">
        <v>57</v>
      </c>
      <c r="R338" s="27" t="s">
        <v>427</v>
      </c>
      <c r="S338" s="27">
        <v>1000</v>
      </c>
      <c r="T338" s="28" t="s">
        <v>27</v>
      </c>
      <c r="U338" s="28" t="s">
        <v>28</v>
      </c>
      <c r="V338" s="28" t="s">
        <v>29</v>
      </c>
      <c r="W338" s="28" t="s">
        <v>126</v>
      </c>
    </row>
    <row r="339" spans="1:23" ht="15" customHeight="1" x14ac:dyDescent="0.25">
      <c r="A339" s="20" t="str">
        <f>VLOOKUP(F339,[1]CLIENTES!B:L,11,0)</f>
        <v>RODRIGO</v>
      </c>
      <c r="B339" s="20" t="s">
        <v>470</v>
      </c>
      <c r="C339" s="20">
        <v>46230</v>
      </c>
      <c r="D339" s="21" t="s">
        <v>21</v>
      </c>
      <c r="E339" s="21">
        <v>2882</v>
      </c>
      <c r="F339" s="21">
        <v>5011698</v>
      </c>
      <c r="G339" s="21"/>
      <c r="H339" s="21" t="s">
        <v>525</v>
      </c>
      <c r="I339" s="21" t="s">
        <v>76</v>
      </c>
      <c r="J339" s="21">
        <v>6123</v>
      </c>
      <c r="K339" s="21">
        <v>675</v>
      </c>
      <c r="L339" s="32">
        <v>92</v>
      </c>
      <c r="M339" s="24" t="s">
        <v>447</v>
      </c>
      <c r="N339" s="24" t="s">
        <v>25</v>
      </c>
      <c r="O339" s="25">
        <v>46235</v>
      </c>
      <c r="P339" s="21" t="s">
        <v>398</v>
      </c>
      <c r="Q339" s="26" t="s">
        <v>57</v>
      </c>
      <c r="R339" s="27" t="s">
        <v>427</v>
      </c>
      <c r="S339" s="27">
        <v>2500</v>
      </c>
      <c r="T339" s="28" t="s">
        <v>27</v>
      </c>
      <c r="U339" s="28" t="s">
        <v>28</v>
      </c>
      <c r="V339" s="28" t="s">
        <v>29</v>
      </c>
      <c r="W339" s="28" t="s">
        <v>126</v>
      </c>
    </row>
    <row r="340" spans="1:23" ht="15" customHeight="1" x14ac:dyDescent="0.25">
      <c r="A340" s="20" t="str">
        <f>VLOOKUP(F340,[1]CLIENTES!B:L,11,0)</f>
        <v>RODRIGO</v>
      </c>
      <c r="B340" s="20" t="s">
        <v>470</v>
      </c>
      <c r="C340" s="20">
        <v>46230</v>
      </c>
      <c r="D340" s="21" t="s">
        <v>21</v>
      </c>
      <c r="E340" s="21">
        <v>3177</v>
      </c>
      <c r="F340" s="21">
        <v>5228956</v>
      </c>
      <c r="G340" s="21"/>
      <c r="H340" s="21" t="s">
        <v>526</v>
      </c>
      <c r="I340" s="21" t="s">
        <v>527</v>
      </c>
      <c r="J340" s="21" t="s">
        <v>536</v>
      </c>
      <c r="K340" s="21">
        <v>531</v>
      </c>
      <c r="L340" s="32">
        <v>93</v>
      </c>
      <c r="M340" s="24" t="s">
        <v>528</v>
      </c>
      <c r="N340" s="24" t="s">
        <v>25</v>
      </c>
      <c r="O340" s="25">
        <v>46235</v>
      </c>
      <c r="P340" s="21" t="s">
        <v>398</v>
      </c>
      <c r="Q340" s="26" t="s">
        <v>57</v>
      </c>
      <c r="R340" s="27" t="s">
        <v>427</v>
      </c>
      <c r="S340" s="27">
        <v>2640</v>
      </c>
      <c r="T340" s="28" t="s">
        <v>27</v>
      </c>
      <c r="U340" s="28" t="s">
        <v>28</v>
      </c>
      <c r="V340" s="28" t="s">
        <v>29</v>
      </c>
      <c r="W340" s="28" t="s">
        <v>126</v>
      </c>
    </row>
    <row r="341" spans="1:23" ht="15" customHeight="1" x14ac:dyDescent="0.25">
      <c r="A341" s="20" t="str">
        <f>VLOOKUP(F341,[1]CLIENTES!B:L,11,0)</f>
        <v>RODRIGO</v>
      </c>
      <c r="B341" s="20" t="s">
        <v>470</v>
      </c>
      <c r="C341" s="20">
        <v>46230</v>
      </c>
      <c r="D341" s="21" t="s">
        <v>21</v>
      </c>
      <c r="E341" s="21">
        <v>2873</v>
      </c>
      <c r="F341" s="21">
        <v>5340656</v>
      </c>
      <c r="G341" s="21">
        <v>184833</v>
      </c>
      <c r="H341" s="21" t="s">
        <v>529</v>
      </c>
      <c r="I341" s="21" t="s">
        <v>23</v>
      </c>
      <c r="J341" s="21">
        <v>6125</v>
      </c>
      <c r="K341" s="21">
        <v>692</v>
      </c>
      <c r="L341" s="22">
        <v>92</v>
      </c>
      <c r="M341" s="24" t="s">
        <v>530</v>
      </c>
      <c r="N341" s="24" t="s">
        <v>25</v>
      </c>
      <c r="O341" s="25">
        <v>46235</v>
      </c>
      <c r="P341" s="21" t="s">
        <v>398</v>
      </c>
      <c r="Q341" s="26" t="s">
        <v>49</v>
      </c>
      <c r="R341" s="27" t="s">
        <v>400</v>
      </c>
      <c r="S341" s="27">
        <v>1458</v>
      </c>
      <c r="T341" s="28" t="s">
        <v>27</v>
      </c>
      <c r="U341" s="28" t="s">
        <v>28</v>
      </c>
      <c r="V341" s="28" t="s">
        <v>29</v>
      </c>
      <c r="W341" s="28" t="s">
        <v>126</v>
      </c>
    </row>
    <row r="342" spans="1:23" ht="15" customHeight="1" x14ac:dyDescent="0.25">
      <c r="A342" s="20" t="str">
        <f>VLOOKUP(F342,[1]CLIENTES!B:L,11,0)</f>
        <v>RODRIGO</v>
      </c>
      <c r="B342" s="20" t="s">
        <v>470</v>
      </c>
      <c r="C342" s="20">
        <v>46230</v>
      </c>
      <c r="D342" s="21" t="s">
        <v>21</v>
      </c>
      <c r="E342" s="21">
        <v>2857</v>
      </c>
      <c r="F342" s="21">
        <v>5038157</v>
      </c>
      <c r="G342" s="21">
        <v>165753</v>
      </c>
      <c r="H342" s="21" t="s">
        <v>531</v>
      </c>
      <c r="I342" s="21" t="s">
        <v>23</v>
      </c>
      <c r="J342" s="21">
        <v>6125</v>
      </c>
      <c r="K342" s="21">
        <v>692</v>
      </c>
      <c r="L342" s="22">
        <v>92</v>
      </c>
      <c r="M342" s="24" t="s">
        <v>532</v>
      </c>
      <c r="N342" s="24" t="s">
        <v>25</v>
      </c>
      <c r="O342" s="25">
        <v>46235</v>
      </c>
      <c r="P342" s="21" t="s">
        <v>398</v>
      </c>
      <c r="Q342" s="26" t="s">
        <v>49</v>
      </c>
      <c r="R342" s="27" t="s">
        <v>400</v>
      </c>
      <c r="S342" s="27">
        <v>4000</v>
      </c>
      <c r="T342" s="28" t="s">
        <v>27</v>
      </c>
      <c r="U342" s="28" t="s">
        <v>28</v>
      </c>
      <c r="V342" s="28" t="s">
        <v>29</v>
      </c>
      <c r="W342" s="28" t="s">
        <v>126</v>
      </c>
    </row>
    <row r="343" spans="1:23" ht="15" customHeight="1" x14ac:dyDescent="0.25">
      <c r="A343" s="20" t="str">
        <f>VLOOKUP(F343,[1]CLIENTES!B:L,11,0)</f>
        <v>RODRIGO</v>
      </c>
      <c r="B343" s="20" t="s">
        <v>470</v>
      </c>
      <c r="C343" s="20">
        <v>46230</v>
      </c>
      <c r="D343" s="21" t="s">
        <v>21</v>
      </c>
      <c r="E343" s="21">
        <v>3164</v>
      </c>
      <c r="F343" s="21">
        <v>5127060</v>
      </c>
      <c r="G343" s="21">
        <v>187971</v>
      </c>
      <c r="H343" s="21" t="s">
        <v>90</v>
      </c>
      <c r="I343" s="21" t="s">
        <v>71</v>
      </c>
      <c r="J343" s="21" t="s">
        <v>72</v>
      </c>
      <c r="K343" s="21">
        <v>186</v>
      </c>
      <c r="L343" s="22">
        <v>92</v>
      </c>
      <c r="M343" s="24" t="s">
        <v>533</v>
      </c>
      <c r="N343" s="24" t="s">
        <v>25</v>
      </c>
      <c r="O343" s="25">
        <v>46235</v>
      </c>
      <c r="P343" s="21" t="s">
        <v>398</v>
      </c>
      <c r="Q343" s="26" t="s">
        <v>428</v>
      </c>
      <c r="R343" s="27" t="s">
        <v>430</v>
      </c>
      <c r="S343" s="27">
        <v>1000</v>
      </c>
      <c r="T343" s="28" t="s">
        <v>27</v>
      </c>
      <c r="U343" s="28" t="s">
        <v>28</v>
      </c>
      <c r="V343" s="28" t="s">
        <v>29</v>
      </c>
      <c r="W343" s="28" t="s">
        <v>60</v>
      </c>
    </row>
    <row r="344" spans="1:23" ht="15" customHeight="1" x14ac:dyDescent="0.25">
      <c r="A344" s="20" t="str">
        <f>VLOOKUP(F344,[1]CLIENTES!B:L,11,0)</f>
        <v>RODRIGO</v>
      </c>
      <c r="B344" s="20" t="s">
        <v>470</v>
      </c>
      <c r="C344" s="20">
        <v>46230</v>
      </c>
      <c r="D344" s="21" t="s">
        <v>21</v>
      </c>
      <c r="E344" s="21">
        <v>2899</v>
      </c>
      <c r="F344" s="21">
        <v>5026768</v>
      </c>
      <c r="G344" s="21">
        <v>113399</v>
      </c>
      <c r="H344" s="21" t="s">
        <v>139</v>
      </c>
      <c r="I344" s="21" t="s">
        <v>132</v>
      </c>
      <c r="J344" s="21">
        <v>6127</v>
      </c>
      <c r="K344" s="21">
        <v>605</v>
      </c>
      <c r="L344" s="22">
        <v>92</v>
      </c>
      <c r="M344" s="24" t="s">
        <v>534</v>
      </c>
      <c r="N344" s="24" t="s">
        <v>25</v>
      </c>
      <c r="O344" s="25">
        <v>46235</v>
      </c>
      <c r="P344" s="21" t="s">
        <v>398</v>
      </c>
      <c r="Q344" s="26" t="s">
        <v>471</v>
      </c>
      <c r="R344" s="27" t="s">
        <v>433</v>
      </c>
      <c r="S344" s="27">
        <v>10000</v>
      </c>
      <c r="T344" s="28" t="s">
        <v>27</v>
      </c>
      <c r="U344" s="28" t="s">
        <v>28</v>
      </c>
      <c r="V344" s="28" t="s">
        <v>29</v>
      </c>
      <c r="W344" s="28" t="s">
        <v>126</v>
      </c>
    </row>
    <row r="345" spans="1:23" ht="15" customHeight="1" x14ac:dyDescent="0.25">
      <c r="A345" s="20" t="str">
        <f>VLOOKUP(F345,[1]CLIENTES!B:L,11,0)</f>
        <v>RODRIGO</v>
      </c>
      <c r="B345" s="20" t="s">
        <v>537</v>
      </c>
      <c r="C345" s="20">
        <v>46203</v>
      </c>
      <c r="D345" s="21" t="s">
        <v>21</v>
      </c>
      <c r="E345" s="21">
        <v>3846</v>
      </c>
      <c r="F345" s="21">
        <v>5133664</v>
      </c>
      <c r="G345" s="21">
        <v>142632</v>
      </c>
      <c r="H345" s="21" t="s">
        <v>134</v>
      </c>
      <c r="I345" s="21" t="s">
        <v>40</v>
      </c>
      <c r="J345" s="21" t="s">
        <v>41</v>
      </c>
      <c r="K345" s="29">
        <v>194</v>
      </c>
      <c r="L345" s="33">
        <v>92</v>
      </c>
      <c r="M345" s="24" t="s">
        <v>467</v>
      </c>
      <c r="N345" s="21" t="s">
        <v>25</v>
      </c>
      <c r="O345" s="25">
        <v>46266</v>
      </c>
      <c r="P345" s="21" t="s">
        <v>398</v>
      </c>
      <c r="Q345" s="26" t="s">
        <v>471</v>
      </c>
      <c r="R345" s="27" t="s">
        <v>426</v>
      </c>
      <c r="S345" s="27">
        <v>30000</v>
      </c>
      <c r="T345" s="28" t="s">
        <v>27</v>
      </c>
      <c r="U345" s="28" t="s">
        <v>28</v>
      </c>
      <c r="V345" s="28" t="s">
        <v>29</v>
      </c>
      <c r="W345" s="28" t="s">
        <v>126</v>
      </c>
    </row>
    <row r="346" spans="1:23" ht="15" customHeight="1" x14ac:dyDescent="0.25">
      <c r="A346" s="20" t="str">
        <f>VLOOKUP(F346,[1]CLIENTES!B:L,11,0)</f>
        <v>RODRIGO</v>
      </c>
      <c r="B346" s="20" t="s">
        <v>537</v>
      </c>
      <c r="C346" s="20">
        <v>46230</v>
      </c>
      <c r="D346" s="21" t="s">
        <v>21</v>
      </c>
      <c r="E346" s="21">
        <v>3836</v>
      </c>
      <c r="F346" s="21">
        <v>5225860</v>
      </c>
      <c r="G346" s="21">
        <v>180402</v>
      </c>
      <c r="H346" s="21" t="s">
        <v>39</v>
      </c>
      <c r="I346" s="21" t="s">
        <v>40</v>
      </c>
      <c r="J346" s="21" t="s">
        <v>41</v>
      </c>
      <c r="K346" s="29">
        <v>194</v>
      </c>
      <c r="L346" s="33">
        <v>92</v>
      </c>
      <c r="M346" s="24" t="s">
        <v>534</v>
      </c>
      <c r="N346" s="21" t="s">
        <v>25</v>
      </c>
      <c r="O346" s="25">
        <v>46266</v>
      </c>
      <c r="P346" s="21" t="s">
        <v>398</v>
      </c>
      <c r="Q346" s="26" t="s">
        <v>471</v>
      </c>
      <c r="R346" s="27" t="s">
        <v>426</v>
      </c>
      <c r="S346" s="27">
        <v>30000</v>
      </c>
      <c r="T346" s="28" t="s">
        <v>27</v>
      </c>
      <c r="U346" s="28" t="s">
        <v>28</v>
      </c>
      <c r="V346" s="28" t="s">
        <v>29</v>
      </c>
      <c r="W346" s="28" t="s">
        <v>126</v>
      </c>
    </row>
    <row r="347" spans="1:23" ht="15" customHeight="1" x14ac:dyDescent="0.25">
      <c r="A347" s="20" t="str">
        <f>VLOOKUP(F347,[1]CLIENTES!B:L,11,0)</f>
        <v>RODRIGO</v>
      </c>
      <c r="B347" s="20" t="s">
        <v>537</v>
      </c>
      <c r="C347" s="20">
        <v>46230</v>
      </c>
      <c r="D347" s="21" t="s">
        <v>21</v>
      </c>
      <c r="E347" s="21">
        <v>3427</v>
      </c>
      <c r="F347" s="21">
        <v>5229985</v>
      </c>
      <c r="G347" s="21">
        <v>180738</v>
      </c>
      <c r="H347" s="21" t="s">
        <v>131</v>
      </c>
      <c r="I347" s="21" t="s">
        <v>132</v>
      </c>
      <c r="J347" s="21">
        <v>6127</v>
      </c>
      <c r="K347" s="29">
        <v>605</v>
      </c>
      <c r="L347" s="33">
        <v>92</v>
      </c>
      <c r="M347" s="24" t="s">
        <v>534</v>
      </c>
      <c r="N347" s="21" t="s">
        <v>25</v>
      </c>
      <c r="O347" s="25">
        <v>46266</v>
      </c>
      <c r="P347" s="21" t="s">
        <v>398</v>
      </c>
      <c r="Q347" s="26" t="s">
        <v>471</v>
      </c>
      <c r="R347" s="27" t="s">
        <v>433</v>
      </c>
      <c r="S347" s="27">
        <v>20000</v>
      </c>
      <c r="T347" s="28" t="s">
        <v>27</v>
      </c>
      <c r="U347" s="28" t="s">
        <v>28</v>
      </c>
      <c r="V347" s="28" t="s">
        <v>29</v>
      </c>
      <c r="W347" s="28" t="s">
        <v>126</v>
      </c>
    </row>
    <row r="348" spans="1:23" ht="15" customHeight="1" x14ac:dyDescent="0.25">
      <c r="A348" s="20" t="str">
        <f>VLOOKUP(F348,[1]CLIENTES!B:L,11,0)</f>
        <v>RODRIGO</v>
      </c>
      <c r="B348" s="20" t="s">
        <v>537</v>
      </c>
      <c r="C348" s="20">
        <v>46232</v>
      </c>
      <c r="D348" s="21" t="s">
        <v>21</v>
      </c>
      <c r="E348" s="21">
        <v>3420</v>
      </c>
      <c r="F348" s="21">
        <v>5004685</v>
      </c>
      <c r="G348" s="21">
        <v>110434</v>
      </c>
      <c r="H348" s="21" t="s">
        <v>116</v>
      </c>
      <c r="I348" s="21" t="s">
        <v>23</v>
      </c>
      <c r="J348" s="21">
        <v>6125</v>
      </c>
      <c r="K348" s="29">
        <v>692</v>
      </c>
      <c r="L348" s="33">
        <v>92</v>
      </c>
      <c r="M348" s="24" t="s">
        <v>538</v>
      </c>
      <c r="N348" s="21" t="s">
        <v>25</v>
      </c>
      <c r="O348" s="25">
        <v>46266</v>
      </c>
      <c r="P348" s="21" t="s">
        <v>398</v>
      </c>
      <c r="Q348" s="26" t="s">
        <v>49</v>
      </c>
      <c r="R348" s="27" t="s">
        <v>402</v>
      </c>
      <c r="S348" s="27">
        <v>14433.84</v>
      </c>
      <c r="T348" s="28" t="s">
        <v>27</v>
      </c>
      <c r="U348" s="28" t="s">
        <v>28</v>
      </c>
      <c r="V348" s="28" t="s">
        <v>29</v>
      </c>
      <c r="W348" s="28" t="s">
        <v>338</v>
      </c>
    </row>
    <row r="349" spans="1:23" ht="15" customHeight="1" x14ac:dyDescent="0.25">
      <c r="A349" s="20" t="str">
        <f>VLOOKUP(F349,[1]CLIENTES!B:L,11,0)</f>
        <v>RODRIGO</v>
      </c>
      <c r="B349" s="20" t="s">
        <v>537</v>
      </c>
      <c r="C349" s="20">
        <v>46186</v>
      </c>
      <c r="D349" s="21" t="s">
        <v>21</v>
      </c>
      <c r="E349" s="21">
        <v>3413</v>
      </c>
      <c r="F349" s="21">
        <v>5128707</v>
      </c>
      <c r="G349" s="21">
        <v>128420</v>
      </c>
      <c r="H349" s="21" t="s">
        <v>261</v>
      </c>
      <c r="I349" s="21" t="s">
        <v>113</v>
      </c>
      <c r="J349" s="21">
        <v>6127</v>
      </c>
      <c r="K349" s="29">
        <v>682</v>
      </c>
      <c r="L349" s="33">
        <v>92</v>
      </c>
      <c r="M349" s="24" t="s">
        <v>539</v>
      </c>
      <c r="N349" s="21" t="s">
        <v>25</v>
      </c>
      <c r="O349" s="25">
        <v>46266</v>
      </c>
      <c r="P349" s="21" t="s">
        <v>398</v>
      </c>
      <c r="Q349" s="26" t="s">
        <v>471</v>
      </c>
      <c r="R349" s="27" t="s">
        <v>692</v>
      </c>
      <c r="S349" s="27">
        <v>10000</v>
      </c>
      <c r="T349" s="28" t="s">
        <v>27</v>
      </c>
      <c r="U349" s="28" t="s">
        <v>28</v>
      </c>
      <c r="V349" s="28" t="s">
        <v>29</v>
      </c>
      <c r="W349" s="28" t="s">
        <v>126</v>
      </c>
    </row>
    <row r="350" spans="1:23" ht="15" customHeight="1" x14ac:dyDescent="0.25">
      <c r="A350" s="20" t="str">
        <f>VLOOKUP(F350,[1]CLIENTES!B:L,11,0)</f>
        <v>RODRIGO</v>
      </c>
      <c r="B350" s="20" t="s">
        <v>537</v>
      </c>
      <c r="C350" s="20">
        <v>46181</v>
      </c>
      <c r="D350" s="21" t="s">
        <v>21</v>
      </c>
      <c r="E350" s="21">
        <v>3418</v>
      </c>
      <c r="F350" s="21">
        <v>5109334</v>
      </c>
      <c r="G350" s="21">
        <v>134327</v>
      </c>
      <c r="H350" s="21" t="s">
        <v>339</v>
      </c>
      <c r="I350" s="21" t="s">
        <v>23</v>
      </c>
      <c r="J350" s="21">
        <v>6125</v>
      </c>
      <c r="K350" s="29">
        <v>692</v>
      </c>
      <c r="L350" s="33">
        <v>93</v>
      </c>
      <c r="M350" s="24" t="s">
        <v>540</v>
      </c>
      <c r="N350" s="21" t="s">
        <v>25</v>
      </c>
      <c r="O350" s="25">
        <v>46266</v>
      </c>
      <c r="P350" s="21" t="s">
        <v>398</v>
      </c>
      <c r="Q350" s="26" t="s">
        <v>26</v>
      </c>
      <c r="R350" s="27" t="s">
        <v>429</v>
      </c>
      <c r="S350" s="27">
        <v>97.3</v>
      </c>
      <c r="T350" s="28" t="s">
        <v>27</v>
      </c>
      <c r="U350" s="28" t="s">
        <v>28</v>
      </c>
      <c r="V350" s="28" t="s">
        <v>29</v>
      </c>
      <c r="W350" s="28" t="s">
        <v>126</v>
      </c>
    </row>
    <row r="351" spans="1:23" ht="15" customHeight="1" x14ac:dyDescent="0.25">
      <c r="A351" s="20" t="str">
        <f>VLOOKUP(F351,[1]CLIENTES!B:L,11,0)</f>
        <v>RODRIGO</v>
      </c>
      <c r="B351" s="20" t="s">
        <v>537</v>
      </c>
      <c r="C351" s="20">
        <v>46225</v>
      </c>
      <c r="D351" s="21" t="s">
        <v>21</v>
      </c>
      <c r="E351" s="21">
        <v>3433</v>
      </c>
      <c r="F351" s="21">
        <v>5008478</v>
      </c>
      <c r="G351" s="21" t="e">
        <v>#N/A</v>
      </c>
      <c r="H351" s="21" t="s">
        <v>541</v>
      </c>
      <c r="I351" s="21" t="s">
        <v>23</v>
      </c>
      <c r="J351" s="21">
        <v>6125</v>
      </c>
      <c r="K351" s="29">
        <v>692</v>
      </c>
      <c r="L351" s="33">
        <v>93</v>
      </c>
      <c r="M351" s="24" t="s">
        <v>542</v>
      </c>
      <c r="N351" s="21" t="s">
        <v>25</v>
      </c>
      <c r="O351" s="25">
        <v>46266</v>
      </c>
      <c r="P351" s="21" t="s">
        <v>398</v>
      </c>
      <c r="Q351" s="26" t="s">
        <v>26</v>
      </c>
      <c r="R351" s="27" t="s">
        <v>399</v>
      </c>
      <c r="S351" s="27">
        <v>1142</v>
      </c>
      <c r="T351" s="28" t="s">
        <v>27</v>
      </c>
      <c r="U351" s="28" t="s">
        <v>28</v>
      </c>
      <c r="V351" s="28" t="s">
        <v>29</v>
      </c>
      <c r="W351" s="28" t="s">
        <v>126</v>
      </c>
    </row>
    <row r="352" spans="1:23" ht="15" customHeight="1" x14ac:dyDescent="0.25">
      <c r="A352" s="20" t="str">
        <f>VLOOKUP(F352,[1]CLIENTES!B:L,11,0)</f>
        <v>RODRIGO</v>
      </c>
      <c r="B352" s="20" t="s">
        <v>537</v>
      </c>
      <c r="C352" s="20">
        <v>46227</v>
      </c>
      <c r="D352" s="21" t="s">
        <v>118</v>
      </c>
      <c r="E352" s="21">
        <v>4000174576</v>
      </c>
      <c r="F352" s="21">
        <v>5026399</v>
      </c>
      <c r="G352" s="21">
        <v>116247</v>
      </c>
      <c r="H352" s="21" t="s">
        <v>119</v>
      </c>
      <c r="I352" s="21" t="s">
        <v>37</v>
      </c>
      <c r="J352" s="21" t="s">
        <v>98</v>
      </c>
      <c r="K352" s="29">
        <v>739</v>
      </c>
      <c r="L352" s="33">
        <v>37</v>
      </c>
      <c r="M352" s="24" t="s">
        <v>543</v>
      </c>
      <c r="N352" s="21" t="s">
        <v>25</v>
      </c>
      <c r="O352" s="25">
        <v>46231</v>
      </c>
      <c r="P352" s="21" t="s">
        <v>398</v>
      </c>
      <c r="Q352" s="26" t="s">
        <v>423</v>
      </c>
      <c r="R352" s="27" t="s">
        <v>425</v>
      </c>
      <c r="S352" s="27">
        <v>3360</v>
      </c>
      <c r="T352" s="28" t="s">
        <v>27</v>
      </c>
      <c r="U352" s="28" t="s">
        <v>50</v>
      </c>
      <c r="V352" s="28" t="s">
        <v>51</v>
      </c>
      <c r="W352" s="28" t="s">
        <v>204</v>
      </c>
    </row>
    <row r="353" spans="1:23" ht="15" customHeight="1" x14ac:dyDescent="0.25">
      <c r="A353" s="20" t="str">
        <f>VLOOKUP(F353,[1]CLIENTES!B:L,11,0)</f>
        <v>RODRIGO</v>
      </c>
      <c r="B353" s="20" t="s">
        <v>537</v>
      </c>
      <c r="C353" s="20">
        <v>46233</v>
      </c>
      <c r="D353" s="21" t="s">
        <v>21</v>
      </c>
      <c r="E353" s="21">
        <v>3842</v>
      </c>
      <c r="F353" s="21">
        <v>5023870</v>
      </c>
      <c r="G353" s="21">
        <v>114899</v>
      </c>
      <c r="H353" s="21" t="s">
        <v>544</v>
      </c>
      <c r="I353" s="21" t="s">
        <v>217</v>
      </c>
      <c r="J353" s="21" t="s">
        <v>218</v>
      </c>
      <c r="K353" s="29">
        <v>195</v>
      </c>
      <c r="L353" s="33">
        <v>92</v>
      </c>
      <c r="M353" s="24" t="s">
        <v>545</v>
      </c>
      <c r="N353" s="21" t="s">
        <v>25</v>
      </c>
      <c r="O353" s="25">
        <v>46266</v>
      </c>
      <c r="P353" s="21" t="s">
        <v>398</v>
      </c>
      <c r="Q353" s="26" t="s">
        <v>485</v>
      </c>
      <c r="R353" s="27" t="s">
        <v>485</v>
      </c>
      <c r="S353" s="27">
        <v>500</v>
      </c>
      <c r="T353" s="28" t="s">
        <v>27</v>
      </c>
      <c r="U353" s="28" t="s">
        <v>28</v>
      </c>
      <c r="V353" s="28" t="s">
        <v>29</v>
      </c>
      <c r="W353" s="28" t="s">
        <v>126</v>
      </c>
    </row>
    <row r="354" spans="1:23" ht="15" customHeight="1" x14ac:dyDescent="0.25">
      <c r="A354" s="20" t="str">
        <f>VLOOKUP(F354,[1]CLIENTES!B:L,11,0)</f>
        <v>RODRIGO</v>
      </c>
      <c r="B354" s="20" t="s">
        <v>537</v>
      </c>
      <c r="C354" s="20">
        <v>46233</v>
      </c>
      <c r="D354" s="21" t="s">
        <v>21</v>
      </c>
      <c r="E354" s="21">
        <v>3436</v>
      </c>
      <c r="F354" s="21">
        <v>5109656</v>
      </c>
      <c r="G354" s="21">
        <v>133996</v>
      </c>
      <c r="H354" s="21" t="s">
        <v>418</v>
      </c>
      <c r="I354" s="21" t="s">
        <v>23</v>
      </c>
      <c r="J354" s="21">
        <v>6125</v>
      </c>
      <c r="K354" s="29">
        <v>692</v>
      </c>
      <c r="L354" s="33">
        <v>93</v>
      </c>
      <c r="M354" s="24" t="s">
        <v>546</v>
      </c>
      <c r="N354" s="21" t="s">
        <v>25</v>
      </c>
      <c r="O354" s="25">
        <v>46266</v>
      </c>
      <c r="P354" s="21" t="s">
        <v>398</v>
      </c>
      <c r="Q354" s="26" t="s">
        <v>535</v>
      </c>
      <c r="R354" s="27" t="s">
        <v>535</v>
      </c>
      <c r="S354" s="27">
        <v>7150</v>
      </c>
      <c r="T354" s="28" t="s">
        <v>27</v>
      </c>
      <c r="U354" s="28" t="s">
        <v>28</v>
      </c>
      <c r="V354" s="28" t="s">
        <v>29</v>
      </c>
      <c r="W354" s="28" t="s">
        <v>45</v>
      </c>
    </row>
    <row r="355" spans="1:23" ht="15" customHeight="1" x14ac:dyDescent="0.25">
      <c r="A355" s="20" t="str">
        <f>VLOOKUP(F355,[1]CLIENTES!B:L,11,0)</f>
        <v>RODRIGO</v>
      </c>
      <c r="B355" s="20" t="s">
        <v>537</v>
      </c>
      <c r="C355" s="20">
        <v>46237</v>
      </c>
      <c r="D355" s="21" t="s">
        <v>21</v>
      </c>
      <c r="E355" s="21">
        <v>14205</v>
      </c>
      <c r="F355" s="21">
        <v>5173494</v>
      </c>
      <c r="G355" s="21">
        <v>185079</v>
      </c>
      <c r="H355" s="21" t="s">
        <v>547</v>
      </c>
      <c r="I355" s="21" t="s">
        <v>217</v>
      </c>
      <c r="J355" s="21" t="s">
        <v>596</v>
      </c>
      <c r="K355" s="29">
        <v>755</v>
      </c>
      <c r="L355" s="33">
        <v>92</v>
      </c>
      <c r="M355" s="24" t="s">
        <v>548</v>
      </c>
      <c r="N355" s="21" t="s">
        <v>25</v>
      </c>
      <c r="O355" s="25">
        <v>46266</v>
      </c>
      <c r="P355" s="21" t="s">
        <v>398</v>
      </c>
      <c r="Q355" s="26" t="s">
        <v>485</v>
      </c>
      <c r="R355" s="27" t="s">
        <v>485</v>
      </c>
      <c r="S355" s="27">
        <v>553.85</v>
      </c>
      <c r="T355" s="28" t="s">
        <v>27</v>
      </c>
      <c r="U355" s="28" t="s">
        <v>50</v>
      </c>
      <c r="V355" s="28" t="s">
        <v>51</v>
      </c>
      <c r="W355" s="28" t="s">
        <v>549</v>
      </c>
    </row>
    <row r="356" spans="1:23" ht="15" customHeight="1" x14ac:dyDescent="0.25">
      <c r="A356" s="20" t="str">
        <f>VLOOKUP(F356,[1]CLIENTES!B:L,11,0)</f>
        <v>RODRIGO</v>
      </c>
      <c r="B356" s="20" t="s">
        <v>537</v>
      </c>
      <c r="C356" s="20">
        <v>46239</v>
      </c>
      <c r="D356" s="21" t="s">
        <v>21</v>
      </c>
      <c r="E356" s="21">
        <v>3420</v>
      </c>
      <c r="F356" s="21">
        <v>5004685</v>
      </c>
      <c r="G356" s="21">
        <v>110434</v>
      </c>
      <c r="H356" s="21" t="s">
        <v>116</v>
      </c>
      <c r="I356" s="21" t="s">
        <v>23</v>
      </c>
      <c r="J356" s="21">
        <v>6125</v>
      </c>
      <c r="K356" s="29">
        <v>692</v>
      </c>
      <c r="L356" s="33">
        <v>92</v>
      </c>
      <c r="M356" s="24" t="s">
        <v>550</v>
      </c>
      <c r="N356" s="21" t="s">
        <v>25</v>
      </c>
      <c r="O356" s="25">
        <v>46266</v>
      </c>
      <c r="P356" s="21" t="s">
        <v>398</v>
      </c>
      <c r="Q356" s="26" t="s">
        <v>49</v>
      </c>
      <c r="R356" s="27" t="s">
        <v>402</v>
      </c>
      <c r="S356" s="27">
        <v>9891.52</v>
      </c>
      <c r="T356" s="28" t="s">
        <v>27</v>
      </c>
      <c r="U356" s="28" t="s">
        <v>28</v>
      </c>
      <c r="V356" s="28" t="s">
        <v>29</v>
      </c>
      <c r="W356" s="28" t="s">
        <v>338</v>
      </c>
    </row>
    <row r="357" spans="1:23" ht="15" customHeight="1" x14ac:dyDescent="0.25">
      <c r="A357" s="20" t="str">
        <f>VLOOKUP(F357,[1]CLIENTES!B:L,11,0)</f>
        <v>RODRIGO</v>
      </c>
      <c r="B357" s="20" t="s">
        <v>537</v>
      </c>
      <c r="C357" s="20">
        <v>46241</v>
      </c>
      <c r="D357" s="21" t="s">
        <v>21</v>
      </c>
      <c r="E357" s="21">
        <v>3437</v>
      </c>
      <c r="F357" s="21">
        <v>5020319</v>
      </c>
      <c r="G357" s="21">
        <v>110315</v>
      </c>
      <c r="H357" s="21" t="s">
        <v>112</v>
      </c>
      <c r="I357" s="21" t="s">
        <v>113</v>
      </c>
      <c r="J357" s="21">
        <v>6127</v>
      </c>
      <c r="K357" s="29">
        <v>682</v>
      </c>
      <c r="L357" s="33">
        <v>92</v>
      </c>
      <c r="M357" s="24" t="s">
        <v>551</v>
      </c>
      <c r="N357" s="21" t="s">
        <v>25</v>
      </c>
      <c r="O357" s="25">
        <v>46266</v>
      </c>
      <c r="P357" s="21" t="s">
        <v>398</v>
      </c>
      <c r="Q357" s="26" t="s">
        <v>471</v>
      </c>
      <c r="R357" s="27" t="s">
        <v>692</v>
      </c>
      <c r="S357" s="27">
        <v>9672</v>
      </c>
      <c r="T357" s="28" t="s">
        <v>27</v>
      </c>
      <c r="U357" s="28" t="s">
        <v>28</v>
      </c>
      <c r="V357" s="28" t="s">
        <v>29</v>
      </c>
      <c r="W357" s="28" t="s">
        <v>126</v>
      </c>
    </row>
    <row r="358" spans="1:23" ht="15" customHeight="1" x14ac:dyDescent="0.25">
      <c r="A358" s="20" t="str">
        <f>VLOOKUP(F358,[1]CLIENTES!B:L,11,0)</f>
        <v>RODRIGO</v>
      </c>
      <c r="B358" s="20" t="s">
        <v>537</v>
      </c>
      <c r="C358" s="20">
        <v>46244</v>
      </c>
      <c r="D358" s="21" t="s">
        <v>21</v>
      </c>
      <c r="E358" s="21">
        <v>14090</v>
      </c>
      <c r="F358" s="21">
        <v>5006978</v>
      </c>
      <c r="G358" s="21">
        <v>103036</v>
      </c>
      <c r="H358" s="21" t="s">
        <v>58</v>
      </c>
      <c r="I358" s="21" t="s">
        <v>23</v>
      </c>
      <c r="J358" s="21" t="s">
        <v>47</v>
      </c>
      <c r="K358" s="29">
        <v>722</v>
      </c>
      <c r="L358" s="33">
        <v>25</v>
      </c>
      <c r="M358" s="24" t="s">
        <v>552</v>
      </c>
      <c r="N358" s="21" t="s">
        <v>25</v>
      </c>
      <c r="O358" s="25">
        <v>46266</v>
      </c>
      <c r="P358" s="21" t="s">
        <v>398</v>
      </c>
      <c r="Q358" s="26" t="s">
        <v>26</v>
      </c>
      <c r="R358" s="27" t="s">
        <v>26</v>
      </c>
      <c r="S358" s="27">
        <v>8000</v>
      </c>
      <c r="T358" s="28" t="s">
        <v>27</v>
      </c>
      <c r="U358" s="28" t="s">
        <v>50</v>
      </c>
      <c r="V358" s="28" t="s">
        <v>51</v>
      </c>
      <c r="W358" s="28" t="s">
        <v>97</v>
      </c>
    </row>
    <row r="359" spans="1:23" ht="15" customHeight="1" x14ac:dyDescent="0.25">
      <c r="A359" s="20" t="str">
        <f>VLOOKUP(F359,[1]CLIENTES!B:L,11,0)</f>
        <v>RODRIGO</v>
      </c>
      <c r="B359" s="20" t="s">
        <v>537</v>
      </c>
      <c r="C359" s="20">
        <v>46244</v>
      </c>
      <c r="D359" s="21" t="s">
        <v>21</v>
      </c>
      <c r="E359" s="21">
        <v>3421</v>
      </c>
      <c r="F359" s="21">
        <v>5006978</v>
      </c>
      <c r="G359" s="21">
        <v>103036</v>
      </c>
      <c r="H359" s="21" t="s">
        <v>58</v>
      </c>
      <c r="I359" s="21" t="s">
        <v>23</v>
      </c>
      <c r="J359" s="21">
        <v>6125</v>
      </c>
      <c r="K359" s="29">
        <v>692</v>
      </c>
      <c r="L359" s="33">
        <v>92</v>
      </c>
      <c r="M359" s="24" t="s">
        <v>553</v>
      </c>
      <c r="N359" s="21" t="s">
        <v>25</v>
      </c>
      <c r="O359" s="25">
        <v>46266</v>
      </c>
      <c r="P359" s="21" t="s">
        <v>398</v>
      </c>
      <c r="Q359" s="26" t="s">
        <v>26</v>
      </c>
      <c r="R359" s="27" t="s">
        <v>26</v>
      </c>
      <c r="S359" s="27">
        <v>13796.55</v>
      </c>
      <c r="T359" s="28" t="s">
        <v>27</v>
      </c>
      <c r="U359" s="28" t="s">
        <v>28</v>
      </c>
      <c r="V359" s="28" t="s">
        <v>29</v>
      </c>
      <c r="W359" s="28" t="s">
        <v>97</v>
      </c>
    </row>
    <row r="360" spans="1:23" ht="15" customHeight="1" x14ac:dyDescent="0.25">
      <c r="A360" s="20" t="str">
        <f>VLOOKUP(F360,[1]CLIENTES!B:L,11,0)</f>
        <v>RODRIGO</v>
      </c>
      <c r="B360" s="20" t="s">
        <v>537</v>
      </c>
      <c r="C360" s="20">
        <v>46244</v>
      </c>
      <c r="D360" s="21" t="s">
        <v>21</v>
      </c>
      <c r="E360" s="21">
        <v>14090</v>
      </c>
      <c r="F360" s="21">
        <v>5006978</v>
      </c>
      <c r="G360" s="21">
        <v>103036</v>
      </c>
      <c r="H360" s="21" t="s">
        <v>58</v>
      </c>
      <c r="I360" s="21" t="s">
        <v>23</v>
      </c>
      <c r="J360" s="21" t="s">
        <v>47</v>
      </c>
      <c r="K360" s="29">
        <v>722</v>
      </c>
      <c r="L360" s="33">
        <v>25</v>
      </c>
      <c r="M360" s="24" t="s">
        <v>554</v>
      </c>
      <c r="N360" s="21" t="s">
        <v>25</v>
      </c>
      <c r="O360" s="25">
        <v>46266</v>
      </c>
      <c r="P360" s="21" t="s">
        <v>398</v>
      </c>
      <c r="Q360" s="26" t="s">
        <v>26</v>
      </c>
      <c r="R360" s="27" t="s">
        <v>26</v>
      </c>
      <c r="S360" s="27">
        <v>33837.51</v>
      </c>
      <c r="T360" s="28" t="s">
        <v>27</v>
      </c>
      <c r="U360" s="28" t="s">
        <v>50</v>
      </c>
      <c r="V360" s="28" t="s">
        <v>51</v>
      </c>
      <c r="W360" s="28" t="s">
        <v>97</v>
      </c>
    </row>
    <row r="361" spans="1:23" ht="15" customHeight="1" x14ac:dyDescent="0.25">
      <c r="A361" s="20" t="str">
        <f>VLOOKUP(F361,[1]CLIENTES!B:L,11,0)</f>
        <v>RODRIGO</v>
      </c>
      <c r="B361" s="20" t="s">
        <v>537</v>
      </c>
      <c r="C361" s="20">
        <v>46244</v>
      </c>
      <c r="D361" s="21" t="s">
        <v>21</v>
      </c>
      <c r="E361" s="21">
        <v>14093</v>
      </c>
      <c r="F361" s="21">
        <v>5157891</v>
      </c>
      <c r="G361" s="21">
        <v>165987</v>
      </c>
      <c r="H361" s="21" t="s">
        <v>209</v>
      </c>
      <c r="I361" s="21" t="s">
        <v>23</v>
      </c>
      <c r="J361" s="21" t="s">
        <v>47</v>
      </c>
      <c r="K361" s="29">
        <v>722</v>
      </c>
      <c r="L361" s="33">
        <v>25</v>
      </c>
      <c r="M361" s="24" t="s">
        <v>555</v>
      </c>
      <c r="N361" s="21" t="s">
        <v>25</v>
      </c>
      <c r="O361" s="25">
        <v>46266</v>
      </c>
      <c r="P361" s="21" t="s">
        <v>398</v>
      </c>
      <c r="Q361" s="26" t="s">
        <v>26</v>
      </c>
      <c r="R361" s="27" t="s">
        <v>26</v>
      </c>
      <c r="S361" s="27">
        <v>20000</v>
      </c>
      <c r="T361" s="28" t="s">
        <v>27</v>
      </c>
      <c r="U361" s="28" t="s">
        <v>50</v>
      </c>
      <c r="V361" s="28" t="s">
        <v>51</v>
      </c>
      <c r="W361" s="28" t="s">
        <v>97</v>
      </c>
    </row>
    <row r="362" spans="1:23" ht="15" customHeight="1" x14ac:dyDescent="0.25">
      <c r="A362" s="20" t="str">
        <f>VLOOKUP(F362,[1]CLIENTES!B:L,11,0)</f>
        <v>RODRIGO</v>
      </c>
      <c r="B362" s="20" t="s">
        <v>537</v>
      </c>
      <c r="C362" s="20">
        <v>46246</v>
      </c>
      <c r="D362" s="21" t="s">
        <v>21</v>
      </c>
      <c r="E362" s="21">
        <v>3437</v>
      </c>
      <c r="F362" s="21">
        <v>5020319</v>
      </c>
      <c r="G362" s="21">
        <v>110315</v>
      </c>
      <c r="H362" s="21" t="s">
        <v>112</v>
      </c>
      <c r="I362" s="21" t="s">
        <v>113</v>
      </c>
      <c r="J362" s="21">
        <v>6127</v>
      </c>
      <c r="K362" s="29">
        <v>682</v>
      </c>
      <c r="L362" s="33">
        <v>92</v>
      </c>
      <c r="M362" s="24" t="s">
        <v>556</v>
      </c>
      <c r="N362" s="21" t="s">
        <v>25</v>
      </c>
      <c r="O362" s="25">
        <v>46266</v>
      </c>
      <c r="P362" s="21" t="s">
        <v>398</v>
      </c>
      <c r="Q362" s="26" t="s">
        <v>471</v>
      </c>
      <c r="R362" s="27" t="s">
        <v>692</v>
      </c>
      <c r="S362" s="27">
        <v>6666</v>
      </c>
      <c r="T362" s="28" t="s">
        <v>27</v>
      </c>
      <c r="U362" s="28" t="s">
        <v>28</v>
      </c>
      <c r="V362" s="28" t="s">
        <v>29</v>
      </c>
      <c r="W362" s="28" t="s">
        <v>45</v>
      </c>
    </row>
    <row r="363" spans="1:23" ht="15" customHeight="1" x14ac:dyDescent="0.25">
      <c r="A363" s="20" t="str">
        <f>VLOOKUP(F363,[1]CLIENTES!B:L,11,0)</f>
        <v>RODRIGO</v>
      </c>
      <c r="B363" s="20" t="s">
        <v>537</v>
      </c>
      <c r="C363" s="20">
        <v>46247</v>
      </c>
      <c r="D363" s="21" t="s">
        <v>21</v>
      </c>
      <c r="E363" s="21">
        <v>3420</v>
      </c>
      <c r="F363" s="21">
        <v>5004685</v>
      </c>
      <c r="G363" s="21">
        <v>110434</v>
      </c>
      <c r="H363" s="21" t="s">
        <v>116</v>
      </c>
      <c r="I363" s="21" t="s">
        <v>23</v>
      </c>
      <c r="J363" s="21">
        <v>6125</v>
      </c>
      <c r="K363" s="29">
        <v>692</v>
      </c>
      <c r="L363" s="33">
        <v>92</v>
      </c>
      <c r="M363" s="24" t="s">
        <v>557</v>
      </c>
      <c r="N363" s="21" t="s">
        <v>25</v>
      </c>
      <c r="O363" s="25">
        <v>46266</v>
      </c>
      <c r="P363" s="21" t="s">
        <v>398</v>
      </c>
      <c r="Q363" s="26" t="s">
        <v>49</v>
      </c>
      <c r="R363" s="27" t="s">
        <v>402</v>
      </c>
      <c r="S363" s="27">
        <v>2500</v>
      </c>
      <c r="T363" s="28" t="s">
        <v>27</v>
      </c>
      <c r="U363" s="28" t="s">
        <v>28</v>
      </c>
      <c r="V363" s="28" t="s">
        <v>29</v>
      </c>
      <c r="W363" s="28" t="s">
        <v>126</v>
      </c>
    </row>
    <row r="364" spans="1:23" ht="15" customHeight="1" x14ac:dyDescent="0.25">
      <c r="A364" s="20" t="str">
        <f>VLOOKUP(F364,[1]CLIENTES!B:L,11,0)</f>
        <v>RODRIGO</v>
      </c>
      <c r="B364" s="20" t="s">
        <v>537</v>
      </c>
      <c r="C364" s="20">
        <v>46247</v>
      </c>
      <c r="D364" s="21" t="s">
        <v>21</v>
      </c>
      <c r="E364" s="21">
        <v>3422</v>
      </c>
      <c r="F364" s="21">
        <v>5023831</v>
      </c>
      <c r="G364" s="21">
        <v>126676</v>
      </c>
      <c r="H364" s="21" t="s">
        <v>22</v>
      </c>
      <c r="I364" s="21" t="s">
        <v>23</v>
      </c>
      <c r="J364" s="21">
        <v>6125</v>
      </c>
      <c r="K364" s="29">
        <v>692</v>
      </c>
      <c r="L364" s="33">
        <v>93</v>
      </c>
      <c r="M364" s="24" t="s">
        <v>315</v>
      </c>
      <c r="N364" s="21" t="s">
        <v>25</v>
      </c>
      <c r="O364" s="25">
        <v>46266</v>
      </c>
      <c r="P364" s="21" t="s">
        <v>398</v>
      </c>
      <c r="Q364" s="26" t="s">
        <v>26</v>
      </c>
      <c r="R364" s="27" t="s">
        <v>399</v>
      </c>
      <c r="S364" s="27">
        <v>2000</v>
      </c>
      <c r="T364" s="28" t="s">
        <v>27</v>
      </c>
      <c r="U364" s="28" t="s">
        <v>28</v>
      </c>
      <c r="V364" s="28" t="s">
        <v>29</v>
      </c>
      <c r="W364" s="28" t="s">
        <v>126</v>
      </c>
    </row>
    <row r="365" spans="1:23" ht="15" customHeight="1" x14ac:dyDescent="0.25">
      <c r="A365" s="20" t="str">
        <f>VLOOKUP(F365,[1]CLIENTES!B:L,11,0)</f>
        <v>RODRIGO</v>
      </c>
      <c r="B365" s="20" t="s">
        <v>537</v>
      </c>
      <c r="C365" s="20">
        <v>46252</v>
      </c>
      <c r="D365" s="21" t="s">
        <v>21</v>
      </c>
      <c r="E365" s="21">
        <v>3428</v>
      </c>
      <c r="F365" s="21">
        <v>5338214</v>
      </c>
      <c r="G365" s="21">
        <v>184659</v>
      </c>
      <c r="H365" s="21" t="s">
        <v>84</v>
      </c>
      <c r="I365" s="21" t="s">
        <v>23</v>
      </c>
      <c r="J365" s="21">
        <v>6125</v>
      </c>
      <c r="K365" s="29">
        <v>692</v>
      </c>
      <c r="L365" s="33">
        <v>93</v>
      </c>
      <c r="M365" s="24" t="s">
        <v>558</v>
      </c>
      <c r="N365" s="21" t="s">
        <v>25</v>
      </c>
      <c r="O365" s="25">
        <v>46266</v>
      </c>
      <c r="P365" s="21" t="s">
        <v>398</v>
      </c>
      <c r="Q365" s="26" t="s">
        <v>26</v>
      </c>
      <c r="R365" s="27" t="s">
        <v>399</v>
      </c>
      <c r="S365" s="27">
        <v>1800</v>
      </c>
      <c r="T365" s="28" t="s">
        <v>27</v>
      </c>
      <c r="U365" s="28" t="s">
        <v>28</v>
      </c>
      <c r="V365" s="28" t="s">
        <v>29</v>
      </c>
      <c r="W365" s="28" t="s">
        <v>126</v>
      </c>
    </row>
    <row r="366" spans="1:23" ht="15" customHeight="1" x14ac:dyDescent="0.25">
      <c r="A366" s="20" t="str">
        <f>VLOOKUP(F366,[1]CLIENTES!B:L,11,0)</f>
        <v>RODRIGO</v>
      </c>
      <c r="B366" s="20" t="s">
        <v>537</v>
      </c>
      <c r="C366" s="20">
        <v>46252</v>
      </c>
      <c r="D366" s="21" t="s">
        <v>21</v>
      </c>
      <c r="E366" s="21">
        <v>14211</v>
      </c>
      <c r="F366" s="21">
        <v>5015829</v>
      </c>
      <c r="G366" s="21">
        <v>150946</v>
      </c>
      <c r="H366" s="21" t="s">
        <v>559</v>
      </c>
      <c r="I366" s="21" t="s">
        <v>23</v>
      </c>
      <c r="J366" s="21" t="s">
        <v>560</v>
      </c>
      <c r="K366" s="29">
        <v>749</v>
      </c>
      <c r="L366" s="33">
        <v>93</v>
      </c>
      <c r="M366" s="24" t="s">
        <v>561</v>
      </c>
      <c r="N366" s="21" t="s">
        <v>25</v>
      </c>
      <c r="O366" s="25">
        <v>46266</v>
      </c>
      <c r="P366" s="21" t="s">
        <v>398</v>
      </c>
      <c r="Q366" s="26" t="s">
        <v>26</v>
      </c>
      <c r="R366" s="27" t="s">
        <v>562</v>
      </c>
      <c r="S366" s="27">
        <v>5189.04</v>
      </c>
      <c r="T366" s="28" t="s">
        <v>27</v>
      </c>
      <c r="U366" s="28" t="s">
        <v>50</v>
      </c>
      <c r="V366" s="28" t="s">
        <v>51</v>
      </c>
      <c r="W366" s="28" t="s">
        <v>563</v>
      </c>
    </row>
    <row r="367" spans="1:23" ht="15" customHeight="1" x14ac:dyDescent="0.25">
      <c r="A367" s="20" t="str">
        <f>VLOOKUP(F367,[1]CLIENTES!B:L,11,0)</f>
        <v>RODRIGO</v>
      </c>
      <c r="B367" s="20" t="s">
        <v>537</v>
      </c>
      <c r="C367" s="20">
        <v>46252</v>
      </c>
      <c r="D367" s="21" t="s">
        <v>21</v>
      </c>
      <c r="E367" s="21">
        <v>3446</v>
      </c>
      <c r="F367" s="21">
        <v>5192822</v>
      </c>
      <c r="G367" s="21">
        <v>142805</v>
      </c>
      <c r="H367" s="21" t="s">
        <v>564</v>
      </c>
      <c r="I367" s="21" t="s">
        <v>23</v>
      </c>
      <c r="J367" s="21">
        <v>6125</v>
      </c>
      <c r="K367" s="29">
        <v>692</v>
      </c>
      <c r="L367" s="33">
        <v>93</v>
      </c>
      <c r="M367" s="24" t="s">
        <v>565</v>
      </c>
      <c r="N367" s="25" t="s">
        <v>25</v>
      </c>
      <c r="O367" s="25">
        <v>46266</v>
      </c>
      <c r="P367" s="21" t="s">
        <v>398</v>
      </c>
      <c r="Q367" s="26" t="s">
        <v>26</v>
      </c>
      <c r="R367" s="27" t="s">
        <v>399</v>
      </c>
      <c r="S367" s="27">
        <v>1200</v>
      </c>
      <c r="T367" s="28" t="s">
        <v>27</v>
      </c>
      <c r="U367" s="28" t="s">
        <v>28</v>
      </c>
      <c r="V367" s="28" t="s">
        <v>29</v>
      </c>
      <c r="W367" s="28" t="s">
        <v>97</v>
      </c>
    </row>
    <row r="368" spans="1:23" ht="15" customHeight="1" x14ac:dyDescent="0.25">
      <c r="A368" s="20" t="str">
        <f>VLOOKUP(F368,[1]CLIENTES!B:L,11,0)</f>
        <v>RODRIGO</v>
      </c>
      <c r="B368" s="20" t="s">
        <v>537</v>
      </c>
      <c r="C368" s="20">
        <v>46252</v>
      </c>
      <c r="D368" s="21" t="s">
        <v>21</v>
      </c>
      <c r="E368" s="21">
        <v>3420</v>
      </c>
      <c r="F368" s="21">
        <v>5004685</v>
      </c>
      <c r="G368" s="21">
        <v>110434</v>
      </c>
      <c r="H368" s="21" t="s">
        <v>116</v>
      </c>
      <c r="I368" s="21" t="s">
        <v>23</v>
      </c>
      <c r="J368" s="21">
        <v>6125</v>
      </c>
      <c r="K368" s="29">
        <v>692</v>
      </c>
      <c r="L368" s="33">
        <v>92</v>
      </c>
      <c r="M368" s="24" t="s">
        <v>566</v>
      </c>
      <c r="N368" s="21" t="s">
        <v>25</v>
      </c>
      <c r="O368" s="25">
        <v>46266</v>
      </c>
      <c r="P368" s="21" t="s">
        <v>398</v>
      </c>
      <c r="Q368" s="26" t="s">
        <v>49</v>
      </c>
      <c r="R368" s="27" t="s">
        <v>402</v>
      </c>
      <c r="S368" s="27">
        <v>19239.39</v>
      </c>
      <c r="T368" s="28" t="s">
        <v>27</v>
      </c>
      <c r="U368" s="28" t="s">
        <v>28</v>
      </c>
      <c r="V368" s="28" t="s">
        <v>29</v>
      </c>
      <c r="W368" s="28" t="s">
        <v>126</v>
      </c>
    </row>
    <row r="369" spans="1:23" ht="15" customHeight="1" x14ac:dyDescent="0.25">
      <c r="A369" s="20" t="str">
        <f>VLOOKUP(F369,[1]CLIENTES!B:L,11,0)</f>
        <v>RODRIGO</v>
      </c>
      <c r="B369" s="20" t="s">
        <v>537</v>
      </c>
      <c r="C369" s="20">
        <v>46254</v>
      </c>
      <c r="D369" s="21" t="s">
        <v>21</v>
      </c>
      <c r="E369" s="21">
        <v>3429</v>
      </c>
      <c r="F369" s="21">
        <v>5131101</v>
      </c>
      <c r="G369" s="21">
        <v>167218</v>
      </c>
      <c r="H369" s="21" t="s">
        <v>164</v>
      </c>
      <c r="I369" s="21" t="s">
        <v>23</v>
      </c>
      <c r="J369" s="21">
        <v>6125</v>
      </c>
      <c r="K369" s="29">
        <v>692</v>
      </c>
      <c r="L369" s="33">
        <v>93</v>
      </c>
      <c r="M369" s="24" t="s">
        <v>567</v>
      </c>
      <c r="N369" s="21" t="s">
        <v>25</v>
      </c>
      <c r="O369" s="25">
        <v>46266</v>
      </c>
      <c r="P369" s="21" t="s">
        <v>398</v>
      </c>
      <c r="Q369" s="26" t="s">
        <v>26</v>
      </c>
      <c r="R369" s="27" t="s">
        <v>399</v>
      </c>
      <c r="S369" s="27">
        <v>1800.05</v>
      </c>
      <c r="T369" s="28" t="s">
        <v>27</v>
      </c>
      <c r="U369" s="28" t="s">
        <v>28</v>
      </c>
      <c r="V369" s="28" t="s">
        <v>29</v>
      </c>
      <c r="W369" s="28" t="s">
        <v>60</v>
      </c>
    </row>
    <row r="370" spans="1:23" ht="15" customHeight="1" x14ac:dyDescent="0.25">
      <c r="A370" s="20" t="str">
        <f>VLOOKUP(F370,[1]CLIENTES!B:L,11,0)</f>
        <v>RODRIGO</v>
      </c>
      <c r="B370" s="20" t="s">
        <v>537</v>
      </c>
      <c r="C370" s="20">
        <v>46254</v>
      </c>
      <c r="D370" s="21" t="s">
        <v>21</v>
      </c>
      <c r="E370" s="21">
        <v>3437</v>
      </c>
      <c r="F370" s="21">
        <v>5020319</v>
      </c>
      <c r="G370" s="21">
        <v>110315</v>
      </c>
      <c r="H370" s="21" t="s">
        <v>112</v>
      </c>
      <c r="I370" s="21" t="s">
        <v>113</v>
      </c>
      <c r="J370" s="21">
        <v>6127</v>
      </c>
      <c r="K370" s="29">
        <v>682</v>
      </c>
      <c r="L370" s="33">
        <v>92</v>
      </c>
      <c r="M370" s="24" t="s">
        <v>568</v>
      </c>
      <c r="N370" s="21" t="s">
        <v>25</v>
      </c>
      <c r="O370" s="25">
        <v>46266</v>
      </c>
      <c r="P370" s="21" t="s">
        <v>398</v>
      </c>
      <c r="Q370" s="26" t="s">
        <v>471</v>
      </c>
      <c r="R370" s="27" t="s">
        <v>692</v>
      </c>
      <c r="S370" s="27">
        <v>15000</v>
      </c>
      <c r="T370" s="28" t="s">
        <v>27</v>
      </c>
      <c r="U370" s="28" t="s">
        <v>28</v>
      </c>
      <c r="V370" s="28" t="s">
        <v>29</v>
      </c>
      <c r="W370" s="28" t="s">
        <v>126</v>
      </c>
    </row>
    <row r="371" spans="1:23" ht="15" customHeight="1" x14ac:dyDescent="0.25">
      <c r="A371" s="20" t="str">
        <f>VLOOKUP(F371,[1]CLIENTES!B:L,11,0)</f>
        <v>RODRIGO</v>
      </c>
      <c r="B371" s="20" t="s">
        <v>537</v>
      </c>
      <c r="C371" s="20">
        <v>46254</v>
      </c>
      <c r="D371" s="21" t="s">
        <v>21</v>
      </c>
      <c r="E371" s="21">
        <v>3857</v>
      </c>
      <c r="F371" s="21">
        <v>5160852</v>
      </c>
      <c r="G371" s="21">
        <v>144793</v>
      </c>
      <c r="H371" s="21" t="s">
        <v>461</v>
      </c>
      <c r="I371" s="21" t="s">
        <v>71</v>
      </c>
      <c r="J371" s="21" t="s">
        <v>72</v>
      </c>
      <c r="K371" s="29">
        <v>186</v>
      </c>
      <c r="L371" s="33">
        <v>92</v>
      </c>
      <c r="M371" s="24" t="s">
        <v>569</v>
      </c>
      <c r="N371" s="21" t="s">
        <v>25</v>
      </c>
      <c r="O371" s="25">
        <v>46266</v>
      </c>
      <c r="P371" s="21" t="s">
        <v>398</v>
      </c>
      <c r="Q371" s="26" t="s">
        <v>428</v>
      </c>
      <c r="R371" s="27" t="s">
        <v>430</v>
      </c>
      <c r="S371" s="27">
        <v>3000</v>
      </c>
      <c r="T371" s="28" t="s">
        <v>27</v>
      </c>
      <c r="U371" s="28" t="s">
        <v>28</v>
      </c>
      <c r="V371" s="28" t="s">
        <v>29</v>
      </c>
      <c r="W371" s="28" t="s">
        <v>126</v>
      </c>
    </row>
    <row r="372" spans="1:23" ht="15" customHeight="1" x14ac:dyDescent="0.25">
      <c r="A372" s="20" t="str">
        <f>VLOOKUP(F372,[1]CLIENTES!B:L,11,0)</f>
        <v>RODRIGO</v>
      </c>
      <c r="B372" s="20" t="s">
        <v>537</v>
      </c>
      <c r="C372" s="20">
        <v>46254</v>
      </c>
      <c r="D372" s="21" t="s">
        <v>21</v>
      </c>
      <c r="E372" s="21">
        <v>3844</v>
      </c>
      <c r="F372" s="21">
        <v>5226805</v>
      </c>
      <c r="G372" s="21">
        <v>150155</v>
      </c>
      <c r="H372" s="21" t="s">
        <v>86</v>
      </c>
      <c r="I372" s="21" t="s">
        <v>71</v>
      </c>
      <c r="J372" s="21" t="s">
        <v>72</v>
      </c>
      <c r="K372" s="29">
        <v>186</v>
      </c>
      <c r="L372" s="33">
        <v>92</v>
      </c>
      <c r="M372" s="24" t="s">
        <v>570</v>
      </c>
      <c r="N372" s="21" t="s">
        <v>25</v>
      </c>
      <c r="O372" s="25">
        <v>46266</v>
      </c>
      <c r="P372" s="21" t="s">
        <v>398</v>
      </c>
      <c r="Q372" s="26" t="s">
        <v>428</v>
      </c>
      <c r="R372" s="27" t="s">
        <v>431</v>
      </c>
      <c r="S372" s="27">
        <v>2500</v>
      </c>
      <c r="T372" s="28" t="s">
        <v>27</v>
      </c>
      <c r="U372" s="28" t="s">
        <v>28</v>
      </c>
      <c r="V372" s="28" t="s">
        <v>29</v>
      </c>
      <c r="W372" s="28" t="s">
        <v>126</v>
      </c>
    </row>
    <row r="373" spans="1:23" ht="15" customHeight="1" x14ac:dyDescent="0.25">
      <c r="A373" s="20" t="str">
        <f>VLOOKUP(F373,[1]CLIENTES!B:L,11,0)</f>
        <v>RODRIGO</v>
      </c>
      <c r="B373" s="20" t="s">
        <v>537</v>
      </c>
      <c r="C373" s="20">
        <v>46254</v>
      </c>
      <c r="D373" s="21" t="s">
        <v>21</v>
      </c>
      <c r="E373" s="21">
        <v>3844</v>
      </c>
      <c r="F373" s="21">
        <v>5226805</v>
      </c>
      <c r="G373" s="21">
        <v>150155</v>
      </c>
      <c r="H373" s="21" t="s">
        <v>86</v>
      </c>
      <c r="I373" s="21" t="s">
        <v>71</v>
      </c>
      <c r="J373" s="21" t="s">
        <v>72</v>
      </c>
      <c r="K373" s="29">
        <v>186</v>
      </c>
      <c r="L373" s="33">
        <v>92</v>
      </c>
      <c r="M373" s="24" t="s">
        <v>571</v>
      </c>
      <c r="N373" s="21" t="s">
        <v>25</v>
      </c>
      <c r="O373" s="25">
        <v>46266</v>
      </c>
      <c r="P373" s="21" t="s">
        <v>398</v>
      </c>
      <c r="Q373" s="26" t="s">
        <v>428</v>
      </c>
      <c r="R373" s="27" t="s">
        <v>431</v>
      </c>
      <c r="S373" s="27">
        <v>2500</v>
      </c>
      <c r="T373" s="28" t="s">
        <v>27</v>
      </c>
      <c r="U373" s="28" t="s">
        <v>28</v>
      </c>
      <c r="V373" s="28" t="s">
        <v>29</v>
      </c>
      <c r="W373" s="28" t="s">
        <v>126</v>
      </c>
    </row>
    <row r="374" spans="1:23" ht="15" customHeight="1" x14ac:dyDescent="0.25">
      <c r="A374" s="20" t="str">
        <f>VLOOKUP(F374,[1]CLIENTES!B:L,11,0)</f>
        <v>RODRIGO</v>
      </c>
      <c r="B374" s="20" t="s">
        <v>537</v>
      </c>
      <c r="C374" s="20">
        <v>46254</v>
      </c>
      <c r="D374" s="21" t="s">
        <v>21</v>
      </c>
      <c r="E374" s="21">
        <v>3843</v>
      </c>
      <c r="F374" s="21">
        <v>5226805</v>
      </c>
      <c r="G374" s="21">
        <v>150155</v>
      </c>
      <c r="H374" s="21" t="s">
        <v>86</v>
      </c>
      <c r="I374" s="21" t="s">
        <v>71</v>
      </c>
      <c r="J374" s="21" t="s">
        <v>72</v>
      </c>
      <c r="K374" s="29">
        <v>186</v>
      </c>
      <c r="L374" s="33">
        <v>92</v>
      </c>
      <c r="M374" s="24" t="s">
        <v>572</v>
      </c>
      <c r="N374" s="21" t="s">
        <v>25</v>
      </c>
      <c r="O374" s="25">
        <v>46266</v>
      </c>
      <c r="P374" s="21" t="s">
        <v>398</v>
      </c>
      <c r="Q374" s="26" t="s">
        <v>428</v>
      </c>
      <c r="R374" s="27" t="s">
        <v>431</v>
      </c>
      <c r="S374" s="27">
        <v>5000</v>
      </c>
      <c r="T374" s="28" t="s">
        <v>27</v>
      </c>
      <c r="U374" s="28" t="s">
        <v>28</v>
      </c>
      <c r="V374" s="28" t="s">
        <v>29</v>
      </c>
      <c r="W374" s="28" t="s">
        <v>35</v>
      </c>
    </row>
    <row r="375" spans="1:23" ht="15" customHeight="1" x14ac:dyDescent="0.25">
      <c r="A375" s="20" t="str">
        <f>VLOOKUP(F375,[1]CLIENTES!B:L,11,0)</f>
        <v>RODRIGO</v>
      </c>
      <c r="B375" s="20" t="s">
        <v>537</v>
      </c>
      <c r="C375" s="20">
        <v>46254</v>
      </c>
      <c r="D375" s="21" t="s">
        <v>21</v>
      </c>
      <c r="E375" s="21">
        <v>3837</v>
      </c>
      <c r="F375" s="21">
        <v>5159222</v>
      </c>
      <c r="G375" s="21">
        <v>143312</v>
      </c>
      <c r="H375" s="21" t="s">
        <v>184</v>
      </c>
      <c r="I375" s="21" t="s">
        <v>71</v>
      </c>
      <c r="J375" s="21" t="s">
        <v>72</v>
      </c>
      <c r="K375" s="29">
        <v>186</v>
      </c>
      <c r="L375" s="33">
        <v>92</v>
      </c>
      <c r="M375" s="24" t="s">
        <v>573</v>
      </c>
      <c r="N375" s="21" t="s">
        <v>25</v>
      </c>
      <c r="O375" s="25">
        <v>46266</v>
      </c>
      <c r="P375" s="21" t="s">
        <v>398</v>
      </c>
      <c r="Q375" s="26" t="s">
        <v>428</v>
      </c>
      <c r="R375" s="27" t="s">
        <v>430</v>
      </c>
      <c r="S375" s="27">
        <v>1800</v>
      </c>
      <c r="T375" s="28" t="s">
        <v>27</v>
      </c>
      <c r="U375" s="28" t="s">
        <v>28</v>
      </c>
      <c r="V375" s="28" t="s">
        <v>29</v>
      </c>
      <c r="W375" s="28" t="s">
        <v>126</v>
      </c>
    </row>
    <row r="376" spans="1:23" ht="15" customHeight="1" x14ac:dyDescent="0.25">
      <c r="A376" s="20" t="str">
        <f>VLOOKUP(F376,[1]CLIENTES!B:L,11,0)</f>
        <v>RODRIGO</v>
      </c>
      <c r="B376" s="20" t="s">
        <v>537</v>
      </c>
      <c r="C376" s="20">
        <v>46254</v>
      </c>
      <c r="D376" s="21" t="s">
        <v>21</v>
      </c>
      <c r="E376" s="21">
        <v>3438</v>
      </c>
      <c r="F376" s="21">
        <v>5020347</v>
      </c>
      <c r="G376" s="21">
        <v>112787</v>
      </c>
      <c r="H376" s="21" t="s">
        <v>129</v>
      </c>
      <c r="I376" s="21" t="s">
        <v>23</v>
      </c>
      <c r="J376" s="21">
        <v>6125</v>
      </c>
      <c r="K376" s="29">
        <v>692</v>
      </c>
      <c r="L376" s="33">
        <v>93</v>
      </c>
      <c r="M376" s="24" t="s">
        <v>574</v>
      </c>
      <c r="N376" s="21" t="s">
        <v>25</v>
      </c>
      <c r="O376" s="25">
        <v>46266</v>
      </c>
      <c r="P376" s="21" t="s">
        <v>398</v>
      </c>
      <c r="Q376" s="26" t="s">
        <v>49</v>
      </c>
      <c r="R376" s="27" t="s">
        <v>400</v>
      </c>
      <c r="S376" s="27">
        <v>5834</v>
      </c>
      <c r="T376" s="28" t="s">
        <v>27</v>
      </c>
      <c r="U376" s="28" t="s">
        <v>28</v>
      </c>
      <c r="V376" s="28" t="s">
        <v>29</v>
      </c>
      <c r="W376" s="28" t="s">
        <v>45</v>
      </c>
    </row>
    <row r="377" spans="1:23" ht="15" customHeight="1" x14ac:dyDescent="0.25">
      <c r="A377" s="20" t="str">
        <f>VLOOKUP(F377,[1]CLIENTES!B:L,11,0)</f>
        <v>RODRIGO</v>
      </c>
      <c r="B377" s="20" t="s">
        <v>537</v>
      </c>
      <c r="C377" s="20">
        <v>46254</v>
      </c>
      <c r="D377" s="21" t="s">
        <v>21</v>
      </c>
      <c r="E377" s="21">
        <v>3438</v>
      </c>
      <c r="F377" s="21">
        <v>5020347</v>
      </c>
      <c r="G377" s="21">
        <v>112787</v>
      </c>
      <c r="H377" s="21" t="s">
        <v>129</v>
      </c>
      <c r="I377" s="21" t="s">
        <v>23</v>
      </c>
      <c r="J377" s="21">
        <v>6125</v>
      </c>
      <c r="K377" s="29">
        <v>692</v>
      </c>
      <c r="L377" s="33">
        <v>93</v>
      </c>
      <c r="M377" s="24" t="s">
        <v>575</v>
      </c>
      <c r="N377" s="21" t="s">
        <v>25</v>
      </c>
      <c r="O377" s="25">
        <v>46266</v>
      </c>
      <c r="P377" s="21" t="s">
        <v>398</v>
      </c>
      <c r="Q377" s="26" t="s">
        <v>49</v>
      </c>
      <c r="R377" s="27" t="s">
        <v>400</v>
      </c>
      <c r="S377" s="27">
        <v>3740</v>
      </c>
      <c r="T377" s="28" t="s">
        <v>27</v>
      </c>
      <c r="U377" s="28" t="s">
        <v>28</v>
      </c>
      <c r="V377" s="28" t="s">
        <v>29</v>
      </c>
      <c r="W377" s="28" t="s">
        <v>126</v>
      </c>
    </row>
    <row r="378" spans="1:23" ht="15" customHeight="1" x14ac:dyDescent="0.25">
      <c r="A378" s="20" t="str">
        <f>VLOOKUP(F378,[1]CLIENTES!B:L,11,0)</f>
        <v>RODRIGO</v>
      </c>
      <c r="B378" s="20" t="s">
        <v>537</v>
      </c>
      <c r="C378" s="20">
        <v>46254</v>
      </c>
      <c r="D378" s="21" t="s">
        <v>21</v>
      </c>
      <c r="E378" s="21">
        <v>3415</v>
      </c>
      <c r="F378" s="21">
        <v>5340656</v>
      </c>
      <c r="G378" s="21">
        <v>184833</v>
      </c>
      <c r="H378" s="21" t="s">
        <v>252</v>
      </c>
      <c r="I378" s="21" t="s">
        <v>23</v>
      </c>
      <c r="J378" s="21">
        <v>6125</v>
      </c>
      <c r="K378" s="29">
        <v>692</v>
      </c>
      <c r="L378" s="33">
        <v>93</v>
      </c>
      <c r="M378" s="24" t="s">
        <v>576</v>
      </c>
      <c r="N378" s="21" t="s">
        <v>25</v>
      </c>
      <c r="O378" s="25">
        <v>46266</v>
      </c>
      <c r="P378" s="21" t="s">
        <v>398</v>
      </c>
      <c r="Q378" s="26" t="s">
        <v>49</v>
      </c>
      <c r="R378" s="27" t="s">
        <v>400</v>
      </c>
      <c r="S378" s="27">
        <v>1841</v>
      </c>
      <c r="T378" s="28" t="s">
        <v>27</v>
      </c>
      <c r="U378" s="28" t="s">
        <v>28</v>
      </c>
      <c r="V378" s="28" t="s">
        <v>29</v>
      </c>
      <c r="W378" s="28" t="s">
        <v>126</v>
      </c>
    </row>
    <row r="379" spans="1:23" ht="15" customHeight="1" x14ac:dyDescent="0.25">
      <c r="A379" s="20" t="str">
        <f>VLOOKUP(F379,[1]CLIENTES!B:L,11,0)</f>
        <v>RODRIGO</v>
      </c>
      <c r="B379" s="20" t="s">
        <v>537</v>
      </c>
      <c r="C379" s="20">
        <v>46254</v>
      </c>
      <c r="D379" s="21" t="s">
        <v>21</v>
      </c>
      <c r="E379" s="21">
        <v>3434</v>
      </c>
      <c r="F379" s="21">
        <v>5038157</v>
      </c>
      <c r="G379" s="21">
        <v>165753</v>
      </c>
      <c r="H379" s="21" t="s">
        <v>531</v>
      </c>
      <c r="I379" s="21" t="s">
        <v>23</v>
      </c>
      <c r="J379" s="21">
        <v>6125</v>
      </c>
      <c r="K379" s="29">
        <v>692</v>
      </c>
      <c r="L379" s="33">
        <v>91</v>
      </c>
      <c r="M379" s="24" t="s">
        <v>577</v>
      </c>
      <c r="N379" s="21" t="s">
        <v>25</v>
      </c>
      <c r="O379" s="25">
        <v>46266</v>
      </c>
      <c r="P379" s="21" t="s">
        <v>398</v>
      </c>
      <c r="Q379" s="26" t="s">
        <v>49</v>
      </c>
      <c r="R379" s="27" t="s">
        <v>400</v>
      </c>
      <c r="S379" s="27">
        <v>3969.68</v>
      </c>
      <c r="T379" s="28" t="s">
        <v>27</v>
      </c>
      <c r="U379" s="28" t="s">
        <v>28</v>
      </c>
      <c r="V379" s="28" t="s">
        <v>29</v>
      </c>
      <c r="W379" s="28" t="s">
        <v>126</v>
      </c>
    </row>
    <row r="380" spans="1:23" ht="15" customHeight="1" x14ac:dyDescent="0.25">
      <c r="A380" s="20" t="str">
        <f>VLOOKUP(F380,[1]CLIENTES!B:L,11,0)</f>
        <v>RODRIGO</v>
      </c>
      <c r="B380" s="20" t="s">
        <v>537</v>
      </c>
      <c r="C380" s="20">
        <v>46254</v>
      </c>
      <c r="D380" s="21" t="s">
        <v>21</v>
      </c>
      <c r="E380" s="21">
        <v>3435</v>
      </c>
      <c r="F380" s="21">
        <v>5259915</v>
      </c>
      <c r="G380" s="21">
        <v>166008</v>
      </c>
      <c r="H380" s="21" t="s">
        <v>159</v>
      </c>
      <c r="I380" s="21" t="s">
        <v>23</v>
      </c>
      <c r="J380" s="21">
        <v>6125</v>
      </c>
      <c r="K380" s="29">
        <v>692</v>
      </c>
      <c r="L380" s="33">
        <v>93</v>
      </c>
      <c r="M380" s="24" t="s">
        <v>578</v>
      </c>
      <c r="N380" s="21" t="s">
        <v>25</v>
      </c>
      <c r="O380" s="25">
        <v>46266</v>
      </c>
      <c r="P380" s="21" t="s">
        <v>398</v>
      </c>
      <c r="Q380" s="26" t="s">
        <v>49</v>
      </c>
      <c r="R380" s="27" t="s">
        <v>400</v>
      </c>
      <c r="S380" s="27">
        <v>3322.5</v>
      </c>
      <c r="T380" s="28" t="s">
        <v>27</v>
      </c>
      <c r="U380" s="28" t="s">
        <v>28</v>
      </c>
      <c r="V380" s="28" t="s">
        <v>29</v>
      </c>
      <c r="W380" s="28" t="s">
        <v>126</v>
      </c>
    </row>
    <row r="381" spans="1:23" ht="15" customHeight="1" x14ac:dyDescent="0.25">
      <c r="A381" s="20" t="str">
        <f>VLOOKUP(F381,[1]CLIENTES!B:L,11,0)</f>
        <v>RODRIGO</v>
      </c>
      <c r="B381" s="20" t="s">
        <v>537</v>
      </c>
      <c r="C381" s="20">
        <v>46254</v>
      </c>
      <c r="D381" s="21" t="s">
        <v>21</v>
      </c>
      <c r="E381" s="21">
        <v>3419</v>
      </c>
      <c r="F381" s="21">
        <v>5017576</v>
      </c>
      <c r="G381" s="21">
        <v>116132</v>
      </c>
      <c r="H381" s="21" t="s">
        <v>31</v>
      </c>
      <c r="I381" s="21" t="s">
        <v>32</v>
      </c>
      <c r="J381" s="21">
        <v>6169</v>
      </c>
      <c r="K381" s="29">
        <v>690</v>
      </c>
      <c r="L381" s="33">
        <v>92</v>
      </c>
      <c r="M381" s="24" t="s">
        <v>579</v>
      </c>
      <c r="N381" s="21" t="s">
        <v>25</v>
      </c>
      <c r="O381" s="25">
        <v>46266</v>
      </c>
      <c r="P381" s="21" t="s">
        <v>398</v>
      </c>
      <c r="Q381" s="26" t="s">
        <v>423</v>
      </c>
      <c r="R381" s="27" t="s">
        <v>424</v>
      </c>
      <c r="S381" s="27">
        <v>10000</v>
      </c>
      <c r="T381" s="28" t="s">
        <v>27</v>
      </c>
      <c r="U381" s="28" t="s">
        <v>28</v>
      </c>
      <c r="V381" s="28" t="s">
        <v>29</v>
      </c>
      <c r="W381" s="28" t="s">
        <v>35</v>
      </c>
    </row>
    <row r="382" spans="1:23" ht="15" customHeight="1" x14ac:dyDescent="0.25">
      <c r="A382" s="20" t="str">
        <f>VLOOKUP(F382,[1]CLIENTES!B:L,11,0)</f>
        <v>RODRIGO</v>
      </c>
      <c r="B382" s="20" t="s">
        <v>537</v>
      </c>
      <c r="C382" s="20">
        <v>46254</v>
      </c>
      <c r="D382" s="21" t="s">
        <v>21</v>
      </c>
      <c r="E382" s="21">
        <v>3419</v>
      </c>
      <c r="F382" s="21">
        <v>5017576</v>
      </c>
      <c r="G382" s="21">
        <v>116132</v>
      </c>
      <c r="H382" s="21" t="s">
        <v>31</v>
      </c>
      <c r="I382" s="21" t="s">
        <v>32</v>
      </c>
      <c r="J382" s="21">
        <v>6169</v>
      </c>
      <c r="K382" s="29">
        <v>690</v>
      </c>
      <c r="L382" s="33">
        <v>92</v>
      </c>
      <c r="M382" s="24" t="s">
        <v>580</v>
      </c>
      <c r="N382" s="21" t="s">
        <v>25</v>
      </c>
      <c r="O382" s="25">
        <v>46266</v>
      </c>
      <c r="P382" s="21" t="s">
        <v>398</v>
      </c>
      <c r="Q382" s="26" t="s">
        <v>423</v>
      </c>
      <c r="R382" s="27" t="s">
        <v>424</v>
      </c>
      <c r="S382" s="27">
        <v>10000</v>
      </c>
      <c r="T382" s="28" t="s">
        <v>27</v>
      </c>
      <c r="U382" s="28" t="s">
        <v>28</v>
      </c>
      <c r="V382" s="28" t="s">
        <v>29</v>
      </c>
      <c r="W382" s="28" t="s">
        <v>126</v>
      </c>
    </row>
    <row r="383" spans="1:23" ht="15" customHeight="1" x14ac:dyDescent="0.25">
      <c r="A383" s="20" t="str">
        <f>VLOOKUP(F383,[1]CLIENTES!B:L,11,0)</f>
        <v>RODRIGO</v>
      </c>
      <c r="B383" s="20" t="s">
        <v>537</v>
      </c>
      <c r="C383" s="20">
        <v>46254</v>
      </c>
      <c r="D383" s="21" t="s">
        <v>21</v>
      </c>
      <c r="E383" s="21">
        <v>3423</v>
      </c>
      <c r="F383" s="21">
        <v>5161469</v>
      </c>
      <c r="G383" s="21">
        <v>141489</v>
      </c>
      <c r="H383" s="21" t="s">
        <v>368</v>
      </c>
      <c r="I383" s="21" t="s">
        <v>37</v>
      </c>
      <c r="J383" s="21">
        <v>6169</v>
      </c>
      <c r="K383" s="29">
        <v>689</v>
      </c>
      <c r="L383" s="33">
        <v>92</v>
      </c>
      <c r="M383" s="24" t="s">
        <v>581</v>
      </c>
      <c r="N383" s="21" t="s">
        <v>25</v>
      </c>
      <c r="O383" s="25">
        <v>46266</v>
      </c>
      <c r="P383" s="21" t="s">
        <v>398</v>
      </c>
      <c r="Q383" s="26" t="s">
        <v>423</v>
      </c>
      <c r="R383" s="27" t="s">
        <v>432</v>
      </c>
      <c r="S383" s="27">
        <v>2000</v>
      </c>
      <c r="T383" s="28" t="s">
        <v>27</v>
      </c>
      <c r="U383" s="28" t="s">
        <v>28</v>
      </c>
      <c r="V383" s="28" t="s">
        <v>29</v>
      </c>
      <c r="W383" s="28" t="s">
        <v>126</v>
      </c>
    </row>
    <row r="384" spans="1:23" ht="15" customHeight="1" x14ac:dyDescent="0.25">
      <c r="A384" s="20" t="str">
        <f>VLOOKUP(F384,[1]CLIENTES!B:L,11,0)</f>
        <v>RODRIGO</v>
      </c>
      <c r="B384" s="20" t="s">
        <v>537</v>
      </c>
      <c r="C384" s="20">
        <v>46254</v>
      </c>
      <c r="D384" s="21" t="s">
        <v>21</v>
      </c>
      <c r="E384" s="21">
        <v>3417</v>
      </c>
      <c r="F384" s="21">
        <v>5040108</v>
      </c>
      <c r="G384" s="21">
        <v>123355</v>
      </c>
      <c r="H384" s="21" t="s">
        <v>93</v>
      </c>
      <c r="I384" s="21" t="s">
        <v>37</v>
      </c>
      <c r="J384" s="21">
        <v>6169</v>
      </c>
      <c r="K384" s="29">
        <v>689</v>
      </c>
      <c r="L384" s="33">
        <v>92</v>
      </c>
      <c r="M384" s="24" t="s">
        <v>582</v>
      </c>
      <c r="N384" s="21" t="s">
        <v>25</v>
      </c>
      <c r="O384" s="25">
        <v>46266</v>
      </c>
      <c r="P384" s="21" t="s">
        <v>398</v>
      </c>
      <c r="Q384" s="26" t="s">
        <v>423</v>
      </c>
      <c r="R384" s="27" t="s">
        <v>427</v>
      </c>
      <c r="S384" s="27">
        <v>15000</v>
      </c>
      <c r="T384" s="28" t="s">
        <v>27</v>
      </c>
      <c r="U384" s="28" t="s">
        <v>28</v>
      </c>
      <c r="V384" s="28" t="s">
        <v>29</v>
      </c>
      <c r="W384" s="28" t="s">
        <v>126</v>
      </c>
    </row>
    <row r="385" spans="1:23" ht="15" customHeight="1" x14ac:dyDescent="0.25">
      <c r="A385" s="20" t="str">
        <f>VLOOKUP(F385,[1]CLIENTES!B:L,11,0)</f>
        <v>RODRIGO</v>
      </c>
      <c r="B385" s="20" t="s">
        <v>537</v>
      </c>
      <c r="C385" s="20">
        <v>46254</v>
      </c>
      <c r="D385" s="21" t="s">
        <v>21</v>
      </c>
      <c r="E385" s="21">
        <v>3430</v>
      </c>
      <c r="F385" s="21">
        <v>5115019</v>
      </c>
      <c r="G385" s="21">
        <v>123456</v>
      </c>
      <c r="H385" s="21" t="s">
        <v>36</v>
      </c>
      <c r="I385" s="21" t="s">
        <v>37</v>
      </c>
      <c r="J385" s="21">
        <v>6169</v>
      </c>
      <c r="K385" s="29">
        <v>689</v>
      </c>
      <c r="L385" s="33">
        <v>92</v>
      </c>
      <c r="M385" s="24" t="s">
        <v>583</v>
      </c>
      <c r="N385" s="21" t="s">
        <v>25</v>
      </c>
      <c r="O385" s="25">
        <v>46266</v>
      </c>
      <c r="P385" s="21" t="s">
        <v>398</v>
      </c>
      <c r="Q385" s="26" t="s">
        <v>423</v>
      </c>
      <c r="R385" s="27" t="s">
        <v>425</v>
      </c>
      <c r="S385" s="27">
        <v>37500</v>
      </c>
      <c r="T385" s="28" t="s">
        <v>27</v>
      </c>
      <c r="U385" s="28" t="s">
        <v>28</v>
      </c>
      <c r="V385" s="28" t="s">
        <v>29</v>
      </c>
      <c r="W385" s="28" t="s">
        <v>126</v>
      </c>
    </row>
    <row r="386" spans="1:23" ht="15" customHeight="1" x14ac:dyDescent="0.25">
      <c r="A386" s="20" t="str">
        <f>VLOOKUP(F386,[1]CLIENTES!B:L,11,0)</f>
        <v>RODRIGO</v>
      </c>
      <c r="B386" s="20" t="s">
        <v>537</v>
      </c>
      <c r="C386" s="20">
        <v>46254</v>
      </c>
      <c r="D386" s="21" t="s">
        <v>21</v>
      </c>
      <c r="E386" s="21">
        <v>3850</v>
      </c>
      <c r="F386" s="21">
        <v>5115189</v>
      </c>
      <c r="G386" s="21">
        <v>129296</v>
      </c>
      <c r="H386" s="21" t="s">
        <v>68</v>
      </c>
      <c r="I386" s="21" t="s">
        <v>54</v>
      </c>
      <c r="J386" s="21" t="s">
        <v>55</v>
      </c>
      <c r="K386" s="29">
        <v>191</v>
      </c>
      <c r="L386" s="33">
        <v>93</v>
      </c>
      <c r="M386" s="24" t="s">
        <v>584</v>
      </c>
      <c r="N386" s="21" t="s">
        <v>25</v>
      </c>
      <c r="O386" s="25">
        <v>46266</v>
      </c>
      <c r="P386" s="21" t="s">
        <v>398</v>
      </c>
      <c r="Q386" s="26" t="s">
        <v>57</v>
      </c>
      <c r="R386" s="27" t="s">
        <v>401</v>
      </c>
      <c r="S386" s="27">
        <v>3500</v>
      </c>
      <c r="T386" s="28" t="s">
        <v>27</v>
      </c>
      <c r="U386" s="28" t="s">
        <v>28</v>
      </c>
      <c r="V386" s="28" t="s">
        <v>29</v>
      </c>
      <c r="W386" s="28" t="s">
        <v>126</v>
      </c>
    </row>
    <row r="387" spans="1:23" ht="15" customHeight="1" x14ac:dyDescent="0.25">
      <c r="A387" s="20" t="str">
        <f>VLOOKUP(F387,[1]CLIENTES!B:L,11,0)</f>
        <v>RODRIGO</v>
      </c>
      <c r="B387" s="20" t="s">
        <v>537</v>
      </c>
      <c r="C387" s="20">
        <v>46254</v>
      </c>
      <c r="D387" s="21" t="s">
        <v>21</v>
      </c>
      <c r="E387" s="21">
        <v>3442</v>
      </c>
      <c r="F387" s="21">
        <v>5223419</v>
      </c>
      <c r="G387" s="21">
        <v>146094</v>
      </c>
      <c r="H387" s="21" t="s">
        <v>265</v>
      </c>
      <c r="I387" s="21" t="s">
        <v>266</v>
      </c>
      <c r="J387" s="21">
        <v>6123</v>
      </c>
      <c r="K387" s="29">
        <v>607</v>
      </c>
      <c r="L387" s="33">
        <v>93</v>
      </c>
      <c r="M387" s="24" t="s">
        <v>255</v>
      </c>
      <c r="N387" s="21" t="s">
        <v>25</v>
      </c>
      <c r="O387" s="25">
        <v>46266</v>
      </c>
      <c r="P387" s="21" t="s">
        <v>398</v>
      </c>
      <c r="Q387" s="26" t="s">
        <v>57</v>
      </c>
      <c r="R387" s="27" t="s">
        <v>427</v>
      </c>
      <c r="S387" s="27">
        <v>3300</v>
      </c>
      <c r="T387" s="28" t="s">
        <v>27</v>
      </c>
      <c r="U387" s="28" t="s">
        <v>28</v>
      </c>
      <c r="V387" s="28" t="s">
        <v>29</v>
      </c>
      <c r="W387" s="28" t="s">
        <v>126</v>
      </c>
    </row>
    <row r="388" spans="1:23" ht="15" customHeight="1" x14ac:dyDescent="0.25">
      <c r="A388" s="20" t="str">
        <f>VLOOKUP(F388,[1]CLIENTES!B:L,11,0)</f>
        <v>RODRIGO</v>
      </c>
      <c r="B388" s="20" t="s">
        <v>537</v>
      </c>
      <c r="C388" s="20">
        <v>46254</v>
      </c>
      <c r="D388" s="21" t="s">
        <v>21</v>
      </c>
      <c r="E388" s="21">
        <v>3414</v>
      </c>
      <c r="F388" s="21">
        <v>5310560</v>
      </c>
      <c r="G388" s="21">
        <v>121796</v>
      </c>
      <c r="H388" s="21" t="s">
        <v>179</v>
      </c>
      <c r="I388" s="21" t="s">
        <v>76</v>
      </c>
      <c r="J388" s="21">
        <v>6123</v>
      </c>
      <c r="K388" s="29">
        <v>675</v>
      </c>
      <c r="L388" s="33">
        <v>92</v>
      </c>
      <c r="M388" s="24" t="s">
        <v>585</v>
      </c>
      <c r="N388" s="21" t="s">
        <v>25</v>
      </c>
      <c r="O388" s="25">
        <v>46266</v>
      </c>
      <c r="P388" s="21" t="s">
        <v>398</v>
      </c>
      <c r="Q388" s="26" t="s">
        <v>57</v>
      </c>
      <c r="R388" s="27" t="s">
        <v>427</v>
      </c>
      <c r="S388" s="27">
        <v>800</v>
      </c>
      <c r="T388" s="28" t="s">
        <v>27</v>
      </c>
      <c r="U388" s="28" t="s">
        <v>28</v>
      </c>
      <c r="V388" s="28" t="s">
        <v>29</v>
      </c>
      <c r="W388" s="28" t="s">
        <v>126</v>
      </c>
    </row>
    <row r="389" spans="1:23" ht="15" customHeight="1" x14ac:dyDescent="0.25">
      <c r="A389" s="20" t="str">
        <f>VLOOKUP(F389,[1]CLIENTES!B:L,11,0)</f>
        <v>RODRIGO</v>
      </c>
      <c r="B389" s="20" t="s">
        <v>537</v>
      </c>
      <c r="C389" s="20">
        <v>46254</v>
      </c>
      <c r="D389" s="21" t="s">
        <v>21</v>
      </c>
      <c r="E389" s="21">
        <v>3582</v>
      </c>
      <c r="F389" s="21">
        <v>5141420</v>
      </c>
      <c r="G389" s="21">
        <v>129963</v>
      </c>
      <c r="H389" s="21" t="s">
        <v>374</v>
      </c>
      <c r="I389" s="21" t="s">
        <v>266</v>
      </c>
      <c r="J389" s="21">
        <v>6123</v>
      </c>
      <c r="K389" s="29">
        <v>607</v>
      </c>
      <c r="L389" s="33">
        <v>93</v>
      </c>
      <c r="M389" s="24" t="s">
        <v>586</v>
      </c>
      <c r="N389" s="21" t="s">
        <v>25</v>
      </c>
      <c r="O389" s="25">
        <v>46296</v>
      </c>
      <c r="P389" s="21" t="s">
        <v>398</v>
      </c>
      <c r="Q389" s="26" t="s">
        <v>57</v>
      </c>
      <c r="R389" s="27" t="s">
        <v>427</v>
      </c>
      <c r="S389" s="27">
        <v>5500</v>
      </c>
      <c r="T389" s="28" t="s">
        <v>27</v>
      </c>
      <c r="U389" s="28" t="s">
        <v>28</v>
      </c>
      <c r="V389" s="28" t="s">
        <v>29</v>
      </c>
      <c r="W389" s="28" t="s">
        <v>126</v>
      </c>
    </row>
    <row r="390" spans="1:23" ht="15" customHeight="1" x14ac:dyDescent="0.25">
      <c r="A390" s="20" t="str">
        <f>VLOOKUP(F390,[1]CLIENTES!B:L,11,0)</f>
        <v>RODRIGO</v>
      </c>
      <c r="B390" s="20" t="s">
        <v>537</v>
      </c>
      <c r="C390" s="20">
        <v>46254</v>
      </c>
      <c r="D390" s="21" t="s">
        <v>21</v>
      </c>
      <c r="E390" s="21">
        <v>3841</v>
      </c>
      <c r="F390" s="21">
        <v>5019245</v>
      </c>
      <c r="G390" s="21">
        <v>145028</v>
      </c>
      <c r="H390" s="21" t="s">
        <v>312</v>
      </c>
      <c r="I390" s="21" t="s">
        <v>54</v>
      </c>
      <c r="J390" s="21" t="s">
        <v>55</v>
      </c>
      <c r="K390" s="29">
        <v>191</v>
      </c>
      <c r="L390" s="33">
        <v>92</v>
      </c>
      <c r="M390" s="24" t="s">
        <v>587</v>
      </c>
      <c r="N390" s="21" t="s">
        <v>25</v>
      </c>
      <c r="O390" s="25">
        <v>46266</v>
      </c>
      <c r="P390" s="21" t="s">
        <v>398</v>
      </c>
      <c r="Q390" s="26" t="s">
        <v>57</v>
      </c>
      <c r="R390" s="27" t="s">
        <v>427</v>
      </c>
      <c r="S390" s="27">
        <v>3000</v>
      </c>
      <c r="T390" s="28" t="s">
        <v>27</v>
      </c>
      <c r="U390" s="28" t="s">
        <v>28</v>
      </c>
      <c r="V390" s="28" t="s">
        <v>29</v>
      </c>
      <c r="W390" s="28" t="s">
        <v>126</v>
      </c>
    </row>
    <row r="391" spans="1:23" ht="15" customHeight="1" x14ac:dyDescent="0.25">
      <c r="A391" s="20" t="str">
        <f>VLOOKUP(F391,[1]CLIENTES!B:L,11,0)</f>
        <v>RODRIGO</v>
      </c>
      <c r="B391" s="20" t="s">
        <v>537</v>
      </c>
      <c r="C391" s="20">
        <v>46254</v>
      </c>
      <c r="D391" s="21" t="s">
        <v>21</v>
      </c>
      <c r="E391" s="21">
        <v>3845</v>
      </c>
      <c r="F391" s="21">
        <v>5366274</v>
      </c>
      <c r="G391" s="21">
        <v>193277</v>
      </c>
      <c r="H391" s="21" t="s">
        <v>351</v>
      </c>
      <c r="I391" s="21" t="s">
        <v>71</v>
      </c>
      <c r="J391" s="21" t="s">
        <v>72</v>
      </c>
      <c r="K391" s="29">
        <v>186</v>
      </c>
      <c r="L391" s="33">
        <v>92</v>
      </c>
      <c r="M391" s="24" t="s">
        <v>588</v>
      </c>
      <c r="N391" s="21" t="s">
        <v>25</v>
      </c>
      <c r="O391" s="25">
        <v>46266</v>
      </c>
      <c r="P391" s="21" t="s">
        <v>398</v>
      </c>
      <c r="Q391" s="26" t="s">
        <v>428</v>
      </c>
      <c r="R391" s="27" t="s">
        <v>430</v>
      </c>
      <c r="S391" s="27">
        <v>1200</v>
      </c>
      <c r="T391" s="28" t="s">
        <v>27</v>
      </c>
      <c r="U391" s="28" t="s">
        <v>28</v>
      </c>
      <c r="V391" s="28" t="s">
        <v>29</v>
      </c>
      <c r="W391" s="28" t="s">
        <v>126</v>
      </c>
    </row>
    <row r="392" spans="1:23" ht="15" customHeight="1" x14ac:dyDescent="0.25">
      <c r="A392" s="20" t="str">
        <f>VLOOKUP(F392,[1]CLIENTES!B:L,11,0)</f>
        <v>RODRIGO</v>
      </c>
      <c r="B392" s="20" t="s">
        <v>537</v>
      </c>
      <c r="C392" s="20">
        <v>46254</v>
      </c>
      <c r="D392" s="21" t="s">
        <v>21</v>
      </c>
      <c r="E392" s="21">
        <v>3850</v>
      </c>
      <c r="F392" s="21">
        <v>5115189</v>
      </c>
      <c r="G392" s="21">
        <v>129296</v>
      </c>
      <c r="H392" s="21" t="s">
        <v>68</v>
      </c>
      <c r="I392" s="21" t="s">
        <v>54</v>
      </c>
      <c r="J392" s="21" t="s">
        <v>55</v>
      </c>
      <c r="K392" s="29">
        <v>191</v>
      </c>
      <c r="L392" s="33">
        <v>93</v>
      </c>
      <c r="M392" s="24" t="s">
        <v>534</v>
      </c>
      <c r="N392" s="21" t="s">
        <v>25</v>
      </c>
      <c r="O392" s="25">
        <v>46266</v>
      </c>
      <c r="P392" s="21" t="s">
        <v>398</v>
      </c>
      <c r="Q392" s="26" t="s">
        <v>57</v>
      </c>
      <c r="R392" s="27" t="s">
        <v>401</v>
      </c>
      <c r="S392" s="27">
        <v>6500</v>
      </c>
      <c r="T392" s="28" t="s">
        <v>27</v>
      </c>
      <c r="U392" s="28" t="s">
        <v>28</v>
      </c>
      <c r="V392" s="28" t="s">
        <v>29</v>
      </c>
      <c r="W392" s="28" t="s">
        <v>126</v>
      </c>
    </row>
    <row r="393" spans="1:23" ht="15" customHeight="1" x14ac:dyDescent="0.25">
      <c r="A393" s="20" t="str">
        <f>VLOOKUP(F393,[1]CLIENTES!B:L,11,0)</f>
        <v>RODRIGO</v>
      </c>
      <c r="B393" s="20" t="s">
        <v>537</v>
      </c>
      <c r="C393" s="20">
        <v>46259</v>
      </c>
      <c r="D393" s="21" t="s">
        <v>21</v>
      </c>
      <c r="E393" s="21">
        <v>3858</v>
      </c>
      <c r="F393" s="21">
        <v>5178343</v>
      </c>
      <c r="G393" s="21">
        <v>145105</v>
      </c>
      <c r="H393" s="21" t="s">
        <v>589</v>
      </c>
      <c r="I393" s="21" t="s">
        <v>213</v>
      </c>
      <c r="J393" s="21" t="s">
        <v>214</v>
      </c>
      <c r="K393" s="29">
        <v>197</v>
      </c>
      <c r="L393" s="33">
        <v>92</v>
      </c>
      <c r="M393" s="24" t="s">
        <v>590</v>
      </c>
      <c r="N393" s="21" t="s">
        <v>25</v>
      </c>
      <c r="O393" s="25">
        <v>46266</v>
      </c>
      <c r="P393" s="21" t="s">
        <v>398</v>
      </c>
      <c r="Q393" s="26" t="s">
        <v>57</v>
      </c>
      <c r="R393" s="27" t="s">
        <v>427</v>
      </c>
      <c r="S393" s="27">
        <v>220.97</v>
      </c>
      <c r="T393" s="28" t="s">
        <v>27</v>
      </c>
      <c r="U393" s="28" t="s">
        <v>28</v>
      </c>
      <c r="V393" s="28" t="s">
        <v>29</v>
      </c>
      <c r="W393" s="28" t="s">
        <v>126</v>
      </c>
    </row>
    <row r="394" spans="1:23" ht="15" customHeight="1" x14ac:dyDescent="0.25">
      <c r="A394" s="20" t="str">
        <f>VLOOKUP(F394,[1]CLIENTES!B:L,11,0)</f>
        <v>RODRIGO</v>
      </c>
      <c r="B394" s="20" t="s">
        <v>537</v>
      </c>
      <c r="C394" s="20">
        <v>46259</v>
      </c>
      <c r="D394" s="21" t="s">
        <v>21</v>
      </c>
      <c r="E394" s="21">
        <v>3426</v>
      </c>
      <c r="F394" s="21">
        <v>5026768</v>
      </c>
      <c r="G394" s="21">
        <v>113399</v>
      </c>
      <c r="H394" s="21" t="s">
        <v>139</v>
      </c>
      <c r="I394" s="21" t="s">
        <v>132</v>
      </c>
      <c r="J394" s="21">
        <v>6127</v>
      </c>
      <c r="K394" s="29">
        <v>605</v>
      </c>
      <c r="L394" s="33">
        <v>92</v>
      </c>
      <c r="M394" s="24" t="s">
        <v>591</v>
      </c>
      <c r="N394" s="21" t="s">
        <v>25</v>
      </c>
      <c r="O394" s="25">
        <v>46266</v>
      </c>
      <c r="P394" s="21" t="s">
        <v>398</v>
      </c>
      <c r="Q394" s="26" t="s">
        <v>471</v>
      </c>
      <c r="R394" s="27" t="s">
        <v>433</v>
      </c>
      <c r="S394" s="27">
        <v>4800</v>
      </c>
      <c r="T394" s="28" t="s">
        <v>27</v>
      </c>
      <c r="U394" s="28" t="s">
        <v>28</v>
      </c>
      <c r="V394" s="28" t="s">
        <v>29</v>
      </c>
      <c r="W394" s="28" t="s">
        <v>126</v>
      </c>
    </row>
    <row r="395" spans="1:23" ht="15" customHeight="1" x14ac:dyDescent="0.25">
      <c r="A395" s="20" t="str">
        <f>VLOOKUP(F395,[1]CLIENTES!B:L,11,0)</f>
        <v>RODRIGO</v>
      </c>
      <c r="B395" s="20" t="s">
        <v>537</v>
      </c>
      <c r="C395" s="20">
        <v>46259</v>
      </c>
      <c r="D395" s="21" t="s">
        <v>21</v>
      </c>
      <c r="E395" s="21">
        <v>3835</v>
      </c>
      <c r="F395" s="21">
        <v>5225860</v>
      </c>
      <c r="G395" s="21">
        <v>180402</v>
      </c>
      <c r="H395" s="21" t="s">
        <v>39</v>
      </c>
      <c r="I395" s="21" t="s">
        <v>40</v>
      </c>
      <c r="J395" s="21" t="s">
        <v>41</v>
      </c>
      <c r="K395" s="29">
        <v>194</v>
      </c>
      <c r="L395" s="33">
        <v>92</v>
      </c>
      <c r="M395" s="24" t="s">
        <v>592</v>
      </c>
      <c r="N395" s="21" t="s">
        <v>25</v>
      </c>
      <c r="O395" s="25">
        <v>46266</v>
      </c>
      <c r="P395" s="21" t="s">
        <v>398</v>
      </c>
      <c r="Q395" s="26" t="s">
        <v>471</v>
      </c>
      <c r="R395" s="27" t="s">
        <v>426</v>
      </c>
      <c r="S395" s="27">
        <v>20000</v>
      </c>
      <c r="T395" s="28" t="s">
        <v>27</v>
      </c>
      <c r="U395" s="28" t="s">
        <v>28</v>
      </c>
      <c r="V395" s="28" t="s">
        <v>29</v>
      </c>
      <c r="W395" s="28" t="s">
        <v>126</v>
      </c>
    </row>
    <row r="396" spans="1:23" ht="15" customHeight="1" x14ac:dyDescent="0.25">
      <c r="A396" s="20" t="str">
        <f>VLOOKUP(F396,[1]CLIENTES!B:L,11,0)</f>
        <v>RODRIGO</v>
      </c>
      <c r="B396" s="20" t="s">
        <v>537</v>
      </c>
      <c r="C396" s="20">
        <v>46259</v>
      </c>
      <c r="D396" s="21" t="s">
        <v>21</v>
      </c>
      <c r="E396" s="21">
        <v>3427</v>
      </c>
      <c r="F396" s="21">
        <v>5229985</v>
      </c>
      <c r="G396" s="21">
        <v>180738</v>
      </c>
      <c r="H396" s="21" t="s">
        <v>131</v>
      </c>
      <c r="I396" s="21" t="s">
        <v>132</v>
      </c>
      <c r="J396" s="21">
        <v>6127</v>
      </c>
      <c r="K396" s="29">
        <v>605</v>
      </c>
      <c r="L396" s="33">
        <v>92</v>
      </c>
      <c r="M396" s="24" t="s">
        <v>593</v>
      </c>
      <c r="N396" s="21" t="s">
        <v>25</v>
      </c>
      <c r="O396" s="25">
        <v>46266</v>
      </c>
      <c r="P396" s="21" t="s">
        <v>398</v>
      </c>
      <c r="Q396" s="26" t="s">
        <v>471</v>
      </c>
      <c r="R396" s="27" t="s">
        <v>433</v>
      </c>
      <c r="S396" s="27">
        <v>10000</v>
      </c>
      <c r="T396" s="28" t="s">
        <v>27</v>
      </c>
      <c r="U396" s="28" t="s">
        <v>28</v>
      </c>
      <c r="V396" s="28" t="s">
        <v>29</v>
      </c>
      <c r="W396" s="28" t="s">
        <v>126</v>
      </c>
    </row>
    <row r="397" spans="1:23" ht="15" customHeight="1" x14ac:dyDescent="0.25">
      <c r="A397" s="20" t="str">
        <f>VLOOKUP(F397,[1]CLIENTES!B:L,11,0)</f>
        <v>RODRIGO</v>
      </c>
      <c r="B397" s="20" t="s">
        <v>537</v>
      </c>
      <c r="C397" s="20">
        <v>46259</v>
      </c>
      <c r="D397" s="21" t="s">
        <v>21</v>
      </c>
      <c r="E397" s="21">
        <v>3413</v>
      </c>
      <c r="F397" s="21">
        <v>5128707</v>
      </c>
      <c r="G397" s="21">
        <v>128420</v>
      </c>
      <c r="H397" s="21" t="s">
        <v>261</v>
      </c>
      <c r="I397" s="21" t="s">
        <v>113</v>
      </c>
      <c r="J397" s="21">
        <v>6127</v>
      </c>
      <c r="K397" s="29">
        <v>682</v>
      </c>
      <c r="L397" s="33">
        <v>92</v>
      </c>
      <c r="M397" s="24" t="s">
        <v>593</v>
      </c>
      <c r="N397" s="21" t="s">
        <v>25</v>
      </c>
      <c r="O397" s="25">
        <v>46266</v>
      </c>
      <c r="P397" s="21" t="s">
        <v>398</v>
      </c>
      <c r="Q397" s="26" t="s">
        <v>471</v>
      </c>
      <c r="R397" s="27" t="s">
        <v>692</v>
      </c>
      <c r="S397" s="27">
        <v>10000</v>
      </c>
      <c r="T397" s="28" t="s">
        <v>27</v>
      </c>
      <c r="U397" s="28" t="s">
        <v>28</v>
      </c>
      <c r="V397" s="28" t="s">
        <v>29</v>
      </c>
      <c r="W397" s="28" t="s">
        <v>126</v>
      </c>
    </row>
    <row r="398" spans="1:23" ht="15" customHeight="1" x14ac:dyDescent="0.25">
      <c r="A398" s="20" t="str">
        <f>VLOOKUP(F398,[1]CLIENTES!B:L,11,0)</f>
        <v>RODRIGO</v>
      </c>
      <c r="B398" s="20" t="s">
        <v>537</v>
      </c>
      <c r="C398" s="20">
        <v>46259</v>
      </c>
      <c r="D398" s="21" t="s">
        <v>21</v>
      </c>
      <c r="E398" s="21">
        <v>3839</v>
      </c>
      <c r="F398" s="21">
        <v>5127060</v>
      </c>
      <c r="G398" s="21">
        <v>187971</v>
      </c>
      <c r="H398" s="21" t="s">
        <v>90</v>
      </c>
      <c r="I398" s="21" t="s">
        <v>71</v>
      </c>
      <c r="J398" s="21" t="s">
        <v>72</v>
      </c>
      <c r="K398" s="29">
        <v>186</v>
      </c>
      <c r="L398" s="33">
        <v>92</v>
      </c>
      <c r="M398" s="24" t="s">
        <v>597</v>
      </c>
      <c r="N398" s="21" t="s">
        <v>25</v>
      </c>
      <c r="O398" s="25">
        <v>46266</v>
      </c>
      <c r="P398" s="21" t="s">
        <v>398</v>
      </c>
      <c r="Q398" s="26" t="s">
        <v>428</v>
      </c>
      <c r="R398" s="27" t="s">
        <v>430</v>
      </c>
      <c r="S398" s="27">
        <v>1134</v>
      </c>
      <c r="T398" s="28" t="s">
        <v>27</v>
      </c>
      <c r="U398" s="28" t="s">
        <v>28</v>
      </c>
      <c r="V398" s="28" t="s">
        <v>29</v>
      </c>
      <c r="W398" s="28" t="s">
        <v>126</v>
      </c>
    </row>
    <row r="399" spans="1:23" ht="15" customHeight="1" x14ac:dyDescent="0.25">
      <c r="A399" s="20" t="str">
        <f>VLOOKUP(F399,[1]CLIENTES!B:L,11,0)</f>
        <v>RODRIGO</v>
      </c>
      <c r="B399" s="20" t="s">
        <v>537</v>
      </c>
      <c r="C399" s="20">
        <v>46259</v>
      </c>
      <c r="D399" s="21" t="s">
        <v>21</v>
      </c>
      <c r="E399" s="21">
        <v>3845</v>
      </c>
      <c r="F399" s="21">
        <v>5366274</v>
      </c>
      <c r="G399" s="21">
        <v>193277</v>
      </c>
      <c r="H399" s="21" t="s">
        <v>351</v>
      </c>
      <c r="I399" s="21" t="s">
        <v>71</v>
      </c>
      <c r="J399" s="21" t="s">
        <v>72</v>
      </c>
      <c r="K399" s="29">
        <v>186</v>
      </c>
      <c r="L399" s="33">
        <v>92</v>
      </c>
      <c r="M399" s="24" t="s">
        <v>598</v>
      </c>
      <c r="N399" s="21" t="s">
        <v>25</v>
      </c>
      <c r="O399" s="25">
        <v>46266</v>
      </c>
      <c r="P399" s="21" t="s">
        <v>398</v>
      </c>
      <c r="Q399" s="26" t="s">
        <v>428</v>
      </c>
      <c r="R399" s="27" t="s">
        <v>430</v>
      </c>
      <c r="S399" s="27">
        <v>1360</v>
      </c>
      <c r="T399" s="28" t="s">
        <v>27</v>
      </c>
      <c r="U399" s="28" t="s">
        <v>28</v>
      </c>
      <c r="V399" s="28" t="s">
        <v>29</v>
      </c>
      <c r="W399" s="28" t="s">
        <v>126</v>
      </c>
    </row>
    <row r="400" spans="1:23" ht="15" customHeight="1" x14ac:dyDescent="0.25">
      <c r="A400" s="20" t="str">
        <f>VLOOKUP(F400,[1]CLIENTES!B:L,11,0)</f>
        <v>RODRIGO</v>
      </c>
      <c r="B400" s="20" t="s">
        <v>537</v>
      </c>
      <c r="C400" s="20">
        <v>46259</v>
      </c>
      <c r="D400" s="21" t="s">
        <v>21</v>
      </c>
      <c r="E400" s="21">
        <v>3444</v>
      </c>
      <c r="F400" s="21">
        <v>5070522</v>
      </c>
      <c r="G400" s="21">
        <v>143311</v>
      </c>
      <c r="H400" s="21" t="s">
        <v>66</v>
      </c>
      <c r="I400" s="21" t="s">
        <v>23</v>
      </c>
      <c r="J400" s="21">
        <v>6125</v>
      </c>
      <c r="K400" s="29">
        <v>692</v>
      </c>
      <c r="L400" s="33">
        <v>93</v>
      </c>
      <c r="M400" s="24" t="s">
        <v>599</v>
      </c>
      <c r="N400" s="21" t="s">
        <v>25</v>
      </c>
      <c r="O400" s="25">
        <v>46266</v>
      </c>
      <c r="P400" s="21" t="s">
        <v>398</v>
      </c>
      <c r="Q400" s="26" t="s">
        <v>49</v>
      </c>
      <c r="R400" s="27" t="s">
        <v>400</v>
      </c>
      <c r="S400" s="27">
        <v>2250</v>
      </c>
      <c r="T400" s="28" t="s">
        <v>27</v>
      </c>
      <c r="U400" s="28" t="s">
        <v>28</v>
      </c>
      <c r="V400" s="28" t="s">
        <v>29</v>
      </c>
      <c r="W400" s="28" t="s">
        <v>126</v>
      </c>
    </row>
    <row r="401" spans="1:23" ht="15" customHeight="1" x14ac:dyDescent="0.25">
      <c r="A401" s="20" t="str">
        <f>VLOOKUP(F401,[1]CLIENTES!B:L,11,0)</f>
        <v>RODRIGO</v>
      </c>
      <c r="B401" s="20" t="s">
        <v>537</v>
      </c>
      <c r="C401" s="20">
        <v>46259</v>
      </c>
      <c r="D401" s="21" t="s">
        <v>21</v>
      </c>
      <c r="E401" s="21">
        <v>3851</v>
      </c>
      <c r="F401" s="21">
        <v>5231303</v>
      </c>
      <c r="G401" s="21">
        <v>167018</v>
      </c>
      <c r="H401" s="21" t="s">
        <v>104</v>
      </c>
      <c r="I401" s="21" t="s">
        <v>37</v>
      </c>
      <c r="J401" s="21" t="s">
        <v>105</v>
      </c>
      <c r="K401" s="29">
        <v>189</v>
      </c>
      <c r="L401" s="33">
        <v>93</v>
      </c>
      <c r="M401" s="24" t="s">
        <v>600</v>
      </c>
      <c r="N401" s="21" t="s">
        <v>25</v>
      </c>
      <c r="O401" s="25">
        <v>46266</v>
      </c>
      <c r="P401" s="21" t="s">
        <v>398</v>
      </c>
      <c r="Q401" s="26" t="s">
        <v>423</v>
      </c>
      <c r="R401" s="27" t="s">
        <v>432</v>
      </c>
      <c r="S401" s="27">
        <v>5000</v>
      </c>
      <c r="T401" s="28" t="s">
        <v>27</v>
      </c>
      <c r="U401" s="28" t="s">
        <v>28</v>
      </c>
      <c r="V401" s="28" t="s">
        <v>29</v>
      </c>
      <c r="W401" s="28" t="s">
        <v>126</v>
      </c>
    </row>
    <row r="402" spans="1:23" ht="15" customHeight="1" x14ac:dyDescent="0.25">
      <c r="A402" s="20" t="str">
        <f>VLOOKUP(F402,[1]CLIENTES!B:L,11,0)</f>
        <v>RODRIGO</v>
      </c>
      <c r="B402" s="20" t="s">
        <v>537</v>
      </c>
      <c r="C402" s="20">
        <v>46259</v>
      </c>
      <c r="D402" s="21" t="s">
        <v>21</v>
      </c>
      <c r="E402" s="21">
        <v>3416</v>
      </c>
      <c r="F402" s="21">
        <v>5185642</v>
      </c>
      <c r="G402" s="21">
        <v>142109</v>
      </c>
      <c r="H402" s="21" t="s">
        <v>166</v>
      </c>
      <c r="I402" s="21" t="s">
        <v>23</v>
      </c>
      <c r="J402" s="21">
        <v>6125</v>
      </c>
      <c r="K402" s="29">
        <v>692</v>
      </c>
      <c r="L402" s="33">
        <v>93</v>
      </c>
      <c r="M402" s="24" t="s">
        <v>601</v>
      </c>
      <c r="N402" s="21" t="s">
        <v>25</v>
      </c>
      <c r="O402" s="25">
        <v>46266</v>
      </c>
      <c r="P402" s="21" t="s">
        <v>398</v>
      </c>
      <c r="Q402" s="26" t="s">
        <v>26</v>
      </c>
      <c r="R402" s="27" t="s">
        <v>399</v>
      </c>
      <c r="S402" s="27">
        <v>5729.19</v>
      </c>
      <c r="T402" s="28" t="s">
        <v>27</v>
      </c>
      <c r="U402" s="28" t="s">
        <v>28</v>
      </c>
      <c r="V402" s="28" t="s">
        <v>29</v>
      </c>
      <c r="W402" s="28" t="s">
        <v>97</v>
      </c>
    </row>
    <row r="403" spans="1:23" ht="15" customHeight="1" x14ac:dyDescent="0.25">
      <c r="A403" s="20" t="str">
        <f>VLOOKUP(F403,[1]CLIENTES!B:L,11,0)</f>
        <v>RODRIGO</v>
      </c>
      <c r="B403" s="20" t="s">
        <v>537</v>
      </c>
      <c r="C403" s="20">
        <v>46259</v>
      </c>
      <c r="D403" s="21" t="s">
        <v>118</v>
      </c>
      <c r="E403" s="34" t="s">
        <v>465</v>
      </c>
      <c r="F403" s="21">
        <v>5026399</v>
      </c>
      <c r="G403" s="21">
        <v>116247</v>
      </c>
      <c r="H403" s="21" t="s">
        <v>119</v>
      </c>
      <c r="I403" s="21" t="s">
        <v>37</v>
      </c>
      <c r="J403" s="21" t="s">
        <v>105</v>
      </c>
      <c r="K403" s="29">
        <v>189</v>
      </c>
      <c r="L403" s="33">
        <v>92</v>
      </c>
      <c r="M403" s="24" t="s">
        <v>594</v>
      </c>
      <c r="N403" s="34" t="s">
        <v>25</v>
      </c>
      <c r="O403" s="25">
        <v>46266</v>
      </c>
      <c r="P403" s="21" t="s">
        <v>398</v>
      </c>
      <c r="Q403" s="26" t="s">
        <v>423</v>
      </c>
      <c r="R403" s="27" t="s">
        <v>425</v>
      </c>
      <c r="S403" s="27">
        <v>55000</v>
      </c>
      <c r="T403" s="28" t="s">
        <v>27</v>
      </c>
      <c r="U403" s="28" t="s">
        <v>28</v>
      </c>
      <c r="V403" s="28" t="s">
        <v>29</v>
      </c>
      <c r="W403" s="28" t="s">
        <v>204</v>
      </c>
    </row>
    <row r="404" spans="1:23" ht="15" customHeight="1" x14ac:dyDescent="0.25">
      <c r="A404" s="20" t="s">
        <v>702</v>
      </c>
      <c r="B404" s="20" t="s">
        <v>602</v>
      </c>
      <c r="C404" s="20">
        <v>46244</v>
      </c>
      <c r="D404" s="21" t="s">
        <v>703</v>
      </c>
      <c r="E404" s="34">
        <v>17814</v>
      </c>
      <c r="F404" s="21">
        <v>5006978</v>
      </c>
      <c r="G404" s="21">
        <v>103036</v>
      </c>
      <c r="H404" s="21" t="s">
        <v>58</v>
      </c>
      <c r="I404" s="21" t="s">
        <v>23</v>
      </c>
      <c r="J404" s="21" t="s">
        <v>47</v>
      </c>
      <c r="K404" s="21">
        <v>722</v>
      </c>
      <c r="L404" s="29">
        <v>92</v>
      </c>
      <c r="M404" s="23" t="s">
        <v>603</v>
      </c>
      <c r="N404" s="21" t="s">
        <v>25</v>
      </c>
      <c r="O404" s="25">
        <v>46296</v>
      </c>
      <c r="P404" s="21" t="s">
        <v>398</v>
      </c>
      <c r="Q404" s="21" t="s">
        <v>26</v>
      </c>
      <c r="R404" s="26" t="s">
        <v>26</v>
      </c>
      <c r="S404" s="27">
        <v>1000</v>
      </c>
      <c r="T404" s="28" t="s">
        <v>27</v>
      </c>
      <c r="U404" s="28" t="s">
        <v>50</v>
      </c>
      <c r="V404" s="28" t="s">
        <v>51</v>
      </c>
      <c r="W404" s="28" t="s">
        <v>97</v>
      </c>
    </row>
    <row r="405" spans="1:23" ht="15" customHeight="1" x14ac:dyDescent="0.25">
      <c r="A405" s="20" t="s">
        <v>702</v>
      </c>
      <c r="B405" s="20" t="s">
        <v>602</v>
      </c>
      <c r="C405" s="20">
        <v>46273</v>
      </c>
      <c r="D405" s="21" t="s">
        <v>703</v>
      </c>
      <c r="E405" s="34">
        <v>17817</v>
      </c>
      <c r="F405" s="21">
        <v>5157891</v>
      </c>
      <c r="G405" s="21">
        <v>165987</v>
      </c>
      <c r="H405" s="21" t="s">
        <v>209</v>
      </c>
      <c r="I405" s="21" t="s">
        <v>23</v>
      </c>
      <c r="J405" s="21" t="s">
        <v>47</v>
      </c>
      <c r="K405" s="21">
        <v>722</v>
      </c>
      <c r="L405" s="29">
        <v>92</v>
      </c>
      <c r="M405" s="23" t="s">
        <v>604</v>
      </c>
      <c r="N405" s="21" t="s">
        <v>25</v>
      </c>
      <c r="O405" s="25">
        <v>46296</v>
      </c>
      <c r="P405" s="21" t="s">
        <v>398</v>
      </c>
      <c r="Q405" s="21" t="s">
        <v>26</v>
      </c>
      <c r="R405" s="26" t="s">
        <v>26</v>
      </c>
      <c r="S405" s="27">
        <v>20000</v>
      </c>
      <c r="T405" s="28" t="s">
        <v>27</v>
      </c>
      <c r="U405" s="28" t="s">
        <v>50</v>
      </c>
      <c r="V405" s="28" t="s">
        <v>51</v>
      </c>
      <c r="W405" s="28" t="s">
        <v>97</v>
      </c>
    </row>
    <row r="406" spans="1:23" ht="15" customHeight="1" x14ac:dyDescent="0.25">
      <c r="A406" s="20" t="s">
        <v>702</v>
      </c>
      <c r="B406" s="20" t="s">
        <v>602</v>
      </c>
      <c r="C406" s="20">
        <v>46273</v>
      </c>
      <c r="D406" s="21" t="s">
        <v>703</v>
      </c>
      <c r="E406" s="34">
        <v>3956</v>
      </c>
      <c r="F406" s="21">
        <v>5004685</v>
      </c>
      <c r="G406" s="21">
        <v>110434</v>
      </c>
      <c r="H406" s="21" t="s">
        <v>614</v>
      </c>
      <c r="I406" s="21" t="s">
        <v>23</v>
      </c>
      <c r="J406" s="21" t="s">
        <v>618</v>
      </c>
      <c r="K406" s="21">
        <v>192</v>
      </c>
      <c r="L406" s="29">
        <v>93</v>
      </c>
      <c r="M406" s="23" t="s">
        <v>605</v>
      </c>
      <c r="N406" s="21" t="s">
        <v>25</v>
      </c>
      <c r="O406" s="25">
        <v>46296</v>
      </c>
      <c r="P406" s="21" t="s">
        <v>398</v>
      </c>
      <c r="Q406" s="21" t="s">
        <v>49</v>
      </c>
      <c r="R406" s="26" t="s">
        <v>402</v>
      </c>
      <c r="S406" s="27">
        <v>2000</v>
      </c>
      <c r="T406" s="28" t="s">
        <v>27</v>
      </c>
      <c r="U406" s="28" t="s">
        <v>28</v>
      </c>
      <c r="V406" s="28" t="s">
        <v>29</v>
      </c>
      <c r="W406" s="28" t="s">
        <v>126</v>
      </c>
    </row>
    <row r="407" spans="1:23" ht="15" customHeight="1" x14ac:dyDescent="0.25">
      <c r="A407" s="20" t="s">
        <v>702</v>
      </c>
      <c r="B407" s="20" t="s">
        <v>602</v>
      </c>
      <c r="C407" s="20">
        <v>46273</v>
      </c>
      <c r="D407" s="21" t="s">
        <v>703</v>
      </c>
      <c r="E407" s="34">
        <v>4453</v>
      </c>
      <c r="F407" s="21">
        <v>5118346</v>
      </c>
      <c r="G407" s="21">
        <v>143232</v>
      </c>
      <c r="H407" s="21" t="s">
        <v>656</v>
      </c>
      <c r="I407" s="21" t="s">
        <v>23</v>
      </c>
      <c r="J407" s="21" t="s">
        <v>618</v>
      </c>
      <c r="K407" s="21">
        <v>192</v>
      </c>
      <c r="L407" s="29">
        <v>93</v>
      </c>
      <c r="M407" s="23" t="s">
        <v>606</v>
      </c>
      <c r="N407" s="21" t="s">
        <v>25</v>
      </c>
      <c r="O407" s="25">
        <v>46296</v>
      </c>
      <c r="P407" s="21" t="s">
        <v>398</v>
      </c>
      <c r="Q407" s="21" t="s">
        <v>26</v>
      </c>
      <c r="R407" s="26" t="s">
        <v>607</v>
      </c>
      <c r="S407" s="27">
        <v>1800</v>
      </c>
      <c r="T407" s="28" t="s">
        <v>27</v>
      </c>
      <c r="U407" s="28" t="s">
        <v>28</v>
      </c>
      <c r="V407" s="28" t="s">
        <v>29</v>
      </c>
      <c r="W407" s="28" t="s">
        <v>126</v>
      </c>
    </row>
    <row r="408" spans="1:23" ht="15" customHeight="1" x14ac:dyDescent="0.25">
      <c r="A408" s="20" t="s">
        <v>702</v>
      </c>
      <c r="B408" s="20" t="s">
        <v>602</v>
      </c>
      <c r="C408" s="20">
        <v>46273</v>
      </c>
      <c r="D408" s="21" t="s">
        <v>703</v>
      </c>
      <c r="E408" s="34">
        <v>4433</v>
      </c>
      <c r="F408" s="21">
        <v>5184211</v>
      </c>
      <c r="G408" s="21">
        <v>142662</v>
      </c>
      <c r="H408" s="21" t="s">
        <v>187</v>
      </c>
      <c r="I408" s="21" t="s">
        <v>188</v>
      </c>
      <c r="J408" s="21" t="s">
        <v>41</v>
      </c>
      <c r="K408" s="21">
        <v>179</v>
      </c>
      <c r="L408" s="29">
        <v>92</v>
      </c>
      <c r="M408" s="23" t="s">
        <v>608</v>
      </c>
      <c r="N408" s="21" t="s">
        <v>25</v>
      </c>
      <c r="O408" s="25">
        <v>46296</v>
      </c>
      <c r="P408" s="21" t="s">
        <v>398</v>
      </c>
      <c r="Q408" s="21" t="s">
        <v>471</v>
      </c>
      <c r="R408" s="26" t="s">
        <v>427</v>
      </c>
      <c r="S408" s="27">
        <v>960</v>
      </c>
      <c r="T408" s="28" t="s">
        <v>27</v>
      </c>
      <c r="U408" s="28" t="s">
        <v>28</v>
      </c>
      <c r="V408" s="28" t="s">
        <v>29</v>
      </c>
      <c r="W408" s="28" t="s">
        <v>126</v>
      </c>
    </row>
    <row r="409" spans="1:23" ht="15" customHeight="1" x14ac:dyDescent="0.25">
      <c r="A409" s="20" t="s">
        <v>702</v>
      </c>
      <c r="B409" s="20" t="s">
        <v>602</v>
      </c>
      <c r="C409" s="20">
        <v>46273</v>
      </c>
      <c r="D409" s="21" t="s">
        <v>703</v>
      </c>
      <c r="E409" s="34">
        <v>4454</v>
      </c>
      <c r="F409" s="21">
        <v>5159289</v>
      </c>
      <c r="G409" s="21">
        <v>143188</v>
      </c>
      <c r="H409" s="21" t="s">
        <v>227</v>
      </c>
      <c r="I409" s="21" t="s">
        <v>23</v>
      </c>
      <c r="J409" s="21" t="s">
        <v>618</v>
      </c>
      <c r="K409" s="21">
        <v>192</v>
      </c>
      <c r="L409" s="29">
        <v>93</v>
      </c>
      <c r="M409" s="23" t="s">
        <v>609</v>
      </c>
      <c r="N409" s="21" t="s">
        <v>25</v>
      </c>
      <c r="O409" s="25">
        <v>46296</v>
      </c>
      <c r="P409" s="21" t="s">
        <v>398</v>
      </c>
      <c r="Q409" s="21" t="s">
        <v>26</v>
      </c>
      <c r="R409" s="26" t="s">
        <v>607</v>
      </c>
      <c r="S409" s="27">
        <v>1400</v>
      </c>
      <c r="T409" s="28" t="s">
        <v>27</v>
      </c>
      <c r="U409" s="28" t="s">
        <v>28</v>
      </c>
      <c r="V409" s="28" t="s">
        <v>29</v>
      </c>
      <c r="W409" s="28" t="s">
        <v>610</v>
      </c>
    </row>
    <row r="410" spans="1:23" ht="15" customHeight="1" x14ac:dyDescent="0.25">
      <c r="A410" s="20" t="s">
        <v>702</v>
      </c>
      <c r="B410" s="20" t="s">
        <v>602</v>
      </c>
      <c r="C410" s="20">
        <v>46279</v>
      </c>
      <c r="D410" s="21" t="s">
        <v>703</v>
      </c>
      <c r="E410" s="34">
        <v>3956</v>
      </c>
      <c r="F410" s="21">
        <v>5004685</v>
      </c>
      <c r="G410" s="21">
        <v>110434</v>
      </c>
      <c r="H410" s="21" t="s">
        <v>614</v>
      </c>
      <c r="I410" s="21" t="s">
        <v>23</v>
      </c>
      <c r="J410" s="21" t="s">
        <v>618</v>
      </c>
      <c r="K410" s="21">
        <v>192</v>
      </c>
      <c r="L410" s="29">
        <v>93</v>
      </c>
      <c r="M410" s="23" t="s">
        <v>611</v>
      </c>
      <c r="N410" s="21" t="s">
        <v>25</v>
      </c>
      <c r="O410" s="25">
        <v>46296</v>
      </c>
      <c r="P410" s="21" t="s">
        <v>398</v>
      </c>
      <c r="Q410" s="21" t="s">
        <v>49</v>
      </c>
      <c r="R410" s="26" t="s">
        <v>402</v>
      </c>
      <c r="S410" s="27">
        <v>23670.73</v>
      </c>
      <c r="T410" s="28" t="s">
        <v>27</v>
      </c>
      <c r="U410" s="28" t="s">
        <v>28</v>
      </c>
      <c r="V410" s="28" t="s">
        <v>29</v>
      </c>
      <c r="W410" s="28" t="s">
        <v>97</v>
      </c>
    </row>
    <row r="411" spans="1:23" ht="15" customHeight="1" x14ac:dyDescent="0.25">
      <c r="A411" s="20" t="s">
        <v>702</v>
      </c>
      <c r="B411" s="20" t="s">
        <v>602</v>
      </c>
      <c r="C411" s="20">
        <v>46282</v>
      </c>
      <c r="D411" s="21" t="s">
        <v>703</v>
      </c>
      <c r="E411" s="34">
        <v>4455</v>
      </c>
      <c r="F411" s="21">
        <v>5217293</v>
      </c>
      <c r="G411" s="21">
        <v>145966</v>
      </c>
      <c r="H411" s="21" t="s">
        <v>86</v>
      </c>
      <c r="I411" s="21" t="s">
        <v>23</v>
      </c>
      <c r="J411" s="21" t="s">
        <v>618</v>
      </c>
      <c r="K411" s="21">
        <v>192</v>
      </c>
      <c r="L411" s="29">
        <v>92</v>
      </c>
      <c r="M411" s="23" t="s">
        <v>612</v>
      </c>
      <c r="N411" s="21" t="s">
        <v>25</v>
      </c>
      <c r="O411" s="25">
        <v>46296</v>
      </c>
      <c r="P411" s="21" t="s">
        <v>398</v>
      </c>
      <c r="Q411" s="21" t="s">
        <v>26</v>
      </c>
      <c r="R411" s="26" t="s">
        <v>607</v>
      </c>
      <c r="S411" s="27">
        <v>2222.2199999999998</v>
      </c>
      <c r="T411" s="28" t="s">
        <v>27</v>
      </c>
      <c r="U411" s="28" t="s">
        <v>28</v>
      </c>
      <c r="V411" s="28" t="s">
        <v>29</v>
      </c>
      <c r="W411" s="28" t="s">
        <v>35</v>
      </c>
    </row>
    <row r="412" spans="1:23" ht="15" customHeight="1" x14ac:dyDescent="0.25">
      <c r="A412" s="20" t="s">
        <v>702</v>
      </c>
      <c r="B412" s="20" t="s">
        <v>602</v>
      </c>
      <c r="C412" s="20">
        <v>46286</v>
      </c>
      <c r="D412" s="21" t="s">
        <v>703</v>
      </c>
      <c r="E412" s="34">
        <v>3956</v>
      </c>
      <c r="F412" s="21">
        <v>5004685</v>
      </c>
      <c r="G412" s="21">
        <v>110434</v>
      </c>
      <c r="H412" s="21" t="s">
        <v>614</v>
      </c>
      <c r="I412" s="21" t="s">
        <v>23</v>
      </c>
      <c r="J412" s="21" t="s">
        <v>618</v>
      </c>
      <c r="K412" s="21">
        <v>192</v>
      </c>
      <c r="L412" s="29">
        <v>93</v>
      </c>
      <c r="M412" s="23" t="s">
        <v>615</v>
      </c>
      <c r="N412" s="21" t="s">
        <v>25</v>
      </c>
      <c r="O412" s="25">
        <v>46296</v>
      </c>
      <c r="P412" s="21" t="s">
        <v>398</v>
      </c>
      <c r="Q412" s="21" t="s">
        <v>49</v>
      </c>
      <c r="R412" s="26" t="s">
        <v>402</v>
      </c>
      <c r="S412" s="27">
        <v>1000</v>
      </c>
      <c r="T412" s="28" t="s">
        <v>27</v>
      </c>
      <c r="U412" s="28" t="s">
        <v>28</v>
      </c>
      <c r="V412" s="28" t="s">
        <v>29</v>
      </c>
      <c r="W412" s="28" t="s">
        <v>126</v>
      </c>
    </row>
    <row r="413" spans="1:23" ht="15" customHeight="1" x14ac:dyDescent="0.25">
      <c r="A413" s="20" t="s">
        <v>702</v>
      </c>
      <c r="B413" s="20" t="s">
        <v>602</v>
      </c>
      <c r="C413" s="20">
        <v>46286</v>
      </c>
      <c r="D413" s="21" t="s">
        <v>703</v>
      </c>
      <c r="E413" s="34">
        <v>4454</v>
      </c>
      <c r="F413" s="21">
        <v>5349074</v>
      </c>
      <c r="G413" s="21"/>
      <c r="H413" s="21" t="s">
        <v>616</v>
      </c>
      <c r="I413" s="21" t="s">
        <v>23</v>
      </c>
      <c r="J413" s="21" t="s">
        <v>618</v>
      </c>
      <c r="K413" s="21">
        <v>192</v>
      </c>
      <c r="L413" s="29">
        <v>93</v>
      </c>
      <c r="M413" s="23" t="s">
        <v>619</v>
      </c>
      <c r="N413" s="21" t="s">
        <v>25</v>
      </c>
      <c r="O413" s="25">
        <v>46296</v>
      </c>
      <c r="P413" s="21" t="s">
        <v>398</v>
      </c>
      <c r="Q413" s="21" t="s">
        <v>26</v>
      </c>
      <c r="R413" s="26" t="s">
        <v>607</v>
      </c>
      <c r="S413" s="27">
        <v>240</v>
      </c>
      <c r="T413" s="28" t="s">
        <v>27</v>
      </c>
      <c r="U413" s="28" t="s">
        <v>28</v>
      </c>
      <c r="V413" s="28" t="s">
        <v>29</v>
      </c>
      <c r="W413" s="28" t="s">
        <v>149</v>
      </c>
    </row>
    <row r="414" spans="1:23" ht="15" customHeight="1" x14ac:dyDescent="0.25">
      <c r="A414" s="20" t="s">
        <v>702</v>
      </c>
      <c r="B414" s="20" t="s">
        <v>602</v>
      </c>
      <c r="C414" s="20">
        <v>46288</v>
      </c>
      <c r="D414" s="21" t="s">
        <v>703</v>
      </c>
      <c r="E414" s="34">
        <v>3957</v>
      </c>
      <c r="F414" s="21">
        <v>5149985</v>
      </c>
      <c r="G414" s="21">
        <v>142628</v>
      </c>
      <c r="H414" s="21" t="s">
        <v>617</v>
      </c>
      <c r="I414" s="21" t="s">
        <v>23</v>
      </c>
      <c r="J414" s="21">
        <v>6125</v>
      </c>
      <c r="K414" s="21">
        <v>692</v>
      </c>
      <c r="L414" s="29">
        <v>92</v>
      </c>
      <c r="M414" s="23" t="s">
        <v>635</v>
      </c>
      <c r="N414" s="21" t="s">
        <v>25</v>
      </c>
      <c r="O414" s="25">
        <v>46296</v>
      </c>
      <c r="P414" s="21" t="s">
        <v>398</v>
      </c>
      <c r="Q414" s="21" t="s">
        <v>49</v>
      </c>
      <c r="R414" s="26" t="s">
        <v>400</v>
      </c>
      <c r="S414" s="27">
        <v>1456</v>
      </c>
      <c r="T414" s="28" t="s">
        <v>27</v>
      </c>
      <c r="U414" s="28" t="s">
        <v>28</v>
      </c>
      <c r="V414" s="28" t="s">
        <v>29</v>
      </c>
      <c r="W414" s="28" t="s">
        <v>620</v>
      </c>
    </row>
    <row r="415" spans="1:23" ht="15" customHeight="1" x14ac:dyDescent="0.25">
      <c r="A415" s="20" t="s">
        <v>702</v>
      </c>
      <c r="B415" s="20" t="s">
        <v>602</v>
      </c>
      <c r="C415" s="20">
        <v>46288</v>
      </c>
      <c r="D415" s="21" t="s">
        <v>703</v>
      </c>
      <c r="E415" s="34">
        <v>4456</v>
      </c>
      <c r="F415" s="21">
        <v>5023831</v>
      </c>
      <c r="G415" s="21">
        <v>126676</v>
      </c>
      <c r="H415" s="21" t="s">
        <v>621</v>
      </c>
      <c r="I415" s="21" t="s">
        <v>23</v>
      </c>
      <c r="J415" s="21" t="s">
        <v>618</v>
      </c>
      <c r="K415" s="21">
        <v>192</v>
      </c>
      <c r="L415" s="29">
        <v>93</v>
      </c>
      <c r="M415" s="23" t="s">
        <v>636</v>
      </c>
      <c r="N415" s="21" t="s">
        <v>25</v>
      </c>
      <c r="O415" s="25">
        <v>46296</v>
      </c>
      <c r="P415" s="21" t="s">
        <v>398</v>
      </c>
      <c r="Q415" s="21" t="s">
        <v>26</v>
      </c>
      <c r="R415" s="26" t="s">
        <v>607</v>
      </c>
      <c r="S415" s="27">
        <v>3900</v>
      </c>
      <c r="T415" s="28" t="s">
        <v>27</v>
      </c>
      <c r="U415" s="28" t="s">
        <v>28</v>
      </c>
      <c r="V415" s="28" t="s">
        <v>29</v>
      </c>
      <c r="W415" s="28" t="s">
        <v>126</v>
      </c>
    </row>
    <row r="416" spans="1:23" ht="15" customHeight="1" x14ac:dyDescent="0.25">
      <c r="A416" s="20" t="s">
        <v>702</v>
      </c>
      <c r="B416" s="20" t="s">
        <v>602</v>
      </c>
      <c r="C416" s="20">
        <v>46288</v>
      </c>
      <c r="D416" s="21" t="s">
        <v>703</v>
      </c>
      <c r="E416" s="34">
        <v>4396</v>
      </c>
      <c r="F416" s="21">
        <v>5226805</v>
      </c>
      <c r="G416" s="21">
        <v>150155</v>
      </c>
      <c r="H416" s="21" t="s">
        <v>622</v>
      </c>
      <c r="I416" s="21" t="s">
        <v>71</v>
      </c>
      <c r="J416" s="21" t="s">
        <v>72</v>
      </c>
      <c r="K416" s="21">
        <v>186</v>
      </c>
      <c r="L416" s="29">
        <v>92</v>
      </c>
      <c r="M416" s="23" t="s">
        <v>637</v>
      </c>
      <c r="N416" s="21" t="s">
        <v>25</v>
      </c>
      <c r="O416" s="25">
        <v>46296</v>
      </c>
      <c r="P416" s="21" t="s">
        <v>398</v>
      </c>
      <c r="Q416" s="21" t="s">
        <v>428</v>
      </c>
      <c r="R416" s="26" t="s">
        <v>431</v>
      </c>
      <c r="S416" s="27">
        <v>5000</v>
      </c>
      <c r="T416" s="28" t="s">
        <v>27</v>
      </c>
      <c r="U416" s="28" t="s">
        <v>28</v>
      </c>
      <c r="V416" s="28" t="s">
        <v>29</v>
      </c>
      <c r="W416" s="28" t="s">
        <v>126</v>
      </c>
    </row>
    <row r="417" spans="1:23" ht="15" customHeight="1" x14ac:dyDescent="0.25">
      <c r="A417" s="20" t="s">
        <v>702</v>
      </c>
      <c r="B417" s="20" t="s">
        <v>602</v>
      </c>
      <c r="C417" s="20">
        <v>46288</v>
      </c>
      <c r="D417" s="21" t="s">
        <v>703</v>
      </c>
      <c r="E417" s="34">
        <v>4483</v>
      </c>
      <c r="F417" s="21">
        <v>5015597</v>
      </c>
      <c r="G417" s="21">
        <v>146602</v>
      </c>
      <c r="H417" s="21" t="s">
        <v>623</v>
      </c>
      <c r="I417" s="21" t="s">
        <v>483</v>
      </c>
      <c r="J417" s="21" t="s">
        <v>218</v>
      </c>
      <c r="K417" s="21">
        <v>193</v>
      </c>
      <c r="L417" s="29">
        <v>92</v>
      </c>
      <c r="M417" s="23" t="s">
        <v>638</v>
      </c>
      <c r="N417" s="21" t="s">
        <v>25</v>
      </c>
      <c r="O417" s="25">
        <v>46296</v>
      </c>
      <c r="P417" s="21" t="s">
        <v>398</v>
      </c>
      <c r="Q417" s="21" t="s">
        <v>485</v>
      </c>
      <c r="R417" s="26" t="s">
        <v>485</v>
      </c>
      <c r="S417" s="27">
        <v>500</v>
      </c>
      <c r="T417" s="28" t="s">
        <v>27</v>
      </c>
      <c r="U417" s="28" t="s">
        <v>28</v>
      </c>
      <c r="V417" s="28" t="s">
        <v>29</v>
      </c>
      <c r="W417" s="28" t="s">
        <v>126</v>
      </c>
    </row>
    <row r="418" spans="1:23" ht="15" customHeight="1" x14ac:dyDescent="0.25">
      <c r="A418" s="20" t="s">
        <v>702</v>
      </c>
      <c r="B418" s="20" t="s">
        <v>602</v>
      </c>
      <c r="C418" s="20">
        <v>46288</v>
      </c>
      <c r="D418" s="21" t="s">
        <v>703</v>
      </c>
      <c r="E418" s="34">
        <v>4458</v>
      </c>
      <c r="F418" s="21">
        <v>5192822</v>
      </c>
      <c r="G418" s="21">
        <v>142805</v>
      </c>
      <c r="H418" s="21" t="s">
        <v>624</v>
      </c>
      <c r="I418" s="21" t="s">
        <v>23</v>
      </c>
      <c r="J418" s="21" t="s">
        <v>618</v>
      </c>
      <c r="K418" s="21">
        <v>192</v>
      </c>
      <c r="L418" s="29">
        <v>93</v>
      </c>
      <c r="M418" s="23" t="s">
        <v>639</v>
      </c>
      <c r="N418" s="21" t="s">
        <v>25</v>
      </c>
      <c r="O418" s="25">
        <v>46296</v>
      </c>
      <c r="P418" s="21" t="s">
        <v>398</v>
      </c>
      <c r="Q418" s="21" t="s">
        <v>26</v>
      </c>
      <c r="R418" s="26" t="s">
        <v>607</v>
      </c>
      <c r="S418" s="27">
        <v>1600</v>
      </c>
      <c r="T418" s="28" t="s">
        <v>27</v>
      </c>
      <c r="U418" s="28" t="s">
        <v>28</v>
      </c>
      <c r="V418" s="28" t="s">
        <v>29</v>
      </c>
      <c r="W418" s="28" t="s">
        <v>126</v>
      </c>
    </row>
    <row r="419" spans="1:23" ht="15" customHeight="1" x14ac:dyDescent="0.25">
      <c r="A419" s="20" t="s">
        <v>702</v>
      </c>
      <c r="B419" s="20" t="s">
        <v>602</v>
      </c>
      <c r="C419" s="20">
        <v>46288</v>
      </c>
      <c r="D419" s="21" t="s">
        <v>703</v>
      </c>
      <c r="E419" s="34">
        <v>4396</v>
      </c>
      <c r="F419" s="21">
        <v>5226805</v>
      </c>
      <c r="G419" s="21">
        <v>150155</v>
      </c>
      <c r="H419" s="21" t="s">
        <v>622</v>
      </c>
      <c r="I419" s="21" t="s">
        <v>71</v>
      </c>
      <c r="J419" s="21" t="s">
        <v>72</v>
      </c>
      <c r="K419" s="21">
        <v>186</v>
      </c>
      <c r="L419" s="29">
        <v>92</v>
      </c>
      <c r="M419" s="23" t="s">
        <v>640</v>
      </c>
      <c r="N419" s="21" t="s">
        <v>25</v>
      </c>
      <c r="O419" s="25">
        <v>46296</v>
      </c>
      <c r="P419" s="21" t="s">
        <v>398</v>
      </c>
      <c r="Q419" s="21" t="s">
        <v>428</v>
      </c>
      <c r="R419" s="26" t="s">
        <v>431</v>
      </c>
      <c r="S419" s="27">
        <v>2000</v>
      </c>
      <c r="T419" s="28" t="s">
        <v>27</v>
      </c>
      <c r="U419" s="28" t="s">
        <v>28</v>
      </c>
      <c r="V419" s="28" t="s">
        <v>29</v>
      </c>
      <c r="W419" s="28" t="s">
        <v>126</v>
      </c>
    </row>
    <row r="420" spans="1:23" ht="15" customHeight="1" x14ac:dyDescent="0.25">
      <c r="A420" s="20" t="s">
        <v>702</v>
      </c>
      <c r="B420" s="20" t="s">
        <v>602</v>
      </c>
      <c r="C420" s="20">
        <v>46288</v>
      </c>
      <c r="D420" s="21" t="s">
        <v>703</v>
      </c>
      <c r="E420" s="34">
        <v>4396</v>
      </c>
      <c r="F420" s="21">
        <v>5226805</v>
      </c>
      <c r="G420" s="21">
        <v>150155</v>
      </c>
      <c r="H420" s="21" t="s">
        <v>622</v>
      </c>
      <c r="I420" s="21" t="s">
        <v>71</v>
      </c>
      <c r="J420" s="21" t="s">
        <v>72</v>
      </c>
      <c r="K420" s="21">
        <v>186</v>
      </c>
      <c r="L420" s="29">
        <v>92</v>
      </c>
      <c r="M420" s="23" t="s">
        <v>641</v>
      </c>
      <c r="N420" s="21" t="s">
        <v>25</v>
      </c>
      <c r="O420" s="25">
        <v>46296</v>
      </c>
      <c r="P420" s="21" t="s">
        <v>398</v>
      </c>
      <c r="Q420" s="21" t="s">
        <v>428</v>
      </c>
      <c r="R420" s="26" t="s">
        <v>431</v>
      </c>
      <c r="S420" s="27">
        <v>2000</v>
      </c>
      <c r="T420" s="28" t="s">
        <v>27</v>
      </c>
      <c r="U420" s="28" t="s">
        <v>28</v>
      </c>
      <c r="V420" s="28" t="s">
        <v>29</v>
      </c>
      <c r="W420" s="28" t="s">
        <v>126</v>
      </c>
    </row>
    <row r="421" spans="1:23" ht="15" customHeight="1" x14ac:dyDescent="0.25">
      <c r="A421" s="20" t="s">
        <v>702</v>
      </c>
      <c r="B421" s="20" t="s">
        <v>602</v>
      </c>
      <c r="C421" s="20">
        <v>46288</v>
      </c>
      <c r="D421" s="21" t="s">
        <v>703</v>
      </c>
      <c r="E421" s="34">
        <v>4412</v>
      </c>
      <c r="F421" s="21">
        <v>5366274</v>
      </c>
      <c r="G421" s="21">
        <v>193277</v>
      </c>
      <c r="H421" s="21" t="s">
        <v>625</v>
      </c>
      <c r="I421" s="21" t="s">
        <v>71</v>
      </c>
      <c r="J421" s="21" t="s">
        <v>72</v>
      </c>
      <c r="K421" s="21">
        <v>186</v>
      </c>
      <c r="L421" s="29">
        <v>92</v>
      </c>
      <c r="M421" s="23" t="s">
        <v>642</v>
      </c>
      <c r="N421" s="21" t="s">
        <v>25</v>
      </c>
      <c r="O421" s="25">
        <v>46296</v>
      </c>
      <c r="P421" s="21" t="s">
        <v>398</v>
      </c>
      <c r="Q421" s="21" t="s">
        <v>428</v>
      </c>
      <c r="R421" s="26" t="s">
        <v>430</v>
      </c>
      <c r="S421" s="27">
        <v>2580</v>
      </c>
      <c r="T421" s="28" t="s">
        <v>27</v>
      </c>
      <c r="U421" s="28" t="s">
        <v>28</v>
      </c>
      <c r="V421" s="28" t="s">
        <v>29</v>
      </c>
      <c r="W421" s="28" t="s">
        <v>126</v>
      </c>
    </row>
    <row r="422" spans="1:23" ht="15" customHeight="1" x14ac:dyDescent="0.25">
      <c r="A422" s="20" t="s">
        <v>702</v>
      </c>
      <c r="B422" s="20" t="s">
        <v>602</v>
      </c>
      <c r="C422" s="20">
        <v>46288</v>
      </c>
      <c r="D422" s="21" t="s">
        <v>703</v>
      </c>
      <c r="E422" s="34">
        <v>4413</v>
      </c>
      <c r="F422" s="21">
        <v>5159222</v>
      </c>
      <c r="G422" s="21">
        <v>143312</v>
      </c>
      <c r="H422" s="21" t="s">
        <v>626</v>
      </c>
      <c r="I422" s="21" t="s">
        <v>71</v>
      </c>
      <c r="J422" s="21" t="s">
        <v>72</v>
      </c>
      <c r="K422" s="21">
        <v>186</v>
      </c>
      <c r="L422" s="29">
        <v>92</v>
      </c>
      <c r="M422" s="23" t="s">
        <v>643</v>
      </c>
      <c r="N422" s="21" t="s">
        <v>25</v>
      </c>
      <c r="O422" s="25">
        <v>46296</v>
      </c>
      <c r="P422" s="21" t="s">
        <v>398</v>
      </c>
      <c r="Q422" s="21" t="s">
        <v>428</v>
      </c>
      <c r="R422" s="26" t="s">
        <v>430</v>
      </c>
      <c r="S422" s="27">
        <v>1465.44</v>
      </c>
      <c r="T422" s="28" t="s">
        <v>27</v>
      </c>
      <c r="U422" s="28" t="s">
        <v>28</v>
      </c>
      <c r="V422" s="28" t="s">
        <v>29</v>
      </c>
      <c r="W422" s="28" t="s">
        <v>126</v>
      </c>
    </row>
    <row r="423" spans="1:23" ht="15" customHeight="1" x14ac:dyDescent="0.25">
      <c r="A423" s="20" t="s">
        <v>702</v>
      </c>
      <c r="B423" s="20" t="s">
        <v>602</v>
      </c>
      <c r="C423" s="20">
        <v>46288</v>
      </c>
      <c r="D423" s="21" t="s">
        <v>703</v>
      </c>
      <c r="E423" s="34">
        <v>4414</v>
      </c>
      <c r="F423" s="21">
        <v>5005427</v>
      </c>
      <c r="G423" s="21">
        <v>124424</v>
      </c>
      <c r="H423" s="21" t="s">
        <v>627</v>
      </c>
      <c r="I423" s="21" t="s">
        <v>71</v>
      </c>
      <c r="J423" s="21" t="s">
        <v>72</v>
      </c>
      <c r="K423" s="21">
        <v>186</v>
      </c>
      <c r="L423" s="29">
        <v>92</v>
      </c>
      <c r="M423" s="23" t="s">
        <v>255</v>
      </c>
      <c r="N423" s="21" t="s">
        <v>25</v>
      </c>
      <c r="O423" s="25">
        <v>46296</v>
      </c>
      <c r="P423" s="21" t="s">
        <v>398</v>
      </c>
      <c r="Q423" s="21" t="s">
        <v>428</v>
      </c>
      <c r="R423" s="26" t="s">
        <v>430</v>
      </c>
      <c r="S423" s="27">
        <v>350</v>
      </c>
      <c r="T423" s="28" t="s">
        <v>27</v>
      </c>
      <c r="U423" s="28" t="s">
        <v>28</v>
      </c>
      <c r="V423" s="28" t="s">
        <v>29</v>
      </c>
      <c r="W423" s="28" t="s">
        <v>126</v>
      </c>
    </row>
    <row r="424" spans="1:23" ht="15" customHeight="1" x14ac:dyDescent="0.25">
      <c r="A424" s="20" t="s">
        <v>702</v>
      </c>
      <c r="B424" s="20" t="s">
        <v>602</v>
      </c>
      <c r="C424" s="20">
        <v>46288</v>
      </c>
      <c r="D424" s="21" t="s">
        <v>703</v>
      </c>
      <c r="E424" s="34">
        <v>4399</v>
      </c>
      <c r="F424" s="21">
        <v>5006419</v>
      </c>
      <c r="G424" s="21">
        <v>134827</v>
      </c>
      <c r="H424" s="21" t="s">
        <v>628</v>
      </c>
      <c r="I424" s="21" t="s">
        <v>71</v>
      </c>
      <c r="J424" s="21" t="s">
        <v>72</v>
      </c>
      <c r="K424" s="21">
        <v>186</v>
      </c>
      <c r="L424" s="29">
        <v>92</v>
      </c>
      <c r="M424" s="23" t="s">
        <v>644</v>
      </c>
      <c r="N424" s="21" t="s">
        <v>25</v>
      </c>
      <c r="O424" s="25">
        <v>46296</v>
      </c>
      <c r="P424" s="21" t="s">
        <v>398</v>
      </c>
      <c r="Q424" s="21" t="s">
        <v>428</v>
      </c>
      <c r="R424" s="26" t="s">
        <v>430</v>
      </c>
      <c r="S424" s="27">
        <v>1303.2</v>
      </c>
      <c r="T424" s="28" t="s">
        <v>27</v>
      </c>
      <c r="U424" s="28" t="s">
        <v>28</v>
      </c>
      <c r="V424" s="28" t="s">
        <v>29</v>
      </c>
      <c r="W424" s="28" t="s">
        <v>126</v>
      </c>
    </row>
    <row r="425" spans="1:23" ht="15" customHeight="1" x14ac:dyDescent="0.25">
      <c r="A425" s="20" t="s">
        <v>702</v>
      </c>
      <c r="B425" s="20" t="s">
        <v>602</v>
      </c>
      <c r="C425" s="20">
        <v>46288</v>
      </c>
      <c r="D425" s="21" t="s">
        <v>703</v>
      </c>
      <c r="E425" s="34">
        <v>3937</v>
      </c>
      <c r="F425" s="21">
        <v>5107112</v>
      </c>
      <c r="G425" s="21">
        <v>123370</v>
      </c>
      <c r="H425" s="21" t="s">
        <v>629</v>
      </c>
      <c r="I425" s="21" t="s">
        <v>23</v>
      </c>
      <c r="J425" s="21">
        <v>6125</v>
      </c>
      <c r="K425" s="21">
        <v>692</v>
      </c>
      <c r="L425" s="29">
        <v>93</v>
      </c>
      <c r="M425" s="23" t="s">
        <v>645</v>
      </c>
      <c r="N425" s="21" t="s">
        <v>25</v>
      </c>
      <c r="O425" s="25">
        <v>46296</v>
      </c>
      <c r="P425" s="21" t="s">
        <v>398</v>
      </c>
      <c r="Q425" s="21" t="s">
        <v>49</v>
      </c>
      <c r="R425" s="26" t="s">
        <v>400</v>
      </c>
      <c r="S425" s="27">
        <v>11705</v>
      </c>
      <c r="T425" s="28" t="s">
        <v>27</v>
      </c>
      <c r="U425" s="28" t="s">
        <v>28</v>
      </c>
      <c r="V425" s="28" t="s">
        <v>29</v>
      </c>
      <c r="W425" s="28" t="s">
        <v>126</v>
      </c>
    </row>
    <row r="426" spans="1:23" ht="15" customHeight="1" x14ac:dyDescent="0.25">
      <c r="A426" s="20" t="s">
        <v>702</v>
      </c>
      <c r="B426" s="20" t="s">
        <v>602</v>
      </c>
      <c r="C426" s="20">
        <v>46288</v>
      </c>
      <c r="D426" s="21" t="s">
        <v>703</v>
      </c>
      <c r="E426" s="34">
        <v>3956</v>
      </c>
      <c r="F426" s="21">
        <v>5004685</v>
      </c>
      <c r="G426" s="21">
        <v>110434</v>
      </c>
      <c r="H426" s="21" t="s">
        <v>614</v>
      </c>
      <c r="I426" s="21" t="s">
        <v>23</v>
      </c>
      <c r="J426" s="21" t="s">
        <v>618</v>
      </c>
      <c r="K426" s="21">
        <v>192</v>
      </c>
      <c r="L426" s="29">
        <v>93</v>
      </c>
      <c r="M426" s="23" t="s">
        <v>646</v>
      </c>
      <c r="N426" s="21" t="s">
        <v>25</v>
      </c>
      <c r="O426" s="25">
        <v>46296</v>
      </c>
      <c r="P426" s="21" t="s">
        <v>398</v>
      </c>
      <c r="Q426" s="21" t="s">
        <v>49</v>
      </c>
      <c r="R426" s="26" t="s">
        <v>402</v>
      </c>
      <c r="S426" s="27">
        <v>16727.66</v>
      </c>
      <c r="T426" s="28" t="s">
        <v>27</v>
      </c>
      <c r="U426" s="28" t="s">
        <v>28</v>
      </c>
      <c r="V426" s="28" t="s">
        <v>29</v>
      </c>
      <c r="W426" s="28" t="s">
        <v>60</v>
      </c>
    </row>
    <row r="427" spans="1:23" ht="15" customHeight="1" x14ac:dyDescent="0.25">
      <c r="A427" s="20" t="s">
        <v>702</v>
      </c>
      <c r="B427" s="20" t="s">
        <v>602</v>
      </c>
      <c r="C427" s="20">
        <v>46290</v>
      </c>
      <c r="D427" s="21" t="s">
        <v>703</v>
      </c>
      <c r="E427" s="34">
        <v>4441</v>
      </c>
      <c r="F427" s="21">
        <v>5014649</v>
      </c>
      <c r="G427" s="21">
        <v>305110</v>
      </c>
      <c r="H427" s="21" t="s">
        <v>630</v>
      </c>
      <c r="I427" s="21" t="s">
        <v>217</v>
      </c>
      <c r="J427" s="21" t="s">
        <v>218</v>
      </c>
      <c r="K427" s="21">
        <v>195</v>
      </c>
      <c r="L427" s="29">
        <v>93</v>
      </c>
      <c r="M427" s="23" t="s">
        <v>647</v>
      </c>
      <c r="N427" s="21" t="s">
        <v>25</v>
      </c>
      <c r="O427" s="25">
        <v>46296</v>
      </c>
      <c r="P427" s="21" t="s">
        <v>398</v>
      </c>
      <c r="Q427" s="21" t="s">
        <v>485</v>
      </c>
      <c r="R427" s="26" t="s">
        <v>485</v>
      </c>
      <c r="S427" s="27">
        <v>576</v>
      </c>
      <c r="T427" s="28" t="s">
        <v>27</v>
      </c>
      <c r="U427" s="28" t="s">
        <v>28</v>
      </c>
      <c r="V427" s="28" t="s">
        <v>29</v>
      </c>
      <c r="W427" s="28" t="s">
        <v>52</v>
      </c>
    </row>
    <row r="428" spans="1:23" ht="15" customHeight="1" x14ac:dyDescent="0.25">
      <c r="A428" s="20" t="s">
        <v>702</v>
      </c>
      <c r="B428" s="20" t="s">
        <v>602</v>
      </c>
      <c r="C428" s="20">
        <v>46290</v>
      </c>
      <c r="D428" s="21" t="s">
        <v>703</v>
      </c>
      <c r="E428" s="34">
        <v>3934</v>
      </c>
      <c r="F428" s="21">
        <v>5226500</v>
      </c>
      <c r="G428" s="21">
        <v>141142</v>
      </c>
      <c r="H428" s="21" t="s">
        <v>631</v>
      </c>
      <c r="I428" s="21" t="s">
        <v>266</v>
      </c>
      <c r="J428" s="21">
        <v>6123</v>
      </c>
      <c r="K428" s="21">
        <v>607</v>
      </c>
      <c r="L428" s="29">
        <v>93</v>
      </c>
      <c r="M428" s="23" t="s">
        <v>458</v>
      </c>
      <c r="N428" s="21" t="s">
        <v>25</v>
      </c>
      <c r="O428" s="25">
        <v>46296</v>
      </c>
      <c r="P428" s="21" t="s">
        <v>398</v>
      </c>
      <c r="Q428" s="21" t="s">
        <v>57</v>
      </c>
      <c r="R428" s="26" t="s">
        <v>427</v>
      </c>
      <c r="S428" s="27">
        <v>660</v>
      </c>
      <c r="T428" s="28" t="s">
        <v>27</v>
      </c>
      <c r="U428" s="28" t="s">
        <v>28</v>
      </c>
      <c r="V428" s="28" t="s">
        <v>29</v>
      </c>
      <c r="W428" s="28" t="s">
        <v>52</v>
      </c>
    </row>
    <row r="429" spans="1:23" ht="15" customHeight="1" x14ac:dyDescent="0.25">
      <c r="A429" s="20" t="s">
        <v>702</v>
      </c>
      <c r="B429" s="20" t="s">
        <v>602</v>
      </c>
      <c r="C429" s="20">
        <v>46290</v>
      </c>
      <c r="D429" s="21" t="s">
        <v>703</v>
      </c>
      <c r="E429" s="34">
        <v>4416</v>
      </c>
      <c r="F429" s="21">
        <v>5115189</v>
      </c>
      <c r="G429" s="21">
        <v>129296</v>
      </c>
      <c r="H429" s="21" t="s">
        <v>516</v>
      </c>
      <c r="I429" s="21" t="s">
        <v>54</v>
      </c>
      <c r="J429" s="21" t="s">
        <v>55</v>
      </c>
      <c r="K429" s="21">
        <v>191</v>
      </c>
      <c r="L429" s="29">
        <v>92</v>
      </c>
      <c r="M429" s="23" t="s">
        <v>648</v>
      </c>
      <c r="N429" s="21" t="s">
        <v>25</v>
      </c>
      <c r="O429" s="25">
        <v>46296</v>
      </c>
      <c r="P429" s="21" t="s">
        <v>398</v>
      </c>
      <c r="Q429" s="21" t="s">
        <v>57</v>
      </c>
      <c r="R429" s="26" t="s">
        <v>401</v>
      </c>
      <c r="S429" s="27">
        <v>4500</v>
      </c>
      <c r="T429" s="28" t="s">
        <v>27</v>
      </c>
      <c r="U429" s="28" t="s">
        <v>28</v>
      </c>
      <c r="V429" s="28" t="s">
        <v>29</v>
      </c>
      <c r="W429" s="28" t="s">
        <v>52</v>
      </c>
    </row>
    <row r="430" spans="1:23" ht="15" customHeight="1" x14ac:dyDescent="0.25">
      <c r="A430" s="20" t="s">
        <v>702</v>
      </c>
      <c r="B430" s="20" t="s">
        <v>602</v>
      </c>
      <c r="C430" s="20">
        <v>46290</v>
      </c>
      <c r="D430" s="21" t="s">
        <v>703</v>
      </c>
      <c r="E430" s="34">
        <v>4416</v>
      </c>
      <c r="F430" s="21">
        <v>5115189</v>
      </c>
      <c r="G430" s="21">
        <v>129296</v>
      </c>
      <c r="H430" s="21" t="s">
        <v>516</v>
      </c>
      <c r="I430" s="21" t="s">
        <v>54</v>
      </c>
      <c r="J430" s="21" t="s">
        <v>55</v>
      </c>
      <c r="K430" s="21">
        <v>191</v>
      </c>
      <c r="L430" s="29">
        <v>92</v>
      </c>
      <c r="M430" s="23" t="s">
        <v>649</v>
      </c>
      <c r="N430" s="21" t="s">
        <v>25</v>
      </c>
      <c r="O430" s="25">
        <v>46296</v>
      </c>
      <c r="P430" s="21" t="s">
        <v>398</v>
      </c>
      <c r="Q430" s="21" t="s">
        <v>57</v>
      </c>
      <c r="R430" s="26" t="s">
        <v>401</v>
      </c>
      <c r="S430" s="27">
        <v>7000</v>
      </c>
      <c r="T430" s="28" t="s">
        <v>27</v>
      </c>
      <c r="U430" s="28" t="s">
        <v>28</v>
      </c>
      <c r="V430" s="28" t="s">
        <v>29</v>
      </c>
      <c r="W430" s="28" t="s">
        <v>52</v>
      </c>
    </row>
    <row r="431" spans="1:23" ht="15" customHeight="1" x14ac:dyDescent="0.25">
      <c r="A431" s="20" t="s">
        <v>702</v>
      </c>
      <c r="B431" s="20" t="s">
        <v>602</v>
      </c>
      <c r="C431" s="20">
        <v>46290</v>
      </c>
      <c r="D431" s="21" t="s">
        <v>703</v>
      </c>
      <c r="E431" s="34">
        <v>4356</v>
      </c>
      <c r="F431" s="21">
        <v>5182828</v>
      </c>
      <c r="G431" s="21">
        <v>142649</v>
      </c>
      <c r="H431" s="21" t="s">
        <v>632</v>
      </c>
      <c r="I431" s="21" t="s">
        <v>54</v>
      </c>
      <c r="J431" s="21" t="s">
        <v>55</v>
      </c>
      <c r="K431" s="21">
        <v>191</v>
      </c>
      <c r="L431" s="29">
        <v>93</v>
      </c>
      <c r="M431" s="23" t="s">
        <v>650</v>
      </c>
      <c r="N431" s="21" t="s">
        <v>25</v>
      </c>
      <c r="O431" s="25">
        <v>46296</v>
      </c>
      <c r="P431" s="21" t="s">
        <v>398</v>
      </c>
      <c r="Q431" s="21" t="s">
        <v>57</v>
      </c>
      <c r="R431" s="26" t="s">
        <v>427</v>
      </c>
      <c r="S431" s="27">
        <v>10000</v>
      </c>
      <c r="T431" s="28" t="s">
        <v>27</v>
      </c>
      <c r="U431" s="28" t="s">
        <v>28</v>
      </c>
      <c r="V431" s="28" t="s">
        <v>29</v>
      </c>
      <c r="W431" s="28" t="s">
        <v>52</v>
      </c>
    </row>
    <row r="432" spans="1:23" ht="15" customHeight="1" x14ac:dyDescent="0.25">
      <c r="A432" s="20" t="s">
        <v>702</v>
      </c>
      <c r="B432" s="20" t="s">
        <v>602</v>
      </c>
      <c r="C432" s="20">
        <v>46290</v>
      </c>
      <c r="D432" s="21" t="s">
        <v>703</v>
      </c>
      <c r="E432" s="34">
        <v>4460</v>
      </c>
      <c r="F432" s="21">
        <v>5179610</v>
      </c>
      <c r="G432" s="21">
        <v>138067</v>
      </c>
      <c r="H432" s="21" t="s">
        <v>633</v>
      </c>
      <c r="I432" s="21" t="s">
        <v>76</v>
      </c>
      <c r="J432" s="21" t="s">
        <v>55</v>
      </c>
      <c r="K432" s="21">
        <v>187</v>
      </c>
      <c r="L432" s="29">
        <v>92</v>
      </c>
      <c r="M432" s="23" t="s">
        <v>267</v>
      </c>
      <c r="N432" s="21" t="s">
        <v>25</v>
      </c>
      <c r="O432" s="25">
        <v>46296</v>
      </c>
      <c r="P432" s="21" t="s">
        <v>398</v>
      </c>
      <c r="Q432" s="21" t="s">
        <v>57</v>
      </c>
      <c r="R432" s="26" t="s">
        <v>427</v>
      </c>
      <c r="S432" s="27">
        <v>2500</v>
      </c>
      <c r="T432" s="28" t="s">
        <v>27</v>
      </c>
      <c r="U432" s="28" t="s">
        <v>28</v>
      </c>
      <c r="V432" s="28" t="s">
        <v>29</v>
      </c>
      <c r="W432" s="28" t="s">
        <v>52</v>
      </c>
    </row>
    <row r="433" spans="1:23" ht="15" customHeight="1" x14ac:dyDescent="0.25">
      <c r="A433" s="20" t="s">
        <v>702</v>
      </c>
      <c r="B433" s="20" t="s">
        <v>602</v>
      </c>
      <c r="C433" s="20">
        <v>46290</v>
      </c>
      <c r="D433" s="21" t="s">
        <v>703</v>
      </c>
      <c r="E433" s="34">
        <v>3935</v>
      </c>
      <c r="F433" s="21">
        <v>5223419</v>
      </c>
      <c r="G433" s="21">
        <v>146094</v>
      </c>
      <c r="H433" s="21" t="s">
        <v>505</v>
      </c>
      <c r="I433" s="21" t="s">
        <v>266</v>
      </c>
      <c r="J433" s="21">
        <v>6123</v>
      </c>
      <c r="K433" s="21">
        <v>607</v>
      </c>
      <c r="L433" s="29">
        <v>93</v>
      </c>
      <c r="M433" s="23" t="s">
        <v>446</v>
      </c>
      <c r="N433" s="21" t="s">
        <v>25</v>
      </c>
      <c r="O433" s="25">
        <v>46296</v>
      </c>
      <c r="P433" s="21" t="s">
        <v>398</v>
      </c>
      <c r="Q433" s="21" t="s">
        <v>57</v>
      </c>
      <c r="R433" s="26" t="s">
        <v>427</v>
      </c>
      <c r="S433" s="27">
        <v>2000</v>
      </c>
      <c r="T433" s="28" t="s">
        <v>27</v>
      </c>
      <c r="U433" s="28" t="s">
        <v>28</v>
      </c>
      <c r="V433" s="28" t="s">
        <v>29</v>
      </c>
      <c r="W433" s="28" t="s">
        <v>52</v>
      </c>
    </row>
    <row r="434" spans="1:23" ht="15" customHeight="1" x14ac:dyDescent="0.25">
      <c r="A434" s="20" t="s">
        <v>702</v>
      </c>
      <c r="B434" s="20" t="s">
        <v>602</v>
      </c>
      <c r="C434" s="20">
        <v>46290</v>
      </c>
      <c r="D434" s="21" t="s">
        <v>703</v>
      </c>
      <c r="E434" s="34">
        <v>3936</v>
      </c>
      <c r="F434" s="21">
        <v>5141420</v>
      </c>
      <c r="G434" s="21">
        <v>129963</v>
      </c>
      <c r="H434" s="21" t="s">
        <v>634</v>
      </c>
      <c r="I434" s="21" t="s">
        <v>266</v>
      </c>
      <c r="J434" s="21">
        <v>6123</v>
      </c>
      <c r="K434" s="21">
        <v>607</v>
      </c>
      <c r="L434" s="29">
        <v>92</v>
      </c>
      <c r="M434" s="23" t="s">
        <v>651</v>
      </c>
      <c r="N434" s="21" t="s">
        <v>25</v>
      </c>
      <c r="O434" s="25">
        <v>46296</v>
      </c>
      <c r="P434" s="21" t="s">
        <v>398</v>
      </c>
      <c r="Q434" s="21" t="s">
        <v>57</v>
      </c>
      <c r="R434" s="26" t="s">
        <v>427</v>
      </c>
      <c r="S434" s="27">
        <v>7000</v>
      </c>
      <c r="T434" s="28" t="s">
        <v>27</v>
      </c>
      <c r="U434" s="28" t="s">
        <v>28</v>
      </c>
      <c r="V434" s="28" t="s">
        <v>29</v>
      </c>
      <c r="W434" s="28" t="s">
        <v>52</v>
      </c>
    </row>
    <row r="435" spans="1:23" ht="15" customHeight="1" x14ac:dyDescent="0.25">
      <c r="A435" s="20" t="s">
        <v>702</v>
      </c>
      <c r="B435" s="20" t="s">
        <v>602</v>
      </c>
      <c r="C435" s="20">
        <v>46290</v>
      </c>
      <c r="D435" s="21" t="s">
        <v>703</v>
      </c>
      <c r="E435" s="34">
        <v>4461</v>
      </c>
      <c r="F435" s="21">
        <v>5011698</v>
      </c>
      <c r="G435" s="21">
        <v>194196</v>
      </c>
      <c r="H435" s="21" t="s">
        <v>525</v>
      </c>
      <c r="I435" s="21" t="s">
        <v>266</v>
      </c>
      <c r="J435" s="21" t="s">
        <v>55</v>
      </c>
      <c r="K435" s="21">
        <v>187</v>
      </c>
      <c r="L435" s="29">
        <v>92</v>
      </c>
      <c r="M435" s="23" t="s">
        <v>447</v>
      </c>
      <c r="N435" s="21" t="s">
        <v>25</v>
      </c>
      <c r="O435" s="25">
        <v>46296</v>
      </c>
      <c r="P435" s="21" t="s">
        <v>398</v>
      </c>
      <c r="Q435" s="21" t="s">
        <v>57</v>
      </c>
      <c r="R435" s="26" t="s">
        <v>427</v>
      </c>
      <c r="S435" s="27">
        <v>1000</v>
      </c>
      <c r="T435" s="28" t="s">
        <v>27</v>
      </c>
      <c r="U435" s="28" t="s">
        <v>28</v>
      </c>
      <c r="V435" s="28" t="s">
        <v>29</v>
      </c>
      <c r="W435" s="28" t="s">
        <v>52</v>
      </c>
    </row>
    <row r="436" spans="1:23" ht="15" customHeight="1" x14ac:dyDescent="0.25">
      <c r="A436" s="20" t="s">
        <v>714</v>
      </c>
      <c r="B436" s="20" t="s">
        <v>602</v>
      </c>
      <c r="C436" s="20">
        <v>46269</v>
      </c>
      <c r="D436" s="21" t="s">
        <v>703</v>
      </c>
      <c r="E436" s="34">
        <v>15483</v>
      </c>
      <c r="F436" s="21">
        <v>5063519</v>
      </c>
      <c r="G436" s="21">
        <v>162630</v>
      </c>
      <c r="H436" s="21" t="s">
        <v>652</v>
      </c>
      <c r="I436" s="21" t="s">
        <v>23</v>
      </c>
      <c r="J436" s="21" t="s">
        <v>560</v>
      </c>
      <c r="K436" s="21">
        <v>749</v>
      </c>
      <c r="L436" s="29">
        <v>26</v>
      </c>
      <c r="M436" s="23" t="s">
        <v>653</v>
      </c>
      <c r="N436" s="21" t="s">
        <v>25</v>
      </c>
      <c r="O436" s="25">
        <v>46296</v>
      </c>
      <c r="P436" s="21" t="s">
        <v>434</v>
      </c>
      <c r="Q436" s="21" t="s">
        <v>435</v>
      </c>
      <c r="R436" s="26" t="s">
        <v>654</v>
      </c>
      <c r="S436" s="27" t="s">
        <v>715</v>
      </c>
      <c r="T436" s="28" t="s">
        <v>27</v>
      </c>
      <c r="U436" s="28" t="s">
        <v>50</v>
      </c>
      <c r="V436" s="28" t="s">
        <v>51</v>
      </c>
      <c r="W436" s="28" t="s">
        <v>655</v>
      </c>
    </row>
    <row r="437" spans="1:23" ht="15" customHeight="1" x14ac:dyDescent="0.25">
      <c r="A437" s="20" t="s">
        <v>702</v>
      </c>
      <c r="B437" s="20" t="s">
        <v>602</v>
      </c>
      <c r="C437" s="20">
        <v>46290</v>
      </c>
      <c r="D437" s="21" t="s">
        <v>703</v>
      </c>
      <c r="E437" s="34">
        <v>4423</v>
      </c>
      <c r="F437" s="21">
        <v>5348324</v>
      </c>
      <c r="G437" s="21"/>
      <c r="H437" s="21" t="s">
        <v>657</v>
      </c>
      <c r="I437" s="21" t="s">
        <v>113</v>
      </c>
      <c r="J437" s="21" t="s">
        <v>41</v>
      </c>
      <c r="K437" s="21">
        <v>182</v>
      </c>
      <c r="L437" s="29">
        <v>92</v>
      </c>
      <c r="M437" s="23" t="s">
        <v>669</v>
      </c>
      <c r="N437" s="21" t="s">
        <v>25</v>
      </c>
      <c r="O437" s="25">
        <v>46296</v>
      </c>
      <c r="P437" s="21" t="s">
        <v>398</v>
      </c>
      <c r="Q437" s="21" t="s">
        <v>471</v>
      </c>
      <c r="R437" s="26" t="s">
        <v>427</v>
      </c>
      <c r="S437" s="27">
        <v>4733</v>
      </c>
      <c r="T437" s="28" t="s">
        <v>27</v>
      </c>
      <c r="U437" s="28" t="s">
        <v>28</v>
      </c>
      <c r="V437" s="28" t="s">
        <v>29</v>
      </c>
      <c r="W437" s="28" t="s">
        <v>52</v>
      </c>
    </row>
    <row r="438" spans="1:23" ht="15" customHeight="1" x14ac:dyDescent="0.25">
      <c r="A438" s="20" t="s">
        <v>702</v>
      </c>
      <c r="B438" s="20" t="s">
        <v>602</v>
      </c>
      <c r="C438" s="20">
        <v>46290</v>
      </c>
      <c r="D438" s="21" t="s">
        <v>703</v>
      </c>
      <c r="E438" s="34">
        <v>4462</v>
      </c>
      <c r="F438" s="21">
        <v>5109656</v>
      </c>
      <c r="G438" s="21">
        <v>133996</v>
      </c>
      <c r="H438" s="21" t="s">
        <v>658</v>
      </c>
      <c r="I438" s="21" t="s">
        <v>23</v>
      </c>
      <c r="J438" s="21" t="s">
        <v>618</v>
      </c>
      <c r="K438" s="21">
        <v>192</v>
      </c>
      <c r="L438" s="29">
        <v>92</v>
      </c>
      <c r="M438" s="23" t="s">
        <v>670</v>
      </c>
      <c r="N438" s="21" t="s">
        <v>25</v>
      </c>
      <c r="O438" s="25">
        <v>46296</v>
      </c>
      <c r="P438" s="21" t="s">
        <v>398</v>
      </c>
      <c r="Q438" s="21" t="s">
        <v>535</v>
      </c>
      <c r="R438" s="26" t="s">
        <v>535</v>
      </c>
      <c r="S438" s="27">
        <v>15000</v>
      </c>
      <c r="T438" s="28" t="s">
        <v>27</v>
      </c>
      <c r="U438" s="28" t="s">
        <v>28</v>
      </c>
      <c r="V438" s="28" t="s">
        <v>29</v>
      </c>
      <c r="W438" s="28" t="s">
        <v>52</v>
      </c>
    </row>
    <row r="439" spans="1:23" ht="15" customHeight="1" x14ac:dyDescent="0.25">
      <c r="A439" s="20" t="s">
        <v>702</v>
      </c>
      <c r="B439" s="20" t="s">
        <v>602</v>
      </c>
      <c r="C439" s="20">
        <v>46290</v>
      </c>
      <c r="D439" s="21" t="s">
        <v>703</v>
      </c>
      <c r="E439" s="34">
        <v>4423</v>
      </c>
      <c r="F439" s="21">
        <v>5348324</v>
      </c>
      <c r="G439" s="21"/>
      <c r="H439" s="21" t="s">
        <v>657</v>
      </c>
      <c r="I439" s="21" t="s">
        <v>113</v>
      </c>
      <c r="J439" s="21" t="s">
        <v>41</v>
      </c>
      <c r="K439" s="21">
        <v>182</v>
      </c>
      <c r="L439" s="29">
        <v>92</v>
      </c>
      <c r="M439" s="23" t="s">
        <v>671</v>
      </c>
      <c r="N439" s="21" t="s">
        <v>25</v>
      </c>
      <c r="O439" s="25">
        <v>46296</v>
      </c>
      <c r="P439" s="21" t="s">
        <v>398</v>
      </c>
      <c r="Q439" s="21" t="s">
        <v>471</v>
      </c>
      <c r="R439" s="26" t="s">
        <v>427</v>
      </c>
      <c r="S439" s="27">
        <v>9000</v>
      </c>
      <c r="T439" s="28" t="s">
        <v>27</v>
      </c>
      <c r="U439" s="28" t="s">
        <v>28</v>
      </c>
      <c r="V439" s="28" t="s">
        <v>29</v>
      </c>
      <c r="W439" s="28" t="s">
        <v>52</v>
      </c>
    </row>
    <row r="440" spans="1:23" ht="15" customHeight="1" x14ac:dyDescent="0.25">
      <c r="A440" s="20" t="s">
        <v>702</v>
      </c>
      <c r="B440" s="20" t="s">
        <v>602</v>
      </c>
      <c r="C440" s="20">
        <v>46290</v>
      </c>
      <c r="D440" s="21" t="s">
        <v>703</v>
      </c>
      <c r="E440" s="34">
        <v>4423</v>
      </c>
      <c r="F440" s="21">
        <v>5348324</v>
      </c>
      <c r="G440" s="21"/>
      <c r="H440" s="21" t="s">
        <v>657</v>
      </c>
      <c r="I440" s="21" t="s">
        <v>113</v>
      </c>
      <c r="J440" s="21" t="s">
        <v>41</v>
      </c>
      <c r="K440" s="21">
        <v>182</v>
      </c>
      <c r="L440" s="29">
        <v>92</v>
      </c>
      <c r="M440" s="23" t="s">
        <v>672</v>
      </c>
      <c r="N440" s="21" t="s">
        <v>25</v>
      </c>
      <c r="O440" s="25">
        <v>46296</v>
      </c>
      <c r="P440" s="21" t="s">
        <v>398</v>
      </c>
      <c r="Q440" s="21" t="s">
        <v>471</v>
      </c>
      <c r="R440" s="26" t="s">
        <v>427</v>
      </c>
      <c r="S440" s="27">
        <v>4000</v>
      </c>
      <c r="T440" s="28" t="s">
        <v>27</v>
      </c>
      <c r="U440" s="28" t="s">
        <v>28</v>
      </c>
      <c r="V440" s="28" t="s">
        <v>29</v>
      </c>
      <c r="W440" s="28" t="s">
        <v>52</v>
      </c>
    </row>
    <row r="441" spans="1:23" ht="15" customHeight="1" x14ac:dyDescent="0.25">
      <c r="A441" s="20" t="s">
        <v>702</v>
      </c>
      <c r="B441" s="20" t="s">
        <v>602</v>
      </c>
      <c r="C441" s="20">
        <v>46290</v>
      </c>
      <c r="D441" s="21" t="s">
        <v>703</v>
      </c>
      <c r="E441" s="34">
        <v>4434</v>
      </c>
      <c r="F441" s="21">
        <v>5225860</v>
      </c>
      <c r="G441" s="21">
        <v>180402</v>
      </c>
      <c r="H441" s="21" t="s">
        <v>659</v>
      </c>
      <c r="I441" s="21" t="s">
        <v>40</v>
      </c>
      <c r="J441" s="21" t="s">
        <v>41</v>
      </c>
      <c r="K441" s="21">
        <v>194</v>
      </c>
      <c r="L441" s="29">
        <v>92</v>
      </c>
      <c r="M441" s="23" t="s">
        <v>446</v>
      </c>
      <c r="N441" s="21" t="s">
        <v>25</v>
      </c>
      <c r="O441" s="25">
        <v>46296</v>
      </c>
      <c r="P441" s="21" t="s">
        <v>398</v>
      </c>
      <c r="Q441" s="21" t="s">
        <v>471</v>
      </c>
      <c r="R441" s="26" t="s">
        <v>426</v>
      </c>
      <c r="S441" s="27">
        <v>50000</v>
      </c>
      <c r="T441" s="28" t="s">
        <v>27</v>
      </c>
      <c r="U441" s="28" t="s">
        <v>28</v>
      </c>
      <c r="V441" s="28" t="s">
        <v>29</v>
      </c>
      <c r="W441" s="28" t="s">
        <v>52</v>
      </c>
    </row>
    <row r="442" spans="1:23" ht="15" customHeight="1" x14ac:dyDescent="0.25">
      <c r="A442" s="20" t="s">
        <v>702</v>
      </c>
      <c r="B442" s="20" t="s">
        <v>602</v>
      </c>
      <c r="C442" s="20">
        <v>46290</v>
      </c>
      <c r="D442" s="21" t="s">
        <v>703</v>
      </c>
      <c r="E442" s="34">
        <v>4459</v>
      </c>
      <c r="F442" s="21">
        <v>5026768</v>
      </c>
      <c r="G442" s="21">
        <v>113399</v>
      </c>
      <c r="H442" s="21" t="s">
        <v>660</v>
      </c>
      <c r="I442" s="21" t="s">
        <v>132</v>
      </c>
      <c r="J442" s="21" t="s">
        <v>41</v>
      </c>
      <c r="K442" s="21">
        <v>185</v>
      </c>
      <c r="L442" s="29">
        <v>92</v>
      </c>
      <c r="M442" s="23" t="s">
        <v>673</v>
      </c>
      <c r="N442" s="21" t="s">
        <v>25</v>
      </c>
      <c r="O442" s="25">
        <v>46296</v>
      </c>
      <c r="P442" s="21" t="s">
        <v>398</v>
      </c>
      <c r="Q442" s="21" t="s">
        <v>471</v>
      </c>
      <c r="R442" s="26" t="s">
        <v>433</v>
      </c>
      <c r="S442" s="27">
        <v>3000</v>
      </c>
      <c r="T442" s="28" t="s">
        <v>27</v>
      </c>
      <c r="U442" s="28" t="s">
        <v>28</v>
      </c>
      <c r="V442" s="28" t="s">
        <v>29</v>
      </c>
      <c r="W442" s="28" t="s">
        <v>45</v>
      </c>
    </row>
    <row r="443" spans="1:23" ht="15" customHeight="1" x14ac:dyDescent="0.25">
      <c r="A443" s="20" t="s">
        <v>702</v>
      </c>
      <c r="B443" s="20" t="s">
        <v>602</v>
      </c>
      <c r="C443" s="20">
        <v>46290</v>
      </c>
      <c r="D443" s="21" t="s">
        <v>703</v>
      </c>
      <c r="E443" s="34">
        <v>4459</v>
      </c>
      <c r="F443" s="21">
        <v>5026768</v>
      </c>
      <c r="G443" s="21">
        <v>113399</v>
      </c>
      <c r="H443" s="21" t="s">
        <v>660</v>
      </c>
      <c r="I443" s="21" t="s">
        <v>132</v>
      </c>
      <c r="J443" s="21" t="s">
        <v>41</v>
      </c>
      <c r="K443" s="21">
        <v>185</v>
      </c>
      <c r="L443" s="29">
        <v>92</v>
      </c>
      <c r="M443" s="23" t="s">
        <v>674</v>
      </c>
      <c r="N443" s="21" t="s">
        <v>25</v>
      </c>
      <c r="O443" s="25">
        <v>46296</v>
      </c>
      <c r="P443" s="21" t="s">
        <v>398</v>
      </c>
      <c r="Q443" s="21" t="s">
        <v>471</v>
      </c>
      <c r="R443" s="26" t="s">
        <v>433</v>
      </c>
      <c r="S443" s="27">
        <v>4968</v>
      </c>
      <c r="T443" s="28" t="s">
        <v>27</v>
      </c>
      <c r="U443" s="28" t="s">
        <v>28</v>
      </c>
      <c r="V443" s="28" t="s">
        <v>29</v>
      </c>
      <c r="W443" s="28" t="s">
        <v>52</v>
      </c>
    </row>
    <row r="444" spans="1:23" ht="15" customHeight="1" x14ac:dyDescent="0.25">
      <c r="A444" s="20" t="s">
        <v>702</v>
      </c>
      <c r="B444" s="20" t="s">
        <v>602</v>
      </c>
      <c r="C444" s="20">
        <v>46290</v>
      </c>
      <c r="D444" s="21" t="s">
        <v>703</v>
      </c>
      <c r="E444" s="34">
        <v>4463</v>
      </c>
      <c r="F444" s="21">
        <v>5229985</v>
      </c>
      <c r="G444" s="21">
        <v>180738</v>
      </c>
      <c r="H444" s="21" t="s">
        <v>661</v>
      </c>
      <c r="I444" s="21" t="s">
        <v>132</v>
      </c>
      <c r="J444" s="21" t="s">
        <v>41</v>
      </c>
      <c r="K444" s="21">
        <v>185</v>
      </c>
      <c r="L444" s="29">
        <v>92</v>
      </c>
      <c r="M444" s="23" t="s">
        <v>675</v>
      </c>
      <c r="N444" s="21" t="s">
        <v>25</v>
      </c>
      <c r="O444" s="25">
        <v>46296</v>
      </c>
      <c r="P444" s="21" t="s">
        <v>398</v>
      </c>
      <c r="Q444" s="21" t="s">
        <v>471</v>
      </c>
      <c r="R444" s="26" t="s">
        <v>433</v>
      </c>
      <c r="S444" s="27">
        <v>2500</v>
      </c>
      <c r="T444" s="28" t="s">
        <v>27</v>
      </c>
      <c r="U444" s="28" t="s">
        <v>28</v>
      </c>
      <c r="V444" s="28" t="s">
        <v>29</v>
      </c>
      <c r="W444" s="28" t="s">
        <v>52</v>
      </c>
    </row>
    <row r="445" spans="1:23" ht="15" customHeight="1" x14ac:dyDescent="0.25">
      <c r="A445" s="20" t="s">
        <v>702</v>
      </c>
      <c r="B445" s="20" t="s">
        <v>602</v>
      </c>
      <c r="C445" s="20">
        <v>46290</v>
      </c>
      <c r="D445" s="21" t="s">
        <v>703</v>
      </c>
      <c r="E445" s="34">
        <v>4436</v>
      </c>
      <c r="F445" s="21">
        <v>5133664</v>
      </c>
      <c r="G445" s="21">
        <v>142632</v>
      </c>
      <c r="H445" s="21" t="s">
        <v>662</v>
      </c>
      <c r="I445" s="21" t="s">
        <v>40</v>
      </c>
      <c r="J445" s="21" t="s">
        <v>41</v>
      </c>
      <c r="K445" s="21">
        <v>194</v>
      </c>
      <c r="L445" s="29">
        <v>92</v>
      </c>
      <c r="M445" s="23" t="s">
        <v>260</v>
      </c>
      <c r="N445" s="21" t="s">
        <v>25</v>
      </c>
      <c r="O445" s="25">
        <v>46296</v>
      </c>
      <c r="P445" s="21" t="s">
        <v>398</v>
      </c>
      <c r="Q445" s="21" t="s">
        <v>471</v>
      </c>
      <c r="R445" s="26" t="s">
        <v>426</v>
      </c>
      <c r="S445" s="27">
        <v>5333</v>
      </c>
      <c r="T445" s="28" t="s">
        <v>27</v>
      </c>
      <c r="U445" s="28" t="s">
        <v>28</v>
      </c>
      <c r="V445" s="28" t="s">
        <v>29</v>
      </c>
      <c r="W445" s="28" t="s">
        <v>52</v>
      </c>
    </row>
    <row r="446" spans="1:23" ht="15" customHeight="1" x14ac:dyDescent="0.25">
      <c r="A446" s="20" t="s">
        <v>702</v>
      </c>
      <c r="B446" s="20" t="s">
        <v>602</v>
      </c>
      <c r="C446" s="20">
        <v>46290</v>
      </c>
      <c r="D446" s="21" t="s">
        <v>703</v>
      </c>
      <c r="E446" s="34">
        <v>4424</v>
      </c>
      <c r="F446" s="21">
        <v>5128707</v>
      </c>
      <c r="G446" s="21">
        <v>128420</v>
      </c>
      <c r="H446" s="21" t="s">
        <v>663</v>
      </c>
      <c r="I446" s="21" t="s">
        <v>113</v>
      </c>
      <c r="J446" s="21" t="s">
        <v>41</v>
      </c>
      <c r="K446" s="21">
        <v>182</v>
      </c>
      <c r="L446" s="29">
        <v>92</v>
      </c>
      <c r="M446" s="23" t="s">
        <v>446</v>
      </c>
      <c r="N446" s="21" t="s">
        <v>25</v>
      </c>
      <c r="O446" s="25">
        <v>46296</v>
      </c>
      <c r="P446" s="21" t="s">
        <v>398</v>
      </c>
      <c r="Q446" s="21" t="s">
        <v>471</v>
      </c>
      <c r="R446" s="26" t="s">
        <v>613</v>
      </c>
      <c r="S446" s="27">
        <v>9000</v>
      </c>
      <c r="T446" s="28" t="s">
        <v>27</v>
      </c>
      <c r="U446" s="28" t="s">
        <v>28</v>
      </c>
      <c r="V446" s="28" t="s">
        <v>29</v>
      </c>
      <c r="W446" s="28" t="s">
        <v>52</v>
      </c>
    </row>
    <row r="447" spans="1:23" ht="15" customHeight="1" x14ac:dyDescent="0.25">
      <c r="A447" s="20" t="s">
        <v>702</v>
      </c>
      <c r="B447" s="20" t="s">
        <v>602</v>
      </c>
      <c r="C447" s="20">
        <v>46290</v>
      </c>
      <c r="D447" s="21" t="s">
        <v>703</v>
      </c>
      <c r="E447" s="34">
        <v>4432</v>
      </c>
      <c r="F447" s="21">
        <v>5020319</v>
      </c>
      <c r="G447" s="21">
        <v>110315</v>
      </c>
      <c r="H447" s="21" t="s">
        <v>664</v>
      </c>
      <c r="I447" s="21" t="s">
        <v>113</v>
      </c>
      <c r="J447" s="21" t="s">
        <v>41</v>
      </c>
      <c r="K447" s="21">
        <v>182</v>
      </c>
      <c r="L447" s="29">
        <v>92</v>
      </c>
      <c r="M447" s="23" t="s">
        <v>676</v>
      </c>
      <c r="N447" s="21" t="s">
        <v>25</v>
      </c>
      <c r="O447" s="25">
        <v>46296</v>
      </c>
      <c r="P447" s="21" t="s">
        <v>398</v>
      </c>
      <c r="Q447" s="21" t="s">
        <v>471</v>
      </c>
      <c r="R447" s="26" t="s">
        <v>613</v>
      </c>
      <c r="S447" s="27">
        <v>8820</v>
      </c>
      <c r="T447" s="28" t="s">
        <v>27</v>
      </c>
      <c r="U447" s="28" t="s">
        <v>28</v>
      </c>
      <c r="V447" s="28" t="s">
        <v>29</v>
      </c>
      <c r="W447" s="28" t="s">
        <v>52</v>
      </c>
    </row>
    <row r="448" spans="1:23" ht="15" customHeight="1" x14ac:dyDescent="0.25">
      <c r="A448" s="20" t="s">
        <v>702</v>
      </c>
      <c r="B448" s="20" t="s">
        <v>602</v>
      </c>
      <c r="C448" s="20">
        <v>46290</v>
      </c>
      <c r="D448" s="21" t="s">
        <v>703</v>
      </c>
      <c r="E448" s="34">
        <v>4432</v>
      </c>
      <c r="F448" s="21">
        <v>5020319</v>
      </c>
      <c r="G448" s="21">
        <v>110315</v>
      </c>
      <c r="H448" s="21" t="s">
        <v>664</v>
      </c>
      <c r="I448" s="21" t="s">
        <v>113</v>
      </c>
      <c r="J448" s="21" t="s">
        <v>41</v>
      </c>
      <c r="K448" s="21">
        <v>182</v>
      </c>
      <c r="L448" s="29">
        <v>92</v>
      </c>
      <c r="M448" s="23" t="s">
        <v>677</v>
      </c>
      <c r="N448" s="21" t="s">
        <v>25</v>
      </c>
      <c r="O448" s="25">
        <v>46296</v>
      </c>
      <c r="P448" s="21" t="s">
        <v>398</v>
      </c>
      <c r="Q448" s="21" t="s">
        <v>471</v>
      </c>
      <c r="R448" s="26" t="s">
        <v>613</v>
      </c>
      <c r="S448" s="27">
        <v>14000</v>
      </c>
      <c r="T448" s="28" t="s">
        <v>27</v>
      </c>
      <c r="U448" s="28" t="s">
        <v>28</v>
      </c>
      <c r="V448" s="28" t="s">
        <v>29</v>
      </c>
      <c r="W448" s="28" t="s">
        <v>52</v>
      </c>
    </row>
    <row r="449" spans="1:23" ht="15" customHeight="1" x14ac:dyDescent="0.25">
      <c r="A449" s="20" t="s">
        <v>702</v>
      </c>
      <c r="B449" s="20" t="s">
        <v>602</v>
      </c>
      <c r="C449" s="20">
        <v>46290</v>
      </c>
      <c r="D449" s="21" t="s">
        <v>703</v>
      </c>
      <c r="E449" s="34">
        <v>4464</v>
      </c>
      <c r="F449" s="21">
        <v>5259915</v>
      </c>
      <c r="G449" s="21">
        <v>166008</v>
      </c>
      <c r="H449" s="21" t="s">
        <v>665</v>
      </c>
      <c r="I449" s="21" t="s">
        <v>23</v>
      </c>
      <c r="J449" s="21" t="s">
        <v>618</v>
      </c>
      <c r="K449" s="21">
        <v>192</v>
      </c>
      <c r="L449" s="29">
        <v>93</v>
      </c>
      <c r="M449" s="23" t="s">
        <v>678</v>
      </c>
      <c r="N449" s="21" t="s">
        <v>25</v>
      </c>
      <c r="O449" s="25">
        <v>46296</v>
      </c>
      <c r="P449" s="21" t="s">
        <v>398</v>
      </c>
      <c r="Q449" s="21" t="s">
        <v>49</v>
      </c>
      <c r="R449" s="26" t="s">
        <v>400</v>
      </c>
      <c r="S449" s="27">
        <v>4974</v>
      </c>
      <c r="T449" s="28" t="s">
        <v>27</v>
      </c>
      <c r="U449" s="28" t="s">
        <v>28</v>
      </c>
      <c r="V449" s="28" t="s">
        <v>29</v>
      </c>
      <c r="W449" s="28" t="s">
        <v>52</v>
      </c>
    </row>
    <row r="450" spans="1:23" ht="15" customHeight="1" x14ac:dyDescent="0.25">
      <c r="A450" s="20" t="s">
        <v>702</v>
      </c>
      <c r="B450" s="20" t="s">
        <v>602</v>
      </c>
      <c r="C450" s="20">
        <v>46290</v>
      </c>
      <c r="D450" s="21" t="s">
        <v>703</v>
      </c>
      <c r="E450" s="34">
        <v>4437</v>
      </c>
      <c r="F450" s="21">
        <v>5231303</v>
      </c>
      <c r="G450" s="21">
        <v>167018</v>
      </c>
      <c r="H450" s="21" t="s">
        <v>104</v>
      </c>
      <c r="I450" s="21" t="s">
        <v>37</v>
      </c>
      <c r="J450" s="21" t="s">
        <v>105</v>
      </c>
      <c r="K450" s="21">
        <v>189</v>
      </c>
      <c r="L450" s="29">
        <v>93</v>
      </c>
      <c r="M450" s="23" t="s">
        <v>492</v>
      </c>
      <c r="N450" s="21" t="s">
        <v>25</v>
      </c>
      <c r="O450" s="25">
        <v>46296</v>
      </c>
      <c r="P450" s="21" t="s">
        <v>398</v>
      </c>
      <c r="Q450" s="21" t="s">
        <v>423</v>
      </c>
      <c r="R450" s="26" t="s">
        <v>432</v>
      </c>
      <c r="S450" s="27">
        <v>5000</v>
      </c>
      <c r="T450" s="28" t="s">
        <v>27</v>
      </c>
      <c r="U450" s="28" t="s">
        <v>28</v>
      </c>
      <c r="V450" s="28" t="s">
        <v>29</v>
      </c>
      <c r="W450" s="28" t="s">
        <v>52</v>
      </c>
    </row>
    <row r="451" spans="1:23" ht="15" customHeight="1" x14ac:dyDescent="0.25">
      <c r="A451" s="20" t="s">
        <v>702</v>
      </c>
      <c r="B451" s="20" t="s">
        <v>602</v>
      </c>
      <c r="C451" s="20">
        <v>46290</v>
      </c>
      <c r="D451" s="21" t="s">
        <v>703</v>
      </c>
      <c r="E451" s="34">
        <v>17872</v>
      </c>
      <c r="F451" s="21">
        <v>5226350</v>
      </c>
      <c r="G451" s="21">
        <v>184821</v>
      </c>
      <c r="H451" s="21" t="s">
        <v>666</v>
      </c>
      <c r="I451" s="21" t="s">
        <v>483</v>
      </c>
      <c r="J451" s="21" t="s">
        <v>679</v>
      </c>
      <c r="K451" s="21">
        <v>756</v>
      </c>
      <c r="L451" s="29">
        <v>93</v>
      </c>
      <c r="M451" s="23" t="s">
        <v>680</v>
      </c>
      <c r="N451" s="21" t="s">
        <v>25</v>
      </c>
      <c r="O451" s="25">
        <v>46296</v>
      </c>
      <c r="P451" s="21" t="s">
        <v>398</v>
      </c>
      <c r="Q451" s="21" t="s">
        <v>485</v>
      </c>
      <c r="R451" s="26" t="s">
        <v>485</v>
      </c>
      <c r="S451" s="27">
        <v>1536</v>
      </c>
      <c r="T451" s="28" t="s">
        <v>27</v>
      </c>
      <c r="U451" s="28" t="s">
        <v>50</v>
      </c>
      <c r="V451" s="28" t="s">
        <v>51</v>
      </c>
      <c r="W451" s="28" t="s">
        <v>60</v>
      </c>
    </row>
    <row r="452" spans="1:23" ht="15" customHeight="1" x14ac:dyDescent="0.25">
      <c r="A452" s="20" t="s">
        <v>702</v>
      </c>
      <c r="B452" s="20" t="s">
        <v>602</v>
      </c>
      <c r="C452" s="20">
        <v>46290</v>
      </c>
      <c r="D452" s="21" t="s">
        <v>703</v>
      </c>
      <c r="E452" s="34">
        <v>4465</v>
      </c>
      <c r="F452" s="21">
        <v>5040108</v>
      </c>
      <c r="G452" s="21">
        <v>123355</v>
      </c>
      <c r="H452" s="21" t="s">
        <v>667</v>
      </c>
      <c r="I452" s="21" t="s">
        <v>37</v>
      </c>
      <c r="J452" s="21" t="s">
        <v>105</v>
      </c>
      <c r="K452" s="21">
        <v>189</v>
      </c>
      <c r="L452" s="29">
        <v>92</v>
      </c>
      <c r="M452" s="23" t="s">
        <v>681</v>
      </c>
      <c r="N452" s="21" t="s">
        <v>25</v>
      </c>
      <c r="O452" s="25">
        <v>46296</v>
      </c>
      <c r="P452" s="21" t="s">
        <v>398</v>
      </c>
      <c r="Q452" s="21" t="s">
        <v>423</v>
      </c>
      <c r="R452" s="26" t="s">
        <v>427</v>
      </c>
      <c r="S452" s="27">
        <v>15000</v>
      </c>
      <c r="T452" s="28" t="s">
        <v>27</v>
      </c>
      <c r="U452" s="28" t="s">
        <v>28</v>
      </c>
      <c r="V452" s="28" t="s">
        <v>29</v>
      </c>
      <c r="W452" s="28" t="s">
        <v>126</v>
      </c>
    </row>
    <row r="453" spans="1:23" ht="15" customHeight="1" x14ac:dyDescent="0.25">
      <c r="A453" s="20" t="s">
        <v>702</v>
      </c>
      <c r="B453" s="20" t="s">
        <v>602</v>
      </c>
      <c r="C453" s="20">
        <v>46290</v>
      </c>
      <c r="D453" s="21" t="s">
        <v>703</v>
      </c>
      <c r="E453" s="34">
        <v>4466</v>
      </c>
      <c r="F453" s="21">
        <v>5070522</v>
      </c>
      <c r="G453" s="21">
        <v>143311</v>
      </c>
      <c r="H453" s="21" t="s">
        <v>66</v>
      </c>
      <c r="I453" s="21" t="s">
        <v>23</v>
      </c>
      <c r="J453" s="21" t="s">
        <v>618</v>
      </c>
      <c r="K453" s="21">
        <v>192</v>
      </c>
      <c r="L453" s="29">
        <v>91</v>
      </c>
      <c r="M453" s="23" t="s">
        <v>682</v>
      </c>
      <c r="N453" s="21" t="s">
        <v>25</v>
      </c>
      <c r="O453" s="25">
        <v>46296</v>
      </c>
      <c r="P453" s="21" t="s">
        <v>398</v>
      </c>
      <c r="Q453" s="21" t="s">
        <v>49</v>
      </c>
      <c r="R453" s="26" t="s">
        <v>400</v>
      </c>
      <c r="S453" s="27">
        <v>2370</v>
      </c>
      <c r="T453" s="28" t="s">
        <v>27</v>
      </c>
      <c r="U453" s="28" t="s">
        <v>28</v>
      </c>
      <c r="V453" s="28" t="s">
        <v>29</v>
      </c>
      <c r="W453" s="28" t="s">
        <v>126</v>
      </c>
    </row>
    <row r="454" spans="1:23" ht="15" customHeight="1" x14ac:dyDescent="0.25">
      <c r="A454" s="20" t="s">
        <v>702</v>
      </c>
      <c r="B454" s="20" t="s">
        <v>602</v>
      </c>
      <c r="C454" s="20">
        <v>46290</v>
      </c>
      <c r="D454" s="21" t="s">
        <v>703</v>
      </c>
      <c r="E454" s="34">
        <v>4467</v>
      </c>
      <c r="F454" s="21">
        <v>5115019</v>
      </c>
      <c r="G454" s="21">
        <v>123456</v>
      </c>
      <c r="H454" s="21" t="s">
        <v>668</v>
      </c>
      <c r="I454" s="21" t="s">
        <v>37</v>
      </c>
      <c r="J454" s="21" t="s">
        <v>105</v>
      </c>
      <c r="K454" s="21">
        <v>189</v>
      </c>
      <c r="L454" s="29">
        <v>92</v>
      </c>
      <c r="M454" s="23" t="s">
        <v>683</v>
      </c>
      <c r="N454" s="21" t="s">
        <v>25</v>
      </c>
      <c r="O454" s="25">
        <v>46296</v>
      </c>
      <c r="P454" s="21" t="s">
        <v>398</v>
      </c>
      <c r="Q454" s="21" t="s">
        <v>423</v>
      </c>
      <c r="R454" s="26" t="s">
        <v>425</v>
      </c>
      <c r="S454" s="27">
        <v>32500</v>
      </c>
      <c r="T454" s="28" t="s">
        <v>27</v>
      </c>
      <c r="U454" s="28" t="s">
        <v>28</v>
      </c>
      <c r="V454" s="28" t="s">
        <v>29</v>
      </c>
      <c r="W454" s="28" t="s">
        <v>126</v>
      </c>
    </row>
    <row r="455" spans="1:23" ht="15" customHeight="1" x14ac:dyDescent="0.25">
      <c r="A455" s="20" t="s">
        <v>702</v>
      </c>
      <c r="B455" s="20" t="s">
        <v>602</v>
      </c>
      <c r="C455" s="20">
        <v>46290</v>
      </c>
      <c r="D455" s="21" t="s">
        <v>703</v>
      </c>
      <c r="E455" s="34">
        <v>4468</v>
      </c>
      <c r="F455" s="21">
        <v>5178518</v>
      </c>
      <c r="G455" s="21">
        <v>142230</v>
      </c>
      <c r="H455" s="21" t="s">
        <v>499</v>
      </c>
      <c r="I455" s="21" t="s">
        <v>37</v>
      </c>
      <c r="J455" s="21" t="s">
        <v>105</v>
      </c>
      <c r="K455" s="21">
        <v>189</v>
      </c>
      <c r="L455" s="29">
        <v>92</v>
      </c>
      <c r="M455" s="23" t="s">
        <v>684</v>
      </c>
      <c r="N455" s="21" t="s">
        <v>25</v>
      </c>
      <c r="O455" s="25">
        <v>46296</v>
      </c>
      <c r="P455" s="21" t="s">
        <v>398</v>
      </c>
      <c r="Q455" s="21" t="s">
        <v>423</v>
      </c>
      <c r="R455" s="26" t="s">
        <v>432</v>
      </c>
      <c r="S455" s="27">
        <v>2000</v>
      </c>
      <c r="T455" s="28" t="s">
        <v>27</v>
      </c>
      <c r="U455" s="28" t="s">
        <v>28</v>
      </c>
      <c r="V455" s="28" t="s">
        <v>29</v>
      </c>
      <c r="W455" s="28" t="s">
        <v>35</v>
      </c>
    </row>
    <row r="456" spans="1:23" ht="15" customHeight="1" x14ac:dyDescent="0.25">
      <c r="A456" s="20" t="s">
        <v>702</v>
      </c>
      <c r="B456" s="20" t="s">
        <v>602</v>
      </c>
      <c r="C456" s="20">
        <v>46290</v>
      </c>
      <c r="D456" s="21" t="s">
        <v>703</v>
      </c>
      <c r="E456" s="34">
        <v>3938</v>
      </c>
      <c r="F456" s="21">
        <v>5161469</v>
      </c>
      <c r="G456" s="21">
        <v>141489</v>
      </c>
      <c r="H456" s="21" t="s">
        <v>368</v>
      </c>
      <c r="I456" s="21" t="s">
        <v>37</v>
      </c>
      <c r="J456" s="21">
        <v>6169</v>
      </c>
      <c r="K456" s="21">
        <v>689</v>
      </c>
      <c r="L456" s="29">
        <v>93</v>
      </c>
      <c r="M456" s="23" t="s">
        <v>581</v>
      </c>
      <c r="N456" s="21" t="s">
        <v>25</v>
      </c>
      <c r="O456" s="25">
        <v>46296</v>
      </c>
      <c r="P456" s="21" t="s">
        <v>398</v>
      </c>
      <c r="Q456" s="21" t="s">
        <v>423</v>
      </c>
      <c r="R456" s="26" t="s">
        <v>432</v>
      </c>
      <c r="S456" s="27">
        <v>2000</v>
      </c>
      <c r="T456" s="28" t="s">
        <v>27</v>
      </c>
      <c r="U456" s="28" t="s">
        <v>28</v>
      </c>
      <c r="V456" s="28" t="s">
        <v>29</v>
      </c>
      <c r="W456" s="28" t="s">
        <v>126</v>
      </c>
    </row>
    <row r="457" spans="1:23" ht="15" customHeight="1" x14ac:dyDescent="0.25">
      <c r="A457" s="20" t="s">
        <v>702</v>
      </c>
      <c r="B457" s="20" t="s">
        <v>602</v>
      </c>
      <c r="C457" s="20">
        <v>46290</v>
      </c>
      <c r="D457" s="21" t="s">
        <v>703</v>
      </c>
      <c r="E457" s="34">
        <v>4439</v>
      </c>
      <c r="F457" s="21">
        <v>5017576</v>
      </c>
      <c r="G457" s="21">
        <v>116132</v>
      </c>
      <c r="H457" s="21" t="s">
        <v>493</v>
      </c>
      <c r="I457" s="21" t="s">
        <v>32</v>
      </c>
      <c r="J457" s="21" t="s">
        <v>105</v>
      </c>
      <c r="K457" s="21">
        <v>190</v>
      </c>
      <c r="L457" s="29">
        <v>92</v>
      </c>
      <c r="M457" s="23" t="s">
        <v>685</v>
      </c>
      <c r="N457" s="21" t="s">
        <v>25</v>
      </c>
      <c r="O457" s="25">
        <v>46296</v>
      </c>
      <c r="P457" s="21" t="s">
        <v>398</v>
      </c>
      <c r="Q457" s="21" t="s">
        <v>423</v>
      </c>
      <c r="R457" s="26" t="s">
        <v>424</v>
      </c>
      <c r="S457" s="27">
        <v>21091</v>
      </c>
      <c r="T457" s="28" t="s">
        <v>27</v>
      </c>
      <c r="U457" s="28" t="s">
        <v>28</v>
      </c>
      <c r="V457" s="28" t="s">
        <v>29</v>
      </c>
      <c r="W457" s="28" t="s">
        <v>686</v>
      </c>
    </row>
    <row r="458" spans="1:23" ht="15" customHeight="1" x14ac:dyDescent="0.25">
      <c r="A458" s="20" t="s">
        <v>702</v>
      </c>
      <c r="B458" s="20" t="s">
        <v>602</v>
      </c>
      <c r="C458" s="20">
        <v>46290</v>
      </c>
      <c r="D458" s="21" t="s">
        <v>703</v>
      </c>
      <c r="E458" s="34">
        <v>3966</v>
      </c>
      <c r="F458" s="21">
        <v>5020352</v>
      </c>
      <c r="G458" s="21">
        <v>127298</v>
      </c>
      <c r="H458" s="21" t="s">
        <v>124</v>
      </c>
      <c r="I458" s="21" t="s">
        <v>23</v>
      </c>
      <c r="J458" s="21" t="s">
        <v>618</v>
      </c>
      <c r="K458" s="21">
        <v>192</v>
      </c>
      <c r="L458" s="29">
        <v>92</v>
      </c>
      <c r="M458" s="23" t="s">
        <v>687</v>
      </c>
      <c r="N458" s="21" t="s">
        <v>25</v>
      </c>
      <c r="O458" s="25">
        <v>46296</v>
      </c>
      <c r="P458" s="21" t="s">
        <v>398</v>
      </c>
      <c r="Q458" s="21" t="s">
        <v>49</v>
      </c>
      <c r="R458" s="26" t="s">
        <v>400</v>
      </c>
      <c r="S458" s="27">
        <v>4000</v>
      </c>
      <c r="T458" s="28" t="s">
        <v>27</v>
      </c>
      <c r="U458" s="28" t="s">
        <v>28</v>
      </c>
      <c r="V458" s="28" t="s">
        <v>29</v>
      </c>
      <c r="W458" s="28" t="s">
        <v>126</v>
      </c>
    </row>
    <row r="459" spans="1:23" ht="15" customHeight="1" x14ac:dyDescent="0.25">
      <c r="A459" s="20" t="s">
        <v>702</v>
      </c>
      <c r="B459" s="20" t="s">
        <v>602</v>
      </c>
      <c r="C459" s="20">
        <v>46290</v>
      </c>
      <c r="D459" s="21" t="s">
        <v>703</v>
      </c>
      <c r="E459" s="34">
        <v>3967</v>
      </c>
      <c r="F459" s="21">
        <v>5020347</v>
      </c>
      <c r="G459" s="21">
        <v>112787</v>
      </c>
      <c r="H459" s="21" t="s">
        <v>129</v>
      </c>
      <c r="I459" s="21" t="s">
        <v>23</v>
      </c>
      <c r="J459" s="21" t="s">
        <v>618</v>
      </c>
      <c r="K459" s="21">
        <v>192</v>
      </c>
      <c r="L459" s="29">
        <v>92</v>
      </c>
      <c r="M459" s="23" t="s">
        <v>688</v>
      </c>
      <c r="N459" s="21" t="s">
        <v>25</v>
      </c>
      <c r="O459" s="25">
        <v>46296</v>
      </c>
      <c r="P459" s="21" t="s">
        <v>398</v>
      </c>
      <c r="Q459" s="21" t="s">
        <v>49</v>
      </c>
      <c r="R459" s="26" t="s">
        <v>400</v>
      </c>
      <c r="S459" s="27">
        <v>17200</v>
      </c>
      <c r="T459" s="28" t="s">
        <v>27</v>
      </c>
      <c r="U459" s="28" t="s">
        <v>28</v>
      </c>
      <c r="V459" s="28" t="s">
        <v>29</v>
      </c>
      <c r="W459" s="28" t="s">
        <v>126</v>
      </c>
    </row>
    <row r="460" spans="1:23" ht="15" customHeight="1" x14ac:dyDescent="0.25">
      <c r="A460" s="20" t="s">
        <v>702</v>
      </c>
      <c r="B460" s="20" t="s">
        <v>602</v>
      </c>
      <c r="C460" s="20">
        <v>46290</v>
      </c>
      <c r="D460" s="21" t="s">
        <v>703</v>
      </c>
      <c r="E460" s="34">
        <v>4469</v>
      </c>
      <c r="F460" s="21">
        <v>5115019</v>
      </c>
      <c r="G460" s="21">
        <v>123456</v>
      </c>
      <c r="H460" s="21" t="s">
        <v>668</v>
      </c>
      <c r="I460" s="21" t="s">
        <v>37</v>
      </c>
      <c r="J460" s="21" t="s">
        <v>105</v>
      </c>
      <c r="K460" s="21">
        <v>189</v>
      </c>
      <c r="L460" s="29">
        <v>92</v>
      </c>
      <c r="M460" s="23" t="s">
        <v>689</v>
      </c>
      <c r="N460" s="21" t="s">
        <v>25</v>
      </c>
      <c r="O460" s="25">
        <v>46296</v>
      </c>
      <c r="P460" s="21" t="s">
        <v>398</v>
      </c>
      <c r="Q460" s="21" t="s">
        <v>423</v>
      </c>
      <c r="R460" s="26" t="s">
        <v>425</v>
      </c>
      <c r="S460" s="27">
        <v>3386</v>
      </c>
      <c r="T460" s="28" t="s">
        <v>27</v>
      </c>
      <c r="U460" s="28" t="s">
        <v>28</v>
      </c>
      <c r="V460" s="28" t="s">
        <v>29</v>
      </c>
      <c r="W460" s="28" t="s">
        <v>97</v>
      </c>
    </row>
    <row r="461" spans="1:23" ht="15" customHeight="1" x14ac:dyDescent="0.25">
      <c r="A461" s="20" t="s">
        <v>702</v>
      </c>
      <c r="B461" s="20" t="s">
        <v>602</v>
      </c>
      <c r="C461" s="20">
        <v>46290</v>
      </c>
      <c r="D461" s="21" t="s">
        <v>703</v>
      </c>
      <c r="E461" s="34">
        <v>4470</v>
      </c>
      <c r="F461" s="21">
        <v>5340656</v>
      </c>
      <c r="G461" s="21">
        <v>184833</v>
      </c>
      <c r="H461" s="21" t="s">
        <v>529</v>
      </c>
      <c r="I461" s="21" t="s">
        <v>23</v>
      </c>
      <c r="J461" s="21" t="s">
        <v>618</v>
      </c>
      <c r="K461" s="21">
        <v>192</v>
      </c>
      <c r="L461" s="29">
        <v>93</v>
      </c>
      <c r="M461" s="23" t="s">
        <v>690</v>
      </c>
      <c r="N461" s="21" t="s">
        <v>25</v>
      </c>
      <c r="O461" s="25">
        <v>46296</v>
      </c>
      <c r="P461" s="21" t="s">
        <v>398</v>
      </c>
      <c r="Q461" s="21" t="s">
        <v>49</v>
      </c>
      <c r="R461" s="26" t="s">
        <v>400</v>
      </c>
      <c r="S461" s="27">
        <v>1509</v>
      </c>
      <c r="T461" s="28" t="s">
        <v>27</v>
      </c>
      <c r="U461" s="28" t="s">
        <v>28</v>
      </c>
      <c r="V461" s="28" t="s">
        <v>29</v>
      </c>
      <c r="W461" s="28" t="s">
        <v>126</v>
      </c>
    </row>
    <row r="462" spans="1:23" ht="15" customHeight="1" x14ac:dyDescent="0.25">
      <c r="A462" s="20" t="s">
        <v>702</v>
      </c>
      <c r="B462" s="20" t="s">
        <v>602</v>
      </c>
      <c r="C462" s="20">
        <v>46290</v>
      </c>
      <c r="D462" s="21" t="s">
        <v>204</v>
      </c>
      <c r="E462" s="34"/>
      <c r="F462" s="21">
        <v>5026399</v>
      </c>
      <c r="G462" s="21">
        <v>116247</v>
      </c>
      <c r="H462" s="21" t="s">
        <v>119</v>
      </c>
      <c r="I462" s="21" t="s">
        <v>37</v>
      </c>
      <c r="J462" s="21" t="s">
        <v>105</v>
      </c>
      <c r="K462" s="21">
        <v>189</v>
      </c>
      <c r="L462" s="29">
        <v>92</v>
      </c>
      <c r="M462" s="23" t="s">
        <v>691</v>
      </c>
      <c r="N462" s="34" t="s">
        <v>25</v>
      </c>
      <c r="O462" s="24">
        <v>46296</v>
      </c>
      <c r="P462" s="21" t="s">
        <v>398</v>
      </c>
      <c r="Q462" s="21" t="s">
        <v>423</v>
      </c>
      <c r="R462" s="26" t="s">
        <v>425</v>
      </c>
      <c r="S462" s="27">
        <v>62773</v>
      </c>
      <c r="T462" s="28" t="s">
        <v>27</v>
      </c>
      <c r="U462" s="28" t="s">
        <v>28</v>
      </c>
      <c r="V462" s="28" t="s">
        <v>29</v>
      </c>
      <c r="W462" s="28" t="s">
        <v>204</v>
      </c>
    </row>
    <row r="463" spans="1:23" ht="15" customHeight="1" x14ac:dyDescent="0.25">
      <c r="A463" s="28" t="s">
        <v>702</v>
      </c>
      <c r="B463" s="28" t="s">
        <v>602</v>
      </c>
      <c r="C463" s="20">
        <v>46290</v>
      </c>
      <c r="D463" s="21" t="s">
        <v>703</v>
      </c>
      <c r="E463" s="21">
        <v>4616</v>
      </c>
      <c r="F463" s="21">
        <v>5043976</v>
      </c>
      <c r="G463" s="21">
        <v>120904</v>
      </c>
      <c r="H463" s="21" t="s">
        <v>693</v>
      </c>
      <c r="I463" s="21" t="s">
        <v>196</v>
      </c>
      <c r="J463" s="21" t="s">
        <v>41</v>
      </c>
      <c r="K463" s="21">
        <v>183</v>
      </c>
      <c r="L463" s="29">
        <v>93</v>
      </c>
      <c r="M463" s="35" t="s">
        <v>697</v>
      </c>
      <c r="N463" s="24" t="s">
        <v>465</v>
      </c>
      <c r="O463" s="24" t="s">
        <v>465</v>
      </c>
      <c r="P463" s="21" t="s">
        <v>398</v>
      </c>
      <c r="Q463" s="21" t="s">
        <v>471</v>
      </c>
      <c r="R463" s="37" t="s">
        <v>812</v>
      </c>
      <c r="S463" s="27">
        <v>2000</v>
      </c>
      <c r="T463" s="28" t="s">
        <v>27</v>
      </c>
      <c r="U463" s="28" t="s">
        <v>28</v>
      </c>
      <c r="V463" s="28" t="s">
        <v>29</v>
      </c>
      <c r="W463" s="28" t="s">
        <v>52</v>
      </c>
    </row>
    <row r="464" spans="1:23" ht="15" customHeight="1" x14ac:dyDescent="0.25">
      <c r="A464" s="28" t="s">
        <v>702</v>
      </c>
      <c r="B464" s="28" t="s">
        <v>694</v>
      </c>
      <c r="C464" s="20">
        <v>46273</v>
      </c>
      <c r="D464" s="21" t="s">
        <v>703</v>
      </c>
      <c r="E464" s="21">
        <v>19317</v>
      </c>
      <c r="F464" s="21">
        <v>5370267</v>
      </c>
      <c r="G464" s="21"/>
      <c r="H464" s="21" t="s">
        <v>695</v>
      </c>
      <c r="I464" s="21" t="s">
        <v>23</v>
      </c>
      <c r="J464" s="21" t="s">
        <v>47</v>
      </c>
      <c r="K464" s="21">
        <v>722</v>
      </c>
      <c r="L464" s="29">
        <v>91</v>
      </c>
      <c r="M464" s="35" t="s">
        <v>698</v>
      </c>
      <c r="N464" s="24" t="s">
        <v>25</v>
      </c>
      <c r="O464" s="24">
        <v>46302</v>
      </c>
      <c r="P464" s="21" t="s">
        <v>398</v>
      </c>
      <c r="Q464" s="21" t="s">
        <v>26</v>
      </c>
      <c r="R464" s="37" t="s">
        <v>26</v>
      </c>
      <c r="S464" s="27">
        <v>8000</v>
      </c>
      <c r="T464" s="28" t="s">
        <v>27</v>
      </c>
      <c r="U464" s="28" t="s">
        <v>50</v>
      </c>
      <c r="V464" s="28" t="s">
        <v>51</v>
      </c>
      <c r="W464" s="28" t="s">
        <v>97</v>
      </c>
    </row>
    <row r="465" spans="1:23" ht="15" customHeight="1" x14ac:dyDescent="0.25">
      <c r="A465" s="28" t="s">
        <v>702</v>
      </c>
      <c r="B465" s="28" t="s">
        <v>694</v>
      </c>
      <c r="C465" s="20">
        <v>46297</v>
      </c>
      <c r="D465" s="21" t="s">
        <v>703</v>
      </c>
      <c r="E465" s="21">
        <v>19317</v>
      </c>
      <c r="F465" s="21">
        <v>5370267</v>
      </c>
      <c r="G465" s="21"/>
      <c r="H465" s="21" t="s">
        <v>695</v>
      </c>
      <c r="I465" s="21" t="s">
        <v>23</v>
      </c>
      <c r="J465" s="21" t="s">
        <v>47</v>
      </c>
      <c r="K465" s="21">
        <v>722</v>
      </c>
      <c r="L465" s="29">
        <v>91</v>
      </c>
      <c r="M465" s="35" t="s">
        <v>698</v>
      </c>
      <c r="N465" s="24" t="s">
        <v>25</v>
      </c>
      <c r="O465" s="24">
        <v>46302</v>
      </c>
      <c r="P465" s="21" t="s">
        <v>398</v>
      </c>
      <c r="Q465" s="21" t="s">
        <v>26</v>
      </c>
      <c r="R465" s="37" t="s">
        <v>26</v>
      </c>
      <c r="S465" s="27">
        <v>30000</v>
      </c>
      <c r="T465" s="28" t="s">
        <v>27</v>
      </c>
      <c r="U465" s="28" t="s">
        <v>50</v>
      </c>
      <c r="V465" s="28" t="s">
        <v>51</v>
      </c>
      <c r="W465" s="28" t="s">
        <v>97</v>
      </c>
    </row>
    <row r="466" spans="1:23" ht="15" customHeight="1" x14ac:dyDescent="0.25">
      <c r="A466" s="28" t="s">
        <v>702</v>
      </c>
      <c r="B466" s="28" t="s">
        <v>694</v>
      </c>
      <c r="C466" s="20">
        <v>46297</v>
      </c>
      <c r="D466" s="21" t="s">
        <v>703</v>
      </c>
      <c r="E466" s="21">
        <v>5128</v>
      </c>
      <c r="F466" s="21">
        <v>5199893</v>
      </c>
      <c r="G466" s="21">
        <v>182687</v>
      </c>
      <c r="H466" s="21" t="s">
        <v>696</v>
      </c>
      <c r="I466" s="21" t="s">
        <v>483</v>
      </c>
      <c r="J466" s="21" t="s">
        <v>218</v>
      </c>
      <c r="K466" s="21">
        <v>193</v>
      </c>
      <c r="L466" s="29">
        <v>93</v>
      </c>
      <c r="M466" s="35" t="s">
        <v>699</v>
      </c>
      <c r="N466" s="24" t="s">
        <v>465</v>
      </c>
      <c r="O466" s="24" t="s">
        <v>465</v>
      </c>
      <c r="P466" s="21" t="s">
        <v>398</v>
      </c>
      <c r="Q466" s="21" t="s">
        <v>485</v>
      </c>
      <c r="R466" s="37" t="s">
        <v>485</v>
      </c>
      <c r="S466" s="27">
        <v>384</v>
      </c>
      <c r="T466" s="28" t="s">
        <v>27</v>
      </c>
      <c r="U466" s="28" t="s">
        <v>28</v>
      </c>
      <c r="V466" s="28" t="s">
        <v>29</v>
      </c>
      <c r="W466" s="28" t="s">
        <v>52</v>
      </c>
    </row>
    <row r="467" spans="1:23" ht="15" customHeight="1" x14ac:dyDescent="0.25">
      <c r="A467" s="28" t="s">
        <v>702</v>
      </c>
      <c r="B467" s="28" t="s">
        <v>694</v>
      </c>
      <c r="C467" s="20">
        <v>46297</v>
      </c>
      <c r="D467" s="21" t="s">
        <v>703</v>
      </c>
      <c r="E467" s="21">
        <v>5129</v>
      </c>
      <c r="F467" s="21">
        <v>5004685</v>
      </c>
      <c r="G467" s="21">
        <v>110434</v>
      </c>
      <c r="H467" s="21" t="s">
        <v>116</v>
      </c>
      <c r="I467" s="21" t="s">
        <v>23</v>
      </c>
      <c r="J467" s="21" t="s">
        <v>618</v>
      </c>
      <c r="K467" s="21">
        <v>192</v>
      </c>
      <c r="L467" s="29">
        <v>92</v>
      </c>
      <c r="M467" s="35" t="s">
        <v>716</v>
      </c>
      <c r="N467" s="24" t="s">
        <v>465</v>
      </c>
      <c r="O467" s="24" t="s">
        <v>465</v>
      </c>
      <c r="P467" s="21" t="s">
        <v>398</v>
      </c>
      <c r="Q467" s="21" t="s">
        <v>49</v>
      </c>
      <c r="R467" s="37" t="s">
        <v>402</v>
      </c>
      <c r="S467" s="27">
        <v>12243.28</v>
      </c>
      <c r="T467" s="28" t="s">
        <v>27</v>
      </c>
      <c r="U467" s="28" t="s">
        <v>28</v>
      </c>
      <c r="V467" s="28" t="s">
        <v>29</v>
      </c>
      <c r="W467" s="28" t="s">
        <v>338</v>
      </c>
    </row>
    <row r="468" spans="1:23" ht="15" customHeight="1" x14ac:dyDescent="0.25">
      <c r="A468" s="28" t="s">
        <v>702</v>
      </c>
      <c r="B468" s="28" t="s">
        <v>694</v>
      </c>
      <c r="C468" s="20">
        <v>46297</v>
      </c>
      <c r="D468" s="21" t="s">
        <v>703</v>
      </c>
      <c r="E468" s="21">
        <v>5130</v>
      </c>
      <c r="F468" s="21">
        <v>5004685</v>
      </c>
      <c r="G468" s="21">
        <v>110434</v>
      </c>
      <c r="H468" s="21" t="s">
        <v>116</v>
      </c>
      <c r="I468" s="21" t="s">
        <v>23</v>
      </c>
      <c r="J468" s="21" t="s">
        <v>618</v>
      </c>
      <c r="K468" s="21">
        <v>192</v>
      </c>
      <c r="L468" s="29">
        <v>92</v>
      </c>
      <c r="M468" s="35" t="s">
        <v>700</v>
      </c>
      <c r="N468" s="24" t="s">
        <v>465</v>
      </c>
      <c r="O468" s="24" t="s">
        <v>465</v>
      </c>
      <c r="P468" s="21" t="s">
        <v>398</v>
      </c>
      <c r="Q468" s="21" t="s">
        <v>49</v>
      </c>
      <c r="R468" s="37" t="s">
        <v>402</v>
      </c>
      <c r="S468" s="27">
        <v>9.84</v>
      </c>
      <c r="T468" s="28" t="s">
        <v>27</v>
      </c>
      <c r="U468" s="28" t="s">
        <v>28</v>
      </c>
      <c r="V468" s="28" t="s">
        <v>29</v>
      </c>
      <c r="W468" s="28" t="s">
        <v>701</v>
      </c>
    </row>
    <row r="469" spans="1:23" ht="15" customHeight="1" x14ac:dyDescent="0.25">
      <c r="A469" s="28" t="s">
        <v>702</v>
      </c>
      <c r="B469" s="28" t="s">
        <v>694</v>
      </c>
      <c r="C469" s="20">
        <v>46304</v>
      </c>
      <c r="D469" s="21" t="s">
        <v>703</v>
      </c>
      <c r="E469" s="21">
        <v>5131</v>
      </c>
      <c r="F469" s="21">
        <v>5217293</v>
      </c>
      <c r="G469" s="21">
        <v>145966</v>
      </c>
      <c r="H469" s="21" t="s">
        <v>505</v>
      </c>
      <c r="I469" s="21" t="s">
        <v>23</v>
      </c>
      <c r="J469" s="21" t="s">
        <v>618</v>
      </c>
      <c r="K469" s="21">
        <v>192</v>
      </c>
      <c r="L469" s="29">
        <v>92</v>
      </c>
      <c r="M469" s="35" t="s">
        <v>704</v>
      </c>
      <c r="N469" s="24" t="s">
        <v>465</v>
      </c>
      <c r="O469" s="24" t="s">
        <v>465</v>
      </c>
      <c r="P469" s="21" t="s">
        <v>398</v>
      </c>
      <c r="Q469" s="21" t="s">
        <v>26</v>
      </c>
      <c r="R469" s="37" t="s">
        <v>607</v>
      </c>
      <c r="S469" s="27">
        <v>2222.2199999999998</v>
      </c>
      <c r="T469" s="28" t="s">
        <v>27</v>
      </c>
      <c r="U469" s="28" t="s">
        <v>28</v>
      </c>
      <c r="V469" s="28" t="s">
        <v>29</v>
      </c>
      <c r="W469" s="28" t="s">
        <v>35</v>
      </c>
    </row>
    <row r="470" spans="1:23" ht="15" customHeight="1" x14ac:dyDescent="0.25">
      <c r="A470" s="28" t="s">
        <v>702</v>
      </c>
      <c r="B470" s="28" t="s">
        <v>694</v>
      </c>
      <c r="C470" s="20">
        <v>46304</v>
      </c>
      <c r="D470" s="21" t="s">
        <v>703</v>
      </c>
      <c r="E470" s="21">
        <v>21635</v>
      </c>
      <c r="F470" s="21">
        <v>5173494</v>
      </c>
      <c r="G470" s="21">
        <v>185079</v>
      </c>
      <c r="H470" s="21" t="s">
        <v>547</v>
      </c>
      <c r="I470" s="21" t="s">
        <v>217</v>
      </c>
      <c r="J470" s="21" t="s">
        <v>596</v>
      </c>
      <c r="K470" s="21">
        <v>755</v>
      </c>
      <c r="L470" s="29">
        <v>93</v>
      </c>
      <c r="M470" s="35" t="s">
        <v>705</v>
      </c>
      <c r="N470" s="24" t="s">
        <v>465</v>
      </c>
      <c r="O470" s="24" t="s">
        <v>465</v>
      </c>
      <c r="P470" s="21" t="s">
        <v>398</v>
      </c>
      <c r="Q470" s="21" t="s">
        <v>485</v>
      </c>
      <c r="R470" s="37" t="s">
        <v>485</v>
      </c>
      <c r="S470" s="27">
        <v>402</v>
      </c>
      <c r="T470" s="28" t="s">
        <v>27</v>
      </c>
      <c r="U470" s="28" t="s">
        <v>50</v>
      </c>
      <c r="V470" s="28" t="s">
        <v>29</v>
      </c>
      <c r="W470" s="28" t="s">
        <v>60</v>
      </c>
    </row>
    <row r="471" spans="1:23" ht="15" customHeight="1" x14ac:dyDescent="0.25">
      <c r="A471" s="28" t="s">
        <v>702</v>
      </c>
      <c r="B471" s="28" t="s">
        <v>694</v>
      </c>
      <c r="C471" s="20">
        <v>46304</v>
      </c>
      <c r="D471" s="21" t="s">
        <v>703</v>
      </c>
      <c r="E471" s="21">
        <v>4383</v>
      </c>
      <c r="F471" s="21">
        <v>5131101</v>
      </c>
      <c r="G471" s="21">
        <v>167218</v>
      </c>
      <c r="H471" s="21" t="s">
        <v>164</v>
      </c>
      <c r="I471" s="21" t="s">
        <v>23</v>
      </c>
      <c r="J471" s="21">
        <v>6125</v>
      </c>
      <c r="K471" s="21">
        <v>692</v>
      </c>
      <c r="L471" s="29">
        <v>93</v>
      </c>
      <c r="M471" s="35" t="s">
        <v>706</v>
      </c>
      <c r="N471" s="24" t="s">
        <v>465</v>
      </c>
      <c r="O471" s="24" t="s">
        <v>465</v>
      </c>
      <c r="P471" s="21" t="s">
        <v>398</v>
      </c>
      <c r="Q471" s="21" t="s">
        <v>26</v>
      </c>
      <c r="R471" s="37" t="s">
        <v>607</v>
      </c>
      <c r="S471" s="27">
        <v>826.54</v>
      </c>
      <c r="T471" s="28" t="s">
        <v>27</v>
      </c>
      <c r="U471" s="28" t="s">
        <v>28</v>
      </c>
      <c r="V471" s="28" t="s">
        <v>29</v>
      </c>
      <c r="W471" s="28" t="s">
        <v>60</v>
      </c>
    </row>
    <row r="472" spans="1:23" ht="15" customHeight="1" x14ac:dyDescent="0.25">
      <c r="A472" s="28" t="s">
        <v>702</v>
      </c>
      <c r="B472" s="28" t="s">
        <v>694</v>
      </c>
      <c r="C472" s="20">
        <v>46304</v>
      </c>
      <c r="D472" s="21" t="s">
        <v>703</v>
      </c>
      <c r="E472" s="21">
        <v>4386</v>
      </c>
      <c r="F472" s="21">
        <v>5109682</v>
      </c>
      <c r="G472" s="21">
        <v>128100</v>
      </c>
      <c r="H472" s="21" t="s">
        <v>88</v>
      </c>
      <c r="I472" s="21" t="s">
        <v>23</v>
      </c>
      <c r="J472" s="21">
        <v>6125</v>
      </c>
      <c r="K472" s="21">
        <v>692</v>
      </c>
      <c r="L472" s="29">
        <v>93</v>
      </c>
      <c r="M472" s="35" t="s">
        <v>707</v>
      </c>
      <c r="N472" s="24" t="s">
        <v>465</v>
      </c>
      <c r="O472" s="24" t="s">
        <v>465</v>
      </c>
      <c r="P472" s="21" t="s">
        <v>398</v>
      </c>
      <c r="Q472" s="21" t="s">
        <v>26</v>
      </c>
      <c r="R472" s="37" t="s">
        <v>607</v>
      </c>
      <c r="S472" s="27">
        <v>10000</v>
      </c>
      <c r="T472" s="28" t="s">
        <v>27</v>
      </c>
      <c r="U472" s="28" t="s">
        <v>28</v>
      </c>
      <c r="V472" s="28" t="s">
        <v>29</v>
      </c>
      <c r="W472" s="28" t="s">
        <v>60</v>
      </c>
    </row>
    <row r="473" spans="1:23" ht="15" customHeight="1" x14ac:dyDescent="0.25">
      <c r="A473" s="28" t="s">
        <v>702</v>
      </c>
      <c r="B473" s="28" t="s">
        <v>694</v>
      </c>
      <c r="C473" s="20">
        <v>46304</v>
      </c>
      <c r="D473" s="21" t="s">
        <v>703</v>
      </c>
      <c r="E473" s="21">
        <v>5132</v>
      </c>
      <c r="F473" s="21">
        <v>5023831</v>
      </c>
      <c r="G473" s="21">
        <v>126676</v>
      </c>
      <c r="H473" s="21" t="s">
        <v>22</v>
      </c>
      <c r="I473" s="21" t="s">
        <v>23</v>
      </c>
      <c r="J473" s="21">
        <v>6125</v>
      </c>
      <c r="K473" s="21">
        <v>692</v>
      </c>
      <c r="L473" s="29">
        <v>93</v>
      </c>
      <c r="M473" s="35" t="s">
        <v>708</v>
      </c>
      <c r="N473" s="24" t="s">
        <v>465</v>
      </c>
      <c r="O473" s="24" t="s">
        <v>465</v>
      </c>
      <c r="P473" s="21" t="s">
        <v>398</v>
      </c>
      <c r="Q473" s="21" t="s">
        <v>26</v>
      </c>
      <c r="R473" s="37" t="s">
        <v>607</v>
      </c>
      <c r="S473" s="27">
        <v>2040</v>
      </c>
      <c r="T473" s="28" t="s">
        <v>27</v>
      </c>
      <c r="U473" s="28" t="s">
        <v>28</v>
      </c>
      <c r="V473" s="28" t="s">
        <v>29</v>
      </c>
      <c r="W473" s="28" t="s">
        <v>60</v>
      </c>
    </row>
    <row r="474" spans="1:23" ht="15" customHeight="1" x14ac:dyDescent="0.25">
      <c r="A474" s="28" t="s">
        <v>702</v>
      </c>
      <c r="B474" s="28" t="s">
        <v>694</v>
      </c>
      <c r="C474" s="20">
        <v>46310</v>
      </c>
      <c r="D474" s="21" t="s">
        <v>703</v>
      </c>
      <c r="E474" s="21">
        <v>5133</v>
      </c>
      <c r="F474" s="21">
        <v>5015279</v>
      </c>
      <c r="G474" s="21">
        <v>180836</v>
      </c>
      <c r="H474" s="21" t="s">
        <v>709</v>
      </c>
      <c r="I474" s="21" t="s">
        <v>483</v>
      </c>
      <c r="J474" s="21" t="s">
        <v>218</v>
      </c>
      <c r="K474" s="21">
        <v>193</v>
      </c>
      <c r="L474" s="29">
        <v>93</v>
      </c>
      <c r="M474" s="35" t="s">
        <v>710</v>
      </c>
      <c r="N474" s="24" t="s">
        <v>465</v>
      </c>
      <c r="O474" s="24" t="s">
        <v>465</v>
      </c>
      <c r="P474" s="21" t="s">
        <v>398</v>
      </c>
      <c r="Q474" s="21" t="s">
        <v>485</v>
      </c>
      <c r="R474" s="37" t="s">
        <v>485</v>
      </c>
      <c r="S474" s="27">
        <v>500</v>
      </c>
      <c r="T474" s="28" t="s">
        <v>27</v>
      </c>
      <c r="U474" s="28" t="s">
        <v>28</v>
      </c>
      <c r="V474" s="28" t="s">
        <v>29</v>
      </c>
      <c r="W474" s="28" t="s">
        <v>35</v>
      </c>
    </row>
    <row r="475" spans="1:23" ht="15" customHeight="1" x14ac:dyDescent="0.25">
      <c r="A475" s="28" t="s">
        <v>702</v>
      </c>
      <c r="B475" s="28" t="s">
        <v>694</v>
      </c>
      <c r="C475" s="20">
        <v>46310</v>
      </c>
      <c r="D475" s="21" t="s">
        <v>703</v>
      </c>
      <c r="E475" s="21">
        <v>5136</v>
      </c>
      <c r="F475" s="21">
        <v>5023831</v>
      </c>
      <c r="G475" s="21">
        <v>126676</v>
      </c>
      <c r="H475" s="21" t="s">
        <v>22</v>
      </c>
      <c r="I475" s="21" t="s">
        <v>23</v>
      </c>
      <c r="J475" s="21">
        <v>6125</v>
      </c>
      <c r="K475" s="21">
        <v>692</v>
      </c>
      <c r="L475" s="29">
        <v>93</v>
      </c>
      <c r="M475" s="35" t="s">
        <v>711</v>
      </c>
      <c r="N475" s="24" t="s">
        <v>465</v>
      </c>
      <c r="O475" s="24" t="s">
        <v>465</v>
      </c>
      <c r="P475" s="21" t="s">
        <v>398</v>
      </c>
      <c r="Q475" s="21" t="s">
        <v>26</v>
      </c>
      <c r="R475" s="37" t="s">
        <v>607</v>
      </c>
      <c r="S475" s="27">
        <v>1112.4100000000001</v>
      </c>
      <c r="T475" s="28" t="s">
        <v>27</v>
      </c>
      <c r="U475" s="28" t="s">
        <v>28</v>
      </c>
      <c r="V475" s="28" t="s">
        <v>29</v>
      </c>
      <c r="W475" s="28" t="s">
        <v>60</v>
      </c>
    </row>
    <row r="476" spans="1:23" ht="15" customHeight="1" x14ac:dyDescent="0.25">
      <c r="A476" s="28" t="s">
        <v>702</v>
      </c>
      <c r="B476" s="28" t="s">
        <v>694</v>
      </c>
      <c r="C476" s="20">
        <v>46311</v>
      </c>
      <c r="D476" s="21" t="s">
        <v>703</v>
      </c>
      <c r="E476" s="21">
        <v>5137</v>
      </c>
      <c r="F476" s="21">
        <v>5118346</v>
      </c>
      <c r="G476" s="21">
        <v>143232</v>
      </c>
      <c r="H476" s="21" t="s">
        <v>237</v>
      </c>
      <c r="I476" s="21" t="s">
        <v>23</v>
      </c>
      <c r="J476" s="21" t="s">
        <v>618</v>
      </c>
      <c r="K476" s="21">
        <v>192</v>
      </c>
      <c r="L476" s="29">
        <v>93</v>
      </c>
      <c r="M476" s="35" t="s">
        <v>712</v>
      </c>
      <c r="N476" s="24" t="s">
        <v>465</v>
      </c>
      <c r="O476" s="24" t="s">
        <v>465</v>
      </c>
      <c r="P476" s="21" t="s">
        <v>398</v>
      </c>
      <c r="Q476" s="21" t="s">
        <v>26</v>
      </c>
      <c r="R476" s="37" t="s">
        <v>607</v>
      </c>
      <c r="S476" s="27">
        <v>2005.49</v>
      </c>
      <c r="T476" s="28" t="s">
        <v>27</v>
      </c>
      <c r="U476" s="28" t="s">
        <v>28</v>
      </c>
      <c r="V476" s="28" t="s">
        <v>29</v>
      </c>
      <c r="W476" s="28" t="s">
        <v>60</v>
      </c>
    </row>
    <row r="477" spans="1:23" ht="15" customHeight="1" x14ac:dyDescent="0.25">
      <c r="A477" s="28" t="s">
        <v>702</v>
      </c>
      <c r="B477" s="28" t="s">
        <v>694</v>
      </c>
      <c r="C477" s="20">
        <v>46314</v>
      </c>
      <c r="D477" s="21" t="s">
        <v>703</v>
      </c>
      <c r="E477" s="21">
        <v>5139</v>
      </c>
      <c r="F477" s="21">
        <v>5004685</v>
      </c>
      <c r="G477" s="21">
        <v>110434</v>
      </c>
      <c r="H477" s="21" t="s">
        <v>116</v>
      </c>
      <c r="I477" s="21" t="s">
        <v>23</v>
      </c>
      <c r="J477" s="21" t="s">
        <v>618</v>
      </c>
      <c r="K477" s="21">
        <v>192</v>
      </c>
      <c r="L477" s="29">
        <v>92</v>
      </c>
      <c r="M477" s="35" t="s">
        <v>713</v>
      </c>
      <c r="N477" s="24" t="s">
        <v>465</v>
      </c>
      <c r="O477" s="24" t="s">
        <v>465</v>
      </c>
      <c r="P477" s="21" t="s">
        <v>398</v>
      </c>
      <c r="Q477" s="21" t="s">
        <v>49</v>
      </c>
      <c r="R477" s="37" t="s">
        <v>402</v>
      </c>
      <c r="S477" s="27">
        <v>14135.49</v>
      </c>
      <c r="T477" s="28" t="s">
        <v>27</v>
      </c>
      <c r="U477" s="28" t="s">
        <v>28</v>
      </c>
      <c r="V477" s="28" t="s">
        <v>29</v>
      </c>
      <c r="W477" s="28" t="s">
        <v>338</v>
      </c>
    </row>
    <row r="478" spans="1:23" ht="15" customHeight="1" x14ac:dyDescent="0.25">
      <c r="A478" s="28" t="s">
        <v>702</v>
      </c>
      <c r="B478" s="28" t="s">
        <v>694</v>
      </c>
      <c r="C478" s="20">
        <v>46317</v>
      </c>
      <c r="D478" s="21" t="s">
        <v>703</v>
      </c>
      <c r="E478" s="21">
        <v>5141</v>
      </c>
      <c r="F478" s="36" t="s">
        <v>717</v>
      </c>
      <c r="G478" s="21">
        <v>193277</v>
      </c>
      <c r="H478" s="21" t="s">
        <v>351</v>
      </c>
      <c r="I478" s="21" t="s">
        <v>71</v>
      </c>
      <c r="J478" s="21" t="s">
        <v>72</v>
      </c>
      <c r="K478" s="21">
        <v>186</v>
      </c>
      <c r="L478" s="29">
        <v>92</v>
      </c>
      <c r="M478" s="35" t="s">
        <v>718</v>
      </c>
      <c r="N478" s="24" t="s">
        <v>465</v>
      </c>
      <c r="O478" s="24" t="s">
        <v>465</v>
      </c>
      <c r="P478" s="21" t="s">
        <v>398</v>
      </c>
      <c r="Q478" s="21" t="s">
        <v>428</v>
      </c>
      <c r="R478" s="37" t="s">
        <v>428</v>
      </c>
      <c r="S478" s="27">
        <v>1500</v>
      </c>
      <c r="T478" s="28" t="s">
        <v>27</v>
      </c>
      <c r="U478" s="28" t="s">
        <v>28</v>
      </c>
      <c r="V478" s="28" t="s">
        <v>29</v>
      </c>
      <c r="W478" s="28" t="s">
        <v>60</v>
      </c>
    </row>
    <row r="479" spans="1:23" ht="15" customHeight="1" x14ac:dyDescent="0.25">
      <c r="A479" s="28" t="s">
        <v>702</v>
      </c>
      <c r="B479" s="28" t="s">
        <v>694</v>
      </c>
      <c r="C479" s="20">
        <v>46317</v>
      </c>
      <c r="D479" s="21" t="s">
        <v>703</v>
      </c>
      <c r="E479" s="21">
        <v>5143</v>
      </c>
      <c r="F479" s="36" t="s">
        <v>717</v>
      </c>
      <c r="G479" s="21">
        <v>193277</v>
      </c>
      <c r="H479" s="21" t="s">
        <v>351</v>
      </c>
      <c r="I479" s="21" t="s">
        <v>71</v>
      </c>
      <c r="J479" s="21" t="s">
        <v>72</v>
      </c>
      <c r="K479" s="21">
        <v>186</v>
      </c>
      <c r="L479" s="29">
        <v>92</v>
      </c>
      <c r="M479" s="35" t="s">
        <v>719</v>
      </c>
      <c r="N479" s="24" t="s">
        <v>465</v>
      </c>
      <c r="O479" s="24" t="s">
        <v>465</v>
      </c>
      <c r="P479" s="21" t="s">
        <v>398</v>
      </c>
      <c r="Q479" s="21" t="s">
        <v>428</v>
      </c>
      <c r="R479" s="37" t="s">
        <v>428</v>
      </c>
      <c r="S479" s="27">
        <v>657.82</v>
      </c>
      <c r="T479" s="28" t="s">
        <v>27</v>
      </c>
      <c r="U479" s="28" t="s">
        <v>28</v>
      </c>
      <c r="V479" s="28" t="s">
        <v>29</v>
      </c>
      <c r="W479" s="28" t="s">
        <v>126</v>
      </c>
    </row>
    <row r="480" spans="1:23" ht="15" customHeight="1" x14ac:dyDescent="0.25">
      <c r="A480" s="28" t="s">
        <v>702</v>
      </c>
      <c r="B480" s="28" t="s">
        <v>694</v>
      </c>
      <c r="C480" s="20">
        <v>46317</v>
      </c>
      <c r="D480" s="21" t="s">
        <v>703</v>
      </c>
      <c r="E480" s="21">
        <v>5144</v>
      </c>
      <c r="F480" s="36">
        <v>5159222</v>
      </c>
      <c r="G480" s="21">
        <v>143312</v>
      </c>
      <c r="H480" s="21" t="s">
        <v>184</v>
      </c>
      <c r="I480" s="21" t="s">
        <v>71</v>
      </c>
      <c r="J480" s="21" t="s">
        <v>72</v>
      </c>
      <c r="K480" s="21">
        <v>186</v>
      </c>
      <c r="L480" s="29">
        <v>92</v>
      </c>
      <c r="M480" s="35" t="s">
        <v>720</v>
      </c>
      <c r="N480" s="24" t="s">
        <v>465</v>
      </c>
      <c r="O480" s="24" t="s">
        <v>465</v>
      </c>
      <c r="P480" s="21" t="s">
        <v>398</v>
      </c>
      <c r="Q480" s="21" t="s">
        <v>428</v>
      </c>
      <c r="R480" s="37" t="s">
        <v>428</v>
      </c>
      <c r="S480" s="27">
        <v>1460</v>
      </c>
      <c r="T480" s="28" t="s">
        <v>27</v>
      </c>
      <c r="U480" s="28" t="s">
        <v>28</v>
      </c>
      <c r="V480" s="28" t="s">
        <v>29</v>
      </c>
      <c r="W480" s="28" t="s">
        <v>126</v>
      </c>
    </row>
    <row r="481" spans="1:23" ht="15" customHeight="1" x14ac:dyDescent="0.25">
      <c r="A481" s="28" t="s">
        <v>702</v>
      </c>
      <c r="B481" s="28" t="s">
        <v>694</v>
      </c>
      <c r="C481" s="20">
        <v>46317</v>
      </c>
      <c r="D481" s="21" t="s">
        <v>703</v>
      </c>
      <c r="E481" s="21">
        <v>5145</v>
      </c>
      <c r="F481" s="36">
        <v>5159289</v>
      </c>
      <c r="G481" s="21">
        <v>143188</v>
      </c>
      <c r="H481" s="21" t="s">
        <v>721</v>
      </c>
      <c r="I481" s="21" t="s">
        <v>23</v>
      </c>
      <c r="J481" s="21" t="s">
        <v>618</v>
      </c>
      <c r="K481" s="21">
        <v>192</v>
      </c>
      <c r="L481" s="29">
        <v>93</v>
      </c>
      <c r="M481" s="35" t="s">
        <v>722</v>
      </c>
      <c r="N481" s="24" t="s">
        <v>465</v>
      </c>
      <c r="O481" s="24" t="s">
        <v>465</v>
      </c>
      <c r="P481" s="21" t="s">
        <v>398</v>
      </c>
      <c r="Q481" s="21" t="s">
        <v>26</v>
      </c>
      <c r="R481" s="37" t="s">
        <v>607</v>
      </c>
      <c r="S481" s="27">
        <v>420</v>
      </c>
      <c r="T481" s="28" t="s">
        <v>27</v>
      </c>
      <c r="U481" s="28" t="s">
        <v>28</v>
      </c>
      <c r="V481" s="28" t="s">
        <v>29</v>
      </c>
      <c r="W481" s="28" t="s">
        <v>338</v>
      </c>
    </row>
    <row r="482" spans="1:23" ht="15" customHeight="1" x14ac:dyDescent="0.25">
      <c r="A482" s="28" t="s">
        <v>702</v>
      </c>
      <c r="B482" s="28" t="s">
        <v>694</v>
      </c>
      <c r="C482" s="20">
        <v>46317</v>
      </c>
      <c r="D482" s="21" t="s">
        <v>703</v>
      </c>
      <c r="E482" s="21"/>
      <c r="F482" s="36">
        <v>5015298</v>
      </c>
      <c r="G482" s="21"/>
      <c r="H482" s="21" t="s">
        <v>723</v>
      </c>
      <c r="I482" s="21" t="s">
        <v>483</v>
      </c>
      <c r="J482" s="21" t="s">
        <v>218</v>
      </c>
      <c r="K482" s="21">
        <v>193</v>
      </c>
      <c r="L482" s="29">
        <v>92</v>
      </c>
      <c r="M482" s="35" t="s">
        <v>724</v>
      </c>
      <c r="N482" s="24" t="s">
        <v>465</v>
      </c>
      <c r="O482" s="24" t="s">
        <v>465</v>
      </c>
      <c r="P482" s="21" t="s">
        <v>398</v>
      </c>
      <c r="Q482" s="21" t="s">
        <v>485</v>
      </c>
      <c r="R482" s="37" t="s">
        <v>485</v>
      </c>
      <c r="S482" s="27">
        <v>800</v>
      </c>
      <c r="T482" s="28" t="s">
        <v>27</v>
      </c>
      <c r="U482" s="28" t="s">
        <v>28</v>
      </c>
      <c r="V482" s="28" t="s">
        <v>29</v>
      </c>
      <c r="W482" s="28" t="s">
        <v>60</v>
      </c>
    </row>
    <row r="483" spans="1:23" ht="15" customHeight="1" x14ac:dyDescent="0.25">
      <c r="A483" s="28" t="s">
        <v>702</v>
      </c>
      <c r="B483" s="28" t="s">
        <v>694</v>
      </c>
      <c r="C483" s="20">
        <v>46317</v>
      </c>
      <c r="D483" s="21" t="s">
        <v>703</v>
      </c>
      <c r="E483" s="21">
        <v>21636</v>
      </c>
      <c r="F483" s="36">
        <v>5162285</v>
      </c>
      <c r="G483" s="21">
        <v>164437</v>
      </c>
      <c r="H483" s="21" t="s">
        <v>725</v>
      </c>
      <c r="I483" s="21" t="s">
        <v>217</v>
      </c>
      <c r="J483" s="21" t="s">
        <v>596</v>
      </c>
      <c r="K483" s="21">
        <v>755</v>
      </c>
      <c r="L483" s="29">
        <v>93</v>
      </c>
      <c r="M483" s="35" t="s">
        <v>726</v>
      </c>
      <c r="N483" s="24" t="s">
        <v>465</v>
      </c>
      <c r="O483" s="24" t="s">
        <v>465</v>
      </c>
      <c r="P483" s="21" t="s">
        <v>398</v>
      </c>
      <c r="Q483" s="21" t="s">
        <v>485</v>
      </c>
      <c r="R483" s="37" t="s">
        <v>485</v>
      </c>
      <c r="S483" s="27">
        <v>652</v>
      </c>
      <c r="T483" s="28" t="s">
        <v>27</v>
      </c>
      <c r="U483" s="28" t="s">
        <v>50</v>
      </c>
      <c r="V483" s="28" t="s">
        <v>29</v>
      </c>
      <c r="W483" s="28" t="s">
        <v>60</v>
      </c>
    </row>
    <row r="484" spans="1:23" ht="15" customHeight="1" x14ac:dyDescent="0.25">
      <c r="A484" s="28" t="s">
        <v>702</v>
      </c>
      <c r="B484" s="28" t="s">
        <v>694</v>
      </c>
      <c r="C484" s="2">
        <v>46321</v>
      </c>
      <c r="D484" s="21" t="s">
        <v>703</v>
      </c>
      <c r="E484" s="21">
        <v>5147</v>
      </c>
      <c r="F484" s="36">
        <v>5226805</v>
      </c>
      <c r="G484" s="21">
        <v>150155</v>
      </c>
      <c r="H484" s="21" t="s">
        <v>86</v>
      </c>
      <c r="I484" s="21" t="s">
        <v>71</v>
      </c>
      <c r="J484" s="21" t="s">
        <v>72</v>
      </c>
      <c r="K484" s="21">
        <v>186</v>
      </c>
      <c r="L484" s="29">
        <v>92</v>
      </c>
      <c r="M484" s="35" t="s">
        <v>763</v>
      </c>
      <c r="N484" s="24" t="s">
        <v>465</v>
      </c>
      <c r="O484" s="24" t="s">
        <v>465</v>
      </c>
      <c r="P484" s="21" t="s">
        <v>398</v>
      </c>
      <c r="Q484" s="21" t="s">
        <v>428</v>
      </c>
      <c r="R484" s="37" t="s">
        <v>428</v>
      </c>
      <c r="S484" s="27">
        <v>5000</v>
      </c>
      <c r="T484" s="28" t="s">
        <v>27</v>
      </c>
      <c r="U484" s="28" t="s">
        <v>28</v>
      </c>
      <c r="V484" s="28" t="s">
        <v>29</v>
      </c>
      <c r="W484" s="28" t="s">
        <v>816</v>
      </c>
    </row>
    <row r="485" spans="1:23" ht="15" customHeight="1" x14ac:dyDescent="0.25">
      <c r="A485" s="28" t="s">
        <v>702</v>
      </c>
      <c r="B485" s="28" t="s">
        <v>694</v>
      </c>
      <c r="C485" s="2">
        <v>46321</v>
      </c>
      <c r="D485" s="21" t="s">
        <v>703</v>
      </c>
      <c r="E485" s="21">
        <v>5148</v>
      </c>
      <c r="F485" s="36">
        <v>5226805</v>
      </c>
      <c r="G485" s="21">
        <v>150155</v>
      </c>
      <c r="H485" s="21" t="s">
        <v>86</v>
      </c>
      <c r="I485" s="21" t="s">
        <v>71</v>
      </c>
      <c r="J485" s="21" t="s">
        <v>72</v>
      </c>
      <c r="K485" s="21">
        <v>186</v>
      </c>
      <c r="L485" s="29">
        <v>92</v>
      </c>
      <c r="M485" s="35" t="s">
        <v>764</v>
      </c>
      <c r="N485" s="24" t="s">
        <v>465</v>
      </c>
      <c r="O485" s="24" t="s">
        <v>465</v>
      </c>
      <c r="P485" s="21" t="s">
        <v>398</v>
      </c>
      <c r="Q485" s="21" t="s">
        <v>428</v>
      </c>
      <c r="R485" s="37" t="s">
        <v>428</v>
      </c>
      <c r="S485" s="27">
        <v>2500</v>
      </c>
      <c r="T485" s="28" t="s">
        <v>27</v>
      </c>
      <c r="U485" s="28" t="s">
        <v>28</v>
      </c>
      <c r="V485" s="28" t="s">
        <v>29</v>
      </c>
      <c r="W485" s="28" t="s">
        <v>126</v>
      </c>
    </row>
    <row r="486" spans="1:23" ht="15" customHeight="1" x14ac:dyDescent="0.25">
      <c r="A486" s="28" t="s">
        <v>702</v>
      </c>
      <c r="B486" s="28" t="s">
        <v>694</v>
      </c>
      <c r="C486" s="2">
        <v>46321</v>
      </c>
      <c r="D486" s="21" t="s">
        <v>703</v>
      </c>
      <c r="E486" s="21">
        <v>5149</v>
      </c>
      <c r="F486" s="36">
        <v>5226805</v>
      </c>
      <c r="G486" s="21">
        <v>150155</v>
      </c>
      <c r="H486" s="21" t="s">
        <v>86</v>
      </c>
      <c r="I486" s="21" t="s">
        <v>71</v>
      </c>
      <c r="J486" s="21" t="s">
        <v>72</v>
      </c>
      <c r="K486" s="21">
        <v>186</v>
      </c>
      <c r="L486" s="29">
        <v>92</v>
      </c>
      <c r="M486" s="35" t="s">
        <v>765</v>
      </c>
      <c r="N486" s="24" t="s">
        <v>465</v>
      </c>
      <c r="O486" s="24" t="s">
        <v>465</v>
      </c>
      <c r="P486" s="21" t="s">
        <v>398</v>
      </c>
      <c r="Q486" s="21" t="s">
        <v>428</v>
      </c>
      <c r="R486" s="37" t="s">
        <v>428</v>
      </c>
      <c r="S486" s="27">
        <v>2500</v>
      </c>
      <c r="T486" s="28" t="s">
        <v>27</v>
      </c>
      <c r="U486" s="28" t="s">
        <v>28</v>
      </c>
      <c r="V486" s="28" t="s">
        <v>29</v>
      </c>
      <c r="W486" s="28" t="s">
        <v>126</v>
      </c>
    </row>
    <row r="487" spans="1:23" ht="15" customHeight="1" x14ac:dyDescent="0.25">
      <c r="A487" s="28" t="s">
        <v>702</v>
      </c>
      <c r="B487" s="28" t="s">
        <v>694</v>
      </c>
      <c r="C487" s="2">
        <v>46321</v>
      </c>
      <c r="D487" s="21" t="s">
        <v>703</v>
      </c>
      <c r="E487" s="21">
        <v>5150</v>
      </c>
      <c r="F487" s="36" t="s">
        <v>727</v>
      </c>
      <c r="G487" s="21">
        <v>187971</v>
      </c>
      <c r="H487" s="21" t="s">
        <v>90</v>
      </c>
      <c r="I487" s="21" t="s">
        <v>71</v>
      </c>
      <c r="J487" s="21" t="s">
        <v>72</v>
      </c>
      <c r="K487" s="21">
        <v>186</v>
      </c>
      <c r="L487" s="29">
        <v>92</v>
      </c>
      <c r="M487" s="35" t="s">
        <v>766</v>
      </c>
      <c r="N487" s="24" t="s">
        <v>465</v>
      </c>
      <c r="O487" s="24" t="s">
        <v>465</v>
      </c>
      <c r="P487" s="21" t="s">
        <v>398</v>
      </c>
      <c r="Q487" s="21" t="s">
        <v>428</v>
      </c>
      <c r="R487" s="37" t="s">
        <v>428</v>
      </c>
      <c r="S487" s="27">
        <v>2051</v>
      </c>
      <c r="T487" s="28" t="s">
        <v>27</v>
      </c>
      <c r="U487" s="28" t="s">
        <v>28</v>
      </c>
      <c r="V487" s="28" t="s">
        <v>29</v>
      </c>
      <c r="W487" s="28" t="s">
        <v>126</v>
      </c>
    </row>
    <row r="488" spans="1:23" ht="15" customHeight="1" x14ac:dyDescent="0.25">
      <c r="A488" s="28" t="s">
        <v>702</v>
      </c>
      <c r="B488" s="28" t="s">
        <v>694</v>
      </c>
      <c r="C488" s="2">
        <v>46321</v>
      </c>
      <c r="D488" s="21" t="s">
        <v>703</v>
      </c>
      <c r="E488" s="21">
        <v>5152</v>
      </c>
      <c r="F488" s="36" t="s">
        <v>728</v>
      </c>
      <c r="G488" s="21">
        <v>185063</v>
      </c>
      <c r="H488" s="21" t="s">
        <v>92</v>
      </c>
      <c r="I488" s="21" t="s">
        <v>71</v>
      </c>
      <c r="J488" s="21" t="s">
        <v>72</v>
      </c>
      <c r="K488" s="21">
        <v>186</v>
      </c>
      <c r="L488" s="29">
        <v>92</v>
      </c>
      <c r="M488" s="35" t="s">
        <v>767</v>
      </c>
      <c r="N488" s="24" t="s">
        <v>465</v>
      </c>
      <c r="O488" s="24" t="s">
        <v>465</v>
      </c>
      <c r="P488" s="21" t="s">
        <v>398</v>
      </c>
      <c r="Q488" s="21" t="s">
        <v>428</v>
      </c>
      <c r="R488" s="37" t="s">
        <v>428</v>
      </c>
      <c r="S488" s="27">
        <v>200</v>
      </c>
      <c r="T488" s="28" t="s">
        <v>27</v>
      </c>
      <c r="U488" s="28" t="s">
        <v>28</v>
      </c>
      <c r="V488" s="28" t="s">
        <v>29</v>
      </c>
      <c r="W488" s="28" t="s">
        <v>126</v>
      </c>
    </row>
    <row r="489" spans="1:23" ht="15" customHeight="1" x14ac:dyDescent="0.25">
      <c r="A489" s="28" t="s">
        <v>702</v>
      </c>
      <c r="B489" s="28" t="s">
        <v>694</v>
      </c>
      <c r="C489" s="2">
        <v>46321</v>
      </c>
      <c r="D489" s="21" t="s">
        <v>703</v>
      </c>
      <c r="E489" s="21">
        <v>5153</v>
      </c>
      <c r="F489" s="36" t="s">
        <v>729</v>
      </c>
      <c r="G489" s="21">
        <v>144793</v>
      </c>
      <c r="H489" s="21" t="s">
        <v>461</v>
      </c>
      <c r="I489" s="21" t="s">
        <v>71</v>
      </c>
      <c r="J489" s="21" t="s">
        <v>72</v>
      </c>
      <c r="K489" s="21">
        <v>186</v>
      </c>
      <c r="L489" s="29">
        <v>92</v>
      </c>
      <c r="M489" s="35" t="s">
        <v>768</v>
      </c>
      <c r="N489" s="24" t="s">
        <v>465</v>
      </c>
      <c r="O489" s="24" t="s">
        <v>465</v>
      </c>
      <c r="P489" s="21" t="s">
        <v>398</v>
      </c>
      <c r="Q489" s="21" t="s">
        <v>428</v>
      </c>
      <c r="R489" s="37" t="s">
        <v>428</v>
      </c>
      <c r="S489" s="27">
        <v>2000</v>
      </c>
      <c r="T489" s="28" t="s">
        <v>27</v>
      </c>
      <c r="U489" s="28" t="s">
        <v>28</v>
      </c>
      <c r="V489" s="28" t="s">
        <v>29</v>
      </c>
      <c r="W489" s="28" t="s">
        <v>126</v>
      </c>
    </row>
    <row r="490" spans="1:23" ht="15" customHeight="1" x14ac:dyDescent="0.25">
      <c r="A490" s="28" t="s">
        <v>702</v>
      </c>
      <c r="B490" s="28" t="s">
        <v>694</v>
      </c>
      <c r="C490" s="2">
        <v>46321</v>
      </c>
      <c r="D490" s="21" t="s">
        <v>703</v>
      </c>
      <c r="E490" s="21">
        <v>5154</v>
      </c>
      <c r="F490" s="36" t="s">
        <v>730</v>
      </c>
      <c r="G490" s="21">
        <v>124424</v>
      </c>
      <c r="H490" s="21" t="s">
        <v>755</v>
      </c>
      <c r="I490" s="21" t="s">
        <v>71</v>
      </c>
      <c r="J490" s="21" t="s">
        <v>72</v>
      </c>
      <c r="K490" s="21">
        <v>186</v>
      </c>
      <c r="L490" s="29">
        <v>92</v>
      </c>
      <c r="M490" s="35" t="s">
        <v>769</v>
      </c>
      <c r="N490" s="24" t="s">
        <v>465</v>
      </c>
      <c r="O490" s="24" t="s">
        <v>465</v>
      </c>
      <c r="P490" s="21" t="s">
        <v>398</v>
      </c>
      <c r="Q490" s="21" t="s">
        <v>428</v>
      </c>
      <c r="R490" s="37" t="s">
        <v>428</v>
      </c>
      <c r="S490" s="27">
        <v>668</v>
      </c>
      <c r="T490" s="28" t="s">
        <v>27</v>
      </c>
      <c r="U490" s="28" t="s">
        <v>28</v>
      </c>
      <c r="V490" s="28" t="s">
        <v>29</v>
      </c>
      <c r="W490" s="28" t="s">
        <v>126</v>
      </c>
    </row>
    <row r="491" spans="1:23" ht="15" customHeight="1" x14ac:dyDescent="0.25">
      <c r="A491" s="28" t="s">
        <v>702</v>
      </c>
      <c r="B491" s="28" t="s">
        <v>694</v>
      </c>
      <c r="C491" s="2">
        <v>46321</v>
      </c>
      <c r="D491" s="21" t="s">
        <v>703</v>
      </c>
      <c r="E491" s="21">
        <v>4400</v>
      </c>
      <c r="F491" s="36" t="s">
        <v>731</v>
      </c>
      <c r="G491" s="21">
        <v>141142</v>
      </c>
      <c r="H491" s="21" t="s">
        <v>306</v>
      </c>
      <c r="I491" s="21" t="s">
        <v>266</v>
      </c>
      <c r="J491" s="21">
        <v>6123</v>
      </c>
      <c r="K491" s="21">
        <v>607</v>
      </c>
      <c r="L491" s="29">
        <v>93</v>
      </c>
      <c r="M491" s="35" t="s">
        <v>770</v>
      </c>
      <c r="N491" s="24" t="s">
        <v>465</v>
      </c>
      <c r="O491" s="24" t="s">
        <v>465</v>
      </c>
      <c r="P491" s="21" t="s">
        <v>398</v>
      </c>
      <c r="Q491" s="21" t="s">
        <v>813</v>
      </c>
      <c r="R491" s="37" t="s">
        <v>427</v>
      </c>
      <c r="S491" s="27">
        <v>1000</v>
      </c>
      <c r="T491" s="28" t="s">
        <v>27</v>
      </c>
      <c r="U491" s="28" t="s">
        <v>28</v>
      </c>
      <c r="V491" s="28" t="s">
        <v>29</v>
      </c>
      <c r="W491" s="28" t="s">
        <v>126</v>
      </c>
    </row>
    <row r="492" spans="1:23" ht="15" customHeight="1" x14ac:dyDescent="0.25">
      <c r="A492" s="28" t="s">
        <v>702</v>
      </c>
      <c r="B492" s="28" t="s">
        <v>694</v>
      </c>
      <c r="C492" s="2">
        <v>46321</v>
      </c>
      <c r="D492" s="21" t="s">
        <v>703</v>
      </c>
      <c r="E492" s="21">
        <v>5155</v>
      </c>
      <c r="F492" s="36" t="s">
        <v>732</v>
      </c>
      <c r="G492" s="21">
        <v>129296</v>
      </c>
      <c r="H492" s="21" t="s">
        <v>68</v>
      </c>
      <c r="I492" s="21" t="s">
        <v>54</v>
      </c>
      <c r="J492" s="21" t="s">
        <v>55</v>
      </c>
      <c r="K492" s="21">
        <v>191</v>
      </c>
      <c r="L492" s="29">
        <v>92</v>
      </c>
      <c r="M492" s="35" t="s">
        <v>771</v>
      </c>
      <c r="N492" s="24" t="s">
        <v>465</v>
      </c>
      <c r="O492" s="24" t="s">
        <v>465</v>
      </c>
      <c r="P492" s="21" t="s">
        <v>398</v>
      </c>
      <c r="Q492" s="21" t="s">
        <v>813</v>
      </c>
      <c r="R492" s="37" t="s">
        <v>814</v>
      </c>
      <c r="S492" s="27">
        <v>3500</v>
      </c>
      <c r="T492" s="28" t="s">
        <v>27</v>
      </c>
      <c r="U492" s="28" t="s">
        <v>28</v>
      </c>
      <c r="V492" s="28" t="s">
        <v>29</v>
      </c>
      <c r="W492" s="28" t="s">
        <v>126</v>
      </c>
    </row>
    <row r="493" spans="1:23" ht="15" customHeight="1" x14ac:dyDescent="0.25">
      <c r="A493" s="28" t="s">
        <v>702</v>
      </c>
      <c r="B493" s="28" t="s">
        <v>694</v>
      </c>
      <c r="C493" s="2">
        <v>46321</v>
      </c>
      <c r="D493" s="21" t="s">
        <v>703</v>
      </c>
      <c r="E493" s="21">
        <v>5156</v>
      </c>
      <c r="F493" s="36" t="s">
        <v>732</v>
      </c>
      <c r="G493" s="21">
        <v>129296</v>
      </c>
      <c r="H493" s="21" t="s">
        <v>68</v>
      </c>
      <c r="I493" s="21" t="s">
        <v>54</v>
      </c>
      <c r="J493" s="21" t="s">
        <v>55</v>
      </c>
      <c r="K493" s="21">
        <v>191</v>
      </c>
      <c r="L493" s="29">
        <v>92</v>
      </c>
      <c r="M493" s="35" t="s">
        <v>772</v>
      </c>
      <c r="N493" s="24" t="s">
        <v>465</v>
      </c>
      <c r="O493" s="24" t="s">
        <v>465</v>
      </c>
      <c r="P493" s="21" t="s">
        <v>398</v>
      </c>
      <c r="Q493" s="21" t="s">
        <v>813</v>
      </c>
      <c r="R493" s="37" t="s">
        <v>814</v>
      </c>
      <c r="S493" s="27">
        <v>6500</v>
      </c>
      <c r="T493" s="28" t="s">
        <v>27</v>
      </c>
      <c r="U493" s="28" t="s">
        <v>28</v>
      </c>
      <c r="V493" s="28" t="s">
        <v>29</v>
      </c>
      <c r="W493" s="28" t="s">
        <v>126</v>
      </c>
    </row>
    <row r="494" spans="1:23" ht="15" customHeight="1" x14ac:dyDescent="0.25">
      <c r="A494" s="28" t="s">
        <v>702</v>
      </c>
      <c r="B494" s="28" t="s">
        <v>694</v>
      </c>
      <c r="C494" s="2">
        <v>46321</v>
      </c>
      <c r="D494" s="21" t="s">
        <v>703</v>
      </c>
      <c r="E494" s="21">
        <v>5157</v>
      </c>
      <c r="F494" s="36" t="s">
        <v>733</v>
      </c>
      <c r="G494" s="21">
        <v>145105</v>
      </c>
      <c r="H494" s="21" t="s">
        <v>589</v>
      </c>
      <c r="I494" s="21" t="s">
        <v>213</v>
      </c>
      <c r="J494" s="21" t="s">
        <v>214</v>
      </c>
      <c r="K494" s="21">
        <v>197</v>
      </c>
      <c r="L494" s="29">
        <v>92</v>
      </c>
      <c r="M494" s="35" t="s">
        <v>773</v>
      </c>
      <c r="N494" s="24" t="s">
        <v>465</v>
      </c>
      <c r="O494" s="24" t="s">
        <v>465</v>
      </c>
      <c r="P494" s="21" t="s">
        <v>398</v>
      </c>
      <c r="Q494" s="21" t="s">
        <v>813</v>
      </c>
      <c r="R494" s="37" t="s">
        <v>427</v>
      </c>
      <c r="S494" s="27">
        <v>4000</v>
      </c>
      <c r="T494" s="28" t="s">
        <v>27</v>
      </c>
      <c r="U494" s="28" t="s">
        <v>28</v>
      </c>
      <c r="V494" s="28" t="s">
        <v>29</v>
      </c>
      <c r="W494" s="28" t="s">
        <v>126</v>
      </c>
    </row>
    <row r="495" spans="1:23" ht="15" customHeight="1" x14ac:dyDescent="0.25">
      <c r="A495" s="28" t="s">
        <v>702</v>
      </c>
      <c r="B495" s="28" t="s">
        <v>694</v>
      </c>
      <c r="C495" s="2">
        <v>46321</v>
      </c>
      <c r="D495" s="21" t="s">
        <v>703</v>
      </c>
      <c r="E495" s="21">
        <v>5168</v>
      </c>
      <c r="F495" s="36" t="s">
        <v>734</v>
      </c>
      <c r="G495" s="21">
        <v>121796</v>
      </c>
      <c r="H495" s="21" t="s">
        <v>179</v>
      </c>
      <c r="I495" s="21" t="s">
        <v>76</v>
      </c>
      <c r="J495" s="21" t="s">
        <v>55</v>
      </c>
      <c r="K495" s="21">
        <v>175</v>
      </c>
      <c r="L495" s="29">
        <v>92</v>
      </c>
      <c r="M495" s="35" t="s">
        <v>774</v>
      </c>
      <c r="N495" s="24" t="s">
        <v>465</v>
      </c>
      <c r="O495" s="24" t="s">
        <v>465</v>
      </c>
      <c r="P495" s="21" t="s">
        <v>398</v>
      </c>
      <c r="Q495" s="21" t="s">
        <v>813</v>
      </c>
      <c r="R495" s="37" t="s">
        <v>427</v>
      </c>
      <c r="S495" s="27">
        <v>500</v>
      </c>
      <c r="T495" s="28" t="s">
        <v>27</v>
      </c>
      <c r="U495" s="28" t="s">
        <v>28</v>
      </c>
      <c r="V495" s="28" t="s">
        <v>29</v>
      </c>
      <c r="W495" s="28" t="s">
        <v>126</v>
      </c>
    </row>
    <row r="496" spans="1:23" ht="15" customHeight="1" x14ac:dyDescent="0.25">
      <c r="A496" s="28" t="s">
        <v>702</v>
      </c>
      <c r="B496" s="28" t="s">
        <v>694</v>
      </c>
      <c r="C496" s="2">
        <v>46321</v>
      </c>
      <c r="D496" s="21" t="s">
        <v>703</v>
      </c>
      <c r="E496" s="21">
        <v>5193</v>
      </c>
      <c r="F496" s="36" t="s">
        <v>735</v>
      </c>
      <c r="G496" s="21">
        <v>145028</v>
      </c>
      <c r="H496" s="21" t="s">
        <v>756</v>
      </c>
      <c r="I496" s="21" t="s">
        <v>54</v>
      </c>
      <c r="J496" s="21" t="s">
        <v>55</v>
      </c>
      <c r="K496" s="21">
        <v>187</v>
      </c>
      <c r="L496" s="29">
        <v>92</v>
      </c>
      <c r="M496" s="35" t="s">
        <v>775</v>
      </c>
      <c r="N496" s="24" t="s">
        <v>465</v>
      </c>
      <c r="O496" s="24" t="s">
        <v>465</v>
      </c>
      <c r="P496" s="21" t="s">
        <v>398</v>
      </c>
      <c r="Q496" s="21" t="s">
        <v>813</v>
      </c>
      <c r="R496" s="37" t="s">
        <v>427</v>
      </c>
      <c r="S496" s="27">
        <v>3000</v>
      </c>
      <c r="T496" s="28" t="s">
        <v>27</v>
      </c>
      <c r="U496" s="28" t="s">
        <v>28</v>
      </c>
      <c r="V496" s="28" t="s">
        <v>29</v>
      </c>
      <c r="W496" s="28" t="s">
        <v>126</v>
      </c>
    </row>
    <row r="497" spans="1:23" ht="15" customHeight="1" x14ac:dyDescent="0.25">
      <c r="A497" s="28" t="s">
        <v>702</v>
      </c>
      <c r="B497" s="28" t="s">
        <v>694</v>
      </c>
      <c r="C497" s="2">
        <v>46321</v>
      </c>
      <c r="D497" s="21" t="s">
        <v>703</v>
      </c>
      <c r="E497" s="21">
        <v>5171</v>
      </c>
      <c r="F497" s="36" t="s">
        <v>736</v>
      </c>
      <c r="G497" s="21">
        <v>143311</v>
      </c>
      <c r="H497" s="21" t="s">
        <v>66</v>
      </c>
      <c r="I497" s="21" t="s">
        <v>23</v>
      </c>
      <c r="J497" s="21" t="s">
        <v>618</v>
      </c>
      <c r="K497" s="21">
        <v>192</v>
      </c>
      <c r="L497" s="29">
        <v>91</v>
      </c>
      <c r="M497" s="35" t="s">
        <v>776</v>
      </c>
      <c r="N497" s="24" t="s">
        <v>465</v>
      </c>
      <c r="O497" s="24" t="s">
        <v>465</v>
      </c>
      <c r="P497" s="21" t="s">
        <v>398</v>
      </c>
      <c r="Q497" s="21" t="s">
        <v>49</v>
      </c>
      <c r="R497" s="37" t="s">
        <v>815</v>
      </c>
      <c r="S497" s="27">
        <v>460.08</v>
      </c>
      <c r="T497" s="28" t="s">
        <v>27</v>
      </c>
      <c r="U497" s="28" t="s">
        <v>28</v>
      </c>
      <c r="V497" s="28" t="s">
        <v>29</v>
      </c>
      <c r="W497" s="28" t="s">
        <v>126</v>
      </c>
    </row>
    <row r="498" spans="1:23" ht="15" customHeight="1" x14ac:dyDescent="0.25">
      <c r="A498" s="28" t="s">
        <v>702</v>
      </c>
      <c r="B498" s="28" t="s">
        <v>694</v>
      </c>
      <c r="C498" s="2">
        <v>46321</v>
      </c>
      <c r="D498" s="21" t="s">
        <v>703</v>
      </c>
      <c r="E498" s="21">
        <v>5196</v>
      </c>
      <c r="F498" s="36" t="s">
        <v>737</v>
      </c>
      <c r="G498" s="21"/>
      <c r="H498" s="21" t="s">
        <v>526</v>
      </c>
      <c r="I498" s="21" t="s">
        <v>527</v>
      </c>
      <c r="J498" s="21" t="s">
        <v>214</v>
      </c>
      <c r="K498" s="21">
        <v>197</v>
      </c>
      <c r="L498" s="29">
        <v>91</v>
      </c>
      <c r="M498" s="35" t="s">
        <v>777</v>
      </c>
      <c r="N498" s="24" t="s">
        <v>465</v>
      </c>
      <c r="O498" s="24" t="s">
        <v>465</v>
      </c>
      <c r="P498" s="21" t="s">
        <v>398</v>
      </c>
      <c r="Q498" s="21" t="s">
        <v>813</v>
      </c>
      <c r="R498" s="37" t="s">
        <v>427</v>
      </c>
      <c r="S498" s="27">
        <v>8000</v>
      </c>
      <c r="T498" s="28" t="s">
        <v>27</v>
      </c>
      <c r="U498" s="28" t="s">
        <v>28</v>
      </c>
      <c r="V498" s="28" t="s">
        <v>29</v>
      </c>
      <c r="W498" s="28" t="s">
        <v>126</v>
      </c>
    </row>
    <row r="499" spans="1:23" ht="15" customHeight="1" x14ac:dyDescent="0.25">
      <c r="A499" s="28" t="s">
        <v>702</v>
      </c>
      <c r="B499" s="28" t="s">
        <v>694</v>
      </c>
      <c r="C499" s="2">
        <v>46321</v>
      </c>
      <c r="D499" s="21" t="s">
        <v>703</v>
      </c>
      <c r="E499" s="21">
        <v>5176</v>
      </c>
      <c r="F499" s="36" t="s">
        <v>738</v>
      </c>
      <c r="G499" s="21"/>
      <c r="H499" s="21" t="s">
        <v>104</v>
      </c>
      <c r="I499" s="21" t="s">
        <v>37</v>
      </c>
      <c r="J499" s="21" t="s">
        <v>105</v>
      </c>
      <c r="K499" s="21">
        <v>189</v>
      </c>
      <c r="L499" s="29">
        <v>93</v>
      </c>
      <c r="M499" s="35" t="s">
        <v>778</v>
      </c>
      <c r="N499" s="24" t="s">
        <v>465</v>
      </c>
      <c r="O499" s="24" t="s">
        <v>465</v>
      </c>
      <c r="P499" s="21" t="s">
        <v>398</v>
      </c>
      <c r="Q499" s="21" t="s">
        <v>423</v>
      </c>
      <c r="R499" s="37" t="s">
        <v>432</v>
      </c>
      <c r="S499" s="27">
        <v>5000</v>
      </c>
      <c r="T499" s="28" t="s">
        <v>27</v>
      </c>
      <c r="U499" s="28" t="s">
        <v>28</v>
      </c>
      <c r="V499" s="28" t="s">
        <v>29</v>
      </c>
      <c r="W499" s="28" t="s">
        <v>126</v>
      </c>
    </row>
    <row r="500" spans="1:23" ht="15" customHeight="1" x14ac:dyDescent="0.25">
      <c r="A500" s="28" t="s">
        <v>702</v>
      </c>
      <c r="B500" s="28" t="s">
        <v>694</v>
      </c>
      <c r="C500" s="2">
        <v>46321</v>
      </c>
      <c r="D500" s="21" t="s">
        <v>703</v>
      </c>
      <c r="E500" s="21">
        <v>5177</v>
      </c>
      <c r="F500" s="36" t="s">
        <v>739</v>
      </c>
      <c r="G500" s="21"/>
      <c r="H500" s="21" t="s">
        <v>499</v>
      </c>
      <c r="I500" s="21" t="s">
        <v>37</v>
      </c>
      <c r="J500" s="21" t="s">
        <v>105</v>
      </c>
      <c r="K500" s="21">
        <v>189</v>
      </c>
      <c r="L500" s="29">
        <v>92</v>
      </c>
      <c r="M500" s="35" t="s">
        <v>779</v>
      </c>
      <c r="N500" s="24" t="s">
        <v>465</v>
      </c>
      <c r="O500" s="24" t="s">
        <v>465</v>
      </c>
      <c r="P500" s="21" t="s">
        <v>398</v>
      </c>
      <c r="Q500" s="21" t="s">
        <v>423</v>
      </c>
      <c r="R500" s="37" t="s">
        <v>432</v>
      </c>
      <c r="S500" s="27">
        <v>1500</v>
      </c>
      <c r="T500" s="28" t="s">
        <v>27</v>
      </c>
      <c r="U500" s="28" t="s">
        <v>28</v>
      </c>
      <c r="V500" s="28" t="s">
        <v>29</v>
      </c>
      <c r="W500" s="28" t="s">
        <v>35</v>
      </c>
    </row>
    <row r="501" spans="1:23" ht="15" customHeight="1" x14ac:dyDescent="0.25">
      <c r="A501" s="28" t="s">
        <v>702</v>
      </c>
      <c r="B501" s="28" t="s">
        <v>694</v>
      </c>
      <c r="C501" s="2">
        <v>46321</v>
      </c>
      <c r="D501" s="21" t="s">
        <v>703</v>
      </c>
      <c r="E501" s="21">
        <v>5178</v>
      </c>
      <c r="F501" s="36" t="s">
        <v>740</v>
      </c>
      <c r="G501" s="21"/>
      <c r="H501" s="21" t="s">
        <v>93</v>
      </c>
      <c r="I501" s="21" t="s">
        <v>37</v>
      </c>
      <c r="J501" s="21" t="s">
        <v>105</v>
      </c>
      <c r="K501" s="21">
        <v>189</v>
      </c>
      <c r="L501" s="29">
        <v>92</v>
      </c>
      <c r="M501" s="35" t="s">
        <v>780</v>
      </c>
      <c r="N501" s="24" t="s">
        <v>465</v>
      </c>
      <c r="O501" s="24" t="s">
        <v>465</v>
      </c>
      <c r="P501" s="21" t="s">
        <v>398</v>
      </c>
      <c r="Q501" s="21" t="s">
        <v>423</v>
      </c>
      <c r="R501" s="37" t="s">
        <v>432</v>
      </c>
      <c r="S501" s="27">
        <v>9000</v>
      </c>
      <c r="T501" s="28" t="s">
        <v>27</v>
      </c>
      <c r="U501" s="28" t="s">
        <v>28</v>
      </c>
      <c r="V501" s="28" t="s">
        <v>29</v>
      </c>
      <c r="W501" s="28" t="s">
        <v>35</v>
      </c>
    </row>
    <row r="502" spans="1:23" ht="15" customHeight="1" x14ac:dyDescent="0.25">
      <c r="A502" s="28" t="s">
        <v>702</v>
      </c>
      <c r="B502" s="28" t="s">
        <v>694</v>
      </c>
      <c r="C502" s="2">
        <v>46321</v>
      </c>
      <c r="D502" s="21" t="s">
        <v>703</v>
      </c>
      <c r="E502" s="21">
        <v>4439</v>
      </c>
      <c r="F502" s="36" t="s">
        <v>741</v>
      </c>
      <c r="G502" s="21"/>
      <c r="H502" s="21" t="s">
        <v>86</v>
      </c>
      <c r="I502" s="21" t="s">
        <v>266</v>
      </c>
      <c r="J502" s="21">
        <v>6123</v>
      </c>
      <c r="K502" s="21">
        <v>607</v>
      </c>
      <c r="L502" s="29">
        <v>93</v>
      </c>
      <c r="M502" s="35" t="s">
        <v>781</v>
      </c>
      <c r="N502" s="24" t="s">
        <v>465</v>
      </c>
      <c r="O502" s="24" t="s">
        <v>465</v>
      </c>
      <c r="P502" s="21" t="s">
        <v>398</v>
      </c>
      <c r="Q502" s="21" t="s">
        <v>813</v>
      </c>
      <c r="R502" s="37" t="s">
        <v>427</v>
      </c>
      <c r="S502" s="27">
        <v>2700</v>
      </c>
      <c r="T502" s="28" t="s">
        <v>27</v>
      </c>
      <c r="U502" s="28" t="s">
        <v>28</v>
      </c>
      <c r="V502" s="28" t="s">
        <v>29</v>
      </c>
      <c r="W502" s="28" t="s">
        <v>126</v>
      </c>
    </row>
    <row r="503" spans="1:23" ht="15" customHeight="1" x14ac:dyDescent="0.25">
      <c r="A503" s="28" t="s">
        <v>702</v>
      </c>
      <c r="B503" s="28" t="s">
        <v>694</v>
      </c>
      <c r="C503" s="2">
        <v>46321</v>
      </c>
      <c r="D503" s="21" t="s">
        <v>703</v>
      </c>
      <c r="E503" s="21">
        <v>5179</v>
      </c>
      <c r="F503" s="36" t="s">
        <v>742</v>
      </c>
      <c r="G503" s="21"/>
      <c r="H503" s="21" t="s">
        <v>31</v>
      </c>
      <c r="I503" s="21" t="s">
        <v>32</v>
      </c>
      <c r="J503" s="21" t="s">
        <v>105</v>
      </c>
      <c r="K503" s="21">
        <v>190</v>
      </c>
      <c r="L503" s="29">
        <v>92</v>
      </c>
      <c r="M503" s="35" t="s">
        <v>782</v>
      </c>
      <c r="N503" s="24" t="s">
        <v>465</v>
      </c>
      <c r="O503" s="24" t="s">
        <v>465</v>
      </c>
      <c r="P503" s="21" t="s">
        <v>398</v>
      </c>
      <c r="Q503" s="21" t="s">
        <v>423</v>
      </c>
      <c r="R503" s="37" t="s">
        <v>432</v>
      </c>
      <c r="S503" s="27">
        <v>10000</v>
      </c>
      <c r="T503" s="28" t="s">
        <v>27</v>
      </c>
      <c r="U503" s="28" t="s">
        <v>28</v>
      </c>
      <c r="V503" s="28" t="s">
        <v>29</v>
      </c>
      <c r="W503" s="28" t="s">
        <v>35</v>
      </c>
    </row>
    <row r="504" spans="1:23" ht="15" customHeight="1" x14ac:dyDescent="0.25">
      <c r="A504" s="28" t="s">
        <v>702</v>
      </c>
      <c r="B504" s="28" t="s">
        <v>694</v>
      </c>
      <c r="C504" s="2">
        <v>46321</v>
      </c>
      <c r="D504" s="21" t="s">
        <v>703</v>
      </c>
      <c r="E504" s="21">
        <v>5180</v>
      </c>
      <c r="F504" s="36" t="s">
        <v>743</v>
      </c>
      <c r="G504" s="21"/>
      <c r="H504" s="21" t="s">
        <v>757</v>
      </c>
      <c r="I504" s="21" t="s">
        <v>113</v>
      </c>
      <c r="J504" s="21" t="s">
        <v>41</v>
      </c>
      <c r="K504" s="21">
        <v>182</v>
      </c>
      <c r="L504" s="29">
        <v>92</v>
      </c>
      <c r="M504" s="35" t="s">
        <v>783</v>
      </c>
      <c r="N504" s="24" t="s">
        <v>465</v>
      </c>
      <c r="O504" s="24" t="s">
        <v>465</v>
      </c>
      <c r="P504" s="21" t="s">
        <v>398</v>
      </c>
      <c r="Q504" s="21" t="s">
        <v>471</v>
      </c>
      <c r="R504" s="37" t="s">
        <v>471</v>
      </c>
      <c r="S504" s="27">
        <v>1813</v>
      </c>
      <c r="T504" s="28" t="s">
        <v>27</v>
      </c>
      <c r="U504" s="28" t="s">
        <v>28</v>
      </c>
      <c r="V504" s="28" t="s">
        <v>29</v>
      </c>
      <c r="W504" s="28" t="s">
        <v>126</v>
      </c>
    </row>
    <row r="505" spans="1:23" ht="15" customHeight="1" x14ac:dyDescent="0.25">
      <c r="A505" s="28" t="s">
        <v>702</v>
      </c>
      <c r="B505" s="28" t="s">
        <v>694</v>
      </c>
      <c r="C505" s="2">
        <v>46321</v>
      </c>
      <c r="D505" s="21" t="s">
        <v>703</v>
      </c>
      <c r="E505" s="21">
        <v>5185</v>
      </c>
      <c r="F505" s="36" t="s">
        <v>744</v>
      </c>
      <c r="G505" s="21"/>
      <c r="H505" s="21" t="s">
        <v>139</v>
      </c>
      <c r="I505" s="21" t="s">
        <v>132</v>
      </c>
      <c r="J505" s="21" t="s">
        <v>41</v>
      </c>
      <c r="K505" s="21">
        <v>185</v>
      </c>
      <c r="L505" s="29">
        <v>92</v>
      </c>
      <c r="M505" s="35" t="s">
        <v>784</v>
      </c>
      <c r="N505" s="24" t="s">
        <v>465</v>
      </c>
      <c r="O505" s="24" t="s">
        <v>465</v>
      </c>
      <c r="P505" s="21" t="s">
        <v>398</v>
      </c>
      <c r="Q505" s="21" t="s">
        <v>471</v>
      </c>
      <c r="R505" s="37" t="s">
        <v>471</v>
      </c>
      <c r="S505" s="27">
        <v>10000</v>
      </c>
      <c r="T505" s="28" t="s">
        <v>27</v>
      </c>
      <c r="U505" s="28" t="s">
        <v>28</v>
      </c>
      <c r="V505" s="28" t="s">
        <v>29</v>
      </c>
      <c r="W505" s="28" t="s">
        <v>126</v>
      </c>
    </row>
    <row r="506" spans="1:23" ht="15" customHeight="1" x14ac:dyDescent="0.25">
      <c r="A506" s="28" t="s">
        <v>702</v>
      </c>
      <c r="B506" s="28" t="s">
        <v>694</v>
      </c>
      <c r="C506" s="2">
        <v>46321</v>
      </c>
      <c r="D506" s="21" t="s">
        <v>703</v>
      </c>
      <c r="E506" s="21">
        <v>5182</v>
      </c>
      <c r="F506" s="36" t="s">
        <v>742</v>
      </c>
      <c r="G506" s="21"/>
      <c r="H506" s="21" t="s">
        <v>31</v>
      </c>
      <c r="I506" s="21" t="s">
        <v>32</v>
      </c>
      <c r="J506" s="21" t="s">
        <v>105</v>
      </c>
      <c r="K506" s="21">
        <v>190</v>
      </c>
      <c r="L506" s="29">
        <v>92</v>
      </c>
      <c r="M506" s="35" t="s">
        <v>785</v>
      </c>
      <c r="N506" s="24" t="s">
        <v>465</v>
      </c>
      <c r="O506" s="24" t="s">
        <v>465</v>
      </c>
      <c r="P506" s="21" t="s">
        <v>398</v>
      </c>
      <c r="Q506" s="21" t="s">
        <v>423</v>
      </c>
      <c r="R506" s="37" t="s">
        <v>432</v>
      </c>
      <c r="S506" s="27">
        <v>8000</v>
      </c>
      <c r="T506" s="28" t="s">
        <v>27</v>
      </c>
      <c r="U506" s="28" t="s">
        <v>28</v>
      </c>
      <c r="V506" s="28" t="s">
        <v>29</v>
      </c>
      <c r="W506" s="28" t="s">
        <v>126</v>
      </c>
    </row>
    <row r="507" spans="1:23" ht="15" customHeight="1" x14ac:dyDescent="0.25">
      <c r="A507" s="28" t="s">
        <v>702</v>
      </c>
      <c r="B507" s="28" t="s">
        <v>694</v>
      </c>
      <c r="C507" s="2">
        <v>46321</v>
      </c>
      <c r="D507" s="21" t="s">
        <v>703</v>
      </c>
      <c r="E507" s="21">
        <v>5181</v>
      </c>
      <c r="F507" s="36" t="s">
        <v>744</v>
      </c>
      <c r="G507" s="21"/>
      <c r="H507" s="21" t="s">
        <v>139</v>
      </c>
      <c r="I507" s="21" t="s">
        <v>132</v>
      </c>
      <c r="J507" s="21" t="s">
        <v>41</v>
      </c>
      <c r="K507" s="21">
        <v>185</v>
      </c>
      <c r="L507" s="29">
        <v>92</v>
      </c>
      <c r="M507" s="35" t="s">
        <v>786</v>
      </c>
      <c r="N507" s="24" t="s">
        <v>465</v>
      </c>
      <c r="O507" s="24" t="s">
        <v>465</v>
      </c>
      <c r="P507" s="21" t="s">
        <v>398</v>
      </c>
      <c r="Q507" s="21" t="s">
        <v>471</v>
      </c>
      <c r="R507" s="37" t="s">
        <v>471</v>
      </c>
      <c r="S507" s="27">
        <v>10000</v>
      </c>
      <c r="T507" s="28" t="s">
        <v>27</v>
      </c>
      <c r="U507" s="28" t="s">
        <v>28</v>
      </c>
      <c r="V507" s="28" t="s">
        <v>29</v>
      </c>
      <c r="W507" s="28" t="s">
        <v>126</v>
      </c>
    </row>
    <row r="508" spans="1:23" ht="15" customHeight="1" x14ac:dyDescent="0.25">
      <c r="A508" s="28" t="s">
        <v>702</v>
      </c>
      <c r="B508" s="28" t="s">
        <v>694</v>
      </c>
      <c r="C508" s="2">
        <v>46321</v>
      </c>
      <c r="D508" s="21" t="s">
        <v>703</v>
      </c>
      <c r="E508" s="21">
        <v>5183</v>
      </c>
      <c r="F508" s="36">
        <v>5115019</v>
      </c>
      <c r="G508" s="21"/>
      <c r="H508" s="21" t="s">
        <v>668</v>
      </c>
      <c r="I508" s="21" t="s">
        <v>37</v>
      </c>
      <c r="J508" s="21" t="s">
        <v>105</v>
      </c>
      <c r="K508" s="21">
        <v>189</v>
      </c>
      <c r="L508" s="29">
        <v>92</v>
      </c>
      <c r="M508" s="35" t="s">
        <v>787</v>
      </c>
      <c r="N508" s="24" t="s">
        <v>465</v>
      </c>
      <c r="O508" s="24" t="s">
        <v>465</v>
      </c>
      <c r="P508" s="21" t="s">
        <v>398</v>
      </c>
      <c r="Q508" s="21" t="s">
        <v>423</v>
      </c>
      <c r="R508" s="37" t="s">
        <v>432</v>
      </c>
      <c r="S508" s="27">
        <v>20000</v>
      </c>
      <c r="T508" s="28" t="s">
        <v>27</v>
      </c>
      <c r="U508" s="28" t="s">
        <v>28</v>
      </c>
      <c r="V508" s="28" t="s">
        <v>29</v>
      </c>
      <c r="W508" s="28" t="s">
        <v>126</v>
      </c>
    </row>
    <row r="509" spans="1:23" ht="15" customHeight="1" x14ac:dyDescent="0.25">
      <c r="A509" s="28" t="s">
        <v>702</v>
      </c>
      <c r="B509" s="28" t="s">
        <v>694</v>
      </c>
      <c r="C509" s="2">
        <v>46321</v>
      </c>
      <c r="D509" s="21" t="s">
        <v>703</v>
      </c>
      <c r="E509" s="21">
        <v>5186</v>
      </c>
      <c r="F509" s="36">
        <v>5115019</v>
      </c>
      <c r="G509" s="21"/>
      <c r="H509" s="21" t="s">
        <v>668</v>
      </c>
      <c r="I509" s="21" t="s">
        <v>37</v>
      </c>
      <c r="J509" s="21" t="s">
        <v>105</v>
      </c>
      <c r="K509" s="21">
        <v>189</v>
      </c>
      <c r="L509" s="29">
        <v>92</v>
      </c>
      <c r="M509" s="35" t="s">
        <v>788</v>
      </c>
      <c r="N509" s="24" t="s">
        <v>465</v>
      </c>
      <c r="O509" s="24" t="s">
        <v>465</v>
      </c>
      <c r="P509" s="21" t="s">
        <v>398</v>
      </c>
      <c r="Q509" s="21" t="s">
        <v>423</v>
      </c>
      <c r="R509" s="37" t="s">
        <v>432</v>
      </c>
      <c r="S509" s="27">
        <v>40000</v>
      </c>
      <c r="T509" s="28" t="s">
        <v>27</v>
      </c>
      <c r="U509" s="28" t="s">
        <v>28</v>
      </c>
      <c r="V509" s="28" t="s">
        <v>29</v>
      </c>
      <c r="W509" s="28" t="s">
        <v>126</v>
      </c>
    </row>
    <row r="510" spans="1:23" ht="15" customHeight="1" x14ac:dyDescent="0.25">
      <c r="A510" s="28" t="s">
        <v>702</v>
      </c>
      <c r="B510" s="28" t="s">
        <v>694</v>
      </c>
      <c r="C510" s="2">
        <v>46321</v>
      </c>
      <c r="D510" s="21" t="s">
        <v>703</v>
      </c>
      <c r="E510" s="21">
        <v>5187</v>
      </c>
      <c r="F510" s="36" t="s">
        <v>745</v>
      </c>
      <c r="G510" s="21"/>
      <c r="H510" s="21" t="s">
        <v>134</v>
      </c>
      <c r="I510" s="21" t="s">
        <v>40</v>
      </c>
      <c r="J510" s="21" t="s">
        <v>41</v>
      </c>
      <c r="K510" s="21">
        <v>194</v>
      </c>
      <c r="L510" s="29">
        <v>92</v>
      </c>
      <c r="M510" s="35" t="s">
        <v>789</v>
      </c>
      <c r="N510" s="24" t="s">
        <v>465</v>
      </c>
      <c r="O510" s="24" t="s">
        <v>465</v>
      </c>
      <c r="P510" s="21" t="s">
        <v>398</v>
      </c>
      <c r="Q510" s="21" t="s">
        <v>471</v>
      </c>
      <c r="R510" s="37" t="s">
        <v>471</v>
      </c>
      <c r="S510" s="27">
        <v>8332</v>
      </c>
      <c r="T510" s="28" t="s">
        <v>27</v>
      </c>
      <c r="U510" s="28" t="s">
        <v>28</v>
      </c>
      <c r="V510" s="28" t="s">
        <v>29</v>
      </c>
      <c r="W510" s="28" t="s">
        <v>126</v>
      </c>
    </row>
    <row r="511" spans="1:23" ht="15" customHeight="1" x14ac:dyDescent="0.25">
      <c r="A511" s="28" t="s">
        <v>702</v>
      </c>
      <c r="B511" s="28" t="s">
        <v>694</v>
      </c>
      <c r="C511" s="2">
        <v>46321</v>
      </c>
      <c r="D511" s="21" t="s">
        <v>703</v>
      </c>
      <c r="E511" s="21">
        <v>5188</v>
      </c>
      <c r="F511" s="36" t="s">
        <v>745</v>
      </c>
      <c r="G511" s="21"/>
      <c r="H511" s="21" t="s">
        <v>134</v>
      </c>
      <c r="I511" s="21" t="s">
        <v>40</v>
      </c>
      <c r="J511" s="21" t="s">
        <v>41</v>
      </c>
      <c r="K511" s="21">
        <v>194</v>
      </c>
      <c r="L511" s="29">
        <v>92</v>
      </c>
      <c r="M511" s="35" t="s">
        <v>790</v>
      </c>
      <c r="N511" s="24" t="s">
        <v>465</v>
      </c>
      <c r="O511" s="24" t="s">
        <v>465</v>
      </c>
      <c r="P511" s="21" t="s">
        <v>398</v>
      </c>
      <c r="Q511" s="21" t="s">
        <v>471</v>
      </c>
      <c r="R511" s="37" t="s">
        <v>471</v>
      </c>
      <c r="S511" s="27">
        <v>5333</v>
      </c>
      <c r="T511" s="28" t="s">
        <v>27</v>
      </c>
      <c r="U511" s="28" t="s">
        <v>28</v>
      </c>
      <c r="V511" s="28" t="s">
        <v>29</v>
      </c>
      <c r="W511" s="28" t="s">
        <v>126</v>
      </c>
    </row>
    <row r="512" spans="1:23" ht="15" customHeight="1" x14ac:dyDescent="0.25">
      <c r="A512" s="28" t="s">
        <v>702</v>
      </c>
      <c r="B512" s="28" t="s">
        <v>694</v>
      </c>
      <c r="C512" s="2">
        <v>46321</v>
      </c>
      <c r="D512" s="21" t="s">
        <v>703</v>
      </c>
      <c r="E512" s="21">
        <v>5189</v>
      </c>
      <c r="F512" s="36" t="s">
        <v>745</v>
      </c>
      <c r="G512" s="21"/>
      <c r="H512" s="21" t="s">
        <v>134</v>
      </c>
      <c r="I512" s="21" t="s">
        <v>40</v>
      </c>
      <c r="J512" s="21" t="s">
        <v>41</v>
      </c>
      <c r="K512" s="21">
        <v>194</v>
      </c>
      <c r="L512" s="29">
        <v>92</v>
      </c>
      <c r="M512" s="35" t="s">
        <v>791</v>
      </c>
      <c r="N512" s="24" t="s">
        <v>465</v>
      </c>
      <c r="O512" s="24" t="s">
        <v>465</v>
      </c>
      <c r="P512" s="21" t="s">
        <v>398</v>
      </c>
      <c r="Q512" s="21" t="s">
        <v>471</v>
      </c>
      <c r="R512" s="37" t="s">
        <v>471</v>
      </c>
      <c r="S512" s="27">
        <v>5000</v>
      </c>
      <c r="T512" s="28" t="s">
        <v>27</v>
      </c>
      <c r="U512" s="28" t="s">
        <v>28</v>
      </c>
      <c r="V512" s="28" t="s">
        <v>29</v>
      </c>
      <c r="W512" s="28" t="s">
        <v>126</v>
      </c>
    </row>
    <row r="513" spans="1:23" ht="15" customHeight="1" x14ac:dyDescent="0.25">
      <c r="A513" s="28" t="s">
        <v>702</v>
      </c>
      <c r="B513" s="28" t="s">
        <v>694</v>
      </c>
      <c r="C513" s="2">
        <v>46321</v>
      </c>
      <c r="D513" s="21" t="s">
        <v>703</v>
      </c>
      <c r="E513" s="21">
        <v>5190</v>
      </c>
      <c r="F513" s="36" t="s">
        <v>745</v>
      </c>
      <c r="G513" s="21"/>
      <c r="H513" s="21" t="s">
        <v>134</v>
      </c>
      <c r="I513" s="21" t="s">
        <v>40</v>
      </c>
      <c r="J513" s="21" t="s">
        <v>41</v>
      </c>
      <c r="K513" s="21">
        <v>194</v>
      </c>
      <c r="L513" s="29">
        <v>92</v>
      </c>
      <c r="M513" s="35" t="s">
        <v>792</v>
      </c>
      <c r="N513" s="24" t="s">
        <v>465</v>
      </c>
      <c r="O513" s="24" t="s">
        <v>465</v>
      </c>
      <c r="P513" s="21" t="s">
        <v>398</v>
      </c>
      <c r="Q513" s="21" t="s">
        <v>471</v>
      </c>
      <c r="R513" s="37" t="s">
        <v>471</v>
      </c>
      <c r="S513" s="27">
        <v>6999</v>
      </c>
      <c r="T513" s="28" t="s">
        <v>27</v>
      </c>
      <c r="U513" s="28" t="s">
        <v>28</v>
      </c>
      <c r="V513" s="28" t="s">
        <v>29</v>
      </c>
      <c r="W513" s="28" t="s">
        <v>97</v>
      </c>
    </row>
    <row r="514" spans="1:23" ht="15" customHeight="1" x14ac:dyDescent="0.25">
      <c r="A514" s="28" t="s">
        <v>702</v>
      </c>
      <c r="B514" s="28" t="s">
        <v>694</v>
      </c>
      <c r="C514" s="2">
        <v>46321</v>
      </c>
      <c r="D514" s="21" t="s">
        <v>703</v>
      </c>
      <c r="E514" s="21">
        <v>5191</v>
      </c>
      <c r="F514" s="36" t="s">
        <v>746</v>
      </c>
      <c r="G514" s="21"/>
      <c r="H514" s="21" t="s">
        <v>758</v>
      </c>
      <c r="I514" s="21" t="s">
        <v>113</v>
      </c>
      <c r="J514" s="21" t="s">
        <v>41</v>
      </c>
      <c r="K514" s="21">
        <v>182</v>
      </c>
      <c r="L514" s="29">
        <v>92</v>
      </c>
      <c r="M514" s="35" t="s">
        <v>793</v>
      </c>
      <c r="N514" s="24" t="s">
        <v>465</v>
      </c>
      <c r="O514" s="24" t="s">
        <v>465</v>
      </c>
      <c r="P514" s="21" t="s">
        <v>398</v>
      </c>
      <c r="Q514" s="21" t="s">
        <v>471</v>
      </c>
      <c r="R514" s="37" t="s">
        <v>471</v>
      </c>
      <c r="S514" s="27">
        <v>14000</v>
      </c>
      <c r="T514" s="28" t="s">
        <v>27</v>
      </c>
      <c r="U514" s="28" t="s">
        <v>28</v>
      </c>
      <c r="V514" s="28" t="s">
        <v>29</v>
      </c>
      <c r="W514" s="28" t="s">
        <v>97</v>
      </c>
    </row>
    <row r="515" spans="1:23" ht="15" customHeight="1" x14ac:dyDescent="0.25">
      <c r="A515" s="28" t="s">
        <v>702</v>
      </c>
      <c r="B515" s="28" t="s">
        <v>694</v>
      </c>
      <c r="C515" s="2">
        <v>46321</v>
      </c>
      <c r="D515" s="21" t="s">
        <v>703</v>
      </c>
      <c r="E515" s="21">
        <v>5192</v>
      </c>
      <c r="F515" s="36" t="s">
        <v>747</v>
      </c>
      <c r="G515" s="21"/>
      <c r="H515" s="21" t="s">
        <v>261</v>
      </c>
      <c r="I515" s="21" t="s">
        <v>113</v>
      </c>
      <c r="J515" s="21" t="s">
        <v>41</v>
      </c>
      <c r="K515" s="21">
        <v>182</v>
      </c>
      <c r="L515" s="29">
        <v>92</v>
      </c>
      <c r="M515" s="35" t="s">
        <v>794</v>
      </c>
      <c r="N515" s="24" t="s">
        <v>465</v>
      </c>
      <c r="O515" s="24" t="s">
        <v>465</v>
      </c>
      <c r="P515" s="21" t="s">
        <v>398</v>
      </c>
      <c r="Q515" s="21" t="s">
        <v>471</v>
      </c>
      <c r="R515" s="37" t="s">
        <v>471</v>
      </c>
      <c r="S515" s="27">
        <v>1623</v>
      </c>
      <c r="T515" s="28" t="s">
        <v>27</v>
      </c>
      <c r="U515" s="28" t="s">
        <v>28</v>
      </c>
      <c r="V515" s="28" t="s">
        <v>29</v>
      </c>
      <c r="W515" s="28" t="s">
        <v>97</v>
      </c>
    </row>
    <row r="516" spans="1:23" ht="15" customHeight="1" x14ac:dyDescent="0.25">
      <c r="A516" s="28" t="s">
        <v>702</v>
      </c>
      <c r="B516" s="28" t="s">
        <v>694</v>
      </c>
      <c r="C516" s="2">
        <v>46321</v>
      </c>
      <c r="D516" s="21" t="s">
        <v>703</v>
      </c>
      <c r="E516" s="21">
        <v>5194</v>
      </c>
      <c r="F516" s="36" t="s">
        <v>748</v>
      </c>
      <c r="G516" s="21"/>
      <c r="H516" s="21" t="s">
        <v>759</v>
      </c>
      <c r="I516" s="21" t="s">
        <v>40</v>
      </c>
      <c r="J516" s="21" t="s">
        <v>41</v>
      </c>
      <c r="K516" s="21">
        <v>194</v>
      </c>
      <c r="L516" s="29">
        <v>93</v>
      </c>
      <c r="M516" s="35" t="s">
        <v>795</v>
      </c>
      <c r="N516" s="24" t="s">
        <v>465</v>
      </c>
      <c r="O516" s="24" t="s">
        <v>465</v>
      </c>
      <c r="P516" s="21" t="s">
        <v>398</v>
      </c>
      <c r="Q516" s="21" t="s">
        <v>471</v>
      </c>
      <c r="R516" s="37" t="s">
        <v>471</v>
      </c>
      <c r="S516" s="27">
        <v>3200</v>
      </c>
      <c r="T516" s="28" t="s">
        <v>27</v>
      </c>
      <c r="U516" s="28" t="s">
        <v>28</v>
      </c>
      <c r="V516" s="28" t="s">
        <v>29</v>
      </c>
      <c r="W516" s="28" t="s">
        <v>97</v>
      </c>
    </row>
    <row r="517" spans="1:23" ht="15" customHeight="1" x14ac:dyDescent="0.25">
      <c r="A517" s="28" t="s">
        <v>702</v>
      </c>
      <c r="B517" s="28" t="s">
        <v>694</v>
      </c>
      <c r="C517" s="2">
        <v>46321</v>
      </c>
      <c r="D517" s="21" t="s">
        <v>703</v>
      </c>
      <c r="E517" s="21">
        <v>5209</v>
      </c>
      <c r="F517" s="36">
        <v>5308265</v>
      </c>
      <c r="G517" s="21"/>
      <c r="H517" s="21" t="s">
        <v>760</v>
      </c>
      <c r="I517" s="21" t="s">
        <v>40</v>
      </c>
      <c r="J517" s="21" t="s">
        <v>41</v>
      </c>
      <c r="K517" s="21">
        <v>194</v>
      </c>
      <c r="L517" s="29">
        <v>92</v>
      </c>
      <c r="M517" s="35" t="s">
        <v>796</v>
      </c>
      <c r="N517" s="24" t="s">
        <v>465</v>
      </c>
      <c r="O517" s="24" t="s">
        <v>465</v>
      </c>
      <c r="P517" s="21" t="s">
        <v>398</v>
      </c>
      <c r="Q517" s="21" t="s">
        <v>471</v>
      </c>
      <c r="R517" s="37" t="s">
        <v>471</v>
      </c>
      <c r="S517" s="27">
        <v>50000</v>
      </c>
      <c r="T517" s="28" t="s">
        <v>27</v>
      </c>
      <c r="U517" s="28" t="s">
        <v>28</v>
      </c>
      <c r="V517" s="28" t="s">
        <v>29</v>
      </c>
      <c r="W517" s="28" t="s">
        <v>97</v>
      </c>
    </row>
    <row r="518" spans="1:23" ht="15" customHeight="1" x14ac:dyDescent="0.25">
      <c r="A518" s="28" t="s">
        <v>702</v>
      </c>
      <c r="B518" s="28" t="s">
        <v>694</v>
      </c>
      <c r="C518" s="2">
        <v>46321</v>
      </c>
      <c r="D518" s="21" t="s">
        <v>703</v>
      </c>
      <c r="E518" s="21">
        <v>5210</v>
      </c>
      <c r="F518" s="36" t="s">
        <v>749</v>
      </c>
      <c r="G518" s="21"/>
      <c r="H518" s="21" t="s">
        <v>760</v>
      </c>
      <c r="I518" s="21" t="s">
        <v>40</v>
      </c>
      <c r="J518" s="21" t="s">
        <v>41</v>
      </c>
      <c r="K518" s="21">
        <v>194</v>
      </c>
      <c r="L518" s="29">
        <v>92</v>
      </c>
      <c r="M518" s="35" t="s">
        <v>797</v>
      </c>
      <c r="N518" s="24" t="s">
        <v>465</v>
      </c>
      <c r="O518" s="24" t="s">
        <v>465</v>
      </c>
      <c r="P518" s="21" t="s">
        <v>398</v>
      </c>
      <c r="Q518" s="21" t="s">
        <v>471</v>
      </c>
      <c r="R518" s="37" t="s">
        <v>471</v>
      </c>
      <c r="S518" s="27">
        <v>5000</v>
      </c>
      <c r="T518" s="28" t="s">
        <v>27</v>
      </c>
      <c r="U518" s="28" t="s">
        <v>28</v>
      </c>
      <c r="V518" s="28" t="s">
        <v>29</v>
      </c>
      <c r="W518" s="28" t="s">
        <v>126</v>
      </c>
    </row>
    <row r="519" spans="1:23" ht="15" customHeight="1" x14ac:dyDescent="0.25">
      <c r="A519" s="28" t="s">
        <v>702</v>
      </c>
      <c r="B519" s="28" t="s">
        <v>694</v>
      </c>
      <c r="C519" s="2">
        <v>46321</v>
      </c>
      <c r="D519" s="21" t="s">
        <v>703</v>
      </c>
      <c r="E519" s="21">
        <v>5211</v>
      </c>
      <c r="F519" s="36" t="s">
        <v>749</v>
      </c>
      <c r="G519" s="21"/>
      <c r="H519" s="21" t="s">
        <v>760</v>
      </c>
      <c r="I519" s="21" t="s">
        <v>40</v>
      </c>
      <c r="J519" s="21" t="s">
        <v>41</v>
      </c>
      <c r="K519" s="21">
        <v>194</v>
      </c>
      <c r="L519" s="29">
        <v>92</v>
      </c>
      <c r="M519" s="35" t="s">
        <v>798</v>
      </c>
      <c r="N519" s="24" t="s">
        <v>465</v>
      </c>
      <c r="O519" s="24" t="s">
        <v>465</v>
      </c>
      <c r="P519" s="21" t="s">
        <v>398</v>
      </c>
      <c r="Q519" s="21" t="s">
        <v>471</v>
      </c>
      <c r="R519" s="37" t="s">
        <v>471</v>
      </c>
      <c r="S519" s="27">
        <v>7812</v>
      </c>
      <c r="T519" s="28" t="s">
        <v>27</v>
      </c>
      <c r="U519" s="28" t="s">
        <v>28</v>
      </c>
      <c r="V519" s="28" t="s">
        <v>29</v>
      </c>
      <c r="W519" s="28" t="s">
        <v>126</v>
      </c>
    </row>
    <row r="520" spans="1:23" ht="15" customHeight="1" x14ac:dyDescent="0.25">
      <c r="A520" s="28" t="s">
        <v>702</v>
      </c>
      <c r="B520" s="28" t="s">
        <v>694</v>
      </c>
      <c r="C520" s="2">
        <v>46321</v>
      </c>
      <c r="D520" s="21" t="s">
        <v>703</v>
      </c>
      <c r="E520" s="21">
        <v>5212</v>
      </c>
      <c r="F520" s="36" t="s">
        <v>749</v>
      </c>
      <c r="G520" s="21"/>
      <c r="H520" s="21" t="s">
        <v>760</v>
      </c>
      <c r="I520" s="21" t="s">
        <v>40</v>
      </c>
      <c r="J520" s="21" t="s">
        <v>41</v>
      </c>
      <c r="K520" s="21">
        <v>194</v>
      </c>
      <c r="L520" s="29">
        <v>92</v>
      </c>
      <c r="M520" s="35" t="s">
        <v>799</v>
      </c>
      <c r="N520" s="24" t="s">
        <v>465</v>
      </c>
      <c r="O520" s="24" t="s">
        <v>465</v>
      </c>
      <c r="P520" s="21" t="s">
        <v>398</v>
      </c>
      <c r="Q520" s="21" t="s">
        <v>471</v>
      </c>
      <c r="R520" s="37" t="s">
        <v>471</v>
      </c>
      <c r="S520" s="27">
        <v>24897</v>
      </c>
      <c r="T520" s="28" t="s">
        <v>27</v>
      </c>
      <c r="U520" s="28" t="s">
        <v>28</v>
      </c>
      <c r="V520" s="28" t="s">
        <v>29</v>
      </c>
      <c r="W520" s="28" t="s">
        <v>97</v>
      </c>
    </row>
    <row r="521" spans="1:23" ht="15" customHeight="1" x14ac:dyDescent="0.25">
      <c r="A521" s="28" t="s">
        <v>702</v>
      </c>
      <c r="B521" s="28" t="s">
        <v>694</v>
      </c>
      <c r="C521" s="2">
        <v>46321</v>
      </c>
      <c r="D521" s="21" t="s">
        <v>703</v>
      </c>
      <c r="E521" s="21">
        <v>5198</v>
      </c>
      <c r="F521" s="36" t="s">
        <v>750</v>
      </c>
      <c r="G521" s="21"/>
      <c r="H521" s="21" t="s">
        <v>761</v>
      </c>
      <c r="I521" s="21" t="s">
        <v>54</v>
      </c>
      <c r="J521" s="21" t="s">
        <v>55</v>
      </c>
      <c r="K521" s="21">
        <v>191</v>
      </c>
      <c r="L521" s="29">
        <v>93</v>
      </c>
      <c r="M521" s="35" t="s">
        <v>800</v>
      </c>
      <c r="N521" s="24" t="s">
        <v>465</v>
      </c>
      <c r="O521" s="24" t="s">
        <v>465</v>
      </c>
      <c r="P521" s="21" t="s">
        <v>398</v>
      </c>
      <c r="Q521" s="21" t="s">
        <v>813</v>
      </c>
      <c r="R521" s="37" t="s">
        <v>427</v>
      </c>
      <c r="S521" s="27">
        <v>12000</v>
      </c>
      <c r="T521" s="28" t="s">
        <v>27</v>
      </c>
      <c r="U521" s="28" t="s">
        <v>28</v>
      </c>
      <c r="V521" s="28" t="s">
        <v>29</v>
      </c>
      <c r="W521" s="28" t="s">
        <v>126</v>
      </c>
    </row>
    <row r="522" spans="1:23" ht="15" customHeight="1" x14ac:dyDescent="0.25">
      <c r="A522" s="28" t="s">
        <v>702</v>
      </c>
      <c r="B522" s="28" t="s">
        <v>694</v>
      </c>
      <c r="C522" s="2">
        <v>46321</v>
      </c>
      <c r="D522" s="21" t="s">
        <v>703</v>
      </c>
      <c r="E522" s="21">
        <v>5199</v>
      </c>
      <c r="F522" s="36">
        <v>5229985</v>
      </c>
      <c r="G522" s="21"/>
      <c r="H522" s="21" t="s">
        <v>661</v>
      </c>
      <c r="I522" s="21" t="s">
        <v>132</v>
      </c>
      <c r="J522" s="21" t="s">
        <v>41</v>
      </c>
      <c r="K522" s="21">
        <v>185</v>
      </c>
      <c r="L522" s="29">
        <v>92</v>
      </c>
      <c r="M522" s="35" t="s">
        <v>801</v>
      </c>
      <c r="N522" s="24" t="s">
        <v>465</v>
      </c>
      <c r="O522" s="24" t="s">
        <v>465</v>
      </c>
      <c r="P522" s="21" t="s">
        <v>398</v>
      </c>
      <c r="Q522" s="21" t="s">
        <v>471</v>
      </c>
      <c r="R522" s="37" t="s">
        <v>471</v>
      </c>
      <c r="S522" s="27">
        <v>6936</v>
      </c>
      <c r="T522" s="28" t="s">
        <v>27</v>
      </c>
      <c r="U522" s="28" t="s">
        <v>28</v>
      </c>
      <c r="V522" s="28" t="s">
        <v>29</v>
      </c>
      <c r="W522" s="28" t="s">
        <v>126</v>
      </c>
    </row>
    <row r="523" spans="1:23" ht="15" customHeight="1" x14ac:dyDescent="0.25">
      <c r="A523" s="28" t="s">
        <v>702</v>
      </c>
      <c r="B523" s="28" t="s">
        <v>694</v>
      </c>
      <c r="C523" s="2">
        <v>46321</v>
      </c>
      <c r="D523" s="21" t="s">
        <v>703</v>
      </c>
      <c r="E523" s="21">
        <v>5200</v>
      </c>
      <c r="F523" s="36">
        <v>5229985</v>
      </c>
      <c r="G523" s="21"/>
      <c r="H523" s="21" t="s">
        <v>661</v>
      </c>
      <c r="I523" s="21" t="s">
        <v>132</v>
      </c>
      <c r="J523" s="21" t="s">
        <v>41</v>
      </c>
      <c r="K523" s="21">
        <v>185</v>
      </c>
      <c r="L523" s="29">
        <v>92</v>
      </c>
      <c r="M523" s="35" t="s">
        <v>802</v>
      </c>
      <c r="N523" s="24" t="s">
        <v>465</v>
      </c>
      <c r="O523" s="24" t="s">
        <v>465</v>
      </c>
      <c r="P523" s="21" t="s">
        <v>398</v>
      </c>
      <c r="Q523" s="21" t="s">
        <v>471</v>
      </c>
      <c r="R523" s="37" t="s">
        <v>471</v>
      </c>
      <c r="S523" s="27">
        <v>20900</v>
      </c>
      <c r="T523" s="28" t="s">
        <v>27</v>
      </c>
      <c r="U523" s="28" t="s">
        <v>28</v>
      </c>
      <c r="V523" s="28" t="s">
        <v>29</v>
      </c>
      <c r="W523" s="28" t="s">
        <v>126</v>
      </c>
    </row>
    <row r="524" spans="1:23" ht="15" customHeight="1" x14ac:dyDescent="0.25">
      <c r="A524" s="28" t="s">
        <v>702</v>
      </c>
      <c r="B524" s="28" t="s">
        <v>694</v>
      </c>
      <c r="C524" s="2">
        <v>46321</v>
      </c>
      <c r="D524" s="21" t="s">
        <v>703</v>
      </c>
      <c r="E524" s="21">
        <v>4440</v>
      </c>
      <c r="F524" s="36">
        <v>5109682</v>
      </c>
      <c r="G524" s="21"/>
      <c r="H524" s="21" t="str">
        <f>VLOOKUP(F524,[1]!DEPARA_FOOD__22[[Cliente]:[Cliente_Descr]],2,0)</f>
        <v>FERPEREZ COMERCIO DE ALIMENTOS</v>
      </c>
      <c r="I524" s="21" t="s">
        <v>23</v>
      </c>
      <c r="J524" s="21">
        <v>6125</v>
      </c>
      <c r="K524" s="21">
        <v>692</v>
      </c>
      <c r="L524" s="29">
        <v>93</v>
      </c>
      <c r="M524" s="35" t="s">
        <v>803</v>
      </c>
      <c r="N524" s="24" t="s">
        <v>465</v>
      </c>
      <c r="O524" s="24" t="s">
        <v>465</v>
      </c>
      <c r="P524" s="21" t="s">
        <v>398</v>
      </c>
      <c r="Q524" s="21" t="s">
        <v>26</v>
      </c>
      <c r="R524" s="37" t="s">
        <v>607</v>
      </c>
      <c r="S524" s="27">
        <v>1000</v>
      </c>
      <c r="T524" s="28" t="s">
        <v>27</v>
      </c>
      <c r="U524" s="28" t="s">
        <v>28</v>
      </c>
      <c r="V524" s="28" t="s">
        <v>29</v>
      </c>
      <c r="W524" s="28" t="s">
        <v>126</v>
      </c>
    </row>
    <row r="525" spans="1:23" ht="15" customHeight="1" x14ac:dyDescent="0.25">
      <c r="A525" s="28" t="s">
        <v>702</v>
      </c>
      <c r="B525" s="28" t="s">
        <v>694</v>
      </c>
      <c r="C525" s="2">
        <v>46321</v>
      </c>
      <c r="D525" s="21" t="s">
        <v>703</v>
      </c>
      <c r="E525" s="21">
        <v>5201</v>
      </c>
      <c r="F525" s="36" t="s">
        <v>732</v>
      </c>
      <c r="G525" s="21"/>
      <c r="H525" s="21" t="s">
        <v>68</v>
      </c>
      <c r="I525" s="21" t="s">
        <v>54</v>
      </c>
      <c r="J525" s="21" t="s">
        <v>55</v>
      </c>
      <c r="K525" s="21">
        <v>191</v>
      </c>
      <c r="L525" s="29">
        <v>92</v>
      </c>
      <c r="M525" s="35" t="s">
        <v>804</v>
      </c>
      <c r="N525" s="24" t="s">
        <v>465</v>
      </c>
      <c r="O525" s="24" t="s">
        <v>465</v>
      </c>
      <c r="P525" s="21" t="s">
        <v>398</v>
      </c>
      <c r="Q525" s="21" t="s">
        <v>813</v>
      </c>
      <c r="R525" s="37" t="s">
        <v>427</v>
      </c>
      <c r="S525" s="27">
        <v>4200</v>
      </c>
      <c r="T525" s="28" t="s">
        <v>27</v>
      </c>
      <c r="U525" s="28" t="s">
        <v>28</v>
      </c>
      <c r="V525" s="28" t="s">
        <v>29</v>
      </c>
      <c r="W525" s="28" t="s">
        <v>126</v>
      </c>
    </row>
    <row r="526" spans="1:23" ht="15" customHeight="1" x14ac:dyDescent="0.25">
      <c r="A526" s="28" t="s">
        <v>702</v>
      </c>
      <c r="B526" s="28" t="s">
        <v>694</v>
      </c>
      <c r="C526" s="2">
        <v>46321</v>
      </c>
      <c r="D526" s="21" t="s">
        <v>703</v>
      </c>
      <c r="E526" s="21">
        <v>4441</v>
      </c>
      <c r="F526" s="36" t="s">
        <v>751</v>
      </c>
      <c r="G526" s="21"/>
      <c r="H526" s="21" t="s">
        <v>629</v>
      </c>
      <c r="I526" s="21" t="s">
        <v>23</v>
      </c>
      <c r="J526" s="21">
        <v>6125</v>
      </c>
      <c r="K526" s="21">
        <v>692</v>
      </c>
      <c r="L526" s="29">
        <v>93</v>
      </c>
      <c r="M526" s="35" t="s">
        <v>805</v>
      </c>
      <c r="N526" s="24" t="s">
        <v>465</v>
      </c>
      <c r="O526" s="24" t="s">
        <v>465</v>
      </c>
      <c r="P526" s="21" t="s">
        <v>398</v>
      </c>
      <c r="Q526" s="21" t="s">
        <v>49</v>
      </c>
      <c r="R526" s="37" t="s">
        <v>815</v>
      </c>
      <c r="S526" s="27">
        <v>7264.25</v>
      </c>
      <c r="T526" s="28" t="s">
        <v>27</v>
      </c>
      <c r="U526" s="28" t="s">
        <v>28</v>
      </c>
      <c r="V526" s="28" t="s">
        <v>29</v>
      </c>
      <c r="W526" s="28" t="s">
        <v>126</v>
      </c>
    </row>
    <row r="527" spans="1:23" ht="15" customHeight="1" x14ac:dyDescent="0.25">
      <c r="A527" s="28" t="s">
        <v>702</v>
      </c>
      <c r="B527" s="28" t="s">
        <v>694</v>
      </c>
      <c r="C527" s="2">
        <v>46321</v>
      </c>
      <c r="D527" s="21" t="s">
        <v>703</v>
      </c>
      <c r="E527" s="21">
        <v>5202</v>
      </c>
      <c r="F527" s="36" t="s">
        <v>752</v>
      </c>
      <c r="G527" s="21"/>
      <c r="H527" s="21" t="s">
        <v>762</v>
      </c>
      <c r="I527" s="21" t="s">
        <v>132</v>
      </c>
      <c r="J527" s="21" t="s">
        <v>41</v>
      </c>
      <c r="K527" s="21">
        <v>185</v>
      </c>
      <c r="L527" s="29">
        <v>92</v>
      </c>
      <c r="M527" s="35" t="s">
        <v>806</v>
      </c>
      <c r="N527" s="24" t="s">
        <v>465</v>
      </c>
      <c r="O527" s="24" t="s">
        <v>465</v>
      </c>
      <c r="P527" s="21" t="s">
        <v>398</v>
      </c>
      <c r="Q527" s="21" t="s">
        <v>471</v>
      </c>
      <c r="R527" s="37" t="s">
        <v>471</v>
      </c>
      <c r="S527" s="27">
        <v>17066</v>
      </c>
      <c r="T527" s="28" t="s">
        <v>27</v>
      </c>
      <c r="U527" s="28" t="s">
        <v>28</v>
      </c>
      <c r="V527" s="28" t="s">
        <v>29</v>
      </c>
      <c r="W527" s="28" t="s">
        <v>126</v>
      </c>
    </row>
    <row r="528" spans="1:23" ht="15" customHeight="1" x14ac:dyDescent="0.25">
      <c r="A528" s="28" t="s">
        <v>702</v>
      </c>
      <c r="B528" s="28" t="s">
        <v>694</v>
      </c>
      <c r="C528" s="2">
        <v>46321</v>
      </c>
      <c r="D528" s="21" t="s">
        <v>703</v>
      </c>
      <c r="E528" s="21">
        <v>4442</v>
      </c>
      <c r="F528" s="36" t="s">
        <v>753</v>
      </c>
      <c r="G528" s="21"/>
      <c r="H528" s="21" t="s">
        <v>129</v>
      </c>
      <c r="I528" s="21" t="s">
        <v>23</v>
      </c>
      <c r="J528" s="21" t="s">
        <v>618</v>
      </c>
      <c r="K528" s="21">
        <v>192</v>
      </c>
      <c r="L528" s="29">
        <v>92</v>
      </c>
      <c r="M528" s="35" t="s">
        <v>807</v>
      </c>
      <c r="N528" s="24" t="s">
        <v>465</v>
      </c>
      <c r="O528" s="24" t="s">
        <v>465</v>
      </c>
      <c r="P528" s="21" t="s">
        <v>398</v>
      </c>
      <c r="Q528" s="21" t="s">
        <v>49</v>
      </c>
      <c r="R528" s="37" t="s">
        <v>815</v>
      </c>
      <c r="S528" s="27">
        <v>7897</v>
      </c>
      <c r="T528" s="28" t="s">
        <v>27</v>
      </c>
      <c r="U528" s="28" t="s">
        <v>28</v>
      </c>
      <c r="V528" s="28" t="s">
        <v>29</v>
      </c>
      <c r="W528" s="28" t="s">
        <v>126</v>
      </c>
    </row>
    <row r="529" spans="1:23" ht="15" customHeight="1" x14ac:dyDescent="0.25">
      <c r="A529" s="28" t="s">
        <v>702</v>
      </c>
      <c r="B529" s="28" t="s">
        <v>694</v>
      </c>
      <c r="C529" s="2">
        <v>46321</v>
      </c>
      <c r="D529" s="21" t="s">
        <v>703</v>
      </c>
      <c r="E529" s="21">
        <v>4443</v>
      </c>
      <c r="F529" s="36" t="s">
        <v>754</v>
      </c>
      <c r="G529" s="21"/>
      <c r="H529" s="21" t="s">
        <v>124</v>
      </c>
      <c r="I529" s="21" t="s">
        <v>23</v>
      </c>
      <c r="J529" s="21" t="s">
        <v>618</v>
      </c>
      <c r="K529" s="21">
        <v>192</v>
      </c>
      <c r="L529" s="29">
        <v>92</v>
      </c>
      <c r="M529" s="35" t="s">
        <v>808</v>
      </c>
      <c r="N529" s="24" t="s">
        <v>465</v>
      </c>
      <c r="O529" s="24" t="s">
        <v>465</v>
      </c>
      <c r="P529" s="21" t="s">
        <v>398</v>
      </c>
      <c r="Q529" s="21" t="s">
        <v>49</v>
      </c>
      <c r="R529" s="37" t="s">
        <v>815</v>
      </c>
      <c r="S529" s="27">
        <v>4392</v>
      </c>
      <c r="T529" s="28" t="s">
        <v>27</v>
      </c>
      <c r="U529" s="28" t="s">
        <v>28</v>
      </c>
      <c r="V529" s="28" t="s">
        <v>29</v>
      </c>
      <c r="W529" s="28" t="s">
        <v>126</v>
      </c>
    </row>
    <row r="530" spans="1:23" ht="15" customHeight="1" x14ac:dyDescent="0.25">
      <c r="A530" s="28" t="s">
        <v>702</v>
      </c>
      <c r="B530" s="28" t="s">
        <v>694</v>
      </c>
      <c r="C530" s="2">
        <v>46321</v>
      </c>
      <c r="D530" s="21" t="s">
        <v>703</v>
      </c>
      <c r="E530" s="21">
        <v>5203</v>
      </c>
      <c r="F530" s="36">
        <v>5259915</v>
      </c>
      <c r="G530" s="21"/>
      <c r="H530" s="21" t="s">
        <v>665</v>
      </c>
      <c r="I530" s="21" t="s">
        <v>23</v>
      </c>
      <c r="J530" s="21" t="s">
        <v>618</v>
      </c>
      <c r="K530" s="21">
        <v>192</v>
      </c>
      <c r="L530" s="29">
        <v>93</v>
      </c>
      <c r="M530" s="35" t="s">
        <v>809</v>
      </c>
      <c r="N530" s="24" t="s">
        <v>465</v>
      </c>
      <c r="O530" s="24" t="s">
        <v>465</v>
      </c>
      <c r="P530" s="21" t="s">
        <v>398</v>
      </c>
      <c r="Q530" s="21" t="s">
        <v>49</v>
      </c>
      <c r="R530" s="37" t="s">
        <v>815</v>
      </c>
      <c r="S530" s="27">
        <v>1447.5</v>
      </c>
      <c r="T530" s="28" t="s">
        <v>27</v>
      </c>
      <c r="U530" s="28" t="s">
        <v>28</v>
      </c>
      <c r="V530" s="28" t="s">
        <v>29</v>
      </c>
      <c r="W530" s="28" t="s">
        <v>126</v>
      </c>
    </row>
    <row r="531" spans="1:23" ht="15" customHeight="1" x14ac:dyDescent="0.25">
      <c r="A531" s="28" t="s">
        <v>702</v>
      </c>
      <c r="B531" s="28" t="s">
        <v>694</v>
      </c>
      <c r="C531" s="2">
        <v>46321</v>
      </c>
      <c r="D531" s="21" t="s">
        <v>703</v>
      </c>
      <c r="E531" s="21">
        <v>5206</v>
      </c>
      <c r="F531" s="36">
        <v>5340656</v>
      </c>
      <c r="G531" s="21"/>
      <c r="H531" s="21" t="s">
        <v>529</v>
      </c>
      <c r="I531" s="21" t="s">
        <v>23</v>
      </c>
      <c r="J531" s="21" t="s">
        <v>618</v>
      </c>
      <c r="K531" s="21">
        <v>192</v>
      </c>
      <c r="L531" s="29">
        <v>93</v>
      </c>
      <c r="M531" s="35" t="s">
        <v>810</v>
      </c>
      <c r="N531" s="24" t="s">
        <v>465</v>
      </c>
      <c r="O531" s="24" t="s">
        <v>465</v>
      </c>
      <c r="P531" s="21" t="s">
        <v>398</v>
      </c>
      <c r="Q531" s="21" t="s">
        <v>49</v>
      </c>
      <c r="R531" s="37" t="s">
        <v>815</v>
      </c>
      <c r="S531" s="27">
        <v>3000</v>
      </c>
      <c r="T531" s="28" t="s">
        <v>27</v>
      </c>
      <c r="U531" s="28" t="s">
        <v>28</v>
      </c>
      <c r="V531" s="28" t="s">
        <v>29</v>
      </c>
      <c r="W531" s="28" t="s">
        <v>126</v>
      </c>
    </row>
    <row r="532" spans="1:23" ht="15" customHeight="1" x14ac:dyDescent="0.25">
      <c r="A532" s="28" t="s">
        <v>702</v>
      </c>
      <c r="B532" s="28" t="s">
        <v>694</v>
      </c>
      <c r="C532" s="2">
        <v>46321</v>
      </c>
      <c r="D532" s="21" t="s">
        <v>703</v>
      </c>
      <c r="E532" s="21">
        <v>5213</v>
      </c>
      <c r="F532" s="36" t="s">
        <v>749</v>
      </c>
      <c r="G532" s="21"/>
      <c r="H532" s="21" t="s">
        <v>760</v>
      </c>
      <c r="I532" s="21" t="s">
        <v>40</v>
      </c>
      <c r="J532" s="21" t="s">
        <v>41</v>
      </c>
      <c r="K532" s="21">
        <v>194</v>
      </c>
      <c r="L532" s="29">
        <v>92</v>
      </c>
      <c r="M532" s="35" t="s">
        <v>811</v>
      </c>
      <c r="N532" s="24" t="s">
        <v>465</v>
      </c>
      <c r="O532" s="24" t="s">
        <v>465</v>
      </c>
      <c r="P532" s="21" t="s">
        <v>398</v>
      </c>
      <c r="Q532" s="21" t="s">
        <v>471</v>
      </c>
      <c r="R532" s="37" t="s">
        <v>471</v>
      </c>
      <c r="S532" s="27">
        <v>14000</v>
      </c>
      <c r="T532" s="28" t="s">
        <v>27</v>
      </c>
      <c r="U532" s="28" t="s">
        <v>28</v>
      </c>
      <c r="V532" s="28" t="s">
        <v>29</v>
      </c>
      <c r="W532" s="28" t="s">
        <v>97</v>
      </c>
    </row>
  </sheetData>
  <autoFilter ref="A1:W475" xr:uid="{98AA0BDE-E6C8-4B65-9542-F70F3610FBA9}"/>
  <pageMargins left="0.511811024" right="0.511811024" top="0.78740157499999996" bottom="0.78740157499999996" header="0.31496062000000002" footer="0.31496062000000002"/>
  <ignoredErrors>
    <ignoredError sqref="F487:F5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ACORDOS</vt:lpstr>
    </vt:vector>
  </TitlesOfParts>
  <Company>Lactalis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 Viviane</dc:creator>
  <cp:lastModifiedBy>MAGALHAES Thaina</cp:lastModifiedBy>
  <dcterms:created xsi:type="dcterms:W3CDTF">2026-03-30T17:17:24Z</dcterms:created>
  <dcterms:modified xsi:type="dcterms:W3CDTF">2026-10-30T12:25:21Z</dcterms:modified>
</cp:coreProperties>
</file>