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A736C689-7D9E-49CF-9E95-FAB9C9C98314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<sst xmlns="http://schemas.openxmlformats.org/spreadsheetml/2006/main" count="28677" uniqueCount="1814">
  <si>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</si>
  <si>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</si>
  <si>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</si>
  <si>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</si>
  <si>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</si>
  <si>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</si>
  <si>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</si>
  <si>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</si>
  <si>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</si>
  <si>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</si>
  <si>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</si>
  <si>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</si>
  <si>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</si>
  <si>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</si>
  <si>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</si>
  <si>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</si>
  <si>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</si>
  <si>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</si>
  <si>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</si>
  <si>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</si>
  <si>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</si>
  <si>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</si>
  <si>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</si>
  <si>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</si>
  <si>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</si>
  <si>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</si>
  <si>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</si>
  <si>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</si>
  <si>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</si>
  <si>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</si>
  <si>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</si>
  <si>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</si>
  <si>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</si>
  <si>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</si>
  <si>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</si>
  <si>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</si>
  <si>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</si>
  <si>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</si>
  <si>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</si>
  <si>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</si>
  <si>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</si>
  <si>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</si>
  <si>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</si>
  <si>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</si>
  <si>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</si>
  <si>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</si>
  <si>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</si>
  <si>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</si>
  <si>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</si>
  <si>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</si>
  <si>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</si>
  <si>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</si>
  <si>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</si>
  <si>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</si>
  <si>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</si>
  <si>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</si>
  <si>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</si>
  <si>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</si>
  <si>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</si>
  <si>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</si>
  <si>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</si>
  <si>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</si>
  <si>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</si>
  <si>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</si>
  <si>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</si>
  <si>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</si>
  <si>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</si>
  <si>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</si>
  <si>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</si>
  <si>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</si>
  <si>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</si>
  <si>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</si>
  <si>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</si>
  <si>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</si>
  <si>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</si>
  <si>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</si>
  <si>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</si>
  <si>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</si>
  <si>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</si>
  <si>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</si>
  <si>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</si>
  <si>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</si>
  <si>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</si>
  <si>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</si>
  <si>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</si>
  <si>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</si>
  <si>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</si>
  <si>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</si>
  <si>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</si>
  <si>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</si>
  <si>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</si>
  <si>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</si>
  <si>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</si>
  <si>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</si>
  <si>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</si>
  <si>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</si>
  <si>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</si>
  <si>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</si>
  <si>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</si>
  <si>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</si>
  <si>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</si>
  <si>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</si>
  <si>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</si>
  <si>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</si>
  <si>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</si>
  <si>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</si>
  <si>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</si>
  <si>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</si>
  <si>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</si>
  <si>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</si>
  <si>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</si>
  <si>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</si>
  <si>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</si>
  <si>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</si>
  <si>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</si>
  <si>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</si>
  <si>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</si>
  <si>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</si>
  <si>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</si>
  <si>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</si>
  <si>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</si>
  <si>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</si>
  <si>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</si>
  <si>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</si>
  <si>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</si>
  <si>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</si>
  <si>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</si>
  <si>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</si>
  <si>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</si>
  <si>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</si>
  <si>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</si>
  <si>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</si>
  <si>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</si>
  <si>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</si>
  <si>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</si>
  <si>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</si>
  <si>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</si>
  <si>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</si>
  <si>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</si>
  <si>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</si>
  <si>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</si>
  <si>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</si>
  <si>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</si>
  <si>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</si>
  <si>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</si>
  <si>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</si>
  <si>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</si>
  <si>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</si>
  <si>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</si>
  <si>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</si>
  <si>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</si>
  <si>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</si>
  <si>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</si>
  <si>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</si>
  <si>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</si>
  <si>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</si>
  <si>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</si>
  <si>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</si>
  <si>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</si>
  <si>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</si>
  <si>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</si>
  <si>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</si>
  <si>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</si>
  <si>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</si>
  <si>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</si>
  <si>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</si>
  <si>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</si>
  <si>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</si>
  <si>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</si>
  <si>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</si>
  <si>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</si>
  <si>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</si>
  <si>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</si>
  <si>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</si>
  <si>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</si>
  <si>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</si>
  <si>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</si>
  <si>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</si>
  <si>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</si>
  <si>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</si>
  <si>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</si>
  <si>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</si>
  <si>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</si>
  <si>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</si>
  <si>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</si>
  <si>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</si>
  <si>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</si>
  <si>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</si>
  <si>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</si>
  <si>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</si>
  <si>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</si>
  <si>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</si>
  <si>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</si>
  <si>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</si>
  <si>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</si>
  <si>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</si>
  <si>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</si>
  <si>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</si>
  <si>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</si>
  <si>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</si>
  <si>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</si>
  <si>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</si>
  <si>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</si>
  <si>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</si>
  <si>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</si>
  <si>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</si>
  <si>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</si>
  <si>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</si>
  <si>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</si>
  <si>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</si>
  <si>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</si>
  <si>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</si>
  <si>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</si>
  <si>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</si>
  <si>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</si>
  <si>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</si>
  <si>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</si>
  <si>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</si>
  <si>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</si>
  <si>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</si>
  <si>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</si>
  <si>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</si>
  <si>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</si>
  <si>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</si>
  <si>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</si>
  <si>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</si>
  <si>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</si>
  <si>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</si>
  <si>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</si>
  <si>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</si>
  <si>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</si>
  <si>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</si>
  <si>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</si>
  <si>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</si>
  <si>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</si>
  <si>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</si>
  <si>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</si>
  <si>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</si>
  <si>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</si>
  <si>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</si>
  <si>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</si>
  <si>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</si>
  <si>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</si>
  <si>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</si>
  <si>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</si>
  <si>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</si>
  <si>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</si>
  <si>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</si>
  <si>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</si>
  <si>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</si>
  <si>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</si>
  <si>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</si>
  <si>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</si>
  <si>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</si>
  <si>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</si>
  <si>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</si>
  <si>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</si>
  <si>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</si>
  <si>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</si>
  <si>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</si>
  <si>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</si>
  <si>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</si>
  <si>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</si>
  <si>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</si>
  <si>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</si>
  <si>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</si>
  <si>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</si>
  <si>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</si>
  <si>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</si>
  <si>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</si>
  <si>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</si>
  <si>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</si>
  <si>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</si>
  <si>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</si>
  <si>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</si>
  <si>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</si>
  <si>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</si>
  <si>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</si>
  <si>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</si>
  <si>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</si>
  <si>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</si>
  <si>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</si>
  <si>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</si>
  <si>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</si>
  <si>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</si>
  <si>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</si>
  <si>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</si>
  <si>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</si>
  <si>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</si>
  <si>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</si>
  <si>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</si>
  <si>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</si>
  <si>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</si>
  <si>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</si>
  <si>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</si>
  <si>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</si>
  <si>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</si>
  <si>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</si>
  <si>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</si>
  <si>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</si>
  <si>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</si>
  <si>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</si>
  <si>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</si>
  <si>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</si>
  <si>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</si>
  <si>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</si>
  <si>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</si>
  <si>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</si>
  <si>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</si>
  <si>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</si>
  <si>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</si>
  <si>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</si>
  <si>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</si>
  <si>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</si>
  <si>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</si>
  <si>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</si>
  <si>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</si>
  <si>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</si>
  <si>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</si>
  <si>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</si>
  <si>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</si>
  <si>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</si>
  <si>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</si>
  <si>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</si>
  <si>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</si>
  <si>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</si>
  <si>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</si>
  <si>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</si>
  <si>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</si>
  <si>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</si>
  <si>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</si>
  <si>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</si>
  <si>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</si>
  <si>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</si>
  <si>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</si>
  <si>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</si>
  <si>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</si>
  <si>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</si>
  <si>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</si>
  <si>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</si>
  <si>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</si>
  <si>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</si>
  <si>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</si>
  <si>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</si>
  <si>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</si>
  <si>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</si>
  <si>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</si>
  <si>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</si>
  <si>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</si>
  <si>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</si>
  <si>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</si>
  <si>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</si>
  <si>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</si>
  <si>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</si>
  <si>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</si>
  <si>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</si>
  <si>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</si>
  <si>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</si>
  <si>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</si>
  <si>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</si>
  <si>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</si>
  <si>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</si>
  <si>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</si>
  <si>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</si>
  <si>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</si>
  <si>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</si>
  <si>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</si>
  <si>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</si>
  <si>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</si>
  <si>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</si>
  <si>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</si>
  <si>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</si>
  <si>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</si>
  <si>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</si>
  <si>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</si>
  <si>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</si>
  <si>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</si>
  <si>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</si>
  <si>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</si>
  <si>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</si>
  <si>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</si>
  <si>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</si>
  <si>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</si>
  <si>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</si>
  <si>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</si>
  <si>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</si>
  <si>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</si>
  <si>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</si>
  <si>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</si>
  <si>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</si>
  <si>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</si>
  <si>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</si>
  <si>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</si>
  <si>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</si>
  <si>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</si>
  <si>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</si>
  <si>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</si>
  <si>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</si>
  <si>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</si>
  <si>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</si>
  <si>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</si>
  <si>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</si>
  <si>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</si>
  <si>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</si>
  <si>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</si>
  <si>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</si>
  <si>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</si>
  <si>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</si>
  <si>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</si>
  <si>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</si>
  <si>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</si>
  <si>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</si>
  <si>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</si>
  <si>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</si>
  <si>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</si>
  <si>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</si>
  <si>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</si>
  <si>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</si>
  <si>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</si>
  <si>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</si>
  <si>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</si>
  <si>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</si>
  <si>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</si>
  <si>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</si>
  <si>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</si>
  <si>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</si>
  <si>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</si>
  <si>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</si>
  <si>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</si>
  <si>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</si>
  <si>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</si>
  <si>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</si>
  <si>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</si>
  <si>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</si>
  <si>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</si>
  <si>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</si>
  <si>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</si>
  <si>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</si>
  <si>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</si>
  <si>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</si>
  <si>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</si>
  <si>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</si>
  <si>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</si>
  <si>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</si>
  <si>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</si>
  <si>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</si>
  <si>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</si>
  <si>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</si>
  <si>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</si>
  <si>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</si>
  <si>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</si>
  <si>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</si>
  <si>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</si>
  <si>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</si>
  <si>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</si>
  <si>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</si>
  <si>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</si>
  <si>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</si>
  <si>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</si>
  <si>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</si>
  <si>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</si>
  <si>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</si>
  <si>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</si>
  <si>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</si>
  <si>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</si>
  <si>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</si>
  <si>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</si>
  <si>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</si>
  <si>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</si>
  <si>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</si>
  <si>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</si>
  <si>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</si>
  <si>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</si>
  <si>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</si>
  <si>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</si>
  <si>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</si>
  <si>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</si>
  <si>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</si>
  <si>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</si>
  <si>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</si>
  <si>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</si>
  <si>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</si>
  <si>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</si>
  <si>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</si>
  <si>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</si>
  <si>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</si>
  <si>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</si>
  <si>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</si>
  <si>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</si>
  <si>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</si>
  <si>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</si>
  <si>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</si>
  <si>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</si>
  <si>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</si>
  <si>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</si>
  <si>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</si>
  <si>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</si>
  <si>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</si>
  <si>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</si>
  <si>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</si>
  <si>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</si>
  <si>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</si>
  <si>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</si>
  <si>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</si>
  <si>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</si>
  <si>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</si>
  <si>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</si>
  <si>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</si>
  <si>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</si>
  <si>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</si>
  <si>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</si>
  <si>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</si>
  <si>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</si>
  <si>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</si>
  <si>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</si>
  <si>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</si>
  <si>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</si>
  <si>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</si>
  <si>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</si>
  <si>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</si>
  <si>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</si>
  <si>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</si>
  <si>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</si>
  <si>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</si>
  <si>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</si>
  <si>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</si>
  <si>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</si>
  <si>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</si>
  <si>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</si>
  <si>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</si>
  <si>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</si>
  <si>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</si>
  <si>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</si>
  <si>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</si>
  <si>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</si>
  <si>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</si>
  <si>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</si>
  <si>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</si>
  <si>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</si>
  <si>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</si>
  <si>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</si>
  <si>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</si>
  <si>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</si>
  <si>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</si>
  <si>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</si>
  <si>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</si>
  <si>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</si>
  <si>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</si>
  <si>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</si>
  <si>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</si>
  <si>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</si>
  <si>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</si>
  <si>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</si>
  <si>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</si>
  <si>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</si>
  <si>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</si>
  <si>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</si>
  <si>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</si>
  <si>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</si>
  <si>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</si>
  <si>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</si>
  <si>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</si>
  <si>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</si>
  <si>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</si>
  <si>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</si>
  <si>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</si>
  <si>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</si>
  <si>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</si>
  <si>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</si>
  <si>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</si>
  <si>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</si>
  <si>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</si>
  <si>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</si>
  <si>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</si>
  <si>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</si>
  <si>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</si>
  <si>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</si>
  <si>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</si>
  <si>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</si>
  <si>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</si>
  <si>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</si>
  <si>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</si>
  <si>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</si>
  <si>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</si>
  <si>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</si>
  <si>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</si>
  <si>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</si>
  <si>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</si>
  <si>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</si>
  <si>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</si>
  <si>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</si>
  <si>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</si>
  <si>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</si>
  <si>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</si>
  <si>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</si>
  <si>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</si>
  <si>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</si>
  <si>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</si>
  <si>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</si>
  <si>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</si>
  <si>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</si>
  <si>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</si>
  <si>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</si>
  <si>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</si>
  <si>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</si>
  <si>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</si>
  <si>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</si>
  <si>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</si>
  <si>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</si>
  <si>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</si>
  <si>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</si>
  <si>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</si>
  <si>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</si>
  <si>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</si>
  <si>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</si>
  <si>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</si>
  <si>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</si>
  <si>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</si>
  <si>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</si>
  <si>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</si>
  <si>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</si>
  <si>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</si>
  <si>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</si>
  <si>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</si>
  <si>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</si>
  <si>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</si>
  <si>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</si>
  <si>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</si>
  <si>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</si>
  <si>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</si>
  <si>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</si>
  <si>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</si>
  <si>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</si>
  <si>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</si>
  <si>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</si>
  <si>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</si>
  <si>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</si>
  <si>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</si>
  <si>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</si>
  <si>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</si>
  <si>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</si>
  <si>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</si>
  <si>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</si>
  <si>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</si>
  <si>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</si>
  <si>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</si>
  <si>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</si>
  <si>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</si>
  <si>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</si>
  <si>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</si>
  <si>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</si>
  <si>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</si>
  <si>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</si>
  <si>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</si>
  <si>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</si>
  <si>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</si>
  <si>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</si>
  <si>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</si>
  <si>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</si>
  <si>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</si>
  <si>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</si>
  <si>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</si>
  <si>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</si>
  <si>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</si>
  <si>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</si>
  <si>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</si>
  <si>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</si>
  <si>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</si>
  <si>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</si>
  <si>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</si>
  <si>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</si>
  <si>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</si>
  <si>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</si>
  <si>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</si>
  <si>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</si>
  <si>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</si>
  <si>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</si>
  <si>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</si>
  <si>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</si>
  <si>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</si>
  <si>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</si>
  <si>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</si>
  <si>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</si>
  <si>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</si>
  <si>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</si>
  <si>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</si>
  <si>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</si>
  <si>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</si>
  <si>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</si>
  <si>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</si>
  <si>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</si>
  <si>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</si>
  <si>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</si>
  <si>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</si>
  <si>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</si>
  <si>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</si>
  <si>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</si>
  <si>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</si>
  <si>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</si>
  <si>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</si>
  <si>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</si>
  <si>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</si>
  <si>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</si>
  <si>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</si>
  <si>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</si>
  <si>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</si>
  <si>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</si>
  <si>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</si>
  <si>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</si>
  <si>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</si>
  <si>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</si>
  <si>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</si>
  <si>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</si>
  <si>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</si>
  <si>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</si>
  <si>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</si>
  <si>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</si>
  <si>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</si>
  <si>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</si>
  <si>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</si>
  <si>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</si>
  <si>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</si>
  <si>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</si>
  <si>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</si>
  <si>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</si>
  <si>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</si>
  <si>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</si>
  <si>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</si>
  <si>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</si>
  <si>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</si>
  <si>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</si>
  <si>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</si>
  <si>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</si>
  <si>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</si>
  <si>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</si>
  <si>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</si>
  <si>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</si>
  <si>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</si>
  <si>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</si>
  <si>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</si>
  <si>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</si>
  <si>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</si>
  <si>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</si>
  <si>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</si>
  <si>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</si>
  <si>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</si>
  <si>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</si>
  <si>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</si>
  <si>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</si>
  <si>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</si>
  <si>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</si>
  <si>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</si>
  <si>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</si>
  <si>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</si>
  <si>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</si>
  <si>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</si>
  <si>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</si>
  <si>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</si>
  <si>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</si>
  <si>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</si>
  <si>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</si>
  <si>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</si>
  <si>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</si>
  <si>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</si>
  <si>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</si>
  <si>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</si>
  <si>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</si>
  <si>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</si>
  <si>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</si>
  <si>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</si>
  <si>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</si>
  <si>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</si>
  <si>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</si>
  <si>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</si>
  <si>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</si>
  <si>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</si>
  <si>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</si>
  <si>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</si>
  <si>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</si>
  <si>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</si>
  <si>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</si>
  <si>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</si>
  <si>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</si>
  <si>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</si>
  <si>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</si>
  <si>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</si>
  <si>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</si>
  <si>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</si>
  <si>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</si>
  <si>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</si>
  <si>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</si>
  <si>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</si>
  <si>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</si>
  <si>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</si>
  <si>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</si>
  <si>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</si>
  <si>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</si>
  <si>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</si>
  <si>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</si>
  <si>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</si>
  <si>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</si>
  <si>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</si>
  <si>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</si>
  <si>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</si>
  <si>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</si>
  <si>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</si>
  <si>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</si>
  <si>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</si>
  <si>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</si>
  <si>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</si>
  <si>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</si>
  <si>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</si>
  <si>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</si>
  <si>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</si>
  <si>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</si>
  <si>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</si>
  <si>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</si>
  <si>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</si>
  <si>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</si>
  <si>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</si>
  <si>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</si>
  <si>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</si>
  <si>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</si>
  <si>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</si>
  <si>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</si>
  <si>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</si>
  <si>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</si>
  <si>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</si>
  <si>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</si>
  <si>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</si>
  <si>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</si>
  <si>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</si>
  <si>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</si>
  <si>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</si>
  <si>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</si>
  <si>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</si>
  <si>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</si>
  <si>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</si>
  <si>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</si>
  <si>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</si>
  <si>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</si>
  <si>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</si>
  <si>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</si>
  <si>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</si>
  <si>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</si>
  <si>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</si>
  <si>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</si>
  <si>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</si>
  <si>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</si>
  <si>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</si>
  <si>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</si>
  <si>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</si>
  <si>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</si>
  <si>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</si>
  <si>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</si>
  <si>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</si>
  <si>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</si>
  <si>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</si>
  <si>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</si>
  <si>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</si>
  <si>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</si>
  <si>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</si>
  <si>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</si>
  <si>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</si>
  <si>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</si>
  <si>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</si>
  <si>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</si>
  <si>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</si>
  <si>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</si>
  <si>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</si>
  <si>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</si>
  <si>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</si>
  <si>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</si>
  <si>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</si>
  <si>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</si>
  <si>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</si>
  <si>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</si>
  <si>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</si>
  <si>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</si>
  <si>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</si>
  <si>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</si>
  <si>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</si>
  <si>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</si>
  <si>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</si>
  <si>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</si>
  <si>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</si>
  <si>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</si>
  <si>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</si>
  <si>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</si>
  <si>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</si>
  <si>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</si>
  <si>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</si>
  <si>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</si>
  <si>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</si>
  <si>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</si>
  <si>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</si>
  <si>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</si>
  <si>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</si>
  <si>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</si>
  <si>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</si>
  <si>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</si>
  <si>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</si>
  <si>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</si>
  <si>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</si>
  <si>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</si>
  <si>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</si>
  <si>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</si>
  <si>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</si>
  <si>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</si>
  <si>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</si>
  <si>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</si>
  <si>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</si>
  <si>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</si>
  <si>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</si>
  <si>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</si>
  <si>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</si>
  <si>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</si>
  <si>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</si>
  <si>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</si>
  <si>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</si>
  <si>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</si>
  <si>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</si>
  <si>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</si>
  <si>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</si>
  <si>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</si>
  <si>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</si>
  <si>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</si>
  <si>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</si>
  <si>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</si>
  <si>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</si>
  <si>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</si>
  <si>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</si>
  <si>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</si>
  <si>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</si>
  <si>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</si>
  <si>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</si>
  <si>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</si>
  <si>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</si>
  <si>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</si>
  <si>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</si>
  <si>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</si>
  <si>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</si>
  <si>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</si>
  <si>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</si>
  <si>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</si>
  <si>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</si>
  <si>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</si>
  <si>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</si>
  <si>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</si>
  <si>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</si>
  <si>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</si>
  <si>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</si>
  <si>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</si>
  <si>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</si>
  <si>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</si>
  <si>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</si>
  <si>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</si>
  <si>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</si>
  <si>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</si>
  <si>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</si>
  <si>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</si>
  <si>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</si>
  <si>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</si>
  <si>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</si>
  <si>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</si>
  <si>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</si>
  <si>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</si>
  <si>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</si>
  <si>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</si>
  <si>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</si>
  <si>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</si>
  <si>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</si>
  <si>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</si>
  <si>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</si>
  <si>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</si>
  <si>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</si>
  <si>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</si>
  <si>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</si>
  <si>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</si>
  <si>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</si>
  <si>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</si>
  <si>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</si>
  <si>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</si>
  <si>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</si>
  <si>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</si>
  <si>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</si>
  <si>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</si>
  <si>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</si>
  <si>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</si>
  <si>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</si>
  <si>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</si>
  <si>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</si>
  <si>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</si>
  <si>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</si>
  <si>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</si>
  <si>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</si>
  <si>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</si>
  <si>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</si>
  <si>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</si>
  <si>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</si>
  <si>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</si>
  <si>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</si>
  <si>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</si>
  <si>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</si>
  <si>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</si>
  <si>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</si>
  <si>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</si>
  <si>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</si>
  <si>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</si>
  <si>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</si>
  <si>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</si>
  <si>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</si>
  <si>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</si>
  <si>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</si>
  <si>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</si>
  <si>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</si>
  <si>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</si>
  <si>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</si>
  <si>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</si>
  <si>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</si>
  <si>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</si>
  <si>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</si>
  <si>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</si>
  <si>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</si>
  <si>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</si>
  <si>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</si>
  <si>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</si>
  <si>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</si>
  <si>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</si>
  <si>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</si>
  <si>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</si>
  <si>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</si>
  <si>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</si>
  <si>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</si>
  <si>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</si>
  <si>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</si>
  <si>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</si>
  <si>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</si>
  <si>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</si>
  <si>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</si>
  <si>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</si>
  <si>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</si>
  <si>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</si>
  <si>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</si>
  <si>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</si>
  <si>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</si>
  <si>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</si>
  <si>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</si>
  <si>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</si>
  <si>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</si>
  <si>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</si>
  <si>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</si>
  <si>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</si>
  <si>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</si>
  <si>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</si>
  <si>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</si>
  <si>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</si>
  <si>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</si>
  <si>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</si>
  <si>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</si>
  <si>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</si>
  <si>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</si>
  <si>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</si>
  <si>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</si>
  <si>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</si>
  <si>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</si>
  <si>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</si>
  <si>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</si>
  <si>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</si>
  <si>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</si>
  <si>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</si>
  <si>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</si>
  <si>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</si>
  <si>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</si>
  <si>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</si>
  <si>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</si>
  <si>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</si>
  <si>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</si>
  <si>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</si>
  <si>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</si>
  <si>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</si>
  <si>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</si>
  <si>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</si>
  <si>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</si>
  <si>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</si>
  <si>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</si>
  <si>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</si>
  <si>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</si>
  <si>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</si>
  <si>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</si>
  <si>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</si>
  <si>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</si>
  <si>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</si>
  <si>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</si>
  <si>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</si>
  <si>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</si>
  <si>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</si>
  <si>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</si>
  <si>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</si>
  <si>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</si>
  <si>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</si>
  <si>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</si>
  <si>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</si>
  <si>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</si>
  <si>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</si>
  <si>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</si>
  <si>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</si>
  <si>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</si>
  <si>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</si>
  <si>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</si>
  <si>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</si>
  <si>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</si>
  <si>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</si>
  <si>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</si>
  <si>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</si>
  <si>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</si>
  <si>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</si>
  <si>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</si>
  <si>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</si>
  <si>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</si>
  <si>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</si>
  <si>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</si>
  <si>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</si>
  <si>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</si>
  <si>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</si>
  <si>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</si>
  <si>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</si>
  <si>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</si>
  <si>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</si>
  <si>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</si>
  <si>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</si>
  <si>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</si>
  <si>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</si>
  <si>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</si>
  <si>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</si>
  <si>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</si>
  <si>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</si>
  <si>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</si>
  <si>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</si>
  <si>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</si>
  <si>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</si>
  <si>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</si>
  <si>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</si>
  <si>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</si>
  <si>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</si>
  <si>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</si>
  <si>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</si>
  <si>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</si>
  <si>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</si>
  <si>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</si>
  <si>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</si>
  <si>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</si>
  <si>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</si>
  <si>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</si>
  <si>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</si>
  <si>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</si>
  <si>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</si>
  <si>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</si>
  <si>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</si>
  <si>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</si>
  <si>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</si>
  <si>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</si>
  <si>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</si>
  <si>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</si>
  <si>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</si>
  <si>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</si>
  <si>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</si>
  <si>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</si>
  <si>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</si>
  <si>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</si>
  <si>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</si>
  <si>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</si>
  <si>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</si>
  <si>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</si>
  <si>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</si>
  <si>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</si>
  <si>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</si>
  <si>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</si>
  <si>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</si>
  <si>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</si>
  <si>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</si>
  <si>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</si>
  <si>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</si>
  <si>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</si>
  <si>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</si>
  <si>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</si>
  <si>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</si>
  <si>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</si>
  <si>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</si>
  <si>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</si>
  <si>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</si>
  <si>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</si>
  <si>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</si>
  <si>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</si>
  <si>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</si>
  <si>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</si>
  <si>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</si>
  <si>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</si>
  <si>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</si>
  <si>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</si>
  <si>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</si>
  <si>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</si>
  <si>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</si>
  <si>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</si>
  <si>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</si>
  <si>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</si>
  <si>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</si>
  <si>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</si>
  <si>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</si>
  <si>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</si>
  <si>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</si>
  <si>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</si>
  <si>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</si>
  <si>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</si>
  <si>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</si>
  <si>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</si>
  <si>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</si>
  <si>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</si>
  <si>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</si>
  <si>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</si>
  <si>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</si>
  <si>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</si>
  <si>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</si>
  <si>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</si>
  <si>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</si>
  <si>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</si>
  <si>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</si>
  <si>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</si>
  <si>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</si>
  <si>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</si>
  <si>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</si>
  <si>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</si>
  <si>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</si>
  <si>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</si>
  <si>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</si>
  <si>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</si>
  <si>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</si>
  <si>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</si>
  <si>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</si>
  <si>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</si>
  <si>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</si>
  <si>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</si>
  <si>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</si>
  <si>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</si>
  <si>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</si>
  <si>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</si>
  <si>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</si>
  <si>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</si>
  <si>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</si>
  <si>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</si>
  <si>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</si>
  <si>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</si>
  <si>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</si>
  <si>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</si>
  <si>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</si>
  <si>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</si>
  <si>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</si>
  <si>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</si>
  <si>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</si>
  <si>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</si>
  <si>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</si>
  <si>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</si>
  <si>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</si>
  <si>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</si>
  <si>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</si>
  <si>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</si>
  <si>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</si>
  <si>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</si>
  <si>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</si>
  <si>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</si>
  <si>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</si>
  <si>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</si>
  <si>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</si>
  <si>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</si>
  <si>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</si>
  <si>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</si>
  <si>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</si>
  <si>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</si>
  <si>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</si>
  <si>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</si>
  <si>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</si>
  <si>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</si>
  <si>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</si>
  <si>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</si>
  <si>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</si>
  <si>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</si>
  <si>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</si>
  <si>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</si>
  <si>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</si>
  <si>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</si>
  <si>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</si>
  <si>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</si>
  <si>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</si>
  <si>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</si>
  <si>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</si>
  <si>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</si>
  <si>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</si>
  <si>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</si>
  <si>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</si>
  <si>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</si>
  <si>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</si>
  <si>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</si>
  <si>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</si>
  <si>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</si>
  <si>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</si>
  <si>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</si>
  <si>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</si>
  <si>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</si>
  <si>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</si>
  <si>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</si>
  <si>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</si>
  <si>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</si>
  <si>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</si>
  <si>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</si>
  <si>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</si>
  <si>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</si>
  <si>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</si>
  <si>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</si>
  <si>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</si>
  <si>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</si>
  <si>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</si>
  <si>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</si>
  <si>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</si>
  <si>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</si>
  <si>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</si>
  <si>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</si>
  <si>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</si>
  <si>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</si>
  <si>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</si>
  <si>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</si>
  <si>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</si>
  <si>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</si>
  <si>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</si>
  <si>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</si>
  <si>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</si>
  <si>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</si>
  <si>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</si>
  <si>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</si>
  <si>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</si>
  <si>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</si>
  <si>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</si>
  <si>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</si>
  <si>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</si>
  <si>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</si>
  <si>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</si>
  <si>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</si>
  <si>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</si>
  <si>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</si>
  <si>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</si>
  <si>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</si>
  <si>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</si>
  <si>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</si>
  <si>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</si>
  <si>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</si>
  <si>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</si>
  <si>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</si>
  <si>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</si>
  <si>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</si>
  <si>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</si>
  <si>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</si>
  <si>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</si>
  <si>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</si>
  <si>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</si>
  <si>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</si>
  <si>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</si>
  <si>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</si>
  <si>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</si>
  <si>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</si>
  <si>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</si>
  <si>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</si>
  <si>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</si>
  <si>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</si>
  <si>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</si>
  <si>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</si>
  <si>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</si>
  <si>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</si>
  <si>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</si>
  <si>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</si>
  <si>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</si>
  <si>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</si>
  <si>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</si>
  <si>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</si>
  <si>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</si>
  <si>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</si>
  <si>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</si>
  <si>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</si>
  <si>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</si>
  <si>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</si>
  <si>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</si>
  <si>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</si>
  <si>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</si>
  <si>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</si>
  <si>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</si>
  <si>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</si>
  <si>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</si>
  <si>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</si>
  <si>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</si>
  <si>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</si>
  <si>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</si>
  <si>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</si>
  <si>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</si>
  <si>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</si>
  <si>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</si>
  <si>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</si>
  <si>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</si>
  <si>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</si>
  <si>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</si>
  <si>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</si>
  <si>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</si>
  <si>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</si>
  <si>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</si>
  <si>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</si>
  <si>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</si>
  <si>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</si>
  <si>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</si>
  <si>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</si>
  <si>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</si>
  <si>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</si>
  <si>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</si>
  <si>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</si>
  <si>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</si>
  <si>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</si>
  <si>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</si>
  <si>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</si>
  <si>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</si>
  <si>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</si>
  <si>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</si>
  <si>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</si>
  <si>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</si>
  <si>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</si>
  <si>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</si>
  <si>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</si>
  <si>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</si>
  <si>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</si>
  <si>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</si>
  <si>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</si>
  <si>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</si>
  <si>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</si>
  <si>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</si>
  <si>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</si>
  <si>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</si>
  <si>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</si>
  <si>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</si>
  <si>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</si>
  <si>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</si>
  <si>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</si>
  <si>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</si>
  <si>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</si>
  <si>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</si>
  <si>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</si>
  <si>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</si>
  <si>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</si>
  <si>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</si>
  <si>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</si>
  <si>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</si>
  <si>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</si>
  <si>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</si>
  <si>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</si>
  <si>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</si>
  <si>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</si>
  <si>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</si>
  <si>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</si>
  <si>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</si>
  <si>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</si>
  <si>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</si>
  <si>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</si>
  <si>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</si>
  <si>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</si>
  <si>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</si>
  <si>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</si>
  <si>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</si>
  <si>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</si>
  <si>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</si>
  <si>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</si>
  <si>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</si>
  <si>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</si>
  <si>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</si>
  <si>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</si>
  <si>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</si>
  <si>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</si>
  <si>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</si>
  <si>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</si>
  <si>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</si>
  <si>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</si>
  <si>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</si>
  <si>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</si>
  <si>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</si>
  <si>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</si>
  <si>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</si>
  <si>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</si>
  <si>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</si>
  <si>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</si>
  <si>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</si>
  <si>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</si>
  <si>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</si>
  <si>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</si>
  <si>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</si>
  <si>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</si>
  <si>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</si>
  <si>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</si>
  <si>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</si>
  <si>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</si>
  <si>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</si>
  <si>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</si>
  <si>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</si>
  <si>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</si>
  <si>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</si>
  <si>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</si>
  <si>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</si>
  <si>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</si>
  <si>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</si>
  <si>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</si>
  <si>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</si>
  <si>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</si>
  <si>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</si>
  <si>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</si>
  <si>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</si>
  <si>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</si>
  <si>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</si>
  <si>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</si>
  <si>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</si>
  <si>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</si>
  <si>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</si>
  <si>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</si>
  <si>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</si>
  <si>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</si>
  <si>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</si>
  <si>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</si>
  <si>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</si>
  <si>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</si>
  <si>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</si>
  <si>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</si>
  <si>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</si>
  <si>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</si>
  <si>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</si>
  <si>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</si>
  <si>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</si>
  <si>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</si>
  <si>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</si>
  <si>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</si>
  <si>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</si>
  <si>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</si>
  <si>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</si>
  <si>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</si>
  <si>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</si>
  <si>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</si>
  <si>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</si>
  <si>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</si>
  <si>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</si>
  <si>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</si>
  <si>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</si>
  <si>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</si>
  <si>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</si>
  <si>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</si>
  <si>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</si>
  <si>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</si>
  <si>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</si>
  <si>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</si>
  <si>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</si>
  <si>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</si>
  <si>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</si>
  <si>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</si>
  <si>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</si>
  <si>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</si>
  <si>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</si>
  <si>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</si>
  <si>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</si>
  <si>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</si>
  <si>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</si>
  <si>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</si>
  <si>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</si>
  <si>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</si>
  <si>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</si>
  <si>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</si>
  <si>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</si>
  <si>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</si>
  <si>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</si>
  <si>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</si>
  <si>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</si>
  <si>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</si>
  <si>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</si>
  <si>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</si>
  <si>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</si>
  <si>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</si>
  <si>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</si>
  <si>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</si>
  <si>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</si>
  <si>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</si>
  <si>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</si>
  <si>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</si>
  <si>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</si>
  <si>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</si>
  <si>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</si>
  <si>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</si>
  <si>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</si>
  <si>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</si>
  <si>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</si>
  <si>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</si>
  <si>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</si>
  <si>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</si>
  <si>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</si>
  <si>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</si>
  <si>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</si>
  <si>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</si>
  <si>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</si>
  <si>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</si>
  <si>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</si>
  <si>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</si>
  <si>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</si>
  <si>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</si>
  <si>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</si>
  <si>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</si>
  <si>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</si>
  <si>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</si>
  <si>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</si>
  <si>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</si>
  <si>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</si>
  <si>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</si>
  <si>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</si>
  <si>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</si>
  <si>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</si>
  <si>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</si>
  <si>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</si>
  <si>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</si>
  <si>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</si>
  <si>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</si>
  <si>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</si>
  <si>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</si>
  <si>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</si>
  <si>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</si>
  <si>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</si>
  <si>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</si>
  <si>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</si>
  <si>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</si>
  <si>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</si>
  <si>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</si>
  <si>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</si>
  <si>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</si>
  <si>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</si>
  <si>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</si>
  <si>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</si>
  <si>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</si>
  <si>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</si>
  <si>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</si>
  <si>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</si>
  <si>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</si>
  <si>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</si>
  <si>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</si>
  <si>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</si>
  <si>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</si>
  <si>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</si>
  <si>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</si>
  <si>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</si>
  <si>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</si>
  <si>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</si>
  <si>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</si>
  <si>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</si>
  <si>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</si>
  <si>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</si>
  <si>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</si>
  <si>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</si>
  <si>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</si>
  <si>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</si>
  <si>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</si>
  <si>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</si>
  <si>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</si>
  <si>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</si>
  <si>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</si>
  <si>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</si>
  <si>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</si>
  <si>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</si>
  <si>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</si>
  <si>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</si>
  <si>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</si>
  <si>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</si>
  <si>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</si>
  <si>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</si>
  <si>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</si>
  <si>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</si>
  <si>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</si>
  <si>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</si>
  <si>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</si>
  <si>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</si>
  <si>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</si>
  <si>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</si>
  <si>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</si>
  <si>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</si>
  <si>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</si>
  <si>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</si>
  <si>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</si>
  <si>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</si>
  <si>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</si>
  <si>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</si>
  <si>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</si>
  <si>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</si>
  <si>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</si>
  <si>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</si>
  <si>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</si>
  <si>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</si>
  <si>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</si>
  <si>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</si>
  <si>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</si>
  <si>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</si>
  <si>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</si>
  <si>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</si>
  <si>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</si>
  <si>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</si>
  <si>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</si>
  <si>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</si>
  <si>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</si>
  <si>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</si>
  <si>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</si>
  <si>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</si>
  <si>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</si>
  <si>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</si>
  <si>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</si>
  <si>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</si>
  <si>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</si>
  <si>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</si>
  <si>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</si>
  <si>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</si>
  <si>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</si>
  <si>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</si>
  <si>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</si>
  <si>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</si>
  <si>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</si>
  <si>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</si>
  <si>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</si>
  <si>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</si>
  <si>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</si>
  <si>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</si>
  <si>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</si>
  <si>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</si>
  <si>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</si>
  <si>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</si>
  <si>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</si>
  <si>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</si>
  <si>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</si>
  <si>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</si>
  <si>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</si>
  <si>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</si>
  <si>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</si>
  <si>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</si>
  <si>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</si>
  <si>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</si>
  <si>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</si>
  <si>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</si>
  <si>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</si>
  <si>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</si>
  <si>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</si>
  <si>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</si>
  <si>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</si>
  <si>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</si>
  <si>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</si>
  <si>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</si>
  <si>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</si>
  <si>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</si>
  <si>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</si>
  <si>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</si>
  <si>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</si>
  <si>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</si>
  <si>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</si>
  <si>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</si>
  <si>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</si>
  <si>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</si>
  <si>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</si>
  <si>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</si>
  <si>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</si>
  <si>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</si>
  <si>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</si>
  <si>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</si>
  <si>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</si>
  <si>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</si>
  <si>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</si>
  <si>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</si>
  <si>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</si>
  <si>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</si>
  <si>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</si>
  <si>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</si>
  <si>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</si>
  <si>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</si>
  <si>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</si>
  <si>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</si>
  <si>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</si>
  <si>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</si>
  <si>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</si>
  <si>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</si>
  <si>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</si>
  <si>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</si>
  <si>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</si>
  <si>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</si>
  <si>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</si>
  <si>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</si>
  <si>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</si>
  <si>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</si>
  <si>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</si>
  <si>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</si>
  <si>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</si>
  <si>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</si>
  <si>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</si>
  <si>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</si>
  <si>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</si>
  <si>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</si>
  <si>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</si>
  <si>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</si>
  <si>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</si>
  <si>
    <t>CENTER COMERCIO DE EMBALAGENS LTDA</t>
  </si>
  <si>
    <t>ROMEU E JULIETARCEARIA LTDA</t>
  </si>
  <si>
    <t>FELICITA COM DE ALIMENTOS E BEBIDAS LTDA</t>
  </si>
  <si>
    <t>ALEGRO ALIMENTOS LTDA EPP</t>
  </si>
  <si>
    <t>D P DOS SANTOS CAFETERIA</t>
  </si>
  <si>
    <t>DANBO</t>
  </si>
  <si>
    <t>DELICES PARIS GASTRONOMIA LTDA</t>
  </si>
  <si>
    <t>PEPPERS COMERCIO DE ALIMENTOS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</si>
</sst>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zoomScaleNormal="100" workbookViewId="0">
      <selection activeCell="T2" sqref="T2:T4079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384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3605</v>
      </c>
      <c r="R6" s="14">
        <v>0</v>
      </c>
      <c r="S6" s="14">
        <v>504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22913.52</v>
      </c>
      <c r="R8" s="14">
        <v>0</v>
      </c>
      <c r="S8" s="14">
        <v>14807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-166.4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200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200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4.6594000000000007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48000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2355</v>
      </c>
      <c r="R28" s="14">
        <v>0</v>
      </c>
      <c r="S28" s="14">
        <v>1155</v>
      </c>
      <c r="T28" s="13">
        <v>-9.2300671140939539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3000</v>
      </c>
      <c r="T33" s="13">
        <v>11.674270396270396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2375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25</v>
      </c>
      <c r="R40" s="14">
        <v>0</v>
      </c>
      <c r="S40" s="14">
        <v>25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500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2.2256465957446805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2875</v>
      </c>
      <c r="T48" s="13">
        <v>-9.2300671140939539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209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400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2175</v>
      </c>
      <c r="R61" s="14">
        <v>0</v>
      </c>
      <c r="S61" s="14">
        <v>4000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48000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363.6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22000</v>
      </c>
      <c r="R65" s="14">
        <v>0</v>
      </c>
      <c r="S65" s="14">
        <v>24000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47584.031999999999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1200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-9.2300671140939539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50000</v>
      </c>
      <c r="R92" s="14">
        <v>0</v>
      </c>
      <c r="S92" s="14">
        <v>25000</v>
      </c>
      <c r="T92" s="13">
        <v>-1.1481518666666668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980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64000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12000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1100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46975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73440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988800</v>
      </c>
      <c r="R137" s="14">
        <v>0</v>
      </c>
      <c r="S137" s="14">
        <v>934400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1680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388800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11.674270396270396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2650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3000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0</v>
      </c>
      <c r="T155" s="13">
        <v>11.674270396270396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4425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125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181.8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181.8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200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2500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11.674270396270396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406.08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11.674270396270396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1008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204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835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1620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554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-3.6462816901408508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263.16000000000003</v>
      </c>
      <c r="R200" s="14">
        <v>0</v>
      </c>
      <c r="S200" s="14">
        <v>1263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150</v>
      </c>
      <c r="T201" s="13">
        <v>11.674270396270396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100</v>
      </c>
      <c r="R208" s="14">
        <v>0</v>
      </c>
      <c r="S208" s="14">
        <v>220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3440</v>
      </c>
      <c r="R211" s="14">
        <v>0</v>
      </c>
      <c r="S211" s="14">
        <v>7080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1551.36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5.1813289473684279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500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300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4.6594000000000007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4.6594000000000007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0</v>
      </c>
      <c r="R240" s="14">
        <v>0</v>
      </c>
      <c r="S240" s="14">
        <v>100</v>
      </c>
      <c r="T240" s="13">
        <v>2.0316122448979588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396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12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28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9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240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150</v>
      </c>
      <c r="R254" s="14">
        <v>0</v>
      </c>
      <c r="S254" s="14">
        <v>75</v>
      </c>
      <c r="T254" s="13">
        <v>11.674270396270396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1162.8</v>
      </c>
      <c r="R255" s="14">
        <v>0</v>
      </c>
      <c r="S255" s="14">
        <v>367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1.0890903790087512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11.674270396270396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397560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1152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30</v>
      </c>
      <c r="T263" s="13">
        <v>4.3077999999999976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-9.2300671140939539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-9.2300671140939539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-9.2300671140939539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40</v>
      </c>
      <c r="T267" s="13">
        <v>-9.2300671140939539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-9.2300671140939539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2.0316122448979588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-9.2300671140939539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4.6594000000000007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4.3077999999999976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60</v>
      </c>
      <c r="R273" s="14">
        <v>0</v>
      </c>
      <c r="S273" s="14">
        <v>110</v>
      </c>
      <c r="T273" s="13">
        <v>2.0316122448979588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-2.4044933333333369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70</v>
      </c>
      <c r="T275" s="13">
        <v>-2.4044933333333369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-19.065200000000001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53.206399999999995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-3.6462816901408508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-3.6462816901408508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-3.6462816901408508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-3.6462816901408508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1.4489090909090918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4.6594000000000007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2.0316122448979588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2.0316122448979588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241.92</v>
      </c>
      <c r="R301" s="14">
        <v>0</v>
      </c>
      <c r="S301" s="14">
        <v>363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825.6</v>
      </c>
      <c r="R302" s="14">
        <v>0</v>
      </c>
      <c r="S302" s="14">
        <v>1200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1700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</v>
      </c>
      <c r="R304" s="14">
        <v>0</v>
      </c>
      <c r="S304" s="14">
        <v>3400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1135.2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1850</v>
      </c>
      <c r="R306" s="14">
        <v>0</v>
      </c>
      <c r="S306" s="14">
        <v>1300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-9.2300671140939539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426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1400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2800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1760</v>
      </c>
      <c r="R313" s="14">
        <v>0</v>
      </c>
      <c r="S313" s="14">
        <v>350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4326.84</v>
      </c>
      <c r="R314" s="14">
        <v>0</v>
      </c>
      <c r="S314" s="14">
        <v>4327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11.674270396270396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387.84000000000003</v>
      </c>
      <c r="R323" s="14">
        <v>0</v>
      </c>
      <c r="S323" s="14">
        <v>582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912.6</v>
      </c>
      <c r="R324" s="14">
        <v>0</v>
      </c>
      <c r="S324" s="14">
        <v>1080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226.8</v>
      </c>
      <c r="R325" s="14">
        <v>0</v>
      </c>
      <c r="S325" s="14">
        <v>173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24480</v>
      </c>
      <c r="R327" s="14">
        <v>0</v>
      </c>
      <c r="S327" s="14">
        <v>48960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691.2</v>
      </c>
      <c r="R328" s="14">
        <v>0</v>
      </c>
      <c r="S328" s="14">
        <v>800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593.28</v>
      </c>
      <c r="R329" s="14">
        <v>0</v>
      </c>
      <c r="S329" s="14">
        <v>455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3100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12240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11.674270396270396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24121.344000000001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11.674270396270396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3024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-9.2300671140939539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2514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53220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50.36</v>
      </c>
      <c r="R348" s="14">
        <v>0</v>
      </c>
      <c r="S348" s="14">
        <v>0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83270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242.4</v>
      </c>
      <c r="R351" s="14">
        <v>0</v>
      </c>
      <c r="S351" s="14">
        <v>14450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1700</v>
      </c>
      <c r="R352" s="14">
        <v>0</v>
      </c>
      <c r="S352" s="14">
        <v>700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17690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0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15521.36</v>
      </c>
      <c r="R356" s="14">
        <v>0</v>
      </c>
      <c r="S356" s="14">
        <v>14746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2619</v>
      </c>
      <c r="R357" s="14">
        <v>0</v>
      </c>
      <c r="S357" s="14">
        <v>3773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0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8362.7999999999993</v>
      </c>
      <c r="R361" s="14">
        <v>0</v>
      </c>
      <c r="S361" s="14">
        <v>11452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2000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1808.3999999999999</v>
      </c>
      <c r="R365" s="14">
        <v>0</v>
      </c>
      <c r="S365" s="14">
        <v>11323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4850.3999999999996</v>
      </c>
      <c r="R366" s="14">
        <v>0</v>
      </c>
      <c r="S366" s="14">
        <v>1760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8908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1225</v>
      </c>
      <c r="R368" s="14">
        <v>0</v>
      </c>
      <c r="S368" s="14">
        <v>2000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690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16018.480000000001</v>
      </c>
      <c r="R370" s="14">
        <v>0</v>
      </c>
      <c r="S370" s="14">
        <v>15000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0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5.8</v>
      </c>
      <c r="R376" s="14">
        <v>0</v>
      </c>
      <c r="S376" s="14">
        <v>0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1000</v>
      </c>
      <c r="T380" s="13">
        <v>-2.4044933333333369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0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2500</v>
      </c>
      <c r="R383" s="14">
        <v>0</v>
      </c>
      <c r="S383" s="14">
        <v>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0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828</v>
      </c>
      <c r="R385" s="14">
        <v>0</v>
      </c>
      <c r="S385" s="14">
        <v>0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0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1551.36</v>
      </c>
      <c r="R389" s="14">
        <v>0</v>
      </c>
      <c r="S389" s="14">
        <v>1551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25480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588</v>
      </c>
      <c r="R391" s="14">
        <v>0</v>
      </c>
      <c r="S391" s="14">
        <v>0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1272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0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0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1700</v>
      </c>
      <c r="R397" s="14">
        <v>0</v>
      </c>
      <c r="S397" s="14">
        <v>1200</v>
      </c>
      <c r="T397" s="13">
        <v>11.674270396270396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0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1530</v>
      </c>
      <c r="T399" s="13">
        <v>-9.2300671140939539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3198.6000000000004</v>
      </c>
      <c r="R400" s="14">
        <v>0</v>
      </c>
      <c r="S400" s="14">
        <v>1138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89.6</v>
      </c>
      <c r="R401" s="14">
        <v>0</v>
      </c>
      <c r="S401" s="14">
        <v>0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240</v>
      </c>
      <c r="R403" s="14">
        <v>0</v>
      </c>
      <c r="S403" s="14">
        <v>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3</v>
      </c>
      <c r="R404" s="14">
        <v>0</v>
      </c>
      <c r="S404" s="14">
        <v>0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1950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54.2</v>
      </c>
      <c r="R406" s="14">
        <v>0</v>
      </c>
      <c r="S406" s="14">
        <v>0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2257.92</v>
      </c>
      <c r="R407" s="14">
        <v>0</v>
      </c>
      <c r="S407" s="14">
        <v>885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569.64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3870</v>
      </c>
      <c r="R409" s="14">
        <v>0</v>
      </c>
      <c r="S409" s="14">
        <v>5309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950</v>
      </c>
      <c r="R412" s="14">
        <v>0</v>
      </c>
      <c r="S412" s="14">
        <v>1500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1073.2800000000002</v>
      </c>
      <c r="R413" s="14">
        <v>0</v>
      </c>
      <c r="S413" s="14">
        <v>1112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0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0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0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4782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741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400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4097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1400</v>
      </c>
      <c r="R424" s="14">
        <v>0</v>
      </c>
      <c r="S424" s="14">
        <v>700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3740</v>
      </c>
      <c r="R426" s="14">
        <v>0</v>
      </c>
      <c r="S426" s="14">
        <v>3440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0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0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0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691.2</v>
      </c>
      <c r="R433" s="14">
        <v>0</v>
      </c>
      <c r="S433" s="14">
        <v>538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2.0316122448979588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47.34</v>
      </c>
      <c r="R435" s="14">
        <v>0</v>
      </c>
      <c r="S435" s="14">
        <v>0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602.88</v>
      </c>
      <c r="R436" s="14">
        <v>0</v>
      </c>
      <c r="S436" s="14">
        <v>562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0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0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209.28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0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500</v>
      </c>
      <c r="T445" s="13">
        <v>4.6594000000000007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1820</v>
      </c>
      <c r="R448" s="14">
        <v>0</v>
      </c>
      <c r="S448" s="14">
        <v>1825</v>
      </c>
      <c r="T448" s="13">
        <v>-9.2300671140939539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48</v>
      </c>
      <c r="R450" s="14">
        <v>0</v>
      </c>
      <c r="S450" s="14">
        <v>0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100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0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0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0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0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0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192</v>
      </c>
      <c r="R461" s="14">
        <v>0</v>
      </c>
      <c r="S461" s="14">
        <v>96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910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6472.8</v>
      </c>
      <c r="R465" s="14">
        <v>0</v>
      </c>
      <c r="S465" s="14">
        <v>6472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1800</v>
      </c>
      <c r="R467" s="14">
        <v>0</v>
      </c>
      <c r="S467" s="14">
        <v>2000</v>
      </c>
      <c r="T467" s="13">
        <v>4.832547619047622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0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26.88</v>
      </c>
      <c r="R469" s="14">
        <v>0</v>
      </c>
      <c r="S469" s="14">
        <v>0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72</v>
      </c>
      <c r="R470" s="14">
        <v>0</v>
      </c>
      <c r="S470" s="14">
        <v>0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0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0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0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0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0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0</v>
      </c>
      <c r="T482" s="13">
        <v>-9.2300671140939539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1304.28</v>
      </c>
      <c r="R484" s="14">
        <v>0</v>
      </c>
      <c r="S484" s="14">
        <v>1032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672</v>
      </c>
      <c r="R485" s="14">
        <v>0</v>
      </c>
      <c r="S485" s="14">
        <v>864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18</v>
      </c>
      <c r="R489" s="14">
        <v>0</v>
      </c>
      <c r="S489" s="14">
        <v>0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0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240</v>
      </c>
      <c r="R491" s="14">
        <v>0</v>
      </c>
      <c r="S491" s="14">
        <v>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0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336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141.60000000000002</v>
      </c>
      <c r="R499" s="14">
        <v>0</v>
      </c>
      <c r="S499" s="14">
        <v>0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360</v>
      </c>
      <c r="R500" s="14">
        <v>0</v>
      </c>
      <c r="S500" s="14">
        <v>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160</v>
      </c>
      <c r="T501" s="13">
        <v>11.674270396270396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150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0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500</v>
      </c>
      <c r="R504" s="14">
        <v>0</v>
      </c>
      <c r="S504" s="14">
        <v>400</v>
      </c>
      <c r="T504" s="13">
        <v>10.4305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0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0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0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275</v>
      </c>
      <c r="R508" s="14">
        <v>0</v>
      </c>
      <c r="S508" s="14">
        <v>275</v>
      </c>
      <c r="T508" s="13">
        <v>11.674270396270396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76.16</v>
      </c>
      <c r="R509" s="14">
        <v>0</v>
      </c>
      <c r="S509" s="14">
        <v>0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520</v>
      </c>
      <c r="R510" s="14">
        <v>0</v>
      </c>
      <c r="S510" s="14">
        <v>520</v>
      </c>
      <c r="T510" s="13">
        <v>11.674270396270396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498.48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0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0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0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4.6594000000000007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0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140</v>
      </c>
      <c r="R522" s="14">
        <v>0</v>
      </c>
      <c r="S522" s="14">
        <v>0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0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11.674270396270396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0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0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0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0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0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249.6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122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340.8</v>
      </c>
      <c r="R533" s="14">
        <v>0</v>
      </c>
      <c r="S533" s="14">
        <v>221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75</v>
      </c>
      <c r="R534" s="14">
        <v>0</v>
      </c>
      <c r="S534" s="14">
        <v>0</v>
      </c>
      <c r="T534" s="13">
        <v>11.674270396270396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0</v>
      </c>
      <c r="T535" s="13">
        <v>11.674270396270396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0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0</v>
      </c>
      <c r="T538" s="13">
        <v>11.674270396270396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-2.4044933333333369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0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0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121.2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126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0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0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0</v>
      </c>
      <c r="T553" s="13">
        <v>11.674270396270396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0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0</v>
      </c>
      <c r="T556" s="13">
        <v>11.674270396270396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0</v>
      </c>
      <c r="T559" s="13">
        <v>11.674270396270396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0</v>
      </c>
      <c r="T560" s="13">
        <v>11.674270396270396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0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0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0</v>
      </c>
      <c r="T564" s="13">
        <v>11.674270396270396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0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214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0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360</v>
      </c>
      <c r="R569" s="14">
        <v>0</v>
      </c>
      <c r="S569" s="14">
        <v>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0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0</v>
      </c>
      <c r="T574" s="13">
        <v>11.674270396270396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108</v>
      </c>
      <c r="R575" s="14">
        <v>0</v>
      </c>
      <c r="S575" s="14">
        <v>0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0</v>
      </c>
      <c r="T576" s="13">
        <v>11.674270396270396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180.76</v>
      </c>
      <c r="R577" s="14">
        <v>0</v>
      </c>
      <c r="S577" s="14">
        <v>0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300</v>
      </c>
      <c r="R578" s="14">
        <v>0</v>
      </c>
      <c r="S578" s="14">
        <v>0</v>
      </c>
      <c r="T578" s="13">
        <v>11.674270396270396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0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70</v>
      </c>
      <c r="R580" s="14">
        <v>0</v>
      </c>
      <c r="S580" s="14">
        <v>0</v>
      </c>
      <c r="T580" s="13">
        <v>11.674270396270396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0</v>
      </c>
      <c r="T582" s="13">
        <v>11.674270396270396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95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0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0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0</v>
      </c>
      <c r="T587" s="13">
        <v>11.674270396270396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0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0</v>
      </c>
      <c r="T589" s="13">
        <v>11.674270396270396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0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0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0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0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0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0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52.680000000000007</v>
      </c>
      <c r="R597" s="14">
        <v>0</v>
      </c>
      <c r="S597" s="14">
        <v>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135</v>
      </c>
      <c r="R598" s="14">
        <v>0</v>
      </c>
      <c r="S598" s="14">
        <v>0</v>
      </c>
      <c r="T598" s="13">
        <v>11.674270396270396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0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60.6</v>
      </c>
      <c r="R600" s="14">
        <v>0</v>
      </c>
      <c r="S600" s="14">
        <v>121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0</v>
      </c>
      <c r="T604" s="13">
        <v>11.674270396270396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0</v>
      </c>
      <c r="T605" s="13">
        <v>11.674270396270396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90</v>
      </c>
      <c r="R606" s="14">
        <v>0</v>
      </c>
      <c r="S606" s="14">
        <v>0</v>
      </c>
      <c r="T606" s="13">
        <v>11.674270396270396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0</v>
      </c>
      <c r="T607" s="13">
        <v>11.674270396270396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0</v>
      </c>
      <c r="T608" s="13">
        <v>11.674270396270396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0</v>
      </c>
      <c r="T609" s="13">
        <v>11.674270396270396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0</v>
      </c>
      <c r="T610" s="13">
        <v>11.674270396270396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0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160</v>
      </c>
      <c r="R612" s="14">
        <v>0</v>
      </c>
      <c r="S612" s="14">
        <v>0</v>
      </c>
      <c r="T612" s="13">
        <v>11.674270396270396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61.449999999999996</v>
      </c>
      <c r="R614" s="14">
        <v>0</v>
      </c>
      <c r="S614" s="14">
        <v>0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0</v>
      </c>
      <c r="T615" s="13">
        <v>11.674270396270396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0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150.23999999999998</v>
      </c>
      <c r="R618" s="14">
        <v>0</v>
      </c>
      <c r="S618" s="14">
        <v>0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144</v>
      </c>
      <c r="R619" s="14">
        <v>0</v>
      </c>
      <c r="S619" s="14">
        <v>0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0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0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99.84</v>
      </c>
      <c r="R625" s="14">
        <v>0</v>
      </c>
      <c r="S625" s="14">
        <v>33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0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0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0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0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0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0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119.4</v>
      </c>
      <c r="R634" s="14">
        <v>0</v>
      </c>
      <c r="S634" s="14">
        <v>119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0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263.15999999999997</v>
      </c>
      <c r="R636" s="14">
        <v>0</v>
      </c>
      <c r="S636" s="14">
        <v>208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0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0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0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624</v>
      </c>
      <c r="R642" s="14">
        <v>0</v>
      </c>
      <c r="S642" s="14">
        <v>0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0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55.2</v>
      </c>
      <c r="R644" s="14">
        <v>0</v>
      </c>
      <c r="S644" s="14">
        <v>0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0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27</v>
      </c>
      <c r="R646" s="14">
        <v>0</v>
      </c>
      <c r="S646" s="14">
        <v>0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84</v>
      </c>
      <c r="R647" s="14">
        <v>0</v>
      </c>
      <c r="S647" s="14">
        <v>0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18.16</v>
      </c>
      <c r="R648" s="14">
        <v>0</v>
      </c>
      <c r="S648" s="14">
        <v>0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204</v>
      </c>
      <c r="R649" s="14">
        <v>0</v>
      </c>
      <c r="S649" s="14">
        <v>0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0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0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0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0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0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0</v>
      </c>
      <c r="T656" s="13">
        <v>11.674270396270396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0</v>
      </c>
      <c r="T658" s="13">
        <v>11.674270396270396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96</v>
      </c>
      <c r="R659" s="14">
        <v>0</v>
      </c>
      <c r="S659" s="14">
        <v>0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0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0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0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75</v>
      </c>
      <c r="R664" s="14">
        <v>0</v>
      </c>
      <c r="S664" s="14">
        <v>0</v>
      </c>
      <c r="T664" s="13">
        <v>11.674270396270396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0</v>
      </c>
      <c r="T665" s="13">
        <v>11.674270396270396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0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0</v>
      </c>
      <c r="T667" s="13">
        <v>11.674270396270396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240</v>
      </c>
      <c r="R668" s="14">
        <v>0</v>
      </c>
      <c r="S668" s="14">
        <v>0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0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0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0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0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23.54</v>
      </c>
      <c r="R674" s="14">
        <v>0</v>
      </c>
      <c r="S674" s="14">
        <v>0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0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0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123</v>
      </c>
      <c r="R677" s="14">
        <v>0</v>
      </c>
      <c r="S677" s="14">
        <v>0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0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23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0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0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0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96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0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504</v>
      </c>
      <c r="R685" s="14">
        <v>0</v>
      </c>
      <c r="S685" s="14">
        <v>0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0</v>
      </c>
      <c r="T686" s="13">
        <v>11.674270396270396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15.576000000000001</v>
      </c>
      <c r="R687" s="14">
        <v>0</v>
      </c>
      <c r="S687" s="14">
        <v>0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36</v>
      </c>
      <c r="R688" s="14">
        <v>0</v>
      </c>
      <c r="S688" s="14">
        <v>0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85</v>
      </c>
      <c r="R689" s="14">
        <v>0</v>
      </c>
      <c r="S689" s="14">
        <v>0</v>
      </c>
      <c r="T689" s="13">
        <v>11.674270396270396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0</v>
      </c>
      <c r="T690" s="13">
        <v>11.674270396270396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0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5</v>
      </c>
      <c r="R692" s="14">
        <v>0</v>
      </c>
      <c r="S692" s="14">
        <v>0</v>
      </c>
      <c r="T692" s="13">
        <v>11.674270396270396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0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0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0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0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45</v>
      </c>
      <c r="R698" s="14">
        <v>0</v>
      </c>
      <c r="S698" s="14">
        <v>0</v>
      </c>
      <c r="T698" s="13">
        <v>11.674270396270396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0</v>
      </c>
      <c r="T700" s="13">
        <v>11.674270396270396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18.399999999999999</v>
      </c>
      <c r="R703" s="14">
        <v>0</v>
      </c>
      <c r="S703" s="14">
        <v>0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72</v>
      </c>
      <c r="R704" s="14">
        <v>0</v>
      </c>
      <c r="S704" s="14">
        <v>0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0</v>
      </c>
      <c r="T705" s="13">
        <v>11.674270396270396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0</v>
      </c>
      <c r="T706" s="13">
        <v>11.674270396270396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0</v>
      </c>
      <c r="T707" s="13">
        <v>11.674270396270396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0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0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26.88</v>
      </c>
      <c r="R712" s="14">
        <v>0</v>
      </c>
      <c r="S712" s="14">
        <v>0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360</v>
      </c>
      <c r="R713" s="14">
        <v>0</v>
      </c>
      <c r="S713" s="14">
        <v>0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0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0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0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0</v>
      </c>
      <c r="T717" s="13">
        <v>11.674270396270396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57.6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0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0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0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0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0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0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0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0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40.159999999999997</v>
      </c>
      <c r="R728" s="14">
        <v>0</v>
      </c>
      <c r="S728" s="14">
        <v>0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0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48</v>
      </c>
      <c r="R730" s="14">
        <v>0</v>
      </c>
      <c r="S730" s="14">
        <v>0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0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0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0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0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75</v>
      </c>
      <c r="R736" s="14">
        <v>0</v>
      </c>
      <c r="S736" s="14">
        <v>0</v>
      </c>
      <c r="T736" s="13">
        <v>11.674270396270396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144</v>
      </c>
      <c r="R737" s="14">
        <v>0</v>
      </c>
      <c r="S737" s="14">
        <v>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75</v>
      </c>
      <c r="R738" s="14">
        <v>0</v>
      </c>
      <c r="S738" s="14">
        <v>0</v>
      </c>
      <c r="T738" s="13">
        <v>11.674270396270396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0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45</v>
      </c>
      <c r="R740" s="14">
        <v>0</v>
      </c>
      <c r="S740" s="14">
        <v>0</v>
      </c>
      <c r="T740" s="13">
        <v>11.674270396270396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0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0</v>
      </c>
      <c r="T742" s="13">
        <v>11.674270396270396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0</v>
      </c>
      <c r="T743" s="13">
        <v>11.674270396270396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45</v>
      </c>
      <c r="R744" s="14">
        <v>0</v>
      </c>
      <c r="S744" s="14">
        <v>0</v>
      </c>
      <c r="T744" s="13">
        <v>11.674270396270396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0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183.92</v>
      </c>
      <c r="R746" s="14">
        <v>0</v>
      </c>
      <c r="S746" s="14">
        <v>0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0</v>
      </c>
      <c r="T748" s="13">
        <v>11.674270396270396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45</v>
      </c>
      <c r="R749" s="14">
        <v>0</v>
      </c>
      <c r="S749" s="14">
        <v>0</v>
      </c>
      <c r="T749" s="13">
        <v>11.674270396270396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44.115000000000002</v>
      </c>
      <c r="R750" s="14">
        <v>0</v>
      </c>
      <c r="S750" s="14">
        <v>0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0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0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34.97</v>
      </c>
      <c r="R754" s="14">
        <v>0</v>
      </c>
      <c r="S754" s="14">
        <v>0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0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0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0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0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0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0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48</v>
      </c>
      <c r="R763" s="14">
        <v>0</v>
      </c>
      <c r="S763" s="14">
        <v>0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0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0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0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7.68</v>
      </c>
      <c r="R768" s="14">
        <v>0</v>
      </c>
      <c r="S768" s="14">
        <v>0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242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0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0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0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0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0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13.44</v>
      </c>
      <c r="R776" s="14">
        <v>0</v>
      </c>
      <c r="S776" s="14">
        <v>0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0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0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23.04</v>
      </c>
      <c r="R781" s="14">
        <v>0</v>
      </c>
      <c r="S781" s="14">
        <v>0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360</v>
      </c>
      <c r="R782" s="14">
        <v>0</v>
      </c>
      <c r="S782" s="14">
        <v>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0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0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0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36</v>
      </c>
      <c r="R787" s="14">
        <v>0</v>
      </c>
      <c r="S787" s="14">
        <v>0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0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0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192</v>
      </c>
      <c r="R790" s="14">
        <v>0</v>
      </c>
      <c r="S790" s="14">
        <v>0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0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140</v>
      </c>
      <c r="R793" s="14">
        <v>0</v>
      </c>
      <c r="S793" s="14">
        <v>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0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20</v>
      </c>
      <c r="R795" s="14">
        <v>0</v>
      </c>
      <c r="S795" s="14">
        <v>0</v>
      </c>
      <c r="T795" s="13">
        <v>11.674270396270396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40</v>
      </c>
      <c r="R797" s="14">
        <v>0</v>
      </c>
      <c r="S797" s="14">
        <v>0</v>
      </c>
      <c r="T797" s="13">
        <v>11.674270396270396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0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120</v>
      </c>
      <c r="R799" s="14">
        <v>0</v>
      </c>
      <c r="S799" s="14">
        <v>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0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0</v>
      </c>
      <c r="T802" s="13">
        <v>11.674270396270396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0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0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0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45</v>
      </c>
      <c r="R806" s="14">
        <v>0</v>
      </c>
      <c r="S806" s="14">
        <v>0</v>
      </c>
      <c r="T806" s="13">
        <v>11.674270396270396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30</v>
      </c>
      <c r="R807" s="14">
        <v>0</v>
      </c>
      <c r="S807" s="14">
        <v>0</v>
      </c>
      <c r="T807" s="13">
        <v>11.674270396270396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0</v>
      </c>
      <c r="T808" s="13">
        <v>11.674270396270396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0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15</v>
      </c>
      <c r="R810" s="14">
        <v>0</v>
      </c>
      <c r="S810" s="14">
        <v>0</v>
      </c>
      <c r="T810" s="13">
        <v>11.674270396270396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0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40</v>
      </c>
      <c r="R812" s="14">
        <v>0</v>
      </c>
      <c r="S812" s="14">
        <v>0</v>
      </c>
      <c r="T812" s="13">
        <v>11.674270396270396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0</v>
      </c>
      <c r="T813" s="13">
        <v>11.674270396270396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0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25</v>
      </c>
      <c r="R815" s="14">
        <v>0</v>
      </c>
      <c r="S815" s="14">
        <v>0</v>
      </c>
      <c r="T815" s="13">
        <v>11.674270396270396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46.55</v>
      </c>
      <c r="R816" s="14">
        <v>0</v>
      </c>
      <c r="S816" s="14">
        <v>0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0</v>
      </c>
      <c r="T818" s="13">
        <v>11.674270396270396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720</v>
      </c>
      <c r="R819" s="14">
        <v>0</v>
      </c>
      <c r="S819" s="14">
        <v>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0</v>
      </c>
      <c r="T820" s="13">
        <v>11.674270396270396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0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0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243.4</v>
      </c>
      <c r="R824" s="14">
        <v>0</v>
      </c>
      <c r="S824" s="14">
        <v>184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1080</v>
      </c>
      <c r="R825" s="14">
        <v>0</v>
      </c>
      <c r="S825" s="14">
        <v>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22.4</v>
      </c>
      <c r="R827" s="14">
        <v>0</v>
      </c>
      <c r="S827" s="14">
        <v>0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0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0</v>
      </c>
      <c r="T830" s="13">
        <v>11.674270396270396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13.44</v>
      </c>
      <c r="R831" s="14">
        <v>0</v>
      </c>
      <c r="S831" s="14">
        <v>0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40</v>
      </c>
      <c r="R832" s="14">
        <v>0</v>
      </c>
      <c r="S832" s="14">
        <v>0</v>
      </c>
      <c r="T832" s="13">
        <v>11.674270396270396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0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</v>
      </c>
      <c r="T834" s="13">
        <v>11.674270396270396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144</v>
      </c>
      <c r="R835" s="14">
        <v>0</v>
      </c>
      <c r="S835" s="14">
        <v>0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0</v>
      </c>
      <c r="T838" s="13">
        <v>11.674270396270396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0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0</v>
      </c>
      <c r="T840" s="13">
        <v>11.674270396270396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0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0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20</v>
      </c>
      <c r="R843" s="14">
        <v>0</v>
      </c>
      <c r="S843" s="14">
        <v>0</v>
      </c>
      <c r="T843" s="13">
        <v>11.674270396270396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0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360</v>
      </c>
      <c r="R845" s="14">
        <v>0</v>
      </c>
      <c r="S845" s="14">
        <v>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78.399999999999991</v>
      </c>
      <c r="R847" s="14">
        <v>0</v>
      </c>
      <c r="S847" s="14">
        <v>0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0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0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154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0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0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36.450000000000003</v>
      </c>
      <c r="R855" s="14">
        <v>0</v>
      </c>
      <c r="S855" s="14">
        <v>0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240</v>
      </c>
      <c r="R857" s="14">
        <v>0</v>
      </c>
      <c r="S857" s="14">
        <v>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0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0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0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47.400000000000006</v>
      </c>
      <c r="R861" s="14">
        <v>0</v>
      </c>
      <c r="S861" s="14">
        <v>0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0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0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0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0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0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0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17.28</v>
      </c>
      <c r="R872" s="14">
        <v>0</v>
      </c>
      <c r="S872" s="14">
        <v>0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293.76</v>
      </c>
      <c r="R873" s="14">
        <v>0</v>
      </c>
      <c r="S873" s="14">
        <v>0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17.28</v>
      </c>
      <c r="R877" s="14">
        <v>0</v>
      </c>
      <c r="S877" s="14">
        <v>0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0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0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0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0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0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0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0</v>
      </c>
      <c r="T885" s="13">
        <v>11.674270396270396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0</v>
      </c>
      <c r="T886" s="13">
        <v>11.674270396270396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864</v>
      </c>
      <c r="R887" s="14">
        <v>0</v>
      </c>
      <c r="S887" s="14">
        <v>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30</v>
      </c>
      <c r="R891" s="14">
        <v>0</v>
      </c>
      <c r="S891" s="14">
        <v>0</v>
      </c>
      <c r="T891" s="13">
        <v>11.674270396270396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0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0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0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0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0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0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0</v>
      </c>
      <c r="T899" s="13">
        <v>11.674270396270396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0</v>
      </c>
      <c r="T900" s="13">
        <v>11.674270396270396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300</v>
      </c>
      <c r="R901" s="14">
        <v>0</v>
      </c>
      <c r="S901" s="14">
        <v>0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0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0</v>
      </c>
      <c r="T903" s="13">
        <v>11.674270396270396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0</v>
      </c>
      <c r="T904" s="13">
        <v>11.674270396270396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0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5</v>
      </c>
      <c r="R906" s="14">
        <v>0</v>
      </c>
      <c r="S906" s="14">
        <v>0</v>
      </c>
      <c r="T906" s="13">
        <v>11.674270396270396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0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197.44</v>
      </c>
      <c r="R908" s="14">
        <v>0</v>
      </c>
      <c r="S908" s="14">
        <v>0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0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</v>
      </c>
      <c r="T910" s="13">
        <v>11.674270396270396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0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</v>
      </c>
      <c r="T913" s="13">
        <v>11.674270396270396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312</v>
      </c>
      <c r="R914" s="14">
        <v>0</v>
      </c>
      <c r="S914" s="14">
        <v>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10</v>
      </c>
      <c r="R915" s="14">
        <v>0</v>
      </c>
      <c r="S915" s="14">
        <v>0</v>
      </c>
      <c r="T915" s="13">
        <v>11.674270396270396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0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0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0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0</v>
      </c>
      <c r="T919" s="13">
        <v>11.674270396270396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0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0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0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0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82.8</v>
      </c>
      <c r="R926" s="14">
        <v>0</v>
      </c>
      <c r="S926" s="14">
        <v>0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0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7.68</v>
      </c>
      <c r="R928" s="14">
        <v>0</v>
      </c>
      <c r="S928" s="14">
        <v>0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0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0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16.079999999999998</v>
      </c>
      <c r="R931" s="14">
        <v>0</v>
      </c>
      <c r="S931" s="14">
        <v>0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0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26.88</v>
      </c>
      <c r="R934" s="14">
        <v>0</v>
      </c>
      <c r="S934" s="14">
        <v>0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36</v>
      </c>
      <c r="R935" s="14">
        <v>0</v>
      </c>
      <c r="S935" s="14">
        <v>0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0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28.8</v>
      </c>
      <c r="R937" s="14">
        <v>0</v>
      </c>
      <c r="S937" s="14">
        <v>0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0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0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0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0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0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25480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1464</v>
      </c>
      <c r="R949" s="14">
        <v>0</v>
      </c>
      <c r="S949" s="14">
        <v>0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0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5.4</v>
      </c>
      <c r="R951" s="14">
        <v>0</v>
      </c>
      <c r="S951" s="14">
        <v>0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8334.7800000000007</v>
      </c>
      <c r="R952" s="14">
        <v>0</v>
      </c>
      <c r="S952" s="14">
        <v>46565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37.44</v>
      </c>
      <c r="R953" s="14">
        <v>0</v>
      </c>
      <c r="S953" s="14">
        <v>0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0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0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25316.920000000002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0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0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744</v>
      </c>
      <c r="R962" s="14">
        <v>0</v>
      </c>
      <c r="S962" s="14">
        <v>0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0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480</v>
      </c>
      <c r="R964" s="14">
        <v>0</v>
      </c>
      <c r="S964" s="14">
        <v>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25480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0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0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0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0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27.84</v>
      </c>
      <c r="R971" s="14">
        <v>0</v>
      </c>
      <c r="S971" s="14">
        <v>0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0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11441.36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0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0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-5.4</v>
      </c>
      <c r="R976" s="14">
        <v>0</v>
      </c>
      <c r="S976" s="14">
        <v>20020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7280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67.319999999999993</v>
      </c>
      <c r="R979" s="14">
        <v>0</v>
      </c>
      <c r="S979" s="14">
        <v>0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6360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0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0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0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15915.6</v>
      </c>
      <c r="R987" s="14">
        <v>0</v>
      </c>
      <c r="S987" s="14">
        <v>15005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0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300</v>
      </c>
      <c r="R990" s="14">
        <v>0</v>
      </c>
      <c r="S990" s="14">
        <v>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0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0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0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144</v>
      </c>
      <c r="R996" s="14">
        <v>0</v>
      </c>
      <c r="S996" s="14">
        <v>0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0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29875.8</v>
      </c>
      <c r="R998" s="14">
        <v>0</v>
      </c>
      <c r="S998" s="14">
        <v>57691.199999999997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2026.35</v>
      </c>
      <c r="R1000" s="14">
        <v>0</v>
      </c>
      <c r="S1000" s="14">
        <v>13546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0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0</v>
      </c>
      <c r="R1002" s="14">
        <v>0</v>
      </c>
      <c r="S1002" s="14">
        <v>5970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0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14450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0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0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0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0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0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26864</v>
      </c>
      <c r="R1012" s="14">
        <v>0</v>
      </c>
      <c r="S1012" s="14">
        <v>26880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0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0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0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343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100</v>
      </c>
      <c r="R1018" s="14">
        <v>0</v>
      </c>
      <c r="S1018" s="14">
        <v>100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11460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14157.04</v>
      </c>
      <c r="R1020" s="14">
        <v>0</v>
      </c>
      <c r="S1020" s="14">
        <v>14157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0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300</v>
      </c>
      <c r="R1026" s="14">
        <v>0</v>
      </c>
      <c r="S1026" s="14">
        <v>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379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0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0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12611.28</v>
      </c>
      <c r="R1031" s="14">
        <v>0</v>
      </c>
      <c r="S1031" s="14">
        <v>13135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7270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168</v>
      </c>
      <c r="R1034" s="14">
        <v>0</v>
      </c>
      <c r="S1034" s="14">
        <v>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4950</v>
      </c>
      <c r="R1035" s="14">
        <v>0</v>
      </c>
      <c r="S1035" s="14">
        <v>8142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37.619999999999997</v>
      </c>
      <c r="R1036" s="14">
        <v>0</v>
      </c>
      <c r="S1036" s="14">
        <v>0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0</v>
      </c>
      <c r="R1037" s="14">
        <v>0</v>
      </c>
      <c r="S1037" s="14">
        <v>12414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0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0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20</v>
      </c>
      <c r="R1040" s="14">
        <v>0</v>
      </c>
      <c r="S1040" s="14">
        <v>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16.2</v>
      </c>
      <c r="R1041" s="14">
        <v>0</v>
      </c>
      <c r="S1041" s="14">
        <v>0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72</v>
      </c>
      <c r="R1042" s="14">
        <v>0</v>
      </c>
      <c r="S1042" s="14">
        <v>0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0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0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0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112</v>
      </c>
      <c r="R1047" s="14">
        <v>0</v>
      </c>
      <c r="S1047" s="14">
        <v>0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4640</v>
      </c>
      <c r="R1048" s="14">
        <v>0</v>
      </c>
      <c r="S1048" s="14">
        <v>10800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1810</v>
      </c>
      <c r="R1050" s="14">
        <v>0</v>
      </c>
      <c r="S1050" s="14">
        <v>6130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10000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3000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0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7000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0</v>
      </c>
      <c r="R1057" s="14">
        <v>0</v>
      </c>
      <c r="S1057" s="14">
        <v>6181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0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5440</v>
      </c>
      <c r="R1059" s="14">
        <v>0</v>
      </c>
      <c r="S1059" s="14">
        <v>5000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0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6181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0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0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0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0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0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0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0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588</v>
      </c>
      <c r="R1070" s="14">
        <v>0</v>
      </c>
      <c r="S1070" s="14">
        <v>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3288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0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1693.44</v>
      </c>
      <c r="R1074" s="14">
        <v>0</v>
      </c>
      <c r="S1074" s="14">
        <v>2000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6370</v>
      </c>
      <c r="R1075" s="14">
        <v>0</v>
      </c>
      <c r="S1075" s="14">
        <v>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0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2710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0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0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0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0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8.16</v>
      </c>
      <c r="R1084" s="14">
        <v>0</v>
      </c>
      <c r="S1084" s="14">
        <v>0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108</v>
      </c>
      <c r="R1085" s="14">
        <v>0</v>
      </c>
      <c r="S1085" s="14">
        <v>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10.8</v>
      </c>
      <c r="R1086" s="14">
        <v>0</v>
      </c>
      <c r="S1086" s="14">
        <v>0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13546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8.16</v>
      </c>
      <c r="R1088" s="14">
        <v>0</v>
      </c>
      <c r="S1088" s="14">
        <v>0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-60.6</v>
      </c>
      <c r="R1089" s="14">
        <v>0</v>
      </c>
      <c r="S1089" s="14">
        <v>8181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36</v>
      </c>
      <c r="R1090" s="14">
        <v>0</v>
      </c>
      <c r="S1090" s="14">
        <v>0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0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969.6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0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0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0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3540</v>
      </c>
      <c r="R1101" s="14">
        <v>0</v>
      </c>
      <c r="S1101" s="14">
        <v>40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0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0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0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408</v>
      </c>
      <c r="R1106" s="14">
        <v>0</v>
      </c>
      <c r="S1106" s="14">
        <v>0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0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96</v>
      </c>
      <c r="R1108" s="14">
        <v>0</v>
      </c>
      <c r="S1108" s="14">
        <v>0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3951.36</v>
      </c>
      <c r="R1110" s="14">
        <v>0</v>
      </c>
      <c r="S1110" s="14">
        <v>2000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4140</v>
      </c>
      <c r="R1111" s="14">
        <v>0</v>
      </c>
      <c r="S1111" s="14">
        <v>5000</v>
      </c>
      <c r="T1111" s="13">
        <v>11.674270396270396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158.12</v>
      </c>
      <c r="R1112" s="14">
        <v>0</v>
      </c>
      <c r="S1112" s="14">
        <v>0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0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0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312</v>
      </c>
      <c r="R1116" s="14">
        <v>0</v>
      </c>
      <c r="S1116" s="14">
        <v>0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0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3000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0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1080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0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775.68</v>
      </c>
      <c r="R1125" s="14">
        <v>0</v>
      </c>
      <c r="S1125" s="14">
        <v>0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4995</v>
      </c>
      <c r="R1126" s="14">
        <v>0</v>
      </c>
      <c r="S1126" s="14">
        <v>5000</v>
      </c>
      <c r="T1126" s="13">
        <v>11.674270396270396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9271.7999999999993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0</v>
      </c>
      <c r="R1128" s="14">
        <v>0</v>
      </c>
      <c r="S1128" s="14">
        <v>910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3285</v>
      </c>
      <c r="R1131" s="14">
        <v>0</v>
      </c>
      <c r="S1131" s="14">
        <v>0</v>
      </c>
      <c r="T1131" s="13">
        <v>11.674270396270396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0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0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0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2000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1321.357</v>
      </c>
      <c r="R1144" s="14">
        <v>0</v>
      </c>
      <c r="S1144" s="14">
        <v>0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0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0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0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0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0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3152</v>
      </c>
      <c r="R1155" s="14">
        <v>0</v>
      </c>
      <c r="S1155" s="14">
        <v>2242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84</v>
      </c>
      <c r="R1156" s="14">
        <v>0</v>
      </c>
      <c r="S1156" s="14">
        <v>0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0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0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4120.8</v>
      </c>
      <c r="R1161" s="14">
        <v>0</v>
      </c>
      <c r="S1161" s="14">
        <v>4120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10.1</v>
      </c>
      <c r="R1162" s="14">
        <v>0</v>
      </c>
      <c r="S1162" s="14">
        <v>0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0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1810</v>
      </c>
      <c r="R1164" s="14">
        <v>0</v>
      </c>
      <c r="S1164" s="14">
        <v>1810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0</v>
      </c>
      <c r="R1165" s="14">
        <v>0</v>
      </c>
      <c r="S1165" s="14">
        <v>5898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144</v>
      </c>
      <c r="R1166" s="14">
        <v>0</v>
      </c>
      <c r="S1166" s="14">
        <v>0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0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10940</v>
      </c>
      <c r="R1168" s="14">
        <v>0</v>
      </c>
      <c r="S1168" s="14">
        <v>10940</v>
      </c>
      <c r="T1168" s="13">
        <v>1.0890903790087512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0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0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3664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0</v>
      </c>
      <c r="R1175" s="14">
        <v>0</v>
      </c>
      <c r="S1175" s="14">
        <v>5880</v>
      </c>
      <c r="T1175" s="13">
        <v>2.0316122448979588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0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0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54.8</v>
      </c>
      <c r="R1178" s="14">
        <v>0</v>
      </c>
      <c r="S1178" s="14">
        <v>0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0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0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303.37</v>
      </c>
      <c r="R1181" s="14">
        <v>0</v>
      </c>
      <c r="S1181" s="14">
        <v>0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0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0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2.0316122448979588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0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180</v>
      </c>
      <c r="R1186" s="14">
        <v>0</v>
      </c>
      <c r="S1186" s="14">
        <v>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0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0</v>
      </c>
      <c r="R1190" s="14">
        <v>0</v>
      </c>
      <c r="S1190" s="14">
        <v>2100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4424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0</v>
      </c>
      <c r="R1193" s="14">
        <v>0</v>
      </c>
      <c r="S1193" s="14">
        <v>3982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0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0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1.6248133333333341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0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0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0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0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0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10</v>
      </c>
      <c r="R1209" s="14">
        <v>0</v>
      </c>
      <c r="S1209" s="14">
        <v>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6.2168571428571386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96</v>
      </c>
      <c r="R1212" s="14">
        <v>0</v>
      </c>
      <c r="S1212" s="14">
        <v>0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0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0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-10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0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28.880000000000003</v>
      </c>
      <c r="R1220" s="14">
        <v>0</v>
      </c>
      <c r="S1220" s="14">
        <v>0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0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79.88</v>
      </c>
      <c r="R1222" s="14">
        <v>0</v>
      </c>
      <c r="S1222" s="14">
        <v>0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0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240</v>
      </c>
      <c r="R1226" s="14">
        <v>0</v>
      </c>
      <c r="S1226" s="14">
        <v>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0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95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0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1720</v>
      </c>
      <c r="R1230" s="14">
        <v>0</v>
      </c>
      <c r="S1230" s="14">
        <v>1000</v>
      </c>
      <c r="T1230" s="13">
        <v>5.1813289473684279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0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0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0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0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3920</v>
      </c>
      <c r="R1235" s="14">
        <v>0</v>
      </c>
      <c r="S1235" s="14">
        <v>3920</v>
      </c>
      <c r="T1235" s="13">
        <v>6.2168571428571386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3558.26</v>
      </c>
      <c r="R1237" s="14">
        <v>0</v>
      </c>
      <c r="S1237" s="14">
        <v>3575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600</v>
      </c>
      <c r="T1238" s="13">
        <v>11.674270396270396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0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16.8</v>
      </c>
      <c r="R1241" s="14">
        <v>0</v>
      </c>
      <c r="S1241" s="14">
        <v>0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1032</v>
      </c>
      <c r="R1242" s="14">
        <v>0</v>
      </c>
      <c r="S1242" s="14">
        <v>0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727.2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3600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0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141.74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0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0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0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1810</v>
      </c>
      <c r="R1254" s="14">
        <v>0</v>
      </c>
      <c r="S1254" s="14">
        <v>1810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180</v>
      </c>
      <c r="R1255" s="14">
        <v>0</v>
      </c>
      <c r="S1255" s="14">
        <v>0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0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0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19.2</v>
      </c>
      <c r="R1260" s="14">
        <v>0</v>
      </c>
      <c r="S1260" s="14">
        <v>0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0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1210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432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300</v>
      </c>
      <c r="R1265" s="14">
        <v>0</v>
      </c>
      <c r="S1265" s="14">
        <v>0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300</v>
      </c>
      <c r="R1267" s="14">
        <v>0</v>
      </c>
      <c r="S1267" s="14">
        <v>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0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0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0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0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0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0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0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0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2940</v>
      </c>
      <c r="R1277" s="14">
        <v>0</v>
      </c>
      <c r="S1277" s="14">
        <v>2940</v>
      </c>
      <c r="T1277" s="13">
        <v>1.4489090909090918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0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0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0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1000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0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0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358.26499999999999</v>
      </c>
      <c r="R1288" s="14">
        <v>0</v>
      </c>
      <c r="S1288" s="14">
        <v>344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0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727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0</v>
      </c>
      <c r="R1293" s="14">
        <v>0</v>
      </c>
      <c r="S1293" s="14">
        <v>600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0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0</v>
      </c>
      <c r="T1298" s="13">
        <v>1.6248133333333341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240</v>
      </c>
      <c r="R1300" s="14">
        <v>0</v>
      </c>
      <c r="S1300" s="14">
        <v>0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0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200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1800</v>
      </c>
      <c r="R1306" s="14">
        <v>0</v>
      </c>
      <c r="S1306" s="14">
        <v>900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500</v>
      </c>
      <c r="R1309" s="14">
        <v>0</v>
      </c>
      <c r="S1309" s="14">
        <v>1000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1004.1600000000001</v>
      </c>
      <c r="R1313" s="14">
        <v>0</v>
      </c>
      <c r="S1313" s="14">
        <v>708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3920.27</v>
      </c>
      <c r="R1314" s="14">
        <v>0</v>
      </c>
      <c r="S1314" s="14">
        <v>3992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1100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0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0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47.4</v>
      </c>
      <c r="R1320" s="14">
        <v>0</v>
      </c>
      <c r="S1320" s="14">
        <v>47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900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0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1700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80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0</v>
      </c>
      <c r="R1326" s="14">
        <v>0</v>
      </c>
      <c r="S1326" s="14">
        <v>1400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0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0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900</v>
      </c>
      <c r="R1334" s="14">
        <v>0</v>
      </c>
      <c r="S1334" s="14">
        <v>900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1018.08</v>
      </c>
      <c r="R1336" s="14">
        <v>0</v>
      </c>
      <c r="S1336" s="14">
        <v>1030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0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108</v>
      </c>
      <c r="R1338" s="14">
        <v>0</v>
      </c>
      <c r="S1338" s="14">
        <v>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0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0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60</v>
      </c>
      <c r="R1346" s="14">
        <v>0</v>
      </c>
      <c r="S1346" s="14">
        <v>0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0</v>
      </c>
      <c r="T1347" s="13">
        <v>-2.4044933333333369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1920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10.8</v>
      </c>
      <c r="R1349" s="14">
        <v>0</v>
      </c>
      <c r="S1349" s="14">
        <v>0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9.6</v>
      </c>
      <c r="R1350" s="14">
        <v>0</v>
      </c>
      <c r="S1350" s="14">
        <v>0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0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11.674270396270396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0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0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0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0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288</v>
      </c>
      <c r="R1357" s="14">
        <v>0</v>
      </c>
      <c r="S1357" s="14">
        <v>688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606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0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0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0</v>
      </c>
      <c r="R1361" s="14">
        <v>0</v>
      </c>
      <c r="S1361" s="14">
        <v>1960</v>
      </c>
      <c r="T1361" s="13">
        <v>2.0316122448979588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484.8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2080</v>
      </c>
      <c r="R1365" s="14">
        <v>0</v>
      </c>
      <c r="S1365" s="14">
        <v>2080</v>
      </c>
      <c r="T1365" s="13">
        <v>1.4489090909090918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0</v>
      </c>
      <c r="R1366" s="14">
        <v>0</v>
      </c>
      <c r="S1366" s="14">
        <v>3386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120</v>
      </c>
      <c r="R1367" s="14">
        <v>0</v>
      </c>
      <c r="S1367" s="14">
        <v>0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960</v>
      </c>
      <c r="R1368" s="14">
        <v>0</v>
      </c>
      <c r="S1368" s="14">
        <v>960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25.41</v>
      </c>
      <c r="R1369" s="14">
        <v>0</v>
      </c>
      <c r="S1369" s="14">
        <v>0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547</v>
      </c>
      <c r="R1370" s="14">
        <v>0</v>
      </c>
      <c r="S1370" s="14">
        <v>337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379.2</v>
      </c>
      <c r="R1373" s="14">
        <v>0</v>
      </c>
      <c r="S1373" s="14">
        <v>284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17.600000000000001</v>
      </c>
      <c r="R1374" s="14">
        <v>0</v>
      </c>
      <c r="S1374" s="14">
        <v>0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0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0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0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910</v>
      </c>
      <c r="R1378" s="14">
        <v>0</v>
      </c>
      <c r="S1378" s="14">
        <v>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700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0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0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144</v>
      </c>
      <c r="R1385" s="14">
        <v>0</v>
      </c>
      <c r="S1385" s="14">
        <v>0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5</v>
      </c>
      <c r="R1386" s="14">
        <v>0</v>
      </c>
      <c r="S1386" s="14">
        <v>0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-3.6462816901408508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1470</v>
      </c>
      <c r="R1388" s="14">
        <v>0</v>
      </c>
      <c r="S1388" s="14">
        <v>5220</v>
      </c>
      <c r="T1388" s="13">
        <v>1.0890903790087512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108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4140</v>
      </c>
      <c r="R1391" s="14">
        <v>0</v>
      </c>
      <c r="S1391" s="14">
        <v>0</v>
      </c>
      <c r="T1391" s="13">
        <v>11.674270396270396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258.96000000000004</v>
      </c>
      <c r="R1392" s="14">
        <v>0</v>
      </c>
      <c r="S1392" s="14">
        <v>210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116.64</v>
      </c>
      <c r="R1394" s="14">
        <v>0</v>
      </c>
      <c r="S1394" s="14">
        <v>0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1030.2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600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4.6594000000000007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0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0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11.674270396270396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140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0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0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0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0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0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20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1008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8983.6799999999985</v>
      </c>
      <c r="R1416" s="14">
        <v>0</v>
      </c>
      <c r="S1416" s="14">
        <v>8938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781.44</v>
      </c>
      <c r="R1417" s="14">
        <v>0</v>
      </c>
      <c r="S1417" s="14">
        <v>781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0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0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32.4</v>
      </c>
      <c r="R1422" s="14">
        <v>0</v>
      </c>
      <c r="S1422" s="14">
        <v>0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0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0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0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0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27</v>
      </c>
      <c r="R1430" s="14">
        <v>0</v>
      </c>
      <c r="S1430" s="14">
        <v>0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0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1192.3200000000002</v>
      </c>
      <c r="R1432" s="14">
        <v>0</v>
      </c>
      <c r="S1432" s="14">
        <v>693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0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0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0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0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0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96</v>
      </c>
      <c r="R1441" s="14">
        <v>0</v>
      </c>
      <c r="S1441" s="14">
        <v>0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0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6.2168571428571386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0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24.24</v>
      </c>
      <c r="R1445" s="14">
        <v>0</v>
      </c>
      <c r="S1445" s="14">
        <v>0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0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365.375</v>
      </c>
      <c r="R1449" s="14">
        <v>0</v>
      </c>
      <c r="S1449" s="14">
        <v>365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0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0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2179.9849999999997</v>
      </c>
      <c r="R1454" s="14">
        <v>0</v>
      </c>
      <c r="S1454" s="14">
        <v>1900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0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0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0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498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0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518.62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0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9.8000000000000007</v>
      </c>
      <c r="R1464" s="14">
        <v>0</v>
      </c>
      <c r="S1464" s="14">
        <v>0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0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240</v>
      </c>
      <c r="R1467" s="14">
        <v>0</v>
      </c>
      <c r="S1467" s="14">
        <v>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120</v>
      </c>
      <c r="R1470" s="14">
        <v>0</v>
      </c>
      <c r="S1470" s="14">
        <v>0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0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5.4</v>
      </c>
      <c r="R1474" s="14">
        <v>0</v>
      </c>
      <c r="S1474" s="14">
        <v>0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38.4</v>
      </c>
      <c r="R1476" s="14">
        <v>0</v>
      </c>
      <c r="S1476" s="14">
        <v>0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0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0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0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248.16000000000003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300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3787.9849999999997</v>
      </c>
      <c r="R1483" s="14">
        <v>0</v>
      </c>
      <c r="S1483" s="14">
        <v>2500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1501.4399999999998</v>
      </c>
      <c r="R1484" s="14">
        <v>0</v>
      </c>
      <c r="S1484" s="14">
        <v>1501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800</v>
      </c>
      <c r="T1485" s="13">
        <v>11.674270396270396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950.04000000000008</v>
      </c>
      <c r="R1486" s="14">
        <v>0</v>
      </c>
      <c r="S1486" s="14">
        <v>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0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18.8</v>
      </c>
      <c r="R1488" s="14">
        <v>0</v>
      </c>
      <c r="S1488" s="14">
        <v>0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0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72</v>
      </c>
      <c r="R1491" s="14">
        <v>0</v>
      </c>
      <c r="S1491" s="14">
        <v>0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0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0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0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144</v>
      </c>
      <c r="R1496" s="14">
        <v>0</v>
      </c>
      <c r="S1496" s="14">
        <v>0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2930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0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84</v>
      </c>
      <c r="R1501" s="14">
        <v>0</v>
      </c>
      <c r="S1501" s="14">
        <v>0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60</v>
      </c>
      <c r="R1503" s="14">
        <v>0</v>
      </c>
      <c r="S1503" s="14">
        <v>0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0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0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0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-2.4044933333333369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73.25</v>
      </c>
      <c r="R1509" s="14">
        <v>0</v>
      </c>
      <c r="S1509" s="14">
        <v>75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0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0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1199.2090000000001</v>
      </c>
      <c r="R1515" s="14">
        <v>0</v>
      </c>
      <c r="S1515" s="14">
        <v>1200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60</v>
      </c>
      <c r="R1517" s="14">
        <v>0</v>
      </c>
      <c r="S1517" s="14">
        <v>56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0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0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240</v>
      </c>
      <c r="R1520" s="14">
        <v>0</v>
      </c>
      <c r="S1520" s="14">
        <v>0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1040</v>
      </c>
      <c r="R1521" s="14">
        <v>0</v>
      </c>
      <c r="S1521" s="14">
        <v>720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0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69.84</v>
      </c>
      <c r="R1527" s="14">
        <v>0</v>
      </c>
      <c r="S1527" s="14">
        <v>0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0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727.2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0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252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550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360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150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11.674270396270396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133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2988</v>
      </c>
      <c r="R1544" s="14">
        <v>0</v>
      </c>
      <c r="S1544" s="14">
        <v>2988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180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32.4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1020.8</v>
      </c>
      <c r="R1553" s="14">
        <v>0</v>
      </c>
      <c r="S1553" s="14">
        <v>397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459.86000000000007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228.8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4.6594000000000007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1154.8799999999999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516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0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400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2011.92</v>
      </c>
      <c r="R1569" s="14">
        <v>0</v>
      </c>
      <c r="S1569" s="14">
        <v>2060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157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40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0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16.200000000000003</v>
      </c>
      <c r="R1577" s="14">
        <v>0</v>
      </c>
      <c r="S1577" s="14">
        <v>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0</v>
      </c>
      <c r="T1578" s="13">
        <v>11.674270396270396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96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1788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200</v>
      </c>
      <c r="R1583" s="14">
        <v>0</v>
      </c>
      <c r="S1583" s="14">
        <v>121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359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150</v>
      </c>
      <c r="R1587" s="14">
        <v>0</v>
      </c>
      <c r="S1587" s="14">
        <v>0</v>
      </c>
      <c r="T1587" s="13">
        <v>11.674270396270396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11.674270396270396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0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211.2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0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0</v>
      </c>
      <c r="T1596" s="13">
        <v>11.674270396270396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777.6</v>
      </c>
      <c r="R1597" s="14">
        <v>0</v>
      </c>
      <c r="S1597" s="14">
        <v>585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140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140</v>
      </c>
      <c r="R1601" s="14">
        <v>0</v>
      </c>
      <c r="S1601" s="14">
        <v>0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600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9.48</v>
      </c>
      <c r="R1604" s="14">
        <v>0</v>
      </c>
      <c r="S1604" s="14">
        <v>0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298.8</v>
      </c>
      <c r="R1610" s="14">
        <v>0</v>
      </c>
      <c r="S1610" s="14">
        <v>238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600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564.48</v>
      </c>
      <c r="R1612" s="14">
        <v>0</v>
      </c>
      <c r="S1612" s="14">
        <v>564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168.6</v>
      </c>
      <c r="R1613" s="14">
        <v>0</v>
      </c>
      <c r="S1613" s="14">
        <v>0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50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500</v>
      </c>
      <c r="R1617" s="14">
        <v>0</v>
      </c>
      <c r="S1617" s="14">
        <v>5000</v>
      </c>
      <c r="T1617" s="13">
        <v>-9.2300671140939539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0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2270</v>
      </c>
      <c r="R1621" s="14">
        <v>0</v>
      </c>
      <c r="S1621" s="14">
        <v>2170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14400</v>
      </c>
      <c r="R1623" s="14">
        <v>0</v>
      </c>
      <c r="S1623" s="14">
        <v>14400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2657.1390000000001</v>
      </c>
      <c r="R1626" s="14">
        <v>0</v>
      </c>
      <c r="S1626" s="14">
        <v>2717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80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606</v>
      </c>
      <c r="R1628" s="14">
        <v>0</v>
      </c>
      <c r="S1628" s="14">
        <v>606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0</v>
      </c>
      <c r="T1629" s="13">
        <v>11.674270396270396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0</v>
      </c>
      <c r="T1630" s="13">
        <v>11.674270396270396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264</v>
      </c>
      <c r="R1631" s="14">
        <v>0</v>
      </c>
      <c r="S1631" s="14">
        <v>144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</v>
      </c>
      <c r="T1632" s="13">
        <v>11.674270396270396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0</v>
      </c>
      <c r="T1633" s="13">
        <v>-9.2300671140939539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-9.2300671140939539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121.2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0</v>
      </c>
      <c r="T1636" s="13">
        <v>11.674270396270396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-20</v>
      </c>
      <c r="R1639" s="14">
        <v>0</v>
      </c>
      <c r="S1639" s="14">
        <v>6125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63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995</v>
      </c>
      <c r="R1645" s="14">
        <v>0</v>
      </c>
      <c r="S1645" s="14">
        <v>495</v>
      </c>
      <c r="T1645" s="13">
        <v>-3.6462816901408508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25</v>
      </c>
      <c r="R1646" s="14">
        <v>0</v>
      </c>
      <c r="S1646" s="14">
        <v>0</v>
      </c>
      <c r="T1646" s="13">
        <v>11.674270396270396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0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0</v>
      </c>
      <c r="T1650" s="13">
        <v>-9.2300671140939539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0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0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181.8</v>
      </c>
      <c r="R1653" s="14">
        <v>0</v>
      </c>
      <c r="S1653" s="14">
        <v>0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0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0</v>
      </c>
      <c r="T1657" s="13">
        <v>-9.2300671140939539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311.04000000000002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283.2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0</v>
      </c>
      <c r="T1662" s="13">
        <v>11.674270396270396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121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140</v>
      </c>
      <c r="R1665" s="14">
        <v>0</v>
      </c>
      <c r="S1665" s="14">
        <v>140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185</v>
      </c>
      <c r="R1666" s="14">
        <v>0</v>
      </c>
      <c r="S1666" s="14">
        <v>0</v>
      </c>
      <c r="T1666" s="13">
        <v>11.674270396270396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137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90</v>
      </c>
      <c r="R1669" s="14">
        <v>0</v>
      </c>
      <c r="S1669" s="14">
        <v>0</v>
      </c>
      <c r="T1669" s="13">
        <v>11.674270396270396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120</v>
      </c>
      <c r="R1670" s="14">
        <v>0</v>
      </c>
      <c r="S1670" s="14">
        <v>0</v>
      </c>
      <c r="T1670" s="13">
        <v>11.674270396270396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0</v>
      </c>
      <c r="T1671" s="13">
        <v>11.674270396270396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11.674270396270396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1400</v>
      </c>
      <c r="R1673" s="14">
        <v>0</v>
      </c>
      <c r="S1673" s="14">
        <v>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0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0</v>
      </c>
      <c r="T1686" s="13">
        <v>11.674270396270396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0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94.8</v>
      </c>
      <c r="R1688" s="14">
        <v>0</v>
      </c>
      <c r="S1688" s="14">
        <v>47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0</v>
      </c>
      <c r="T1689" s="13">
        <v>11.674270396270396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</v>
      </c>
      <c r="T1690" s="13">
        <v>11.674270396270396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0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48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43.449999999999996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86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1599.75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1030.2</v>
      </c>
      <c r="R1703" s="14">
        <v>0</v>
      </c>
      <c r="S1703" s="14">
        <v>1151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45.42</v>
      </c>
      <c r="R1704" s="14">
        <v>0</v>
      </c>
      <c r="S1704" s="14">
        <v>0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0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0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0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0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0</v>
      </c>
      <c r="T1710" s="13">
        <v>11.674270396270396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0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0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-19.065200000000001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100</v>
      </c>
      <c r="R1715" s="14">
        <v>0</v>
      </c>
      <c r="S1715" s="14">
        <v>0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48</v>
      </c>
      <c r="R1716" s="14">
        <v>0</v>
      </c>
      <c r="S1716" s="14">
        <v>0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92.594999999999999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0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153.24</v>
      </c>
      <c r="R1722" s="14">
        <v>0</v>
      </c>
      <c r="S1722" s="14">
        <v>0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75</v>
      </c>
      <c r="R1723" s="14">
        <v>0</v>
      </c>
      <c r="S1723" s="14">
        <v>0</v>
      </c>
      <c r="T1723" s="13">
        <v>11.674270396270396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0</v>
      </c>
      <c r="T1724" s="13">
        <v>11.674270396270396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96</v>
      </c>
      <c r="R1725" s="14">
        <v>0</v>
      </c>
      <c r="S1725" s="14">
        <v>96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24.240000000000002</v>
      </c>
      <c r="R1726" s="14">
        <v>0</v>
      </c>
      <c r="S1726" s="14">
        <v>36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0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0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0</v>
      </c>
      <c r="T1729" s="13">
        <v>11.674270396270396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0</v>
      </c>
      <c r="T1730" s="13">
        <v>11.674270396270396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428.8</v>
      </c>
      <c r="R1732" s="14">
        <v>0</v>
      </c>
      <c r="S1732" s="14">
        <v>429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0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30</v>
      </c>
      <c r="R1736" s="14">
        <v>0</v>
      </c>
      <c r="S1736" s="14">
        <v>30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0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11.674270396270396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0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65</v>
      </c>
      <c r="R1746" s="14">
        <v>0</v>
      </c>
      <c r="S1746" s="14">
        <v>0</v>
      </c>
      <c r="T1746" s="13">
        <v>11.674270396270396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0</v>
      </c>
      <c r="T1747" s="13">
        <v>11.674270396270396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94.8</v>
      </c>
      <c r="R1748" s="14">
        <v>0</v>
      </c>
      <c r="S1748" s="14">
        <v>47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0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15.36</v>
      </c>
      <c r="R1753" s="14">
        <v>0</v>
      </c>
      <c r="S1753" s="14">
        <v>0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2100</v>
      </c>
      <c r="R1754" s="14">
        <v>0</v>
      </c>
      <c r="S1754" s="14">
        <v>2100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0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90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0</v>
      </c>
      <c r="T1759" s="13">
        <v>11.674270396270396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695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0</v>
      </c>
      <c r="T1761" s="13">
        <v>11.674270396270396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60</v>
      </c>
      <c r="R1762" s="14">
        <v>0</v>
      </c>
      <c r="S1762" s="14">
        <v>0</v>
      </c>
      <c r="T1762" s="13">
        <v>11.674270396270396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240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16.2</v>
      </c>
      <c r="R1767" s="14">
        <v>0</v>
      </c>
      <c r="S1767" s="14">
        <v>0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9.6</v>
      </c>
      <c r="R1771" s="14">
        <v>0</v>
      </c>
      <c r="S1771" s="14">
        <v>0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0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490</v>
      </c>
      <c r="R1774" s="14">
        <v>0</v>
      </c>
      <c r="S1774" s="14">
        <v>490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0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0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0</v>
      </c>
      <c r="T1778" s="13">
        <v>11.674270396270396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0</v>
      </c>
      <c r="T1779" s="13">
        <v>11.674270396270396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11.674270396270396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0</v>
      </c>
      <c r="T1781" s="13">
        <v>11.674270396270396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21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0</v>
      </c>
      <c r="R1785" s="14">
        <v>0</v>
      </c>
      <c r="S1785" s="14">
        <v>100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24</v>
      </c>
      <c r="R1787" s="14">
        <v>0</v>
      </c>
      <c r="S1787" s="14">
        <v>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11.674270396270396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0</v>
      </c>
      <c r="T1789" s="13">
        <v>11.674270396270396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18.600000000000001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11.674270396270396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55</v>
      </c>
      <c r="R1796" s="14">
        <v>0</v>
      </c>
      <c r="S1796" s="14">
        <v>0</v>
      </c>
      <c r="T1796" s="13">
        <v>11.674270396270396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6322.4000000000005</v>
      </c>
      <c r="R1797" s="14">
        <v>0</v>
      </c>
      <c r="S1797" s="14">
        <v>6322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0</v>
      </c>
      <c r="T1798" s="13">
        <v>11.674270396270396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0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1066.5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2153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328</v>
      </c>
      <c r="R1803" s="14">
        <v>0</v>
      </c>
      <c r="S1803" s="14">
        <v>0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0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960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0</v>
      </c>
      <c r="T1806" s="13">
        <v>11.674270396270396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248.4</v>
      </c>
      <c r="R1807" s="14">
        <v>0</v>
      </c>
      <c r="S1807" s="14">
        <v>0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0</v>
      </c>
      <c r="T1808" s="13">
        <v>11.674270396270396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0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4.3077999999999976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0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0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11.674270396270396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11.674270396270396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0</v>
      </c>
      <c r="T1819" s="13">
        <v>11.674270396270396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11.674270396270396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0</v>
      </c>
      <c r="T1821" s="13">
        <v>11.674270396270396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0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0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115.80000000000001</v>
      </c>
      <c r="R1824" s="14">
        <v>0</v>
      </c>
      <c r="S1824" s="14">
        <v>14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5.1813289473684279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292.762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11.674270396270396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15</v>
      </c>
      <c r="R1830" s="14">
        <v>0</v>
      </c>
      <c r="S1830" s="14">
        <v>0</v>
      </c>
      <c r="T1830" s="13">
        <v>11.674270396270396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59.760000000000005</v>
      </c>
      <c r="R1832" s="14">
        <v>0</v>
      </c>
      <c r="S1832" s="14">
        <v>0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0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0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0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0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0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0</v>
      </c>
      <c r="T1840" s="13">
        <v>11.674270396270396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0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11.674270396270396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0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11.674270396270396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0</v>
      </c>
      <c r="T1845" s="13">
        <v>11.674270396270396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63.36</v>
      </c>
      <c r="R1846" s="14">
        <v>0</v>
      </c>
      <c r="S1846" s="14">
        <v>52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0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0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0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0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0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0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0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312</v>
      </c>
      <c r="R1856" s="14">
        <v>0</v>
      </c>
      <c r="S1856" s="14">
        <v>0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424</v>
      </c>
      <c r="R1857" s="14">
        <v>0</v>
      </c>
      <c r="S1857" s="14">
        <v>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11.674270396270396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0</v>
      </c>
      <c r="T1862" s="13">
        <v>11.674270396270396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</v>
      </c>
      <c r="T1863" s="13">
        <v>11.674270396270396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0</v>
      </c>
      <c r="T1864" s="13">
        <v>11.674270396270396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</v>
      </c>
      <c r="T1865" s="13">
        <v>11.674270396270396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0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22.8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144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50.664999999999999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0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10</v>
      </c>
      <c r="R1877" s="14">
        <v>0</v>
      </c>
      <c r="S1877" s="14">
        <v>0</v>
      </c>
      <c r="T1877" s="13">
        <v>11.674270396270396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0</v>
      </c>
      <c r="T1878" s="13">
        <v>11.674270396270396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0</v>
      </c>
      <c r="T1879" s="13">
        <v>11.674270396270396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540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0</v>
      </c>
      <c r="T1882" s="13">
        <v>11.674270396270396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0</v>
      </c>
      <c r="T1883" s="13">
        <v>11.674270396270396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40</v>
      </c>
      <c r="R1884" s="14">
        <v>0</v>
      </c>
      <c r="S1884" s="14">
        <v>0</v>
      </c>
      <c r="T1884" s="13">
        <v>11.674270396270396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0</v>
      </c>
      <c r="R1886" s="14">
        <v>0</v>
      </c>
      <c r="S1886" s="14">
        <v>6615.33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0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0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0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0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0</v>
      </c>
      <c r="T1896" s="13">
        <v>11.674270396270396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</v>
      </c>
      <c r="T1897" s="13">
        <v>11.674270396270396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5</v>
      </c>
      <c r="R1898" s="14">
        <v>0</v>
      </c>
      <c r="S1898" s="14">
        <v>0</v>
      </c>
      <c r="T1898" s="13">
        <v>11.674270396270396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0</v>
      </c>
      <c r="T1899" s="13">
        <v>11.674270396270396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0</v>
      </c>
      <c r="T1900" s="13">
        <v>11.674270396270396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117.2</v>
      </c>
      <c r="R1901" s="14">
        <v>0</v>
      </c>
      <c r="S1901" s="14">
        <v>107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0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0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0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4.8</v>
      </c>
      <c r="R1908" s="14">
        <v>0</v>
      </c>
      <c r="S1908" s="14">
        <v>0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10</v>
      </c>
      <c r="R1916" s="14">
        <v>0</v>
      </c>
      <c r="S1916" s="14">
        <v>0</v>
      </c>
      <c r="T1916" s="13">
        <v>11.674270396270396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0</v>
      </c>
      <c r="T1917" s="13">
        <v>11.674270396270396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0</v>
      </c>
      <c r="T1918" s="13">
        <v>11.674270396270396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0</v>
      </c>
      <c r="T1919" s="13">
        <v>11.674270396270396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10</v>
      </c>
      <c r="R1921" s="14">
        <v>0</v>
      </c>
      <c r="S1921" s="14">
        <v>0</v>
      </c>
      <c r="T1921" s="13">
        <v>11.674270396270396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1771.6</v>
      </c>
      <c r="R1922" s="14">
        <v>0</v>
      </c>
      <c r="S1922" s="14">
        <v>1500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0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0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9.6</v>
      </c>
      <c r="R1927" s="14">
        <v>0</v>
      </c>
      <c r="S1927" s="14">
        <v>0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0</v>
      </c>
      <c r="T1934" s="13">
        <v>11.674270396270396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0</v>
      </c>
      <c r="T1936" s="13">
        <v>11.674270396270396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</v>
      </c>
      <c r="T1937" s="13">
        <v>11.674270396270396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0</v>
      </c>
      <c r="T1938" s="13">
        <v>11.674270396270396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</v>
      </c>
      <c r="T1939" s="13">
        <v>11.674270396270396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0</v>
      </c>
      <c r="T1940" s="13">
        <v>11.674270396270396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0</v>
      </c>
      <c r="T1942" s="13">
        <v>11.674270396270396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0</v>
      </c>
      <c r="T1943" s="13">
        <v>11.674270396270396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122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4450</v>
      </c>
      <c r="R1947" s="14">
        <v>0</v>
      </c>
      <c r="S1947" s="14">
        <v>4450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0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0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0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0</v>
      </c>
      <c r="T1953" s="13">
        <v>11.674270396270396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0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0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0</v>
      </c>
      <c r="T1960" s="13">
        <v>11.674270396270396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0</v>
      </c>
      <c r="T1962" s="13">
        <v>11.674270396270396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0</v>
      </c>
      <c r="T1963" s="13">
        <v>11.674270396270396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0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0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135</v>
      </c>
      <c r="R1966" s="14">
        <v>0</v>
      </c>
      <c r="S1966" s="14">
        <v>0</v>
      </c>
      <c r="T1966" s="13">
        <v>11.674270396270396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0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0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0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0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0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0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38.4</v>
      </c>
      <c r="R1975" s="14">
        <v>0</v>
      </c>
      <c r="S1975" s="14">
        <v>0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0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0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0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0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0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4990</v>
      </c>
      <c r="R1982" s="14">
        <v>0</v>
      </c>
      <c r="S1982" s="14">
        <v>3000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0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300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0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0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0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0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11.674270396270396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0</v>
      </c>
      <c r="T1992" s="13">
        <v>11.674270396270396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0</v>
      </c>
      <c r="T1993" s="13">
        <v>11.674270396270396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0</v>
      </c>
      <c r="T1994" s="13">
        <v>11.674270396270396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0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0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0</v>
      </c>
      <c r="T1998" s="13">
        <v>11.674270396270396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0</v>
      </c>
      <c r="T2000" s="13">
        <v>11.674270396270396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31.5</v>
      </c>
      <c r="R2001" s="14">
        <v>0</v>
      </c>
      <c r="S2001" s="14">
        <v>0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0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0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0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60</v>
      </c>
      <c r="R2005" s="14">
        <v>0</v>
      </c>
      <c r="S2005" s="14">
        <v>0</v>
      </c>
      <c r="T2005" s="13">
        <v>11.674270396270396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0</v>
      </c>
      <c r="T2006" s="13">
        <v>11.674270396270396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11.674270396270396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0</v>
      </c>
      <c r="T2008" s="13">
        <v>11.674270396270396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22.5</v>
      </c>
      <c r="R2009" s="14">
        <v>0</v>
      </c>
      <c r="S2009" s="14">
        <v>0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11.674270396270396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0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0</v>
      </c>
      <c r="T2014" s="13">
        <v>11.674270396270396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0</v>
      </c>
      <c r="T2015" s="13">
        <v>11.674270396270396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0</v>
      </c>
      <c r="T2016" s="13">
        <v>11.674270396270396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1000.2</v>
      </c>
      <c r="R2017" s="14">
        <v>0</v>
      </c>
      <c r="S2017" s="14">
        <v>577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64</v>
      </c>
      <c r="R2018" s="14">
        <v>0</v>
      </c>
      <c r="S2018" s="14">
        <v>52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0</v>
      </c>
      <c r="T2019" s="13">
        <v>11.674270396270396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0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0</v>
      </c>
      <c r="T2022" s="13">
        <v>11.674270396270396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40</v>
      </c>
      <c r="R2023" s="14">
        <v>0</v>
      </c>
      <c r="S2023" s="14">
        <v>0</v>
      </c>
      <c r="T2023" s="13">
        <v>11.674270396270396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0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0</v>
      </c>
      <c r="T2025" s="13">
        <v>11.674270396270396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0</v>
      </c>
      <c r="T2026" s="13">
        <v>11.674270396270396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0</v>
      </c>
      <c r="T2027" s="13">
        <v>11.674270396270396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0</v>
      </c>
      <c r="T2028" s="13">
        <v>11.674270396270396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125</v>
      </c>
      <c r="R2030" s="14">
        <v>0</v>
      </c>
      <c r="S2030" s="14">
        <v>125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310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600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480</v>
      </c>
      <c r="R2036" s="14">
        <v>0</v>
      </c>
      <c r="S2036" s="14">
        <v>480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40</v>
      </c>
      <c r="R2038" s="14">
        <v>0</v>
      </c>
      <c r="S2038" s="14">
        <v>10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6.2168571428571386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1050</v>
      </c>
      <c r="R2043" s="14">
        <v>0</v>
      </c>
      <c r="S2043" s="14">
        <v>1050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2.0316122448979588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100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429</v>
      </c>
      <c r="R2052" s="14">
        <v>0</v>
      </c>
      <c r="S2052" s="14">
        <v>288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6.2168571428571386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1.4489090909090918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0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1000</v>
      </c>
      <c r="R2071" s="14">
        <v>0</v>
      </c>
      <c r="S2071" s="14">
        <v>4000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0</v>
      </c>
      <c r="T2072" s="13">
        <v>-9.2300671140939539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1800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0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528</v>
      </c>
      <c r="R2077" s="14">
        <v>0</v>
      </c>
      <c r="S2077" s="14">
        <v>0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624</v>
      </c>
      <c r="R2078" s="14">
        <v>0</v>
      </c>
      <c r="S2078" s="14">
        <v>0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257.76</v>
      </c>
      <c r="R2081" s="14">
        <v>0</v>
      </c>
      <c r="S2081" s="14">
        <v>0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0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500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-2.4044933333333369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156.12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0</v>
      </c>
      <c r="R2091" s="14">
        <v>0</v>
      </c>
      <c r="S2091" s="14">
        <v>20604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0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540</v>
      </c>
      <c r="R2098" s="14">
        <v>0</v>
      </c>
      <c r="S2098" s="14">
        <v>540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14.4</v>
      </c>
      <c r="R2099" s="14">
        <v>0</v>
      </c>
      <c r="S2099" s="14">
        <v>0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72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0</v>
      </c>
      <c r="T2107" s="13">
        <v>4.3077999999999976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67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0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400</v>
      </c>
      <c r="R2120" s="14">
        <v>0</v>
      </c>
      <c r="S2120" s="14">
        <v>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250</v>
      </c>
      <c r="T2121" s="13">
        <v>11.674270396270396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0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25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20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20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384.84000000000003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-9.2300671140939539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1.4489090909090918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-9.2300671140939539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4.6594000000000007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1.0890903790087512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4.3077999999999976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4.3077999999999976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-9.2300671140939539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-9.2300671140939539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1.6248133333333341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1.6248133333333341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-3.6462816901408508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11.674270396270396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0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0</v>
      </c>
      <c r="T2176" s="13">
        <v>11.674270396270396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0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0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0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0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0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0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100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113.76</v>
      </c>
      <c r="R2197" s="14">
        <v>0</v>
      </c>
      <c r="S2197" s="14">
        <v>0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0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97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0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0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6289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2630.7</v>
      </c>
      <c r="R2214" s="14">
        <v>0</v>
      </c>
      <c r="S2214" s="14">
        <v>2631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0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0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0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0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1212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0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96</v>
      </c>
      <c r="R2235" s="14">
        <v>0</v>
      </c>
      <c r="S2235" s="14">
        <v>0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0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104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107.39999999999999</v>
      </c>
      <c r="R2240" s="14">
        <v>0</v>
      </c>
      <c r="S2240" s="14">
        <v>107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0</v>
      </c>
      <c r="T2241" s="13">
        <v>11.674270396270396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11.674270396270396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11.674270396270396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</v>
      </c>
      <c r="T2244" s="13">
        <v>11.674270396270396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70</v>
      </c>
      <c r="R2245" s="14">
        <v>0</v>
      </c>
      <c r="S2245" s="14">
        <v>0</v>
      </c>
      <c r="T2245" s="13">
        <v>11.674270396270396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0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0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0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0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0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0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0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0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0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0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0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0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0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84</v>
      </c>
      <c r="R2265" s="14">
        <v>0</v>
      </c>
      <c r="S2265" s="14">
        <v>0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84</v>
      </c>
      <c r="R2267" s="14">
        <v>0</v>
      </c>
      <c r="S2267" s="14">
        <v>0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0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0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0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302.54000000000002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0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4.08</v>
      </c>
      <c r="R2283" s="14">
        <v>0</v>
      </c>
      <c r="S2283" s="14">
        <v>0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11.674270396270396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0</v>
      </c>
      <c r="T2285" s="13">
        <v>11.674270396270396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0</v>
      </c>
      <c r="T2286" s="13">
        <v>11.674270396270396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0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2.0316122448979588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400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0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83200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2.0316122448979588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0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354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0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1035</v>
      </c>
      <c r="R2301" s="14">
        <v>0</v>
      </c>
      <c r="S2301" s="14">
        <v>1035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0</v>
      </c>
      <c r="T2302" s="13">
        <v>4.3077999999999976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0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0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105.12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0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30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0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24.6</v>
      </c>
      <c r="R2314" s="14">
        <v>0</v>
      </c>
      <c r="S2314" s="14">
        <v>0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0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0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0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27</v>
      </c>
      <c r="R2323" s="14">
        <v>0</v>
      </c>
      <c r="S2323" s="14">
        <v>0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54.6</v>
      </c>
      <c r="R2324" s="14">
        <v>0</v>
      </c>
      <c r="S2324" s="14">
        <v>0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0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0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12</v>
      </c>
      <c r="R2329" s="14">
        <v>0</v>
      </c>
      <c r="S2329" s="14">
        <v>0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0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0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11.674270396270396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6</v>
      </c>
      <c r="R2339" s="14">
        <v>0</v>
      </c>
      <c r="S2339" s="14">
        <v>0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0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0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0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0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0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0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0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0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7.8422000000000027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120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0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0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4.6594000000000007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100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84</v>
      </c>
      <c r="R2364" s="14">
        <v>0</v>
      </c>
      <c r="S2364" s="14">
        <v>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0</v>
      </c>
      <c r="T2366" s="13">
        <v>11.674270396270396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54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0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0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0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0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0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180</v>
      </c>
      <c r="R2380" s="14">
        <v>0</v>
      </c>
      <c r="S2380" s="14">
        <v>0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3</v>
      </c>
      <c r="R2384" s="14">
        <v>0</v>
      </c>
      <c r="S2384" s="14">
        <v>0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0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0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0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4.8</v>
      </c>
      <c r="R2393" s="14">
        <v>0</v>
      </c>
      <c r="S2393" s="14">
        <v>0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4.6594000000000007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0</v>
      </c>
      <c r="T2395" s="13">
        <v>11.674270396270396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0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0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13.44</v>
      </c>
      <c r="R2402" s="14">
        <v>0</v>
      </c>
      <c r="S2402" s="14">
        <v>0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0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5.73</v>
      </c>
      <c r="R2411" s="14">
        <v>0</v>
      </c>
      <c r="S2411" s="14">
        <v>0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0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0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0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0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0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0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48</v>
      </c>
      <c r="R2429" s="14">
        <v>0</v>
      </c>
      <c r="S2429" s="14">
        <v>0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0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0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0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0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10.8</v>
      </c>
      <c r="R2456" s="14">
        <v>0</v>
      </c>
      <c r="S2456" s="14">
        <v>0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0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0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120</v>
      </c>
      <c r="R2459" s="14">
        <v>0</v>
      </c>
      <c r="S2459" s="14">
        <v>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0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-55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</v>
      </c>
      <c r="T2463" s="13">
        <v>11.674270396270396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0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0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21.6</v>
      </c>
      <c r="R2467" s="14">
        <v>0</v>
      </c>
      <c r="S2467" s="14">
        <v>0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0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0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9.6</v>
      </c>
      <c r="R2470" s="14">
        <v>0</v>
      </c>
      <c r="S2470" s="14">
        <v>0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0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</v>
      </c>
      <c r="T2472" s="13">
        <v>11.674270396270396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100</v>
      </c>
      <c r="R2475" s="14">
        <v>0</v>
      </c>
      <c r="S2475" s="14">
        <v>0</v>
      </c>
      <c r="T2475" s="13">
        <v>-9.2300671140939539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0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0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300</v>
      </c>
      <c r="R2483" s="14">
        <v>0</v>
      </c>
      <c r="S2483" s="14">
        <v>0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0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0</v>
      </c>
      <c r="T2485" s="13">
        <v>11.674270396270396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0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0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0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0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0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0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224.4</v>
      </c>
      <c r="R2494" s="14">
        <v>0</v>
      </c>
      <c r="S2494" s="14">
        <v>600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5759.1</v>
      </c>
      <c r="R2495" s="14">
        <v>0</v>
      </c>
      <c r="S2495" s="14">
        <v>5759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2.0316122448979588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0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0</v>
      </c>
      <c r="R2499" s="14">
        <v>0</v>
      </c>
      <c r="S2499" s="14">
        <v>10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0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0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0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0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25</v>
      </c>
      <c r="R2511" s="14">
        <v>0</v>
      </c>
      <c r="S2511" s="14">
        <v>0</v>
      </c>
      <c r="T2511" s="13">
        <v>-9.2300671140939539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0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84</v>
      </c>
      <c r="R2517" s="14">
        <v>0</v>
      </c>
      <c r="S2517" s="14">
        <v>0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0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0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0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0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0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132</v>
      </c>
      <c r="R2525" s="14">
        <v>0</v>
      </c>
      <c r="S2525" s="14">
        <v>0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0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168</v>
      </c>
      <c r="R2527" s="14">
        <v>0</v>
      </c>
      <c r="S2527" s="14">
        <v>0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72</v>
      </c>
      <c r="R2528" s="14">
        <v>0</v>
      </c>
      <c r="S2528" s="14">
        <v>0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60</v>
      </c>
      <c r="R2529" s="14">
        <v>0</v>
      </c>
      <c r="S2529" s="14">
        <v>0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156</v>
      </c>
      <c r="R2530" s="14">
        <v>0</v>
      </c>
      <c r="S2530" s="14">
        <v>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0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228</v>
      </c>
      <c r="R2532" s="14">
        <v>0</v>
      </c>
      <c r="S2532" s="14">
        <v>0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1020</v>
      </c>
      <c r="R2533" s="14">
        <v>0</v>
      </c>
      <c r="S2533" s="14">
        <v>0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0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0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0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0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11.298999999999999</v>
      </c>
      <c r="R2538" s="14">
        <v>0</v>
      </c>
      <c r="S2538" s="14">
        <v>0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0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0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0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0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48</v>
      </c>
      <c r="R2548" s="14">
        <v>0</v>
      </c>
      <c r="S2548" s="14">
        <v>0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0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0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2.4</v>
      </c>
      <c r="R2554" s="14">
        <v>0</v>
      </c>
      <c r="S2554" s="14">
        <v>0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0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2.0316122448979588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2.0316122448979588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0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7902.72</v>
      </c>
      <c r="R2565" s="14">
        <v>0</v>
      </c>
      <c r="S2565" s="14">
        <v>8286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0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0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0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4.6594000000000007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0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7692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0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0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0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0</v>
      </c>
      <c r="R2590" s="14">
        <v>0</v>
      </c>
      <c r="S2590" s="14">
        <v>17708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0</v>
      </c>
      <c r="R2593" s="14">
        <v>0</v>
      </c>
      <c r="S2593" s="14">
        <v>7136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0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0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125</v>
      </c>
      <c r="R2597" s="14">
        <v>0</v>
      </c>
      <c r="S2597" s="14">
        <v>75</v>
      </c>
      <c r="T2597" s="13">
        <v>4.3077999999999976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540</v>
      </c>
      <c r="R2598" s="14">
        <v>0</v>
      </c>
      <c r="S2598" s="14">
        <v>300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0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180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50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0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575.76</v>
      </c>
      <c r="R2608" s="14">
        <v>0</v>
      </c>
      <c r="S2608" s="14">
        <v>575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0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264</v>
      </c>
      <c r="R2613" s="14">
        <v>0</v>
      </c>
      <c r="S2613" s="14">
        <v>0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0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0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0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0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0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0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0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0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0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48</v>
      </c>
      <c r="R2645" s="14">
        <v>0</v>
      </c>
      <c r="S2645" s="14">
        <v>0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0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0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0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0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0</v>
      </c>
      <c r="T2651" s="13">
        <v>11.674270396270396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0</v>
      </c>
      <c r="T2652" s="13">
        <v>11.674270396270396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24</v>
      </c>
      <c r="R2653" s="14">
        <v>0</v>
      </c>
      <c r="S2653" s="14">
        <v>0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0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0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0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0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0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0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0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0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0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0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46900</v>
      </c>
      <c r="R2670" s="14">
        <v>0</v>
      </c>
      <c r="S2670" s="14">
        <v>46900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9.7504499999999954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0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0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0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0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0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0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0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0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0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0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35.08</v>
      </c>
      <c r="R2690" s="14">
        <v>0</v>
      </c>
      <c r="S2690" s="14">
        <v>0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48</v>
      </c>
      <c r="R2691" s="14">
        <v>0</v>
      </c>
      <c r="S2691" s="14">
        <v>0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3000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0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</v>
      </c>
      <c r="T2701" s="13">
        <v>11.674270396270396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0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0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-250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0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0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0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80</v>
      </c>
      <c r="R2714" s="14">
        <v>0</v>
      </c>
      <c r="S2714" s="14">
        <v>60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9</v>
      </c>
      <c r="R2715" s="14">
        <v>0</v>
      </c>
      <c r="S2715" s="14">
        <v>0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0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0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</v>
      </c>
      <c r="T2720" s="13">
        <v>11.674270396270396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0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0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0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0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0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700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43.57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100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0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0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0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1168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0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0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0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0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0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4.6594000000000007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0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0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0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0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0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614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8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0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125000</v>
      </c>
      <c r="R2779" s="14">
        <v>0</v>
      </c>
      <c r="S2779" s="14">
        <v>100000</v>
      </c>
      <c r="T2779" s="13">
        <v>2.2256465957446805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0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0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1.6248133333333341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0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0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0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0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0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0</v>
      </c>
      <c r="T2794" s="13">
        <v>11.674270396270396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0</v>
      </c>
      <c r="T2795" s="13">
        <v>11.674270396270396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0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0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0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0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0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0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0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0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0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</v>
      </c>
      <c r="T2825" s="13">
        <v>11.674270396270396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0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0</v>
      </c>
      <c r="R2827" s="14">
        <v>0</v>
      </c>
      <c r="S2827" s="14">
        <v>3000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0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53.76</v>
      </c>
      <c r="R2835" s="14">
        <v>0</v>
      </c>
      <c r="S2835" s="14">
        <v>0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0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0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0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0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0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26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500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0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0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0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4.3077999999999976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0</v>
      </c>
      <c r="T2866" s="13">
        <v>11.674270396270396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0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170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0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1710</v>
      </c>
      <c r="T2872" s="13">
        <v>-19.065200000000001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0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36.799999999999997</v>
      </c>
      <c r="R2874" s="14">
        <v>0</v>
      </c>
      <c r="S2874" s="14">
        <v>0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0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0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349.92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60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40.5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0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0</v>
      </c>
      <c r="T2889" s="13">
        <v>11.674270396270396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0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140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0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0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0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0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0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755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72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237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12</v>
      </c>
      <c r="R2906" s="14">
        <v>0</v>
      </c>
      <c r="S2906" s="14">
        <v>0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0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0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25</v>
      </c>
      <c r="R2913" s="14">
        <v>0</v>
      </c>
      <c r="S2913" s="14">
        <v>0</v>
      </c>
      <c r="T2913" s="13">
        <v>11.674270396270396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197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26.12</v>
      </c>
      <c r="R2917" s="14">
        <v>0</v>
      </c>
      <c r="S2917" s="14">
        <v>0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0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0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0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0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0</v>
      </c>
      <c r="T2925" s="13">
        <v>11.674270396270396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0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0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0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2.2256465957446805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0</v>
      </c>
      <c r="T2932" s="13">
        <v>11.674270396270396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970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0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0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408</v>
      </c>
      <c r="R2954" s="14">
        <v>0</v>
      </c>
      <c r="S2954" s="14">
        <v>0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36</v>
      </c>
      <c r="R2955" s="14">
        <v>0</v>
      </c>
      <c r="S2955" s="14">
        <v>0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174.8</v>
      </c>
      <c r="R2966" s="14">
        <v>0</v>
      </c>
      <c r="S2966" s="14">
        <v>138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138</v>
      </c>
      <c r="R2967" s="14">
        <v>0</v>
      </c>
      <c r="S2967" s="14">
        <v>110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0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0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0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0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72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-3.6462816901408508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0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0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60</v>
      </c>
      <c r="T2987" s="13">
        <v>-9.2300671140939539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55.2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14.4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14.4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0</v>
      </c>
      <c r="T2991" s="13">
        <v>11.674270396270396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125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0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0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1320</v>
      </c>
      <c r="R3002" s="14">
        <v>0</v>
      </c>
      <c r="S3002" s="14">
        <v>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0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0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0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0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0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11.674270396270396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384</v>
      </c>
      <c r="R3016" s="14">
        <v>0</v>
      </c>
      <c r="S3016" s="14">
        <v>0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">
        <v>86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">
        <v>93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">
        <v>38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">
        <v>18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">
        <v>28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">
        <v>38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">
        <v>18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">
        <v>38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">
        <v>93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">
        <v>93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">
        <v>28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">
        <v>28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0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">
        <v>28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0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0</v>
      </c>
      <c r="T3038" s="13">
        <v>11.674270396270396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0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11.52</v>
      </c>
      <c r="R3041" s="14">
        <v>0</v>
      </c>
      <c r="S3041" s="14">
        <v>0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144</v>
      </c>
      <c r="R3043" s="14">
        <v>0</v>
      </c>
      <c r="S3043" s="14">
        <v>0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0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0</v>
      </c>
      <c r="T3045" s="13">
        <v>11.674270396270396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0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10.8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0</v>
      </c>
      <c r="T3051" s="13">
        <v>11.674270396270396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700</v>
      </c>
      <c r="R3053" s="14">
        <v>0</v>
      </c>
      <c r="S3053" s="14">
        <v>600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-9.2300671140939539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0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0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0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0</v>
      </c>
      <c r="T3063" s="13">
        <v>11.674270396270396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0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4.3077999999999976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0</v>
      </c>
      <c r="T3068" s="13">
        <v>-9.2300671140939539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40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900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0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0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0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0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0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0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0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0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0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0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117.15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0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0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0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0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0</v>
      </c>
      <c r="T3114" s="13">
        <v>11.674270396270396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9835</v>
      </c>
      <c r="R3115" s="14">
        <v>0</v>
      </c>
      <c r="S3115" s="14">
        <v>15000</v>
      </c>
      <c r="T3115" s="13">
        <v>11.674270396270396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0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0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44.8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159.72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0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0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0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204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-3.6462816901408508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11.674270396270396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0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0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0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120</v>
      </c>
      <c r="R3155" s="14">
        <v>0</v>
      </c>
      <c r="S3155" s="14">
        <v>0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144000</v>
      </c>
      <c r="R3158" s="14">
        <v>0</v>
      </c>
      <c r="S3158" s="14">
        <v>96000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0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0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0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0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0</v>
      </c>
      <c r="T3170" s="13">
        <v>11.674270396270396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0</v>
      </c>
      <c r="T3171" s="13">
        <v>11.674270396270396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0</v>
      </c>
      <c r="T3172" s="13">
        <v>11.674270396270396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0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0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925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24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150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40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0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0</v>
      </c>
      <c r="T3182" s="13">
        <v>11.674270396270396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0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200</v>
      </c>
      <c r="R3192" s="14">
        <v>0</v>
      </c>
      <c r="S3192" s="14">
        <v>200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20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150</v>
      </c>
      <c r="R3199" s="14">
        <v>0</v>
      </c>
      <c r="S3199" s="14">
        <v>150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10524</v>
      </c>
      <c r="R3210" s="14">
        <v>0</v>
      </c>
      <c r="S3210" s="14">
        <v>4320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0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0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0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78.240000000000009</v>
      </c>
      <c r="R3222" s="14">
        <v>0</v>
      </c>
      <c r="S3222" s="14">
        <v>0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0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0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0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0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180</v>
      </c>
      <c r="R3229" s="14">
        <v>0</v>
      </c>
      <c r="S3229" s="14">
        <v>0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0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120</v>
      </c>
      <c r="R3231" s="14">
        <v>0</v>
      </c>
      <c r="S3231" s="14">
        <v>0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0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0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0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384</v>
      </c>
      <c r="R3235" s="14">
        <v>0</v>
      </c>
      <c r="S3235" s="14">
        <v>0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0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0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0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0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0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0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0</v>
      </c>
      <c r="T3249" s="13">
        <v>11.674270396270396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11.674270396270396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0</v>
      </c>
      <c r="T3251" s="13">
        <v>11.674270396270396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0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0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0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0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0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0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0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316.05</v>
      </c>
      <c r="R3259" s="14">
        <v>0</v>
      </c>
      <c r="S3259" s="14">
        <v>0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0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0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0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0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0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0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0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0</v>
      </c>
      <c r="T3273" s="13">
        <v>11.674270396270396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0</v>
      </c>
      <c r="T3274" s="13">
        <v>11.674270396270396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0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0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0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111.36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0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0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204</v>
      </c>
      <c r="R3283" s="14">
        <v>0</v>
      </c>
      <c r="S3283" s="14">
        <v>0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0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0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0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0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0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11.674270396270396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7.8422000000000027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3895</v>
      </c>
      <c r="T3292" s="13">
        <v>5.0766396396396427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0</v>
      </c>
      <c r="T3293" s="13">
        <v>11.674270396270396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0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80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175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540</v>
      </c>
      <c r="R3297" s="14">
        <v>0</v>
      </c>
      <c r="S3297" s="14">
        <v>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0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0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0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0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0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0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0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0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2.2256465957446805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0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0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0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0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0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4.6594000000000007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11.674270396270396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11.674270396270396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11.674270396270396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60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242.4</v>
      </c>
      <c r="R3348" s="14">
        <v>0</v>
      </c>
      <c r="S3348" s="14">
        <v>242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0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96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12</v>
      </c>
      <c r="R3352" s="14">
        <v>0</v>
      </c>
      <c r="S3352" s="14">
        <v>0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0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0</v>
      </c>
      <c r="T3354" s="13">
        <v>11.674270396270396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108</v>
      </c>
      <c r="R3355" s="14">
        <v>0</v>
      </c>
      <c r="S3355" s="14">
        <v>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72</v>
      </c>
      <c r="R3358" s="14">
        <v>0</v>
      </c>
      <c r="S3358" s="14">
        <v>0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60</v>
      </c>
      <c r="R3359" s="14">
        <v>0</v>
      </c>
      <c r="S3359" s="14">
        <v>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480</v>
      </c>
      <c r="R3360" s="14">
        <v>0</v>
      </c>
      <c r="S3360" s="14">
        <v>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0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0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0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400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0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25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0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0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43650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1.92</v>
      </c>
      <c r="R3392" s="14">
        <v>0</v>
      </c>
      <c r="S3392" s="14">
        <v>0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0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0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21.6</v>
      </c>
      <c r="R3395" s="14">
        <v>0</v>
      </c>
      <c r="S3395" s="14">
        <v>0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0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0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0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36</v>
      </c>
      <c r="R3401" s="14">
        <v>0</v>
      </c>
      <c r="S3401" s="14">
        <v>0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0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48</v>
      </c>
      <c r="R3403" s="14">
        <v>0</v>
      </c>
      <c r="S3403" s="14">
        <v>0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0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0</v>
      </c>
      <c r="T3405" s="13">
        <v>11.674270396270396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0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0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0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0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0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0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0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0</v>
      </c>
      <c r="T3417" s="13">
        <v>11.674270396270396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71.400000000000006</v>
      </c>
      <c r="R3418" s="14">
        <v>0</v>
      </c>
      <c r="S3418" s="14">
        <v>0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33.6</v>
      </c>
      <c r="R3419" s="14">
        <v>0</v>
      </c>
      <c r="S3419" s="14">
        <v>0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0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6</v>
      </c>
      <c r="R3426" s="14">
        <v>0</v>
      </c>
      <c r="S3426" s="14">
        <v>0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0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0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0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72000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0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35.590000000000003</v>
      </c>
      <c r="R3432" s="14">
        <v>0</v>
      </c>
      <c r="S3432" s="14">
        <v>0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24823.099000000002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0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0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0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0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0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0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0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0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0</v>
      </c>
      <c r="T3451" s="13">
        <v>11.674270396270396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18.399999999999999</v>
      </c>
      <c r="R3455" s="14">
        <v>0</v>
      </c>
      <c r="S3455" s="14">
        <v>0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0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0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0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0</v>
      </c>
      <c r="T3464" s="13">
        <v>11.674270396270396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0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0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76515.840000000011</v>
      </c>
      <c r="R3476" s="14">
        <v>0</v>
      </c>
      <c r="S3476" s="14">
        <v>69050.880000000005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0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0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0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0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29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0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0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120</v>
      </c>
      <c r="R3496" s="14">
        <v>0</v>
      </c>
      <c r="S3496" s="14">
        <v>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0</v>
      </c>
      <c r="T3497" s="13">
        <v>11.674270396270396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0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0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0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0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0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0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0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100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1300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0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0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0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1038.9749999999999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0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430.45</v>
      </c>
      <c r="R3524" s="14">
        <v>0</v>
      </c>
      <c r="S3524" s="14">
        <v>0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0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0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0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0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0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0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0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200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36.799999999999997</v>
      </c>
      <c r="R3539" s="14">
        <v>0</v>
      </c>
      <c r="S3539" s="14">
        <v>0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0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0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0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0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0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0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0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0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2120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0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0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0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0</v>
      </c>
      <c r="T3567" s="13">
        <v>11.674270396270396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44.545000000000002</v>
      </c>
      <c r="R3569" s="14">
        <v>0</v>
      </c>
      <c r="S3569" s="14">
        <v>0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0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0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0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0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0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7.68</v>
      </c>
      <c r="R3583" s="14">
        <v>0</v>
      </c>
      <c r="S3583" s="14">
        <v>0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36.799999999999997</v>
      </c>
      <c r="R3586" s="14">
        <v>0</v>
      </c>
      <c r="S3586" s="14">
        <v>0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0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0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10</v>
      </c>
      <c r="R3589" s="14">
        <v>0</v>
      </c>
      <c r="S3589" s="14">
        <v>0</v>
      </c>
      <c r="T3589" s="13">
        <v>11.674270396270396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0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-9.2300671140939539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-19.065200000000001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-9.2300671140939539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384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4.6594000000000007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24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0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0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11.674270396270396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11.674270396270396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0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11.674270396270396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11.674270396270396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648</v>
      </c>
      <c r="R3719" s="14">
        <v>0</v>
      </c>
      <c r="S3719" s="14">
        <v>0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0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11.674270396270396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11.674270396270396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0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11.674270396270396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11.674270396270396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11.674270396270396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11.674270396270396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11.674270396270396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11.674270396270396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11.674270396270396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-30.81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0</v>
      </c>
      <c r="R3815" s="14">
        <v>0</v>
      </c>
      <c r="S3815" s="14">
        <v>140557.08100000001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0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1325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0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468.48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0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0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0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11.674270396270396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1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e">
        <v>#N/A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e">
        <v>#N/A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-9.2300671140939539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e">
        <v>#N/A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24</v>
      </c>
      <c r="R3851" s="14">
        <v>0</v>
      </c>
      <c r="S3851" s="14">
        <v>0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0</v>
      </c>
      <c r="T3857" s="13">
        <v>11.674270396270396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2527.5259999999998</v>
      </c>
      <c r="R3859" s="14">
        <v>0</v>
      </c>
      <c r="S3859" s="14">
        <v>2522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90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0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519.76</v>
      </c>
      <c r="R3864" s="14">
        <v>0</v>
      </c>
      <c r="S3864" s="14">
        <v>870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0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0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0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0</v>
      </c>
      <c r="T3871" s="13">
        <v>11.674270396270396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0</v>
      </c>
      <c r="T3872" s="13">
        <v>11.674270396270396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0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0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21.6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6.48</v>
      </c>
      <c r="R3882" s="14">
        <v>0</v>
      </c>
      <c r="S3882" s="14">
        <v>0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0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0</v>
      </c>
      <c r="T3886" s="13">
        <v>11.674270396270396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0</v>
      </c>
      <c r="T3887" s="13">
        <v>11.674270396270396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0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144</v>
      </c>
      <c r="R3896" s="14">
        <v>0</v>
      </c>
      <c r="S3896" s="14">
        <v>58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0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729</v>
      </c>
      <c r="R3898" s="14">
        <v>0</v>
      </c>
      <c r="S3898" s="14">
        <v>0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207.83999999999997</v>
      </c>
      <c r="R3899" s="14">
        <v>0</v>
      </c>
      <c r="S3899" s="14">
        <v>0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0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42.66</v>
      </c>
      <c r="R3901" s="14">
        <v>0</v>
      </c>
      <c r="S3901" s="14">
        <v>0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10.8</v>
      </c>
      <c r="R3903" s="14">
        <v>0</v>
      </c>
      <c r="S3903" s="14">
        <v>0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30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25000</v>
      </c>
      <c r="R3906" s="14">
        <v>0</v>
      </c>
      <c r="S3906" s="14">
        <v>50000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-9.2300671140939539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11.674270396270396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11.674270396270396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0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100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12786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0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0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0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76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0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0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0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0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174</v>
      </c>
      <c r="D3937" s="5" t="s">
        <v>1439</v>
      </c>
      <c r="E3937" s="5" t="s">
        <v>1439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1031.21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78.959999999999994</v>
      </c>
      <c r="R3939" s="14">
        <v>0</v>
      </c>
      <c r="S3939" s="14">
        <v>0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174</v>
      </c>
      <c r="D3940" s="5" t="s">
        <v>1439</v>
      </c>
      <c r="E3940" s="5" t="s">
        <v>1439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900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264</v>
      </c>
      <c r="R3942" s="14">
        <v>0</v>
      </c>
      <c r="S3942" s="14">
        <v>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0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DOCE DE LEITELACTALIS</v>
      </c>
      <c r="B3946" t="str">
        <f t="shared" si="123"/>
        <v>5340656DOCE DE LEITELACTALIS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42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6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67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201.6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0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60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0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0</v>
      </c>
      <c r="T3954" s="13">
        <v>4.7878615384615371</v>
      </c>
    </row>
    <row r="3955" spans="1:20" x14ac:dyDescent="0.3">
      <c r="A3955" t="str">
        <f t="shared" si="122"/>
        <v>IOGURTESLACTALIS</v>
      </c>
      <c r="B3955" t="str">
        <f t="shared" si="123"/>
        <v>5371456IOGURTESLACTALIS</v>
      </c>
      <c r="C3955" s="5" t="s">
        <v>174</v>
      </c>
      <c r="D3955" s="5" t="s">
        <v>681</v>
      </c>
      <c r="E3955" s="5" t="s">
        <v>1204</v>
      </c>
      <c r="F3955" s="5">
        <v>5371456</v>
      </c>
      <c r="G3955" s="5" t="s">
        <v>1776</v>
      </c>
      <c r="H3955" s="5" t="s">
        <v>28</v>
      </c>
      <c r="I3955" s="5" t="s">
        <v>20</v>
      </c>
      <c r="J3955" s="5" t="s">
        <v>122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9.1999999999999993</v>
      </c>
      <c r="R3955" s="14">
        <v>0</v>
      </c>
      <c r="S3955" s="14">
        <v>0</v>
      </c>
      <c r="T3955" s="13">
        <v>11.440206068840578</v>
      </c>
    </row>
    <row r="3956" spans="1:20" x14ac:dyDescent="0.3">
      <c r="A3956" t="str">
        <f t="shared" si="122"/>
        <v>LEITE CONDENSADOLACTALIS</v>
      </c>
      <c r="B3956" t="str">
        <f t="shared" si="123"/>
        <v>5367655LEITE CONDENSADOLACTALIS</v>
      </c>
      <c r="C3956" s="5" t="s">
        <v>174</v>
      </c>
      <c r="D3956" s="5" t="s">
        <v>681</v>
      </c>
      <c r="E3956" s="5" t="s">
        <v>1202</v>
      </c>
      <c r="F3956" s="5">
        <v>5367655</v>
      </c>
      <c r="G3956" s="5" t="s">
        <v>1777</v>
      </c>
      <c r="H3956" s="5" t="s">
        <v>28</v>
      </c>
      <c r="I3956" s="5" t="s">
        <v>20</v>
      </c>
      <c r="J3956" s="5" t="s">
        <v>31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0</v>
      </c>
      <c r="R3956" s="14">
        <v>0</v>
      </c>
      <c r="S3956" s="14">
        <v>0</v>
      </c>
      <c r="T3956" s="13">
        <v>-2.942545710267229</v>
      </c>
    </row>
    <row r="3957" spans="1:20" x14ac:dyDescent="0.3">
      <c r="A3957" t="str">
        <f t="shared" si="122"/>
        <v>LEITE EM PÓLACTALIS</v>
      </c>
      <c r="B3957" t="str">
        <f t="shared" si="123"/>
        <v>5034562LEITE EM PÓLACTALIS</v>
      </c>
      <c r="C3957" s="5" t="s">
        <v>174</v>
      </c>
      <c r="D3957" s="5" t="s">
        <v>681</v>
      </c>
      <c r="E3957" s="5" t="s">
        <v>1204</v>
      </c>
      <c r="F3957" s="5">
        <v>5034562</v>
      </c>
      <c r="G3957" s="5" t="s">
        <v>1709</v>
      </c>
      <c r="H3957" s="5" t="s">
        <v>28</v>
      </c>
      <c r="I3957" s="5" t="s">
        <v>20</v>
      </c>
      <c r="J3957" s="5" t="s">
        <v>70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9</v>
      </c>
      <c r="R3957" s="14">
        <v>0</v>
      </c>
      <c r="S3957" s="14">
        <v>0</v>
      </c>
      <c r="T3957" s="13">
        <v>-1.3575000000000006</v>
      </c>
    </row>
    <row r="3958" spans="1:20" x14ac:dyDescent="0.3">
      <c r="A3958" t="str">
        <f t="shared" si="122"/>
        <v>LEITE EM PÓLACTALIS</v>
      </c>
      <c r="B3958" t="str">
        <f t="shared" si="123"/>
        <v>5175205LEITE EM PÓLACTALIS</v>
      </c>
      <c r="C3958" s="5" t="s">
        <v>174</v>
      </c>
      <c r="D3958" s="5" t="s">
        <v>633</v>
      </c>
      <c r="E3958" s="5" t="s">
        <v>649</v>
      </c>
      <c r="F3958" s="5">
        <v>5175205</v>
      </c>
      <c r="G3958" s="5" t="s">
        <v>659</v>
      </c>
      <c r="H3958" s="5" t="s">
        <v>30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50</v>
      </c>
      <c r="R3958" s="14">
        <v>0</v>
      </c>
      <c r="S3958" s="14">
        <v>50</v>
      </c>
      <c r="T3958" s="13">
        <v>1.8993</v>
      </c>
    </row>
    <row r="3959" spans="1:20" x14ac:dyDescent="0.3">
      <c r="A3959" t="str">
        <f t="shared" si="122"/>
        <v>LEITE UHTLACTALIS</v>
      </c>
      <c r="B3959" t="str">
        <f t="shared" si="123"/>
        <v>5371404LEITE UHTLACTALIS</v>
      </c>
      <c r="C3959" s="5" t="s">
        <v>174</v>
      </c>
      <c r="D3959" s="5" t="s">
        <v>681</v>
      </c>
      <c r="E3959" s="5" t="s">
        <v>1196</v>
      </c>
      <c r="F3959" s="5">
        <v>5371404</v>
      </c>
      <c r="G3959" s="5" t="s">
        <v>1778</v>
      </c>
      <c r="H3959" s="5" t="s">
        <v>28</v>
      </c>
      <c r="I3959" s="5" t="s">
        <v>20</v>
      </c>
      <c r="J3959" s="5" t="s">
        <v>125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60</v>
      </c>
      <c r="R3959" s="14">
        <v>0</v>
      </c>
      <c r="S3959" s="14">
        <v>0</v>
      </c>
      <c r="T3959" s="13">
        <v>0.37163271604938264</v>
      </c>
    </row>
    <row r="3960" spans="1:20" x14ac:dyDescent="0.3">
      <c r="A3960" t="str">
        <f t="shared" si="122"/>
        <v>LPI 25KGITAMBÉ</v>
      </c>
      <c r="B3960" t="str">
        <f t="shared" si="123"/>
        <v>5373854LPI 25KGITAMBÉ</v>
      </c>
      <c r="C3960" s="5" t="s">
        <v>14</v>
      </c>
      <c r="D3960" s="5" t="s">
        <v>15</v>
      </c>
      <c r="E3960" s="5" t="s">
        <v>1303</v>
      </c>
      <c r="F3960" s="5">
        <v>5373854</v>
      </c>
      <c r="G3960" s="5" t="s">
        <v>1779</v>
      </c>
      <c r="H3960" s="5" t="s">
        <v>85</v>
      </c>
      <c r="I3960" s="5" t="s">
        <v>25</v>
      </c>
      <c r="J3960" s="5" t="s">
        <v>19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500</v>
      </c>
      <c r="R3960" s="14">
        <v>0</v>
      </c>
      <c r="S3960" s="14">
        <v>500</v>
      </c>
      <c r="T3960" s="13">
        <v>0</v>
      </c>
    </row>
    <row r="3961" spans="1:20" x14ac:dyDescent="0.3">
      <c r="A3961" t="str">
        <f t="shared" si="122"/>
        <v>MANTEIGA 5KGLACTALIS</v>
      </c>
      <c r="B3961" t="str">
        <f t="shared" si="123"/>
        <v>5367655MANTEIGA 5KGLACTALIS</v>
      </c>
      <c r="C3961" s="5" t="s">
        <v>174</v>
      </c>
      <c r="D3961" s="5" t="s">
        <v>681</v>
      </c>
      <c r="E3961" s="5" t="s">
        <v>1202</v>
      </c>
      <c r="F3961" s="5">
        <v>5367655</v>
      </c>
      <c r="G3961" s="5" t="s">
        <v>1777</v>
      </c>
      <c r="H3961" s="5" t="s">
        <v>28</v>
      </c>
      <c r="I3961" s="5" t="s">
        <v>20</v>
      </c>
      <c r="J3961" s="5" t="s">
        <v>54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10</v>
      </c>
      <c r="R3961" s="14">
        <v>0</v>
      </c>
      <c r="S3961" s="14">
        <v>0</v>
      </c>
      <c r="T3961" s="13">
        <v>11.674270396270396</v>
      </c>
    </row>
    <row r="3962" spans="1:20" x14ac:dyDescent="0.3">
      <c r="A3962" t="str">
        <f t="shared" si="122"/>
        <v>MANTEIGA 5KGLACTALIS</v>
      </c>
      <c r="B3962" t="str">
        <f t="shared" si="123"/>
        <v>5369793MANTEIGA 5KGLACTALIS</v>
      </c>
      <c r="C3962" s="5" t="s">
        <v>174</v>
      </c>
      <c r="D3962" s="5" t="s">
        <v>681</v>
      </c>
      <c r="E3962" s="5" t="s">
        <v>1198</v>
      </c>
      <c r="F3962" s="5">
        <v>5369793</v>
      </c>
      <c r="G3962" s="5" t="s">
        <v>1780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60</v>
      </c>
      <c r="R3962" s="14">
        <v>0</v>
      </c>
      <c r="S3962" s="14">
        <v>0</v>
      </c>
      <c r="T3962" s="13">
        <v>11.674270396270396</v>
      </c>
    </row>
    <row r="3963" spans="1:20" x14ac:dyDescent="0.3">
      <c r="A3963" t="str">
        <f t="shared" si="122"/>
        <v>MANTEIGA 5KGLACTALIS</v>
      </c>
      <c r="B3963" t="str">
        <f t="shared" si="123"/>
        <v>5371456MANTEIGA 5KGLACTALIS</v>
      </c>
      <c r="C3963" s="5" t="s">
        <v>174</v>
      </c>
      <c r="D3963" s="5" t="s">
        <v>681</v>
      </c>
      <c r="E3963" s="5" t="s">
        <v>1204</v>
      </c>
      <c r="F3963" s="5">
        <v>5371456</v>
      </c>
      <c r="G3963" s="5" t="s">
        <v>1776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15</v>
      </c>
      <c r="R3963" s="14">
        <v>0</v>
      </c>
      <c r="S3963" s="14">
        <v>0</v>
      </c>
      <c r="T3963" s="13">
        <v>11.674270396270396</v>
      </c>
    </row>
    <row r="3964" spans="1:20" x14ac:dyDescent="0.3">
      <c r="A3964" t="str">
        <f t="shared" si="122"/>
        <v>MERC + AROMLACTALIS</v>
      </c>
      <c r="B3964" t="str">
        <f t="shared" si="123"/>
        <v>5320070MERC + AROMLACTALIS</v>
      </c>
      <c r="C3964" s="5" t="s">
        <v>174</v>
      </c>
      <c r="D3964" s="5" t="s">
        <v>633</v>
      </c>
      <c r="E3964" s="5" t="s">
        <v>644</v>
      </c>
      <c r="F3964" s="5">
        <v>5320070</v>
      </c>
      <c r="G3964" s="5" t="s">
        <v>801</v>
      </c>
      <c r="H3964" s="5" t="s">
        <v>123</v>
      </c>
      <c r="I3964" s="5" t="s">
        <v>20</v>
      </c>
      <c r="J3964" s="5" t="s">
        <v>178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12</v>
      </c>
      <c r="R3964" s="14">
        <v>0</v>
      </c>
      <c r="S3964" s="14">
        <v>0</v>
      </c>
      <c r="T3964" s="13">
        <v>0</v>
      </c>
    </row>
    <row r="3965" spans="1:20" x14ac:dyDescent="0.3">
      <c r="A3965" t="str">
        <f t="shared" si="122"/>
        <v>QUEIJOSLACTALIS</v>
      </c>
      <c r="B3965" t="str">
        <f t="shared" si="123"/>
        <v>5034559QUEIJOSLACTALIS</v>
      </c>
      <c r="C3965" s="5" t="s">
        <v>174</v>
      </c>
      <c r="D3965" s="5" t="s">
        <v>681</v>
      </c>
      <c r="E3965" s="5" t="s">
        <v>1198</v>
      </c>
      <c r="F3965" s="5">
        <v>5034559</v>
      </c>
      <c r="G3965" s="5" t="s">
        <v>1709</v>
      </c>
      <c r="H3965" s="5" t="s">
        <v>28</v>
      </c>
      <c r="I3965" s="5" t="s">
        <v>20</v>
      </c>
      <c r="J3965" s="5" t="s">
        <v>56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0</v>
      </c>
      <c r="R3965" s="14">
        <v>0</v>
      </c>
      <c r="S3965" s="14">
        <v>0</v>
      </c>
      <c r="T3965" s="13">
        <v>15.573476190476198</v>
      </c>
    </row>
    <row r="3966" spans="1:20" x14ac:dyDescent="0.3">
      <c r="A3966" t="str">
        <f t="shared" si="122"/>
        <v>QUEIJOSLACTALIS</v>
      </c>
      <c r="B3966" t="str">
        <f t="shared" si="123"/>
        <v>5320070QUEIJOSLACTALIS</v>
      </c>
      <c r="C3966" s="5" t="s">
        <v>174</v>
      </c>
      <c r="D3966" s="5" t="s">
        <v>633</v>
      </c>
      <c r="E3966" s="5" t="s">
        <v>644</v>
      </c>
      <c r="F3966" s="5">
        <v>5320070</v>
      </c>
      <c r="G3966" s="5" t="s">
        <v>801</v>
      </c>
      <c r="H3966" s="5" t="s">
        <v>123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13939.65</v>
      </c>
      <c r="R3966" s="14">
        <v>0</v>
      </c>
      <c r="S3966" s="14">
        <v>0</v>
      </c>
      <c r="T3966" s="13">
        <v>4.5111956911011371</v>
      </c>
    </row>
    <row r="3967" spans="1:20" x14ac:dyDescent="0.3">
      <c r="A3967" t="str">
        <f t="shared" si="122"/>
        <v>QUEIJOSLACTALIS</v>
      </c>
      <c r="B3967" t="str">
        <f t="shared" si="123"/>
        <v>5373511QUEIJOSLACTALIS</v>
      </c>
      <c r="C3967" s="5" t="s">
        <v>174</v>
      </c>
      <c r="D3967" s="5" t="s">
        <v>681</v>
      </c>
      <c r="E3967" s="5" t="s">
        <v>1201</v>
      </c>
      <c r="F3967" s="5">
        <v>5373511</v>
      </c>
      <c r="G3967" s="5" t="s">
        <v>1769</v>
      </c>
      <c r="H3967" s="5" t="s">
        <v>28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5</v>
      </c>
      <c r="R3967" s="14">
        <v>0</v>
      </c>
      <c r="S3967" s="14">
        <v>0</v>
      </c>
      <c r="T3967" s="13">
        <v>15.573476190476198</v>
      </c>
    </row>
    <row r="3968" spans="1:20" x14ac:dyDescent="0.3">
      <c r="A3968" t="str">
        <f t="shared" si="122"/>
        <v>SPREADSITAMBÉ</v>
      </c>
      <c r="B3968" t="str">
        <f t="shared" si="123"/>
        <v>5321782SPREADSITAMBÉ</v>
      </c>
      <c r="C3968" s="5" t="s">
        <v>174</v>
      </c>
      <c r="D3968" s="5" t="s">
        <v>1439</v>
      </c>
      <c r="E3968" s="5" t="s">
        <v>1439</v>
      </c>
      <c r="F3968" s="5">
        <v>5321782</v>
      </c>
      <c r="G3968" s="5" t="s">
        <v>768</v>
      </c>
      <c r="H3968" s="5" t="s">
        <v>93</v>
      </c>
      <c r="I3968" s="5" t="s">
        <v>25</v>
      </c>
      <c r="J3968" s="5" t="s">
        <v>773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0</v>
      </c>
      <c r="R3968" s="14">
        <v>0</v>
      </c>
      <c r="S3968" s="14">
        <v>60</v>
      </c>
      <c r="T3968" s="13">
        <v>0</v>
      </c>
    </row>
    <row r="3969" spans="1:20" x14ac:dyDescent="0.3">
      <c r="A3969" t="str">
        <f t="shared" si="122"/>
        <v>CREME UHTLACTALIS</v>
      </c>
      <c r="B3969" t="str">
        <f t="shared" si="123"/>
        <v>5141759CREME UHTLACTALIS</v>
      </c>
      <c r="C3969" s="5" t="s">
        <v>174</v>
      </c>
      <c r="D3969" s="5" t="s">
        <v>633</v>
      </c>
      <c r="E3969" s="5" t="s">
        <v>649</v>
      </c>
      <c r="F3969" s="5">
        <v>5141759</v>
      </c>
      <c r="G3969" s="5" t="s">
        <v>657</v>
      </c>
      <c r="H3969" s="5" t="s">
        <v>30</v>
      </c>
      <c r="I3969" s="5" t="s">
        <v>20</v>
      </c>
      <c r="J3969" s="5" t="s">
        <v>32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0</v>
      </c>
      <c r="T3969" s="13">
        <v>-2.2703125000000002</v>
      </c>
    </row>
    <row r="3970" spans="1:20" x14ac:dyDescent="0.3">
      <c r="A3970" t="str">
        <f t="shared" si="122"/>
        <v>CREME UHTITAMBÉ</v>
      </c>
      <c r="B3970" t="str">
        <f t="shared" si="123"/>
        <v>5350815CREME UHTITAMBÉ</v>
      </c>
      <c r="C3970" s="5" t="s">
        <v>174</v>
      </c>
      <c r="D3970" s="5" t="s">
        <v>633</v>
      </c>
      <c r="E3970" s="5" t="s">
        <v>649</v>
      </c>
      <c r="F3970" s="5">
        <v>5350815</v>
      </c>
      <c r="G3970" s="5" t="s">
        <v>666</v>
      </c>
      <c r="H3970" s="5" t="s">
        <v>30</v>
      </c>
      <c r="I3970" s="5" t="s">
        <v>25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5</v>
      </c>
      <c r="T3970" s="13">
        <v>0.46372549019607973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5373064CREME UHTITAMBÉ</v>
      </c>
      <c r="C3971" s="5" t="s">
        <v>174</v>
      </c>
      <c r="D3971" s="5" t="s">
        <v>1439</v>
      </c>
      <c r="E3971" s="5" t="s">
        <v>1439</v>
      </c>
      <c r="F3971" s="5">
        <v>5373064</v>
      </c>
      <c r="G3971" s="5" t="s">
        <v>1751</v>
      </c>
      <c r="H3971" s="5" t="s">
        <v>93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108</v>
      </c>
      <c r="R3971" s="14">
        <v>0</v>
      </c>
      <c r="S3971" s="14">
        <v>100</v>
      </c>
      <c r="T3971" s="13">
        <v>-0.72695707070706983</v>
      </c>
    </row>
    <row r="3972" spans="1:20" x14ac:dyDescent="0.3">
      <c r="A3972" t="str">
        <f t="shared" si="124"/>
        <v>DOCE DE LEITEITAMBÉ</v>
      </c>
      <c r="B3972" t="str">
        <f t="shared" si="125"/>
        <v>5373064DOCE DE LEITEITAMBÉ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42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100</v>
      </c>
      <c r="R3972" s="14">
        <v>0</v>
      </c>
      <c r="S3972" s="14">
        <v>108</v>
      </c>
      <c r="T3972" s="13">
        <v>5.795799999999999</v>
      </c>
    </row>
    <row r="3973" spans="1:20" x14ac:dyDescent="0.3">
      <c r="A3973" t="str">
        <f t="shared" si="124"/>
        <v>IOGURTESITAMBÉ</v>
      </c>
      <c r="B3973" t="str">
        <f t="shared" si="125"/>
        <v>5195658IOGURTESITAMBÉ</v>
      </c>
      <c r="C3973" s="5" t="s">
        <v>174</v>
      </c>
      <c r="D3973" s="5" t="s">
        <v>681</v>
      </c>
      <c r="E3973" s="5" t="s">
        <v>1196</v>
      </c>
      <c r="F3973" s="5">
        <v>5195658</v>
      </c>
      <c r="G3973" s="5" t="s">
        <v>825</v>
      </c>
      <c r="H3973" s="5" t="s">
        <v>28</v>
      </c>
      <c r="I3973" s="5" t="s">
        <v>25</v>
      </c>
      <c r="J3973" s="5" t="s">
        <v>122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27.6</v>
      </c>
      <c r="R3973" s="14">
        <v>0</v>
      </c>
      <c r="S3973" s="14">
        <v>0</v>
      </c>
      <c r="T3973" s="13">
        <v>0.6160239651416124</v>
      </c>
    </row>
    <row r="3974" spans="1:20" x14ac:dyDescent="0.3">
      <c r="A3974" t="str">
        <f t="shared" si="124"/>
        <v>IOGURTESITAMBÉ</v>
      </c>
      <c r="B3974" t="str">
        <f t="shared" si="125"/>
        <v>5361809IOGURTESITAMBÉ</v>
      </c>
      <c r="C3974" s="5" t="s">
        <v>119</v>
      </c>
      <c r="D3974" s="5" t="s">
        <v>161</v>
      </c>
      <c r="E3974" s="5" t="s">
        <v>161</v>
      </c>
      <c r="F3974" s="5">
        <v>5361809</v>
      </c>
      <c r="G3974" s="5" t="s">
        <v>1781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0</v>
      </c>
      <c r="R3974" s="14">
        <v>0</v>
      </c>
      <c r="S3974" s="14">
        <v>49</v>
      </c>
      <c r="T3974" s="13">
        <v>0.6160239651416124</v>
      </c>
    </row>
    <row r="3975" spans="1:20" x14ac:dyDescent="0.3">
      <c r="A3975" t="str">
        <f t="shared" si="124"/>
        <v>IOGURTESLACTALIS</v>
      </c>
      <c r="B3975" t="str">
        <f t="shared" si="125"/>
        <v>5222398IOGURTESLACTALIS</v>
      </c>
      <c r="C3975" s="5" t="s">
        <v>174</v>
      </c>
      <c r="D3975" s="5" t="s">
        <v>681</v>
      </c>
      <c r="E3975" s="5" t="s">
        <v>1201</v>
      </c>
      <c r="F3975" s="5">
        <v>5222398</v>
      </c>
      <c r="G3975" s="5" t="s">
        <v>319</v>
      </c>
      <c r="H3975" s="5" t="s">
        <v>28</v>
      </c>
      <c r="I3975" s="5" t="s">
        <v>20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18.399999999999999</v>
      </c>
      <c r="R3975" s="14">
        <v>0</v>
      </c>
      <c r="S3975" s="14">
        <v>0</v>
      </c>
      <c r="T3975" s="13">
        <v>11.440206068840578</v>
      </c>
    </row>
    <row r="3976" spans="1:20" x14ac:dyDescent="0.3">
      <c r="A3976" t="str">
        <f t="shared" si="124"/>
        <v>LEITE CONDENSADOLACTALIS</v>
      </c>
      <c r="B3976" t="str">
        <f t="shared" si="125"/>
        <v>5141759LEITE CONDENSADOLACTALIS</v>
      </c>
      <c r="C3976" s="5" t="s">
        <v>174</v>
      </c>
      <c r="D3976" s="5" t="s">
        <v>633</v>
      </c>
      <c r="E3976" s="5" t="s">
        <v>649</v>
      </c>
      <c r="F3976" s="5">
        <v>5141759</v>
      </c>
      <c r="G3976" s="5" t="s">
        <v>657</v>
      </c>
      <c r="H3976" s="5" t="s">
        <v>30</v>
      </c>
      <c r="I3976" s="5" t="s">
        <v>20</v>
      </c>
      <c r="J3976" s="5" t="s">
        <v>31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284.39999999999998</v>
      </c>
      <c r="R3976" s="14">
        <v>0</v>
      </c>
      <c r="S3976" s="14">
        <v>284</v>
      </c>
      <c r="T3976" s="13">
        <v>-1.9755244122965634</v>
      </c>
    </row>
    <row r="3977" spans="1:20" x14ac:dyDescent="0.3">
      <c r="A3977" t="str">
        <f t="shared" si="124"/>
        <v>LEITE EM PÓITAMBÉ</v>
      </c>
      <c r="B3977" t="str">
        <f t="shared" si="125"/>
        <v>5361809LEITE EM PÓITAMBÉ</v>
      </c>
      <c r="C3977" s="5" t="s">
        <v>119</v>
      </c>
      <c r="D3977" s="5" t="s">
        <v>161</v>
      </c>
      <c r="E3977" s="5" t="s">
        <v>161</v>
      </c>
      <c r="F3977" s="5">
        <v>5361809</v>
      </c>
      <c r="G3977" s="5" t="s">
        <v>1781</v>
      </c>
      <c r="H3977" s="5" t="s">
        <v>28</v>
      </c>
      <c r="I3977" s="5" t="s">
        <v>25</v>
      </c>
      <c r="J3977" s="5" t="s">
        <v>70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0</v>
      </c>
      <c r="R3977" s="14">
        <v>0</v>
      </c>
      <c r="S3977" s="14">
        <v>0</v>
      </c>
      <c r="T3977" s="13">
        <v>1.0144263082093115</v>
      </c>
    </row>
    <row r="3978" spans="1:20" x14ac:dyDescent="0.3">
      <c r="A3978" t="str">
        <f t="shared" si="124"/>
        <v>LEITE EM PÓLACTALIS</v>
      </c>
      <c r="B3978" t="str">
        <f t="shared" si="125"/>
        <v>5141759LEITE EM PÓLACTALIS</v>
      </c>
      <c r="C3978" s="5" t="s">
        <v>174</v>
      </c>
      <c r="D3978" s="5" t="s">
        <v>633</v>
      </c>
      <c r="E3978" s="5" t="s">
        <v>649</v>
      </c>
      <c r="F3978" s="5">
        <v>5141759</v>
      </c>
      <c r="G3978" s="5" t="s">
        <v>657</v>
      </c>
      <c r="H3978" s="5" t="s">
        <v>30</v>
      </c>
      <c r="I3978" s="5" t="s">
        <v>20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20</v>
      </c>
      <c r="R3978" s="14">
        <v>0</v>
      </c>
      <c r="S3978" s="14">
        <v>20</v>
      </c>
      <c r="T3978" s="13">
        <v>1.8993</v>
      </c>
    </row>
    <row r="3979" spans="1:20" x14ac:dyDescent="0.3">
      <c r="A3979" t="str">
        <f t="shared" si="124"/>
        <v>LEITE UHTLACTALIS</v>
      </c>
      <c r="B3979" t="str">
        <f t="shared" si="125"/>
        <v>5296844LEITE UHTLACTALIS</v>
      </c>
      <c r="C3979" s="5" t="s">
        <v>174</v>
      </c>
      <c r="D3979" s="5" t="s">
        <v>681</v>
      </c>
      <c r="E3979" s="5" t="s">
        <v>1198</v>
      </c>
      <c r="F3979" s="5">
        <v>5296844</v>
      </c>
      <c r="G3979" s="5" t="s">
        <v>270</v>
      </c>
      <c r="H3979" s="5" t="s">
        <v>28</v>
      </c>
      <c r="I3979" s="5" t="s">
        <v>20</v>
      </c>
      <c r="J3979" s="5" t="s">
        <v>125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60</v>
      </c>
      <c r="R3979" s="14">
        <v>0</v>
      </c>
      <c r="S3979" s="14">
        <v>0</v>
      </c>
      <c r="T3979" s="13">
        <v>0.37163271604938264</v>
      </c>
    </row>
    <row r="3980" spans="1:20" x14ac:dyDescent="0.3">
      <c r="A3980" t="str">
        <f t="shared" si="124"/>
        <v>LEITE UHTLACTALIS</v>
      </c>
      <c r="B3980" t="str">
        <f t="shared" si="125"/>
        <v>5372652LEITE UHTLACTALIS</v>
      </c>
      <c r="C3980" s="5" t="s">
        <v>174</v>
      </c>
      <c r="D3980" s="5" t="s">
        <v>681</v>
      </c>
      <c r="E3980" s="5" t="s">
        <v>1204</v>
      </c>
      <c r="F3980" s="5">
        <v>5372652</v>
      </c>
      <c r="G3980" s="5" t="s">
        <v>1674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24</v>
      </c>
      <c r="R3980" s="14">
        <v>0</v>
      </c>
      <c r="S3980" s="14">
        <v>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5373511LEITE UHTLACTALIS</v>
      </c>
      <c r="C3981" s="5" t="s">
        <v>174</v>
      </c>
      <c r="D3981" s="5" t="s">
        <v>681</v>
      </c>
      <c r="E3981" s="5" t="s">
        <v>1201</v>
      </c>
      <c r="F3981" s="5">
        <v>5373511</v>
      </c>
      <c r="G3981" s="5" t="s">
        <v>1769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144</v>
      </c>
      <c r="R3981" s="14">
        <v>0</v>
      </c>
      <c r="S3981" s="14">
        <v>0</v>
      </c>
      <c r="T3981" s="13">
        <v>0.37163271604938264</v>
      </c>
    </row>
    <row r="3982" spans="1:20" x14ac:dyDescent="0.3">
      <c r="A3982" t="str">
        <f t="shared" si="124"/>
        <v>LPI 25KGITAMBÉ</v>
      </c>
      <c r="B3982" t="str">
        <f t="shared" si="125"/>
        <v>5364891LPI 25KGITAMBÉ</v>
      </c>
      <c r="C3982" s="5" t="s">
        <v>14</v>
      </c>
      <c r="D3982" s="5" t="s">
        <v>15</v>
      </c>
      <c r="E3982" s="5" t="s">
        <v>1324</v>
      </c>
      <c r="F3982" s="5">
        <v>5364891</v>
      </c>
      <c r="G3982" s="5" t="s">
        <v>1645</v>
      </c>
      <c r="H3982" s="5" t="s">
        <v>705</v>
      </c>
      <c r="I3982" s="5" t="s">
        <v>25</v>
      </c>
      <c r="J3982" s="5" t="s">
        <v>19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0</v>
      </c>
      <c r="R3982" s="14">
        <v>0</v>
      </c>
      <c r="S3982" s="14">
        <v>250</v>
      </c>
      <c r="T3982" s="13">
        <v>0</v>
      </c>
    </row>
    <row r="3983" spans="1:20" x14ac:dyDescent="0.3">
      <c r="A3983" t="str">
        <f t="shared" si="124"/>
        <v>LPI 25KGITAMBÉ</v>
      </c>
      <c r="B3983" t="str">
        <f t="shared" si="125"/>
        <v>5366209LPI 25KGITAMBÉ</v>
      </c>
      <c r="C3983" s="5" t="s">
        <v>14</v>
      </c>
      <c r="D3983" s="5" t="s">
        <v>15</v>
      </c>
      <c r="E3983" s="5" t="s">
        <v>1303</v>
      </c>
      <c r="F3983" s="5">
        <v>5366209</v>
      </c>
      <c r="G3983" s="5" t="s">
        <v>1782</v>
      </c>
      <c r="H3983" s="5" t="s">
        <v>85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500</v>
      </c>
      <c r="R3983" s="14">
        <v>0</v>
      </c>
      <c r="S3983" s="14">
        <v>500</v>
      </c>
      <c r="T3983" s="13">
        <v>0</v>
      </c>
    </row>
    <row r="3984" spans="1:20" x14ac:dyDescent="0.3">
      <c r="A3984" t="str">
        <f t="shared" si="124"/>
        <v>MANTEIGA 5KGLACTALIS</v>
      </c>
      <c r="B3984" t="str">
        <f t="shared" si="125"/>
        <v>5372957MANTEIGA 5KGLACTALIS</v>
      </c>
      <c r="C3984" s="5" t="s">
        <v>174</v>
      </c>
      <c r="D3984" s="5" t="s">
        <v>681</v>
      </c>
      <c r="E3984" s="5" t="s">
        <v>1196</v>
      </c>
      <c r="F3984" s="5">
        <v>5372957</v>
      </c>
      <c r="G3984" s="5" t="s">
        <v>1783</v>
      </c>
      <c r="H3984" s="5" t="s">
        <v>28</v>
      </c>
      <c r="I3984" s="5" t="s">
        <v>20</v>
      </c>
      <c r="J3984" s="5" t="s">
        <v>54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</v>
      </c>
      <c r="R3984" s="14">
        <v>0</v>
      </c>
      <c r="S3984" s="14">
        <v>0</v>
      </c>
      <c r="T3984" s="13">
        <v>11.674270396270396</v>
      </c>
    </row>
    <row r="3985" spans="1:20" x14ac:dyDescent="0.3">
      <c r="A3985" t="str">
        <f t="shared" si="124"/>
        <v>MANTEIGA 5KGLACTALIS</v>
      </c>
      <c r="B3985" t="str">
        <f t="shared" si="125"/>
        <v>5374066MANTEIGA 5KGLACTALIS</v>
      </c>
      <c r="C3985" s="5" t="s">
        <v>174</v>
      </c>
      <c r="D3985" s="5" t="s">
        <v>681</v>
      </c>
      <c r="E3985" s="5" t="s">
        <v>1204</v>
      </c>
      <c r="F3985" s="5">
        <v>5374066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15</v>
      </c>
      <c r="R3985" s="14">
        <v>0</v>
      </c>
      <c r="S3985" s="14">
        <v>0</v>
      </c>
      <c r="T3985" s="13">
        <v>11.674270396270396</v>
      </c>
    </row>
    <row r="3986" spans="1:20" x14ac:dyDescent="0.3">
      <c r="A3986" t="str">
        <f t="shared" si="124"/>
        <v>MERC + AROMITAMBÉ</v>
      </c>
      <c r="B3986" t="str">
        <f t="shared" si="125"/>
        <v>5195658MERC + AROMITAMBÉ</v>
      </c>
      <c r="C3986" s="5" t="s">
        <v>174</v>
      </c>
      <c r="D3986" s="5" t="s">
        <v>681</v>
      </c>
      <c r="E3986" s="5" t="s">
        <v>1196</v>
      </c>
      <c r="F3986" s="5">
        <v>5195658</v>
      </c>
      <c r="G3986" s="5" t="s">
        <v>825</v>
      </c>
      <c r="H3986" s="5" t="s">
        <v>28</v>
      </c>
      <c r="I3986" s="5" t="s">
        <v>25</v>
      </c>
      <c r="J3986" s="5" t="s">
        <v>178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4.5</v>
      </c>
      <c r="R3986" s="14">
        <v>0</v>
      </c>
      <c r="S3986" s="14">
        <v>0</v>
      </c>
      <c r="T3986" s="13">
        <v>1.9233658031827585</v>
      </c>
    </row>
    <row r="3987" spans="1:20" x14ac:dyDescent="0.3">
      <c r="A3987" t="str">
        <f t="shared" si="124"/>
        <v>QUEIJOSITAMBÉ</v>
      </c>
      <c r="B3987" t="str">
        <f t="shared" si="125"/>
        <v>5075754QUEIJOSITAMBÉ</v>
      </c>
      <c r="C3987" s="5" t="s">
        <v>174</v>
      </c>
      <c r="D3987" s="5" t="s">
        <v>1437</v>
      </c>
      <c r="E3987" s="5" t="s">
        <v>721</v>
      </c>
      <c r="F3987" s="5">
        <v>5075754</v>
      </c>
      <c r="G3987" s="5" t="s">
        <v>724</v>
      </c>
      <c r="H3987" s="5" t="s">
        <v>76</v>
      </c>
      <c r="I3987" s="5" t="s">
        <v>25</v>
      </c>
      <c r="J3987" s="5" t="s">
        <v>56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</v>
      </c>
      <c r="R3987" s="14">
        <v>0</v>
      </c>
      <c r="S3987" s="14">
        <v>1</v>
      </c>
      <c r="T3987" s="13">
        <v>0</v>
      </c>
    </row>
    <row r="3988" spans="1:20" x14ac:dyDescent="0.3">
      <c r="A3988" t="str">
        <f t="shared" si="124"/>
        <v>SPREADSLACTALIS</v>
      </c>
      <c r="B3988" t="str">
        <f t="shared" si="125"/>
        <v>5268767SPREADSLACTALIS</v>
      </c>
      <c r="C3988" s="5" t="s">
        <v>119</v>
      </c>
      <c r="D3988" s="5" t="s">
        <v>161</v>
      </c>
      <c r="E3988" s="5" t="s">
        <v>161</v>
      </c>
      <c r="F3988" s="5">
        <v>5268767</v>
      </c>
      <c r="G3988" s="5" t="s">
        <v>1785</v>
      </c>
      <c r="H3988" s="5" t="s">
        <v>28</v>
      </c>
      <c r="I3988" s="5" t="s">
        <v>20</v>
      </c>
      <c r="J3988" s="5" t="s">
        <v>773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60</v>
      </c>
      <c r="R3988" s="14">
        <v>0</v>
      </c>
      <c r="S3988" s="14">
        <v>60</v>
      </c>
      <c r="T3988" s="13">
        <v>10.327777777777779</v>
      </c>
    </row>
    <row r="3989" spans="1:20" x14ac:dyDescent="0.3">
      <c r="A3989" t="str">
        <f t="shared" si="124"/>
        <v>SPREADSLACTALIS</v>
      </c>
      <c r="B3989" t="str">
        <f t="shared" si="125"/>
        <v>5370630SPREADSLACTALIS</v>
      </c>
      <c r="C3989" s="5" t="s">
        <v>174</v>
      </c>
      <c r="D3989" s="5" t="s">
        <v>681</v>
      </c>
      <c r="E3989" s="5" t="s">
        <v>1205</v>
      </c>
      <c r="F3989" s="5">
        <v>5370630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0</v>
      </c>
      <c r="R3989" s="14">
        <v>0</v>
      </c>
      <c r="S3989" s="14">
        <v>0</v>
      </c>
      <c r="T3989" s="13">
        <v>10.327777777777779</v>
      </c>
    </row>
    <row r="3990" spans="1:20" x14ac:dyDescent="0.3">
      <c r="A3990" t="str">
        <f t="shared" si="124"/>
        <v>COMPOSTOITAMBÉ</v>
      </c>
      <c r="B3990" t="str">
        <f t="shared" si="125"/>
        <v>5370503COMPOSTOITAMBÉ</v>
      </c>
      <c r="C3990" s="5" t="s">
        <v>174</v>
      </c>
      <c r="D3990" s="5" t="s">
        <v>633</v>
      </c>
      <c r="E3990" s="5" t="s">
        <v>862</v>
      </c>
      <c r="F3990" s="5">
        <v>5370503</v>
      </c>
      <c r="G3990" s="5" t="s">
        <v>1787</v>
      </c>
      <c r="H3990" s="5" t="s">
        <v>123</v>
      </c>
      <c r="I3990" s="5" t="s">
        <v>25</v>
      </c>
      <c r="J3990" s="5" t="s">
        <v>24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30</v>
      </c>
      <c r="R3990" s="14">
        <v>0</v>
      </c>
      <c r="S3990" s="14">
        <v>30</v>
      </c>
      <c r="T3990" s="13">
        <v>2.562850000000001</v>
      </c>
    </row>
    <row r="3991" spans="1:20" x14ac:dyDescent="0.3">
      <c r="A3991" t="str">
        <f t="shared" si="124"/>
        <v>CREME UHTLACTALIS</v>
      </c>
      <c r="B3991" t="str">
        <f t="shared" si="125"/>
        <v>5316731CREME UHTLACTALIS</v>
      </c>
      <c r="C3991" s="5" t="s">
        <v>174</v>
      </c>
      <c r="D3991" s="5" t="s">
        <v>681</v>
      </c>
      <c r="E3991" s="5" t="s">
        <v>1196</v>
      </c>
      <c r="F3991" s="5">
        <v>5316731</v>
      </c>
      <c r="G3991" s="5" t="s">
        <v>547</v>
      </c>
      <c r="H3991" s="5" t="s">
        <v>28</v>
      </c>
      <c r="I3991" s="5" t="s">
        <v>20</v>
      </c>
      <c r="J3991" s="5" t="s">
        <v>32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4.8</v>
      </c>
      <c r="R3991" s="14">
        <v>0</v>
      </c>
      <c r="S3991" s="14">
        <v>0</v>
      </c>
      <c r="T3991" s="13">
        <v>-4.4038541666666644</v>
      </c>
    </row>
    <row r="3992" spans="1:20" x14ac:dyDescent="0.3">
      <c r="A3992" t="str">
        <f t="shared" si="124"/>
        <v>DOCE DE LEITEITAMBÉ</v>
      </c>
      <c r="B3992" t="str">
        <f t="shared" si="125"/>
        <v>5263652DOCE DE LEITEITAMBÉ</v>
      </c>
      <c r="C3992" s="5" t="s">
        <v>174</v>
      </c>
      <c r="D3992" s="5" t="s">
        <v>681</v>
      </c>
      <c r="E3992" s="5" t="s">
        <v>1198</v>
      </c>
      <c r="F3992" s="5">
        <v>5263652</v>
      </c>
      <c r="G3992" s="5" t="s">
        <v>233</v>
      </c>
      <c r="H3992" s="5" t="s">
        <v>28</v>
      </c>
      <c r="I3992" s="5" t="s">
        <v>25</v>
      </c>
      <c r="J3992" s="5" t="s">
        <v>42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20</v>
      </c>
      <c r="R3992" s="14">
        <v>0</v>
      </c>
      <c r="S3992" s="14">
        <v>0</v>
      </c>
      <c r="T3992" s="13">
        <v>4.4452675469075746</v>
      </c>
    </row>
    <row r="3993" spans="1:20" x14ac:dyDescent="0.3">
      <c r="A3993" t="str">
        <f t="shared" si="124"/>
        <v>LEITE CONDENSADOITAMBÉ</v>
      </c>
      <c r="B3993" t="str">
        <f t="shared" si="125"/>
        <v>5263652LEITE CONDENSADOITAMBÉ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31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30</v>
      </c>
      <c r="R3993" s="14">
        <v>0</v>
      </c>
      <c r="S3993" s="14">
        <v>0</v>
      </c>
      <c r="T3993" s="13">
        <v>2.0833225806451607</v>
      </c>
    </row>
    <row r="3994" spans="1:20" x14ac:dyDescent="0.3">
      <c r="A3994" t="str">
        <f t="shared" si="124"/>
        <v>LEITE CONDENSADOITAMBÉ</v>
      </c>
      <c r="B3994" t="str">
        <f t="shared" si="125"/>
        <v>5314201LEITE CONDENSADOITAMBÉ</v>
      </c>
      <c r="C3994" s="5" t="s">
        <v>174</v>
      </c>
      <c r="D3994" s="5" t="s">
        <v>1437</v>
      </c>
      <c r="E3994" s="5" t="s">
        <v>634</v>
      </c>
      <c r="F3994" s="5">
        <v>5314201</v>
      </c>
      <c r="G3994" s="5" t="s">
        <v>1514</v>
      </c>
      <c r="H3994" s="5" t="s">
        <v>38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159.97499999999999</v>
      </c>
      <c r="R3994" s="14">
        <v>0</v>
      </c>
      <c r="S3994" s="14">
        <v>159.97499999999999</v>
      </c>
      <c r="T3994" s="13">
        <v>1.7160598010105743</v>
      </c>
    </row>
    <row r="3995" spans="1:20" x14ac:dyDescent="0.3">
      <c r="A3995" t="str">
        <f t="shared" si="124"/>
        <v>LEITE EM PÓITAMBÉ</v>
      </c>
      <c r="B3995" t="str">
        <f t="shared" si="125"/>
        <v>5157739LEITE EM PÓITAMBÉ</v>
      </c>
      <c r="C3995" s="5" t="s">
        <v>174</v>
      </c>
      <c r="D3995" s="5" t="s">
        <v>1437</v>
      </c>
      <c r="E3995" s="5" t="s">
        <v>1789</v>
      </c>
      <c r="F3995" s="5">
        <v>5157739</v>
      </c>
      <c r="G3995" s="5" t="s">
        <v>1788</v>
      </c>
      <c r="H3995" s="5" t="s">
        <v>81</v>
      </c>
      <c r="I3995" s="5" t="s">
        <v>25</v>
      </c>
      <c r="J3995" s="5" t="s">
        <v>70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0</v>
      </c>
      <c r="R3995" s="14">
        <v>0</v>
      </c>
      <c r="S3995" s="14">
        <v>0</v>
      </c>
      <c r="T3995" s="13">
        <v>0</v>
      </c>
    </row>
    <row r="3996" spans="1:20" x14ac:dyDescent="0.3">
      <c r="A3996" t="str">
        <f t="shared" si="124"/>
        <v>LEITE EM PÓLACTALIS</v>
      </c>
      <c r="B3996" t="str">
        <f t="shared" si="125"/>
        <v>5213905LEITE EM PÓLACTALIS</v>
      </c>
      <c r="C3996" s="5" t="s">
        <v>174</v>
      </c>
      <c r="D3996" s="5" t="s">
        <v>633</v>
      </c>
      <c r="E3996" s="5" t="s">
        <v>649</v>
      </c>
      <c r="F3996" s="5">
        <v>5213905</v>
      </c>
      <c r="G3996" s="5" t="s">
        <v>663</v>
      </c>
      <c r="H3996" s="5" t="s">
        <v>30</v>
      </c>
      <c r="I3996" s="5" t="s">
        <v>20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20</v>
      </c>
      <c r="R3996" s="14">
        <v>0</v>
      </c>
      <c r="S3996" s="14">
        <v>20</v>
      </c>
      <c r="T3996" s="13">
        <v>1.8993</v>
      </c>
    </row>
    <row r="3997" spans="1:20" x14ac:dyDescent="0.3">
      <c r="A3997" t="str">
        <f t="shared" si="124"/>
        <v>BLISTERLACTALIS</v>
      </c>
      <c r="B3997" t="str">
        <f t="shared" si="125"/>
        <v>5185956BLISTERLACTALIS</v>
      </c>
      <c r="C3997" s="5" t="s">
        <v>174</v>
      </c>
      <c r="D3997" s="5" t="s">
        <v>681</v>
      </c>
      <c r="E3997" s="5" t="s">
        <v>1198</v>
      </c>
      <c r="F3997" s="5">
        <v>5185956</v>
      </c>
      <c r="G3997" s="5" t="s">
        <v>1746</v>
      </c>
      <c r="H3997" s="5" t="s">
        <v>28</v>
      </c>
      <c r="I3997" s="5" t="s">
        <v>20</v>
      </c>
      <c r="J3997" s="5" t="s">
        <v>152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38.4</v>
      </c>
      <c r="R3997" s="14">
        <v>0</v>
      </c>
      <c r="S3997" s="14">
        <v>0</v>
      </c>
      <c r="T3997" s="13">
        <v>2.5977269513574703</v>
      </c>
    </row>
    <row r="3998" spans="1:20" x14ac:dyDescent="0.3">
      <c r="A3998" t="str">
        <f t="shared" si="124"/>
        <v>CREME UHTLACTALIS</v>
      </c>
      <c r="B3998" t="str">
        <f t="shared" si="125"/>
        <v>5044784CREME UHTLACTALIS</v>
      </c>
      <c r="C3998" s="5" t="s">
        <v>174</v>
      </c>
      <c r="D3998" s="5" t="s">
        <v>633</v>
      </c>
      <c r="E3998" s="5" t="s">
        <v>649</v>
      </c>
      <c r="F3998" s="5">
        <v>5044784</v>
      </c>
      <c r="G3998" s="5" t="s">
        <v>654</v>
      </c>
      <c r="H3998" s="5" t="s">
        <v>30</v>
      </c>
      <c r="I3998" s="5" t="s">
        <v>20</v>
      </c>
      <c r="J3998" s="5" t="s">
        <v>32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0</v>
      </c>
      <c r="R3998" s="14">
        <v>0</v>
      </c>
      <c r="S3998" s="14">
        <v>96</v>
      </c>
      <c r="T3998" s="13">
        <v>-2.2703125000000002</v>
      </c>
    </row>
    <row r="3999" spans="1:20" x14ac:dyDescent="0.3">
      <c r="A3999" t="str">
        <f t="shared" si="124"/>
        <v>DOCE DE LEITELACTALIS</v>
      </c>
      <c r="B3999" t="str">
        <f t="shared" si="125"/>
        <v>5185956DOCE DE LEITELACTALIS</v>
      </c>
      <c r="C3999" s="5" t="s">
        <v>174</v>
      </c>
      <c r="D3999" s="5" t="s">
        <v>681</v>
      </c>
      <c r="E3999" s="5" t="s">
        <v>1198</v>
      </c>
      <c r="F3999" s="5">
        <v>5185956</v>
      </c>
      <c r="G3999" s="5" t="s">
        <v>1746</v>
      </c>
      <c r="H3999" s="5" t="s">
        <v>28</v>
      </c>
      <c r="I3999" s="5" t="s">
        <v>20</v>
      </c>
      <c r="J3999" s="5" t="s">
        <v>42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16.8</v>
      </c>
      <c r="R3999" s="14">
        <v>0</v>
      </c>
      <c r="S3999" s="14">
        <v>0</v>
      </c>
      <c r="T3999" s="13">
        <v>4.7878615384615371</v>
      </c>
    </row>
    <row r="4000" spans="1:20" x14ac:dyDescent="0.3">
      <c r="A4000" t="str">
        <f t="shared" si="124"/>
        <v>LEITE CONDENSADOLACTALIS</v>
      </c>
      <c r="B4000" t="str">
        <f t="shared" si="125"/>
        <v>5044784LEITE CONDENSADOLACTALIS</v>
      </c>
      <c r="C4000" s="5" t="s">
        <v>174</v>
      </c>
      <c r="D4000" s="5" t="s">
        <v>633</v>
      </c>
      <c r="E4000" s="5" t="s">
        <v>649</v>
      </c>
      <c r="F4000" s="5">
        <v>5044784</v>
      </c>
      <c r="G4000" s="5" t="s">
        <v>654</v>
      </c>
      <c r="H4000" s="5" t="s">
        <v>30</v>
      </c>
      <c r="I4000" s="5" t="s">
        <v>20</v>
      </c>
      <c r="J4000" s="5" t="s">
        <v>31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189.6</v>
      </c>
      <c r="R4000" s="14">
        <v>0</v>
      </c>
      <c r="S4000" s="14">
        <v>190</v>
      </c>
      <c r="T4000" s="13">
        <v>-1.9755244122965634</v>
      </c>
    </row>
    <row r="4001" spans="1:20" x14ac:dyDescent="0.3">
      <c r="A4001" t="str">
        <f t="shared" si="124"/>
        <v>LEITE EM PÓLACTALIS</v>
      </c>
      <c r="B4001" t="str">
        <f t="shared" si="125"/>
        <v>5044784LEITE EM PÓLACTALIS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70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30</v>
      </c>
      <c r="R4001" s="14">
        <v>0</v>
      </c>
      <c r="S4001" s="14">
        <v>30</v>
      </c>
      <c r="T4001" s="13">
        <v>1.8993</v>
      </c>
    </row>
    <row r="4002" spans="1:20" x14ac:dyDescent="0.3">
      <c r="A4002" t="str">
        <f t="shared" si="124"/>
        <v>LEITE UHTLACTALIS</v>
      </c>
      <c r="B4002" t="str">
        <f t="shared" si="125"/>
        <v>5373453LEITE UHTLACTALIS</v>
      </c>
      <c r="C4002" s="5" t="s">
        <v>174</v>
      </c>
      <c r="D4002" s="5" t="s">
        <v>681</v>
      </c>
      <c r="E4002" s="5" t="s">
        <v>1196</v>
      </c>
      <c r="F4002" s="5">
        <v>5373453</v>
      </c>
      <c r="G4002" s="5" t="s">
        <v>1790</v>
      </c>
      <c r="H4002" s="5" t="s">
        <v>28</v>
      </c>
      <c r="I4002" s="5" t="s">
        <v>20</v>
      </c>
      <c r="J4002" s="5" t="s">
        <v>125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72</v>
      </c>
      <c r="R4002" s="14">
        <v>0</v>
      </c>
      <c r="S4002" s="14">
        <v>0</v>
      </c>
      <c r="T4002" s="13">
        <v>0.37163271604938264</v>
      </c>
    </row>
    <row r="4003" spans="1:20" x14ac:dyDescent="0.3">
      <c r="A4003" t="str">
        <f t="shared" si="124"/>
        <v>LPI 25KGITAMBÉ</v>
      </c>
      <c r="B4003" t="str">
        <f t="shared" si="125"/>
        <v>5372410LPI 25KGITAMBÉ</v>
      </c>
      <c r="C4003" s="5" t="s">
        <v>14</v>
      </c>
      <c r="D4003" s="5" t="s">
        <v>15</v>
      </c>
      <c r="E4003" s="5" t="s">
        <v>40</v>
      </c>
      <c r="F4003" s="5">
        <v>5372410</v>
      </c>
      <c r="G4003" s="5" t="s">
        <v>1791</v>
      </c>
      <c r="H4003" s="5" t="s">
        <v>23</v>
      </c>
      <c r="I4003" s="5" t="s">
        <v>25</v>
      </c>
      <c r="J4003" s="5" t="s">
        <v>19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500</v>
      </c>
      <c r="R4003" s="14">
        <v>0</v>
      </c>
      <c r="S4003" s="14">
        <v>500</v>
      </c>
      <c r="T4003" s="13">
        <v>-6.1849974683544282</v>
      </c>
    </row>
    <row r="4004" spans="1:20" x14ac:dyDescent="0.3">
      <c r="A4004" t="str">
        <f t="shared" si="124"/>
        <v>MERC + AROMLACTALIS</v>
      </c>
      <c r="B4004" t="str">
        <f t="shared" si="125"/>
        <v>5373867MERC + AROMLACTALIS</v>
      </c>
      <c r="C4004" s="5" t="s">
        <v>174</v>
      </c>
      <c r="D4004" s="5" t="s">
        <v>681</v>
      </c>
      <c r="E4004" s="5" t="s">
        <v>1205</v>
      </c>
      <c r="F4004" s="5">
        <v>5373867</v>
      </c>
      <c r="G4004" s="5" t="s">
        <v>1792</v>
      </c>
      <c r="H4004" s="5" t="s">
        <v>28</v>
      </c>
      <c r="I4004" s="5" t="s">
        <v>20</v>
      </c>
      <c r="J4004" s="5" t="s">
        <v>178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3</v>
      </c>
      <c r="R4004" s="14">
        <v>0</v>
      </c>
      <c r="S4004" s="14">
        <v>0</v>
      </c>
      <c r="T4004" s="13">
        <v>32.673333333333339</v>
      </c>
    </row>
    <row r="4005" spans="1:20" x14ac:dyDescent="0.3">
      <c r="A4005" t="str">
        <f t="shared" si="124"/>
        <v>CREME UHTITAMBÉ</v>
      </c>
      <c r="B4005" t="str">
        <f t="shared" si="125"/>
        <v>5016719CREME UHTITAMBÉ</v>
      </c>
      <c r="C4005" s="5" t="s">
        <v>174</v>
      </c>
      <c r="D4005" s="5" t="s">
        <v>1439</v>
      </c>
      <c r="E4005" s="5" t="s">
        <v>1439</v>
      </c>
      <c r="F4005" s="5">
        <v>5016719</v>
      </c>
      <c r="G4005" s="5" t="s">
        <v>1793</v>
      </c>
      <c r="H4005" s="5" t="s">
        <v>93</v>
      </c>
      <c r="I4005" s="5" t="s">
        <v>25</v>
      </c>
      <c r="J4005" s="5" t="s">
        <v>32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0</v>
      </c>
      <c r="R4005" s="14">
        <v>0</v>
      </c>
      <c r="S4005" s="14">
        <v>520</v>
      </c>
      <c r="T4005" s="13">
        <v>-0.72695707070706983</v>
      </c>
    </row>
    <row r="4006" spans="1:20" x14ac:dyDescent="0.3">
      <c r="A4006" t="str">
        <f t="shared" si="124"/>
        <v>CREME UHTITAMBÉ</v>
      </c>
      <c r="B4006" t="str">
        <f t="shared" si="125"/>
        <v>5370503CREME UHTITAMBÉ</v>
      </c>
      <c r="C4006" s="5" t="s">
        <v>174</v>
      </c>
      <c r="D4006" s="5" t="s">
        <v>633</v>
      </c>
      <c r="E4006" s="5" t="s">
        <v>862</v>
      </c>
      <c r="F4006" s="5">
        <v>5370503</v>
      </c>
      <c r="G4006" s="5" t="s">
        <v>1794</v>
      </c>
      <c r="H4006" s="5" t="s">
        <v>123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36.36</v>
      </c>
      <c r="R4006" s="14">
        <v>0</v>
      </c>
      <c r="S4006" s="14">
        <v>36</v>
      </c>
      <c r="T4006" s="13">
        <v>0.63299941758881662</v>
      </c>
    </row>
    <row r="4007" spans="1:20" x14ac:dyDescent="0.3">
      <c r="A4007" t="str">
        <f t="shared" si="124"/>
        <v>CREME UHTLACTALIS</v>
      </c>
      <c r="B4007" t="str">
        <f t="shared" si="125"/>
        <v>5259285CREME UHTLACTALIS</v>
      </c>
      <c r="C4007" s="5" t="s">
        <v>174</v>
      </c>
      <c r="D4007" s="5" t="s">
        <v>681</v>
      </c>
      <c r="E4007" s="5" t="s">
        <v>1203</v>
      </c>
      <c r="F4007" s="5">
        <v>5259285</v>
      </c>
      <c r="G4007" s="5" t="s">
        <v>1715</v>
      </c>
      <c r="H4007" s="5" t="s">
        <v>28</v>
      </c>
      <c r="I4007" s="5" t="s">
        <v>20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576</v>
      </c>
      <c r="R4007" s="14">
        <v>0</v>
      </c>
      <c r="S4007" s="14">
        <v>576</v>
      </c>
      <c r="T4007" s="13">
        <v>-4.4038541666666644</v>
      </c>
    </row>
    <row r="4008" spans="1:20" x14ac:dyDescent="0.3">
      <c r="A4008" t="str">
        <f t="shared" si="124"/>
        <v>LEITE CONDENSADOITAMBÉ</v>
      </c>
      <c r="B4008" t="str">
        <f t="shared" si="125"/>
        <v>5016719LEITE CONDENSADOITAMBÉ</v>
      </c>
      <c r="C4008" s="5" t="s">
        <v>174</v>
      </c>
      <c r="D4008" s="5" t="s">
        <v>1439</v>
      </c>
      <c r="E4008" s="5" t="s">
        <v>1439</v>
      </c>
      <c r="F4008" s="5">
        <v>5016719</v>
      </c>
      <c r="G4008" s="5" t="s">
        <v>1793</v>
      </c>
      <c r="H4008" s="5" t="s">
        <v>93</v>
      </c>
      <c r="I4008" s="5" t="s">
        <v>25</v>
      </c>
      <c r="J4008" s="5" t="s">
        <v>31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0</v>
      </c>
      <c r="R4008" s="14">
        <v>0</v>
      </c>
      <c r="S4008" s="14">
        <v>776</v>
      </c>
      <c r="T4008" s="13">
        <v>3.917161716171619</v>
      </c>
    </row>
    <row r="4009" spans="1:20" x14ac:dyDescent="0.3">
      <c r="A4009" t="str">
        <f t="shared" si="124"/>
        <v>LEITE CONDENSADOITAMBÉ</v>
      </c>
      <c r="B4009" t="str">
        <f t="shared" si="125"/>
        <v>5370503LEITE CONDENSADOITAMBÉ</v>
      </c>
      <c r="C4009" s="5" t="s">
        <v>174</v>
      </c>
      <c r="D4009" s="5" t="s">
        <v>633</v>
      </c>
      <c r="E4009" s="5" t="s">
        <v>862</v>
      </c>
      <c r="F4009" s="5">
        <v>5370503</v>
      </c>
      <c r="G4009" s="5" t="s">
        <v>1794</v>
      </c>
      <c r="H4009" s="5" t="s">
        <v>123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130</v>
      </c>
      <c r="R4009" s="14">
        <v>0</v>
      </c>
      <c r="S4009" s="14">
        <v>30</v>
      </c>
      <c r="T4009" s="13">
        <v>1.3388539876022285</v>
      </c>
    </row>
    <row r="4010" spans="1:20" x14ac:dyDescent="0.3">
      <c r="A4010" t="str">
        <f t="shared" si="124"/>
        <v>LEITE UHTLACTALIS</v>
      </c>
      <c r="B4010" t="str">
        <f t="shared" si="125"/>
        <v>5372337LEITE UHTLACTALIS</v>
      </c>
      <c r="C4010" s="5" t="s">
        <v>174</v>
      </c>
      <c r="D4010" s="5" t="s">
        <v>681</v>
      </c>
      <c r="E4010" s="5" t="s">
        <v>1204</v>
      </c>
      <c r="F4010" s="5">
        <v>5372337</v>
      </c>
      <c r="G4010" s="5" t="s">
        <v>1795</v>
      </c>
      <c r="H4010" s="5" t="s">
        <v>28</v>
      </c>
      <c r="I4010" s="5" t="s">
        <v>20</v>
      </c>
      <c r="J4010" s="5" t="s">
        <v>125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12</v>
      </c>
      <c r="R4010" s="14">
        <v>0</v>
      </c>
      <c r="S4010" s="14">
        <v>0</v>
      </c>
      <c r="T4010" s="13">
        <v>0.37163271604938264</v>
      </c>
    </row>
    <row r="4011" spans="1:20" x14ac:dyDescent="0.3">
      <c r="A4011" t="str">
        <f t="shared" si="124"/>
        <v>MANTEIGA 5KGLACTALIS</v>
      </c>
      <c r="B4011" t="str">
        <f t="shared" si="125"/>
        <v>5372337MANTEIGA 5KGLACTALIS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1795</v>
      </c>
      <c r="H4011" s="5" t="s">
        <v>28</v>
      </c>
      <c r="I4011" s="5" t="s">
        <v>20</v>
      </c>
      <c r="J4011" s="5" t="s">
        <v>54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5</v>
      </c>
      <c r="R4011" s="14">
        <v>0</v>
      </c>
      <c r="S4011" s="14">
        <v>0</v>
      </c>
      <c r="T4011" s="13">
        <v>11.674270396270396</v>
      </c>
    </row>
    <row r="4012" spans="1:20" x14ac:dyDescent="0.3">
      <c r="A4012" t="str">
        <f t="shared" si="124"/>
        <v>SPREADSLACTALIS</v>
      </c>
      <c r="B4012" t="str">
        <f t="shared" si="125"/>
        <v>5361702SPREADSLACTALIS</v>
      </c>
      <c r="C4012" s="5" t="s">
        <v>174</v>
      </c>
      <c r="D4012" s="5" t="s">
        <v>681</v>
      </c>
      <c r="E4012" s="5" t="s">
        <v>1204</v>
      </c>
      <c r="F4012" s="5">
        <v>5361702</v>
      </c>
      <c r="G4012" s="5" t="s">
        <v>1220</v>
      </c>
      <c r="H4012" s="5" t="s">
        <v>28</v>
      </c>
      <c r="I4012" s="5" t="s">
        <v>20</v>
      </c>
      <c r="J4012" s="5" t="s">
        <v>773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8</v>
      </c>
      <c r="R4012" s="14">
        <v>0</v>
      </c>
      <c r="S4012" s="14">
        <v>0</v>
      </c>
      <c r="T4012" s="13">
        <v>10.327777777777779</v>
      </c>
    </row>
    <row r="4013" spans="1:20" x14ac:dyDescent="0.3">
      <c r="A4013" t="str">
        <f t="shared" si="124"/>
        <v>DOCE DE LEITEITAMBÉ</v>
      </c>
      <c r="B4013" t="str">
        <f t="shared" si="125"/>
        <v>5339488DOCE DE LEITEITAMBÉ</v>
      </c>
      <c r="C4013" s="5" t="s">
        <v>174</v>
      </c>
      <c r="D4013" s="5" t="s">
        <v>681</v>
      </c>
      <c r="E4013" s="5" t="s">
        <v>1201</v>
      </c>
      <c r="F4013" s="5">
        <v>5339488</v>
      </c>
      <c r="G4013" s="5" t="s">
        <v>986</v>
      </c>
      <c r="H4013" s="5" t="s">
        <v>28</v>
      </c>
      <c r="I4013" s="5" t="s">
        <v>25</v>
      </c>
      <c r="J4013" s="5" t="s">
        <v>42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20</v>
      </c>
      <c r="R4013" s="14">
        <v>0</v>
      </c>
      <c r="S4013" s="14">
        <v>0</v>
      </c>
      <c r="T4013" s="13">
        <v>4.4452675469075746</v>
      </c>
    </row>
    <row r="4014" spans="1:20" x14ac:dyDescent="0.3">
      <c r="A4014" t="str">
        <f t="shared" si="124"/>
        <v>IOGURTESITAMBÉ</v>
      </c>
      <c r="B4014" t="str">
        <f t="shared" si="125"/>
        <v>5346063IOGURTESITAMBÉ</v>
      </c>
      <c r="C4014" s="5" t="s">
        <v>174</v>
      </c>
      <c r="D4014" s="5" t="s">
        <v>633</v>
      </c>
      <c r="E4014" s="5" t="s">
        <v>644</v>
      </c>
      <c r="F4014" s="5">
        <v>5346063</v>
      </c>
      <c r="G4014" s="5" t="s">
        <v>1796</v>
      </c>
      <c r="H4014" s="5" t="s">
        <v>123</v>
      </c>
      <c r="I4014" s="5" t="s">
        <v>25</v>
      </c>
      <c r="J4014" s="5" t="s">
        <v>122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216</v>
      </c>
      <c r="R4014" s="14">
        <v>0</v>
      </c>
      <c r="S4014" s="14">
        <v>216</v>
      </c>
      <c r="T4014" s="13">
        <v>-5.3052173913043479</v>
      </c>
    </row>
    <row r="4015" spans="1:20" x14ac:dyDescent="0.3">
      <c r="A4015" t="str">
        <f t="shared" si="124"/>
        <v>LEITE CONDENSADOITAMBÉ</v>
      </c>
      <c r="B4015" t="str">
        <f t="shared" si="125"/>
        <v>5339488LEITE CONDENSADOITAMBÉ</v>
      </c>
      <c r="C4015" s="5" t="s">
        <v>174</v>
      </c>
      <c r="D4015" s="5" t="s">
        <v>681</v>
      </c>
      <c r="E4015" s="5" t="s">
        <v>1201</v>
      </c>
      <c r="F4015" s="5">
        <v>5339488</v>
      </c>
      <c r="G4015" s="5" t="s">
        <v>986</v>
      </c>
      <c r="H4015" s="5" t="s">
        <v>28</v>
      </c>
      <c r="I4015" s="5" t="s">
        <v>25</v>
      </c>
      <c r="J4015" s="5" t="s">
        <v>31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18.96</v>
      </c>
      <c r="R4015" s="14">
        <v>0</v>
      </c>
      <c r="S4015" s="14">
        <v>0</v>
      </c>
      <c r="T4015" s="13">
        <v>2.0833225806451607</v>
      </c>
    </row>
    <row r="4016" spans="1:20" x14ac:dyDescent="0.3">
      <c r="A4016" t="str">
        <f t="shared" si="124"/>
        <v>IOGURTESLACTALIS</v>
      </c>
      <c r="B4016" t="str">
        <f t="shared" si="125"/>
        <v>5355177IOGURTESLACTALIS</v>
      </c>
      <c r="C4016" s="5" t="s">
        <v>174</v>
      </c>
      <c r="D4016" s="5" t="s">
        <v>681</v>
      </c>
      <c r="E4016" s="5" t="s">
        <v>1196</v>
      </c>
      <c r="F4016" s="5">
        <v>5355177</v>
      </c>
      <c r="G4016" s="5" t="s">
        <v>1568</v>
      </c>
      <c r="H4016" s="5" t="s">
        <v>28</v>
      </c>
      <c r="I4016" s="5" t="s">
        <v>20</v>
      </c>
      <c r="J4016" s="5" t="s">
        <v>122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4.88</v>
      </c>
      <c r="R4016" s="14">
        <v>0</v>
      </c>
      <c r="S4016" s="14">
        <v>0</v>
      </c>
      <c r="T4016" s="13">
        <v>11.440206068840578</v>
      </c>
    </row>
    <row r="4017" spans="1:20" x14ac:dyDescent="0.3">
      <c r="A4017" t="str">
        <f t="shared" si="124"/>
        <v>LPD 25KGLACTALIS</v>
      </c>
      <c r="B4017" t="str">
        <f t="shared" si="125"/>
        <v>5157826LPD 25KGLACTALIS</v>
      </c>
      <c r="C4017" s="5" t="s">
        <v>14</v>
      </c>
      <c r="D4017" s="5" t="s">
        <v>26</v>
      </c>
      <c r="E4017" s="5" t="s">
        <v>26</v>
      </c>
      <c r="F4017" s="5">
        <v>5157826</v>
      </c>
      <c r="G4017" s="5" t="s">
        <v>1797</v>
      </c>
      <c r="H4017" s="5" t="s">
        <v>28</v>
      </c>
      <c r="I4017" s="5" t="s">
        <v>20</v>
      </c>
      <c r="J4017" s="5" t="s">
        <v>39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24000</v>
      </c>
      <c r="R4017" s="14">
        <v>0</v>
      </c>
      <c r="S4017" s="14">
        <v>24000</v>
      </c>
      <c r="T4017" s="13">
        <v>1.9028645833333333</v>
      </c>
    </row>
    <row r="4018" spans="1:20" x14ac:dyDescent="0.3">
      <c r="A4018" t="str">
        <f t="shared" si="124"/>
        <v>MANTEIGA 5KGLACTALIS</v>
      </c>
      <c r="B4018" t="str">
        <f t="shared" si="125"/>
        <v>5372352MANTEIGA 5KGLACTALIS</v>
      </c>
      <c r="C4018" s="5" t="s">
        <v>174</v>
      </c>
      <c r="D4018" s="5" t="s">
        <v>681</v>
      </c>
      <c r="E4018" s="5" t="s">
        <v>1204</v>
      </c>
      <c r="F4018" s="5">
        <v>5372352</v>
      </c>
      <c r="G4018" s="5" t="s">
        <v>1798</v>
      </c>
      <c r="H4018" s="5" t="s">
        <v>28</v>
      </c>
      <c r="I4018" s="5" t="s">
        <v>20</v>
      </c>
      <c r="J4018" s="5" t="s">
        <v>54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15</v>
      </c>
      <c r="R4018" s="14">
        <v>0</v>
      </c>
      <c r="S4018" s="14">
        <v>0</v>
      </c>
      <c r="T4018" s="13">
        <v>11.674270396270396</v>
      </c>
    </row>
    <row r="4019" spans="1:20" x14ac:dyDescent="0.3">
      <c r="A4019" t="str">
        <f t="shared" si="124"/>
        <v>MERC + AROMLACTALIS</v>
      </c>
      <c r="B4019" t="str">
        <f t="shared" si="125"/>
        <v>5331926MERC + AROMLACTALIS</v>
      </c>
      <c r="C4019" s="5" t="s">
        <v>174</v>
      </c>
      <c r="D4019" s="5" t="s">
        <v>681</v>
      </c>
      <c r="E4019" s="5" t="s">
        <v>1203</v>
      </c>
      <c r="F4019" s="5">
        <v>5331926</v>
      </c>
      <c r="G4019" s="5" t="s">
        <v>1733</v>
      </c>
      <c r="H4019" s="5" t="s">
        <v>28</v>
      </c>
      <c r="I4019" s="5" t="s">
        <v>20</v>
      </c>
      <c r="J4019" s="5" t="s">
        <v>178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0</v>
      </c>
      <c r="R4019" s="14">
        <v>0</v>
      </c>
      <c r="S4019" s="14">
        <v>0</v>
      </c>
      <c r="T4019" s="13">
        <v>32.673333333333339</v>
      </c>
    </row>
    <row r="4020" spans="1:20" x14ac:dyDescent="0.3">
      <c r="A4020" t="str">
        <f t="shared" si="124"/>
        <v>QUEIJOSLACTALIS</v>
      </c>
      <c r="B4020" t="str">
        <f t="shared" si="125"/>
        <v>5011725QUEIJOSLACTALIS</v>
      </c>
      <c r="C4020" s="5" t="s">
        <v>174</v>
      </c>
      <c r="D4020" s="5" t="s">
        <v>681</v>
      </c>
      <c r="E4020" s="5" t="s">
        <v>1203</v>
      </c>
      <c r="F4020" s="5">
        <v>5011725</v>
      </c>
      <c r="G4020" s="5" t="s">
        <v>1799</v>
      </c>
      <c r="H4020" s="5" t="s">
        <v>28</v>
      </c>
      <c r="I4020" s="5" t="s">
        <v>20</v>
      </c>
      <c r="J4020" s="5" t="s">
        <v>56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232.2</v>
      </c>
      <c r="R4020" s="14">
        <v>0</v>
      </c>
      <c r="S4020" s="14">
        <v>0</v>
      </c>
      <c r="T4020" s="13">
        <v>15.573476190476198</v>
      </c>
    </row>
    <row r="4021" spans="1:20" x14ac:dyDescent="0.3">
      <c r="A4021" t="str">
        <f t="shared" si="124"/>
        <v>QUEIJOSLACTALIS</v>
      </c>
      <c r="B4021" t="str">
        <f t="shared" si="125"/>
        <v>5169592QUEIJOSLACTALIS</v>
      </c>
      <c r="C4021" s="5" t="s">
        <v>14</v>
      </c>
      <c r="D4021" s="5" t="s">
        <v>26</v>
      </c>
      <c r="E4021" s="5" t="s">
        <v>1435</v>
      </c>
      <c r="F4021" s="5">
        <v>5169592</v>
      </c>
      <c r="G4021" s="5" t="s">
        <v>126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492.5</v>
      </c>
      <c r="R4021" s="14">
        <v>0</v>
      </c>
      <c r="S4021" s="14">
        <v>492.5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5355177QUEIJOSLACTALIS</v>
      </c>
      <c r="C4022" s="5" t="s">
        <v>174</v>
      </c>
      <c r="D4022" s="5" t="s">
        <v>681</v>
      </c>
      <c r="E4022" s="5" t="s">
        <v>1196</v>
      </c>
      <c r="F4022" s="5">
        <v>5355177</v>
      </c>
      <c r="G4022" s="5" t="s">
        <v>1568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8.4</v>
      </c>
      <c r="R4022" s="14">
        <v>0</v>
      </c>
      <c r="S4022" s="14">
        <v>0</v>
      </c>
      <c r="T4022" s="13">
        <v>15.573476190476198</v>
      </c>
    </row>
    <row r="4023" spans="1:20" x14ac:dyDescent="0.3">
      <c r="A4023" t="str">
        <f t="shared" si="124"/>
        <v>BLISTERLACTALIS</v>
      </c>
      <c r="B4023" t="str">
        <f t="shared" si="125"/>
        <v>5374089BLISTERLACTALIS</v>
      </c>
      <c r="C4023" s="5" t="s">
        <v>174</v>
      </c>
      <c r="D4023" s="5" t="s">
        <v>175</v>
      </c>
      <c r="E4023" s="5" t="s">
        <v>588</v>
      </c>
      <c r="F4023" s="5">
        <v>5374089</v>
      </c>
      <c r="G4023" s="5" t="s">
        <v>1800</v>
      </c>
      <c r="H4023" s="5" t="s">
        <v>28</v>
      </c>
      <c r="I4023" s="5" t="s">
        <v>20</v>
      </c>
      <c r="J4023" s="5" t="s">
        <v>152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153.6</v>
      </c>
      <c r="R4023" s="14">
        <v>0</v>
      </c>
      <c r="S4023" s="14">
        <v>77</v>
      </c>
      <c r="T4023" s="13">
        <v>2.5977269513574703</v>
      </c>
    </row>
    <row r="4024" spans="1:20" x14ac:dyDescent="0.3">
      <c r="A4024" t="str">
        <f t="shared" si="124"/>
        <v>CREME UHTLACTALIS</v>
      </c>
      <c r="B4024" t="str">
        <f t="shared" si="125"/>
        <v>5263907CREME UHTLACTALIS</v>
      </c>
      <c r="C4024" s="5" t="s">
        <v>174</v>
      </c>
      <c r="D4024" s="5" t="s">
        <v>681</v>
      </c>
      <c r="E4024" s="5" t="s">
        <v>1196</v>
      </c>
      <c r="F4024" s="5">
        <v>5263907</v>
      </c>
      <c r="G4024" s="5" t="s">
        <v>1520</v>
      </c>
      <c r="H4024" s="5" t="s">
        <v>28</v>
      </c>
      <c r="I4024" s="5" t="s">
        <v>20</v>
      </c>
      <c r="J4024" s="5" t="s">
        <v>32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9.6</v>
      </c>
      <c r="R4024" s="14">
        <v>0</v>
      </c>
      <c r="S4024" s="14">
        <v>0</v>
      </c>
      <c r="T4024" s="13">
        <v>-4.4038541666666644</v>
      </c>
    </row>
    <row r="4025" spans="1:20" x14ac:dyDescent="0.3">
      <c r="A4025" t="str">
        <f t="shared" si="124"/>
        <v>IOGURTESLACTALIS</v>
      </c>
      <c r="B4025" t="str">
        <f t="shared" si="125"/>
        <v>5263907IOGURTESLACTALIS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122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18.399999999999999</v>
      </c>
      <c r="R4025" s="14">
        <v>0</v>
      </c>
      <c r="S4025" s="14">
        <v>0</v>
      </c>
      <c r="T4025" s="13">
        <v>11.440206068840578</v>
      </c>
    </row>
    <row r="4026" spans="1:20" x14ac:dyDescent="0.3">
      <c r="A4026" t="str">
        <f t="shared" si="124"/>
        <v>LEITE EM PÓITAMBÉ</v>
      </c>
      <c r="B4026" t="str">
        <f t="shared" si="125"/>
        <v>5350815LEITE EM PÓITAMBÉ</v>
      </c>
      <c r="C4026" s="5" t="s">
        <v>174</v>
      </c>
      <c r="D4026" s="5" t="s">
        <v>633</v>
      </c>
      <c r="E4026" s="5" t="s">
        <v>649</v>
      </c>
      <c r="F4026" s="5">
        <v>5350815</v>
      </c>
      <c r="G4026" s="5" t="s">
        <v>666</v>
      </c>
      <c r="H4026" s="5" t="s">
        <v>30</v>
      </c>
      <c r="I4026" s="5" t="s">
        <v>25</v>
      </c>
      <c r="J4026" s="5" t="s">
        <v>70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0</v>
      </c>
      <c r="R4026" s="14">
        <v>0</v>
      </c>
      <c r="S4026" s="14">
        <v>10</v>
      </c>
      <c r="T4026" s="13">
        <v>1.3965000000000041</v>
      </c>
    </row>
    <row r="4027" spans="1:20" x14ac:dyDescent="0.3">
      <c r="A4027" t="str">
        <f t="shared" si="124"/>
        <v>LEITE EM PÓITAMBÉ</v>
      </c>
      <c r="B4027" t="str">
        <f t="shared" si="125"/>
        <v>5374092LEITE EM PÓITAMBÉ</v>
      </c>
      <c r="C4027" s="5" t="s">
        <v>174</v>
      </c>
      <c r="D4027" s="5" t="s">
        <v>633</v>
      </c>
      <c r="E4027" s="5" t="s">
        <v>649</v>
      </c>
      <c r="F4027" s="5">
        <v>5374092</v>
      </c>
      <c r="G4027" s="5" t="s">
        <v>1801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36</v>
      </c>
      <c r="R4027" s="14">
        <v>0</v>
      </c>
      <c r="S4027" s="14">
        <v>36</v>
      </c>
      <c r="T4027" s="13">
        <v>1.3965000000000041</v>
      </c>
    </row>
    <row r="4028" spans="1:20" x14ac:dyDescent="0.3">
      <c r="A4028" t="str">
        <f t="shared" si="124"/>
        <v>LEITE UHTLACTALIS</v>
      </c>
      <c r="B4028" t="str">
        <f t="shared" si="125"/>
        <v>5270158LEITE UHTLACTALIS</v>
      </c>
      <c r="C4028" s="5" t="s">
        <v>174</v>
      </c>
      <c r="D4028" s="5" t="s">
        <v>681</v>
      </c>
      <c r="E4028" s="5" t="s">
        <v>1196</v>
      </c>
      <c r="F4028" s="5">
        <v>5270158</v>
      </c>
      <c r="G4028" s="5" t="s">
        <v>363</v>
      </c>
      <c r="H4028" s="5" t="s">
        <v>28</v>
      </c>
      <c r="I4028" s="5" t="s">
        <v>20</v>
      </c>
      <c r="J4028" s="5" t="s">
        <v>125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120</v>
      </c>
      <c r="R4028" s="14">
        <v>0</v>
      </c>
      <c r="S4028" s="14">
        <v>0</v>
      </c>
      <c r="T4028" s="13">
        <v>0.37163271604938264</v>
      </c>
    </row>
    <row r="4029" spans="1:20" x14ac:dyDescent="0.3">
      <c r="A4029" t="str">
        <f t="shared" si="124"/>
        <v>LEITE UHTLACTALIS</v>
      </c>
      <c r="B4029" t="str">
        <f t="shared" si="125"/>
        <v>5365501LEITE UHTLACTALIS</v>
      </c>
      <c r="C4029" s="5" t="s">
        <v>174</v>
      </c>
      <c r="D4029" s="5" t="s">
        <v>681</v>
      </c>
      <c r="E4029" s="5" t="s">
        <v>1204</v>
      </c>
      <c r="F4029" s="5">
        <v>5365501</v>
      </c>
      <c r="G4029" s="5" t="s">
        <v>1411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0</v>
      </c>
      <c r="T4029" s="13">
        <v>0.37163271604938264</v>
      </c>
    </row>
    <row r="4030" spans="1:20" x14ac:dyDescent="0.3">
      <c r="A4030" t="str">
        <f t="shared" si="124"/>
        <v>BLISTERLACTALIS</v>
      </c>
      <c r="B4030" t="str">
        <f t="shared" si="125"/>
        <v>5326107BLISTERLACTALIS</v>
      </c>
      <c r="C4030" s="5" t="s">
        <v>174</v>
      </c>
      <c r="D4030" s="5" t="s">
        <v>681</v>
      </c>
      <c r="E4030" s="5" t="s">
        <v>1196</v>
      </c>
      <c r="F4030" s="5">
        <v>5326107</v>
      </c>
      <c r="G4030" s="5" t="s">
        <v>553</v>
      </c>
      <c r="H4030" s="5" t="s">
        <v>28</v>
      </c>
      <c r="I4030" s="5" t="s">
        <v>20</v>
      </c>
      <c r="J4030" s="5" t="s">
        <v>152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1.92</v>
      </c>
      <c r="R4030" s="14">
        <v>0</v>
      </c>
      <c r="S4030" s="14">
        <v>0</v>
      </c>
      <c r="T4030" s="13">
        <v>2.5977269513574703</v>
      </c>
    </row>
    <row r="4031" spans="1:20" x14ac:dyDescent="0.3">
      <c r="A4031" t="str">
        <f t="shared" si="124"/>
        <v>CREME 35%LACTALIS</v>
      </c>
      <c r="B4031" t="str">
        <f t="shared" si="125"/>
        <v>5221085CREME 35%LACTALIS</v>
      </c>
      <c r="C4031" s="5" t="s">
        <v>174</v>
      </c>
      <c r="D4031" s="5" t="s">
        <v>681</v>
      </c>
      <c r="E4031" s="5" t="s">
        <v>1198</v>
      </c>
      <c r="F4031" s="5">
        <v>5221085</v>
      </c>
      <c r="G4031" s="5" t="s">
        <v>1802</v>
      </c>
      <c r="H4031" s="5" t="s">
        <v>28</v>
      </c>
      <c r="I4031" s="5" t="s">
        <v>20</v>
      </c>
      <c r="J4031" s="5" t="s">
        <v>74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100</v>
      </c>
      <c r="R4031" s="14">
        <v>0</v>
      </c>
      <c r="S4031" s="14">
        <v>100</v>
      </c>
      <c r="T4031" s="13">
        <v>4.6069999999999993</v>
      </c>
    </row>
    <row r="4032" spans="1:20" x14ac:dyDescent="0.3">
      <c r="A4032" t="str">
        <f t="shared" si="124"/>
        <v>CREME UHTITAMBÉ</v>
      </c>
      <c r="B4032" t="str">
        <f t="shared" si="125"/>
        <v>5011725CREME UHTITAMBÉ</v>
      </c>
      <c r="C4032" s="5" t="s">
        <v>174</v>
      </c>
      <c r="D4032" s="5" t="s">
        <v>681</v>
      </c>
      <c r="E4032" s="5" t="s">
        <v>1203</v>
      </c>
      <c r="F4032" s="5">
        <v>5011725</v>
      </c>
      <c r="G4032" s="5" t="s">
        <v>1799</v>
      </c>
      <c r="H4032" s="5" t="s">
        <v>28</v>
      </c>
      <c r="I4032" s="5" t="s">
        <v>25</v>
      </c>
      <c r="J4032" s="5" t="s">
        <v>32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10144.799999999999</v>
      </c>
      <c r="R4032" s="14">
        <v>0</v>
      </c>
      <c r="S4032" s="14">
        <v>10145</v>
      </c>
      <c r="T4032" s="13">
        <v>6.1264802950881346E-2</v>
      </c>
    </row>
    <row r="4033" spans="1:20" x14ac:dyDescent="0.3">
      <c r="A4033" t="str">
        <f t="shared" si="124"/>
        <v>DOCE DE LEITEITAMBÉ</v>
      </c>
      <c r="B4033" t="str">
        <f t="shared" si="125"/>
        <v>5011725DOCE DE LEITEITAMBÉ</v>
      </c>
      <c r="C4033" s="5" t="s">
        <v>174</v>
      </c>
      <c r="D4033" s="5" t="s">
        <v>681</v>
      </c>
      <c r="E4033" s="5" t="s">
        <v>1203</v>
      </c>
      <c r="F4033" s="5">
        <v>5011725</v>
      </c>
      <c r="G4033" s="5" t="s">
        <v>1799</v>
      </c>
      <c r="H4033" s="5" t="s">
        <v>28</v>
      </c>
      <c r="I4033" s="5" t="s">
        <v>25</v>
      </c>
      <c r="J4033" s="5" t="s">
        <v>42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176.4</v>
      </c>
      <c r="R4033" s="14">
        <v>0</v>
      </c>
      <c r="S4033" s="14">
        <v>176</v>
      </c>
      <c r="T4033" s="13">
        <v>4.4452675469075746</v>
      </c>
    </row>
    <row r="4034" spans="1:20" x14ac:dyDescent="0.3">
      <c r="A4034" t="str">
        <f t="shared" si="124"/>
        <v>DOCE DE LEITELACTALIS</v>
      </c>
      <c r="B4034" t="str">
        <f t="shared" si="125"/>
        <v>5321782DOCE DE LEITELACTALIS</v>
      </c>
      <c r="C4034" s="5" t="s">
        <v>174</v>
      </c>
      <c r="D4034" s="5" t="s">
        <v>1439</v>
      </c>
      <c r="E4034" s="5" t="s">
        <v>1439</v>
      </c>
      <c r="F4034" s="5">
        <v>5321782</v>
      </c>
      <c r="G4034" s="5" t="s">
        <v>1806</v>
      </c>
      <c r="H4034" s="5" t="s">
        <v>93</v>
      </c>
      <c r="I4034" s="5" t="s">
        <v>20</v>
      </c>
      <c r="J4034" s="5" t="s">
        <v>42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27</v>
      </c>
      <c r="R4034" s="14">
        <v>0</v>
      </c>
      <c r="S4034" s="14">
        <v>27</v>
      </c>
      <c r="T4034" s="13">
        <v>0</v>
      </c>
    </row>
    <row r="4035" spans="1:20" x14ac:dyDescent="0.3">
      <c r="A4035" t="str">
        <f t="shared" ref="A4035:A4098" si="126">J4035&amp;I4035</f>
        <v>IOGURTESLACTALIS</v>
      </c>
      <c r="B4035" t="str">
        <f t="shared" ref="B4035:B4098" si="127">F4035&amp;J4035&amp;I4035</f>
        <v>5226985IOGURTESLACTALIS</v>
      </c>
      <c r="C4035" s="5" t="s">
        <v>174</v>
      </c>
      <c r="D4035" s="5" t="s">
        <v>681</v>
      </c>
      <c r="E4035" s="5" t="s">
        <v>681</v>
      </c>
      <c r="F4035" s="5">
        <v>5226985</v>
      </c>
      <c r="G4035" s="5" t="s">
        <v>694</v>
      </c>
      <c r="H4035" s="5" t="s">
        <v>28</v>
      </c>
      <c r="I4035" s="5" t="s">
        <v>20</v>
      </c>
      <c r="J4035" s="5" t="s">
        <v>122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87.6</v>
      </c>
      <c r="R4035" s="14">
        <v>0</v>
      </c>
      <c r="S4035" s="14">
        <v>0</v>
      </c>
      <c r="T4035" s="13">
        <v>11.440206068840578</v>
      </c>
    </row>
    <row r="4036" spans="1:20" x14ac:dyDescent="0.3">
      <c r="A4036" t="str">
        <f t="shared" si="126"/>
        <v>IOGURTESLACTALIS</v>
      </c>
      <c r="B4036" t="str">
        <f t="shared" si="127"/>
        <v>5358021IOGURTESLACTALIS</v>
      </c>
      <c r="C4036" s="5" t="s">
        <v>174</v>
      </c>
      <c r="D4036" s="5" t="s">
        <v>681</v>
      </c>
      <c r="E4036" s="5" t="s">
        <v>1205</v>
      </c>
      <c r="F4036" s="5">
        <v>5358021</v>
      </c>
      <c r="G4036" s="5" t="s">
        <v>1803</v>
      </c>
      <c r="H4036" s="5" t="s">
        <v>28</v>
      </c>
      <c r="I4036" s="5" t="s">
        <v>20</v>
      </c>
      <c r="J4036" s="5" t="s">
        <v>122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42.84</v>
      </c>
      <c r="R4036" s="14">
        <v>0</v>
      </c>
      <c r="S4036" s="14">
        <v>0</v>
      </c>
      <c r="T4036" s="13">
        <v>11.440206068840578</v>
      </c>
    </row>
    <row r="4037" spans="1:20" x14ac:dyDescent="0.3">
      <c r="A4037" t="str">
        <f t="shared" si="126"/>
        <v>IOGURTESLACTALIS</v>
      </c>
      <c r="B4037" t="str">
        <f t="shared" si="127"/>
        <v>5362800IOGURTESLACTALIS</v>
      </c>
      <c r="C4037" s="5" t="s">
        <v>174</v>
      </c>
      <c r="D4037" s="5" t="s">
        <v>681</v>
      </c>
      <c r="E4037" s="5" t="s">
        <v>1205</v>
      </c>
      <c r="F4037" s="5">
        <v>5362800</v>
      </c>
      <c r="G4037" s="5" t="s">
        <v>1803</v>
      </c>
      <c r="H4037" s="5" t="s">
        <v>28</v>
      </c>
      <c r="I4037" s="5" t="s">
        <v>20</v>
      </c>
      <c r="J4037" s="5" t="s">
        <v>122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18.36</v>
      </c>
      <c r="R4037" s="14">
        <v>0</v>
      </c>
      <c r="S4037" s="14">
        <v>0</v>
      </c>
      <c r="T4037" s="13">
        <v>11.440206068840578</v>
      </c>
    </row>
    <row r="4038" spans="1:20" x14ac:dyDescent="0.3">
      <c r="A4038" t="str">
        <f t="shared" si="126"/>
        <v>LEITE EM PÓLACTALIS</v>
      </c>
      <c r="B4038" t="str">
        <f t="shared" si="127"/>
        <v>5316251LEITE EM PÓLACTALIS</v>
      </c>
      <c r="C4038" s="5" t="s">
        <v>174</v>
      </c>
      <c r="D4038" s="5" t="s">
        <v>681</v>
      </c>
      <c r="E4038" s="5" t="s">
        <v>1204</v>
      </c>
      <c r="F4038" s="5">
        <v>5316251</v>
      </c>
      <c r="G4038" s="5" t="s">
        <v>391</v>
      </c>
      <c r="H4038" s="5" t="s">
        <v>28</v>
      </c>
      <c r="I4038" s="5" t="s">
        <v>20</v>
      </c>
      <c r="J4038" s="5" t="s">
        <v>70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9</v>
      </c>
      <c r="R4038" s="14">
        <v>0</v>
      </c>
      <c r="S4038" s="14">
        <v>0</v>
      </c>
      <c r="T4038" s="13">
        <v>-1.3575000000000006</v>
      </c>
    </row>
    <row r="4039" spans="1:20" x14ac:dyDescent="0.3">
      <c r="A4039" t="str">
        <f t="shared" si="126"/>
        <v>LEITE EM PÓLACTALIS</v>
      </c>
      <c r="B4039" t="str">
        <f t="shared" si="127"/>
        <v>5373569LEITE EM PÓLACTALIS</v>
      </c>
      <c r="C4039" s="5" t="s">
        <v>119</v>
      </c>
      <c r="D4039" s="5" t="s">
        <v>161</v>
      </c>
      <c r="E4039" s="5" t="s">
        <v>161</v>
      </c>
      <c r="F4039" s="5">
        <v>5373569</v>
      </c>
      <c r="G4039" s="5" t="s">
        <v>1533</v>
      </c>
      <c r="H4039" s="5" t="s">
        <v>123</v>
      </c>
      <c r="I4039" s="5" t="s">
        <v>20</v>
      </c>
      <c r="J4039" s="5" t="s">
        <v>70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20</v>
      </c>
      <c r="R4039" s="14">
        <v>0</v>
      </c>
      <c r="S4039" s="14">
        <v>0</v>
      </c>
      <c r="T4039" s="13">
        <v>0</v>
      </c>
    </row>
    <row r="4040" spans="1:20" x14ac:dyDescent="0.3">
      <c r="A4040" t="str">
        <f t="shared" si="126"/>
        <v>LEITE UHTLACTALIS</v>
      </c>
      <c r="B4040" t="str">
        <f t="shared" si="127"/>
        <v>5253958LEITE UHTLACTALIS</v>
      </c>
      <c r="C4040" s="5" t="s">
        <v>174</v>
      </c>
      <c r="D4040" s="5" t="s">
        <v>681</v>
      </c>
      <c r="E4040" s="5" t="s">
        <v>1196</v>
      </c>
      <c r="F4040" s="5">
        <v>5253958</v>
      </c>
      <c r="G4040" s="5" t="s">
        <v>487</v>
      </c>
      <c r="H4040" s="5" t="s">
        <v>28</v>
      </c>
      <c r="I4040" s="5" t="s">
        <v>20</v>
      </c>
      <c r="J4040" s="5" t="s">
        <v>125</v>
      </c>
      <c r="K4040" s="6">
        <v>0</v>
      </c>
      <c r="L4040" s="14">
        <v>0</v>
      </c>
      <c r="M4040" s="14">
        <v>0</v>
      </c>
      <c r="N4040" s="14">
        <v>0</v>
      </c>
      <c r="O4040" s="14">
        <v>0</v>
      </c>
      <c r="P4040" s="14">
        <v>0</v>
      </c>
      <c r="Q4040" s="14">
        <v>24</v>
      </c>
      <c r="R4040" s="14">
        <v>0</v>
      </c>
      <c r="S4040" s="14">
        <v>0</v>
      </c>
      <c r="T4040" s="13">
        <v>0.37163271604938264</v>
      </c>
    </row>
    <row r="4041" spans="1:20" x14ac:dyDescent="0.3">
      <c r="A4041" t="str">
        <f t="shared" si="126"/>
        <v>MANTEIGA 5KGLACTALIS</v>
      </c>
      <c r="B4041" t="str">
        <f t="shared" si="127"/>
        <v>5321782MANTEIGA 5KGLACTALIS</v>
      </c>
      <c r="C4041" s="5" t="s">
        <v>174</v>
      </c>
      <c r="D4041" s="5" t="s">
        <v>1439</v>
      </c>
      <c r="E4041" s="5" t="s">
        <v>1439</v>
      </c>
      <c r="F4041" s="5">
        <v>5321782</v>
      </c>
      <c r="G4041" s="5" t="s">
        <v>1806</v>
      </c>
      <c r="H4041" s="5" t="s">
        <v>93</v>
      </c>
      <c r="I4041" s="5" t="s">
        <v>20</v>
      </c>
      <c r="J4041" s="5" t="s">
        <v>54</v>
      </c>
      <c r="K4041" s="6">
        <v>0</v>
      </c>
      <c r="L4041" s="14">
        <v>0</v>
      </c>
      <c r="M4041" s="14">
        <v>0</v>
      </c>
      <c r="N4041" s="14">
        <v>0</v>
      </c>
      <c r="O4041" s="14">
        <v>0</v>
      </c>
      <c r="P4041" s="14">
        <v>0</v>
      </c>
      <c r="Q4041" s="14">
        <v>30</v>
      </c>
      <c r="R4041" s="14">
        <v>0</v>
      </c>
      <c r="S4041" s="14">
        <v>0</v>
      </c>
      <c r="T4041" s="13">
        <v>10.4305</v>
      </c>
    </row>
    <row r="4042" spans="1:20" x14ac:dyDescent="0.3">
      <c r="A4042" t="str">
        <f t="shared" si="126"/>
        <v>MANTEIGA 5KGLACTALIS</v>
      </c>
      <c r="B4042" t="str">
        <f t="shared" si="127"/>
        <v>5361414MANTEIGA 5KGLACTALIS</v>
      </c>
      <c r="C4042" s="5" t="s">
        <v>174</v>
      </c>
      <c r="D4042" s="5" t="s">
        <v>681</v>
      </c>
      <c r="E4042" s="5" t="s">
        <v>1204</v>
      </c>
      <c r="F4042" s="5">
        <v>5361414</v>
      </c>
      <c r="G4042" s="5" t="s">
        <v>1485</v>
      </c>
      <c r="H4042" s="5" t="s">
        <v>28</v>
      </c>
      <c r="I4042" s="5" t="s">
        <v>20</v>
      </c>
      <c r="J4042" s="5" t="s">
        <v>54</v>
      </c>
      <c r="K4042" s="6">
        <v>0</v>
      </c>
      <c r="L4042" s="14">
        <v>0</v>
      </c>
      <c r="M4042" s="14">
        <v>0</v>
      </c>
      <c r="N4042" s="14">
        <v>0</v>
      </c>
      <c r="O4042" s="14">
        <v>0</v>
      </c>
      <c r="P4042" s="14">
        <v>0</v>
      </c>
      <c r="Q4042" s="14">
        <v>0</v>
      </c>
      <c r="R4042" s="14">
        <v>0</v>
      </c>
      <c r="S4042" s="14">
        <v>0</v>
      </c>
      <c r="T4042" s="13">
        <v>11.674270396270396</v>
      </c>
    </row>
    <row r="4043" spans="1:20" x14ac:dyDescent="0.3">
      <c r="A4043" t="str">
        <f t="shared" si="126"/>
        <v>QUEIJOSLACTALIS</v>
      </c>
      <c r="B4043" t="str">
        <f t="shared" si="127"/>
        <v>5316966QUEIJOSLACTALIS</v>
      </c>
      <c r="C4043" s="5" t="s">
        <v>174</v>
      </c>
      <c r="D4043" s="5" t="s">
        <v>681</v>
      </c>
      <c r="E4043" s="5" t="s">
        <v>1217</v>
      </c>
      <c r="F4043" s="5">
        <v>5316966</v>
      </c>
      <c r="G4043" s="5" t="s">
        <v>1804</v>
      </c>
      <c r="H4043" s="5" t="s">
        <v>28</v>
      </c>
      <c r="I4043" s="5" t="s">
        <v>20</v>
      </c>
      <c r="J4043" s="5" t="s">
        <v>56</v>
      </c>
      <c r="K4043" s="6">
        <v>0</v>
      </c>
      <c r="L4043" s="14">
        <v>0</v>
      </c>
      <c r="M4043" s="14">
        <v>0</v>
      </c>
      <c r="N4043" s="14">
        <v>0</v>
      </c>
      <c r="O4043" s="14">
        <v>0</v>
      </c>
      <c r="P4043" s="14">
        <v>0</v>
      </c>
      <c r="Q4043" s="14">
        <v>15.56</v>
      </c>
      <c r="R4043" s="14">
        <v>0</v>
      </c>
      <c r="S4043" s="14">
        <v>0</v>
      </c>
      <c r="T4043" s="13">
        <v>15.573476190476198</v>
      </c>
    </row>
    <row r="4044" spans="1:20" x14ac:dyDescent="0.3">
      <c r="A4044" t="str">
        <f t="shared" si="126"/>
        <v>QUEIJOSLACTALIS</v>
      </c>
      <c r="B4044" t="str">
        <f t="shared" si="127"/>
        <v>5321782QUEIJOSLACTALIS</v>
      </c>
      <c r="C4044" s="5" t="s">
        <v>174</v>
      </c>
      <c r="D4044" s="5" t="s">
        <v>1439</v>
      </c>
      <c r="E4044" s="5" t="s">
        <v>1439</v>
      </c>
      <c r="F4044" s="5">
        <v>5321782</v>
      </c>
      <c r="G4044" s="5" t="s">
        <v>1806</v>
      </c>
      <c r="H4044" s="5" t="s">
        <v>93</v>
      </c>
      <c r="I4044" s="5" t="s">
        <v>20</v>
      </c>
      <c r="J4044" s="5" t="s">
        <v>56</v>
      </c>
      <c r="K4044" s="6">
        <v>0</v>
      </c>
      <c r="L4044" s="14">
        <v>0</v>
      </c>
      <c r="M4044" s="14">
        <v>0</v>
      </c>
      <c r="N4044" s="14">
        <v>0</v>
      </c>
      <c r="O4044" s="14">
        <v>0</v>
      </c>
      <c r="P4044" s="14">
        <v>0</v>
      </c>
      <c r="Q4044" s="14">
        <v>23.31</v>
      </c>
      <c r="R4044" s="14">
        <v>0</v>
      </c>
      <c r="S4044" s="14">
        <v>0</v>
      </c>
      <c r="T4044" s="13">
        <v>2.7512217155522518</v>
      </c>
    </row>
    <row r="4045" spans="1:20" x14ac:dyDescent="0.3">
      <c r="A4045" t="str">
        <f t="shared" si="126"/>
        <v>QUEIJOSLACTALIS</v>
      </c>
      <c r="B4045" t="str">
        <f t="shared" si="127"/>
        <v>5341970QUEIJOSLACTALIS</v>
      </c>
      <c r="C4045" s="5" t="s">
        <v>174</v>
      </c>
      <c r="D4045" s="5" t="s">
        <v>681</v>
      </c>
      <c r="E4045" s="5" t="s">
        <v>1201</v>
      </c>
      <c r="F4045" s="5">
        <v>5341970</v>
      </c>
      <c r="G4045" s="5" t="s">
        <v>987</v>
      </c>
      <c r="H4045" s="5" t="s">
        <v>28</v>
      </c>
      <c r="I4045" s="5" t="s">
        <v>20</v>
      </c>
      <c r="J4045" s="5" t="s">
        <v>56</v>
      </c>
      <c r="K4045" s="6">
        <v>0</v>
      </c>
      <c r="L4045" s="14">
        <v>0</v>
      </c>
      <c r="M4045" s="14">
        <v>0</v>
      </c>
      <c r="N4045" s="14">
        <v>0</v>
      </c>
      <c r="O4045" s="14">
        <v>0</v>
      </c>
      <c r="P4045" s="14">
        <v>0</v>
      </c>
      <c r="Q4045" s="14">
        <v>11.8</v>
      </c>
      <c r="R4045" s="14">
        <v>0</v>
      </c>
      <c r="S4045" s="14">
        <v>0</v>
      </c>
      <c r="T4045" s="13">
        <v>15.573476190476198</v>
      </c>
    </row>
    <row r="4046" spans="1:20" x14ac:dyDescent="0.3">
      <c r="A4046" t="str">
        <f t="shared" si="126"/>
        <v>QUEIJOSLACTALIS</v>
      </c>
      <c r="B4046" t="str">
        <f t="shared" si="127"/>
        <v>5361414QUEIJOSLACTALIS</v>
      </c>
      <c r="C4046" s="5" t="s">
        <v>174</v>
      </c>
      <c r="D4046" s="5" t="s">
        <v>681</v>
      </c>
      <c r="E4046" s="5" t="s">
        <v>1204</v>
      </c>
      <c r="F4046" s="5">
        <v>5361414</v>
      </c>
      <c r="G4046" s="5" t="s">
        <v>1485</v>
      </c>
      <c r="H4046" s="5" t="s">
        <v>28</v>
      </c>
      <c r="I4046" s="5" t="s">
        <v>20</v>
      </c>
      <c r="J4046" s="5" t="s">
        <v>56</v>
      </c>
      <c r="K4046" s="6">
        <v>0</v>
      </c>
      <c r="L4046" s="14">
        <v>0</v>
      </c>
      <c r="M4046" s="14">
        <v>0</v>
      </c>
      <c r="N4046" s="14">
        <v>0</v>
      </c>
      <c r="O4046" s="14">
        <v>0</v>
      </c>
      <c r="P4046" s="14">
        <v>0</v>
      </c>
      <c r="Q4046" s="14">
        <v>0</v>
      </c>
      <c r="R4046" s="14">
        <v>0</v>
      </c>
      <c r="S4046" s="14">
        <v>0</v>
      </c>
      <c r="T4046" s="13">
        <v>15.573476190476198</v>
      </c>
    </row>
    <row r="4047" spans="1:20" x14ac:dyDescent="0.3">
      <c r="A4047" t="str">
        <f t="shared" si="126"/>
        <v>SOROLACTALIS</v>
      </c>
      <c r="B4047" t="str">
        <f t="shared" si="127"/>
        <v>5368052SOROLACTALIS</v>
      </c>
      <c r="C4047" s="5" t="s">
        <v>174</v>
      </c>
      <c r="D4047" s="5" t="s">
        <v>1439</v>
      </c>
      <c r="E4047" s="5" t="s">
        <v>1439</v>
      </c>
      <c r="F4047" s="5">
        <v>5368052</v>
      </c>
      <c r="G4047" s="5" t="s">
        <v>1805</v>
      </c>
      <c r="H4047" s="5" t="s">
        <v>28</v>
      </c>
      <c r="I4047" s="5" t="s">
        <v>20</v>
      </c>
      <c r="J4047" s="5" t="s">
        <v>1416</v>
      </c>
      <c r="K4047" s="6">
        <v>0</v>
      </c>
      <c r="L4047" s="14">
        <v>0</v>
      </c>
      <c r="M4047" s="14">
        <v>0</v>
      </c>
      <c r="N4047" s="14">
        <v>0</v>
      </c>
      <c r="O4047" s="14">
        <v>0</v>
      </c>
      <c r="P4047" s="14">
        <v>0</v>
      </c>
      <c r="Q4047" s="14">
        <v>500</v>
      </c>
      <c r="R4047" s="14">
        <v>0</v>
      </c>
      <c r="S4047" s="14">
        <v>0</v>
      </c>
      <c r="T4047" s="13">
        <v>0</v>
      </c>
    </row>
    <row r="4048" spans="1:20" x14ac:dyDescent="0.3">
      <c r="A4048" t="str">
        <f t="shared" si="126"/>
        <v>SPREADSLACTALIS</v>
      </c>
      <c r="B4048" t="str">
        <f t="shared" si="127"/>
        <v>5321782SPREADSLACTALIS</v>
      </c>
      <c r="C4048" s="5" t="s">
        <v>174</v>
      </c>
      <c r="D4048" s="5" t="s">
        <v>1439</v>
      </c>
      <c r="E4048" s="5" t="s">
        <v>1439</v>
      </c>
      <c r="F4048" s="5">
        <v>5321782</v>
      </c>
      <c r="G4048" s="5" t="s">
        <v>1806</v>
      </c>
      <c r="H4048" s="5" t="s">
        <v>93</v>
      </c>
      <c r="I4048" s="5" t="s">
        <v>20</v>
      </c>
      <c r="J4048" s="5" t="s">
        <v>773</v>
      </c>
      <c r="K4048" s="6">
        <v>0</v>
      </c>
      <c r="L4048" s="14">
        <v>0</v>
      </c>
      <c r="M4048" s="14">
        <v>0</v>
      </c>
      <c r="N4048" s="14">
        <v>0</v>
      </c>
      <c r="O4048" s="14">
        <v>0</v>
      </c>
      <c r="P4048" s="14">
        <v>0</v>
      </c>
      <c r="Q4048" s="14">
        <v>20</v>
      </c>
      <c r="R4048" s="14">
        <v>0</v>
      </c>
      <c r="S4048" s="14">
        <v>0</v>
      </c>
      <c r="T4048" s="13">
        <v>15.001388888888892</v>
      </c>
    </row>
    <row r="4049" spans="1:20" x14ac:dyDescent="0.3">
      <c r="A4049" t="str">
        <f t="shared" si="126"/>
        <v>COMPOSTOITAMBÉ</v>
      </c>
      <c r="B4049" t="str">
        <f t="shared" si="127"/>
        <v>5229332COMPOSTOITAMBÉ</v>
      </c>
      <c r="C4049" s="5" t="s">
        <v>174</v>
      </c>
      <c r="D4049" s="5" t="s">
        <v>633</v>
      </c>
      <c r="E4049" s="5" t="s">
        <v>644</v>
      </c>
      <c r="F4049" s="5">
        <v>5229332</v>
      </c>
      <c r="G4049" s="5" t="s">
        <v>1807</v>
      </c>
      <c r="H4049" s="5" t="s">
        <v>123</v>
      </c>
      <c r="I4049" s="5" t="s">
        <v>25</v>
      </c>
      <c r="J4049" s="5" t="s">
        <v>24</v>
      </c>
      <c r="K4049" s="6">
        <v>0</v>
      </c>
      <c r="L4049" s="14">
        <v>0</v>
      </c>
      <c r="M4049" s="14">
        <v>0</v>
      </c>
      <c r="N4049" s="14">
        <v>0</v>
      </c>
      <c r="O4049" s="14">
        <v>0</v>
      </c>
      <c r="P4049" s="14">
        <v>0</v>
      </c>
      <c r="Q4049" s="14">
        <v>50</v>
      </c>
      <c r="R4049" s="14">
        <v>0</v>
      </c>
      <c r="S4049" s="14">
        <v>0</v>
      </c>
      <c r="T4049" s="13">
        <v>2.562850000000001</v>
      </c>
    </row>
    <row r="4050" spans="1:20" x14ac:dyDescent="0.3">
      <c r="A4050" t="str">
        <f t="shared" si="126"/>
        <v>CREME UHTITAMBÉ</v>
      </c>
      <c r="B4050" t="str">
        <f t="shared" si="127"/>
        <v>5229332CREME UHTITAMBÉ</v>
      </c>
      <c r="C4050" s="5" t="s">
        <v>174</v>
      </c>
      <c r="D4050" s="5" t="s">
        <v>633</v>
      </c>
      <c r="E4050" s="5" t="s">
        <v>644</v>
      </c>
      <c r="F4050" s="5">
        <v>5229332</v>
      </c>
      <c r="G4050" s="5" t="s">
        <v>1807</v>
      </c>
      <c r="H4050" s="5" t="s">
        <v>123</v>
      </c>
      <c r="I4050" s="5" t="s">
        <v>25</v>
      </c>
      <c r="J4050" s="5" t="s">
        <v>32</v>
      </c>
      <c r="K4050" s="6">
        <v>0</v>
      </c>
      <c r="L4050" s="14">
        <v>0</v>
      </c>
      <c r="M4050" s="14">
        <v>0</v>
      </c>
      <c r="N4050" s="14">
        <v>0</v>
      </c>
      <c r="O4050" s="14">
        <v>0</v>
      </c>
      <c r="P4050" s="14">
        <v>0</v>
      </c>
      <c r="Q4050" s="14">
        <v>28.8</v>
      </c>
      <c r="R4050" s="14">
        <v>0</v>
      </c>
      <c r="S4050" s="14">
        <v>0</v>
      </c>
      <c r="T4050" s="13">
        <v>0.63299941758881662</v>
      </c>
    </row>
    <row r="4051" spans="1:20" x14ac:dyDescent="0.3">
      <c r="A4051" t="str">
        <f t="shared" si="126"/>
        <v>CREME UHTITAMBÉ</v>
      </c>
      <c r="B4051" t="str">
        <f t="shared" si="127"/>
        <v>5374092CREME UHTITAMBÉ</v>
      </c>
      <c r="C4051" s="5" t="s">
        <v>174</v>
      </c>
      <c r="D4051" s="5" t="s">
        <v>633</v>
      </c>
      <c r="E4051" s="5" t="s">
        <v>649</v>
      </c>
      <c r="F4051" s="5">
        <v>5374092</v>
      </c>
      <c r="G4051" s="5" t="s">
        <v>1801</v>
      </c>
      <c r="H4051" s="5" t="s">
        <v>30</v>
      </c>
      <c r="I4051" s="5" t="s">
        <v>25</v>
      </c>
      <c r="J4051" s="5" t="s">
        <v>32</v>
      </c>
      <c r="K4051" s="6">
        <v>0</v>
      </c>
      <c r="L4051" s="14">
        <v>0</v>
      </c>
      <c r="M4051" s="14">
        <v>0</v>
      </c>
      <c r="N4051" s="14">
        <v>0</v>
      </c>
      <c r="O4051" s="14">
        <v>0</v>
      </c>
      <c r="P4051" s="14">
        <v>0</v>
      </c>
      <c r="Q4051" s="14">
        <v>54</v>
      </c>
      <c r="R4051" s="14">
        <v>0</v>
      </c>
      <c r="S4051" s="14">
        <v>0</v>
      </c>
      <c r="T4051" s="13">
        <v>0.46372549019607973</v>
      </c>
    </row>
    <row r="4052" spans="1:20" x14ac:dyDescent="0.3">
      <c r="A4052" t="str">
        <f t="shared" si="126"/>
        <v>DOCE DE LEITEITAMBÉ</v>
      </c>
      <c r="B4052" t="str">
        <f t="shared" si="127"/>
        <v>5229332DOCE DE LEITEITAMBÉ</v>
      </c>
      <c r="C4052" s="5" t="s">
        <v>174</v>
      </c>
      <c r="D4052" s="5" t="s">
        <v>633</v>
      </c>
      <c r="E4052" s="5" t="s">
        <v>644</v>
      </c>
      <c r="F4052" s="5">
        <v>5229332</v>
      </c>
      <c r="G4052" s="5" t="s">
        <v>1807</v>
      </c>
      <c r="H4052" s="5" t="s">
        <v>123</v>
      </c>
      <c r="I4052" s="5" t="s">
        <v>25</v>
      </c>
      <c r="J4052" s="5" t="s">
        <v>42</v>
      </c>
      <c r="K4052" s="6">
        <v>0</v>
      </c>
      <c r="L4052" s="14">
        <v>0</v>
      </c>
      <c r="M4052" s="14">
        <v>0</v>
      </c>
      <c r="N4052" s="14">
        <v>0</v>
      </c>
      <c r="O4052" s="14">
        <v>0</v>
      </c>
      <c r="P4052" s="14">
        <v>0</v>
      </c>
      <c r="Q4052" s="14">
        <v>87.76</v>
      </c>
      <c r="R4052" s="14">
        <v>0</v>
      </c>
      <c r="S4052" s="14">
        <v>0</v>
      </c>
      <c r="T4052" s="13">
        <v>6.3070000000000013</v>
      </c>
    </row>
    <row r="4053" spans="1:20" x14ac:dyDescent="0.3">
      <c r="A4053" t="str">
        <f t="shared" si="126"/>
        <v>IOGURTESLACTALIS</v>
      </c>
      <c r="B4053" t="str">
        <f t="shared" si="127"/>
        <v>5371656IOGURTESLACTALIS</v>
      </c>
      <c r="C4053" s="5" t="s">
        <v>174</v>
      </c>
      <c r="D4053" s="5" t="s">
        <v>681</v>
      </c>
      <c r="E4053" s="5" t="s">
        <v>1196</v>
      </c>
      <c r="F4053" s="5">
        <v>5371656</v>
      </c>
      <c r="G4053" s="5" t="s">
        <v>1808</v>
      </c>
      <c r="H4053" s="5" t="s">
        <v>28</v>
      </c>
      <c r="I4053" s="5" t="s">
        <v>20</v>
      </c>
      <c r="J4053" s="5" t="s">
        <v>122</v>
      </c>
      <c r="K4053" s="6">
        <v>0</v>
      </c>
      <c r="L4053" s="14">
        <v>0</v>
      </c>
      <c r="M4053" s="14">
        <v>0</v>
      </c>
      <c r="N4053" s="14">
        <v>0</v>
      </c>
      <c r="O4053" s="14">
        <v>0</v>
      </c>
      <c r="P4053" s="14">
        <v>0</v>
      </c>
      <c r="Q4053" s="14">
        <v>2.4</v>
      </c>
      <c r="R4053" s="14">
        <v>0</v>
      </c>
      <c r="S4053" s="14">
        <v>0</v>
      </c>
      <c r="T4053" s="13">
        <v>11.440206068840578</v>
      </c>
    </row>
    <row r="4054" spans="1:20" x14ac:dyDescent="0.3">
      <c r="A4054" t="str">
        <f t="shared" si="126"/>
        <v>LEITE CONDENSADOITAMBÉ</v>
      </c>
      <c r="B4054" t="str">
        <f t="shared" si="127"/>
        <v>5229332LEITE CONDENSADOITAMBÉ</v>
      </c>
      <c r="C4054" s="5" t="s">
        <v>174</v>
      </c>
      <c r="D4054" s="5" t="s">
        <v>633</v>
      </c>
      <c r="E4054" s="5" t="s">
        <v>644</v>
      </c>
      <c r="F4054" s="5">
        <v>5229332</v>
      </c>
      <c r="G4054" s="5" t="s">
        <v>1807</v>
      </c>
      <c r="H4054" s="5" t="s">
        <v>123</v>
      </c>
      <c r="I4054" s="5" t="s">
        <v>25</v>
      </c>
      <c r="J4054" s="5" t="s">
        <v>31</v>
      </c>
      <c r="K4054" s="6">
        <v>0</v>
      </c>
      <c r="L4054" s="14">
        <v>0</v>
      </c>
      <c r="M4054" s="14">
        <v>0</v>
      </c>
      <c r="N4054" s="14">
        <v>0</v>
      </c>
      <c r="O4054" s="14">
        <v>0</v>
      </c>
      <c r="P4054" s="14">
        <v>0</v>
      </c>
      <c r="Q4054" s="14">
        <v>21.33</v>
      </c>
      <c r="R4054" s="14">
        <v>0</v>
      </c>
      <c r="S4054" s="14">
        <v>0</v>
      </c>
      <c r="T4054" s="13">
        <v>1.3388539876022285</v>
      </c>
    </row>
    <row r="4055" spans="1:20" x14ac:dyDescent="0.3">
      <c r="A4055" t="str">
        <f t="shared" si="126"/>
        <v>LEITE EM PÓITAMBÉ</v>
      </c>
      <c r="B4055" t="str">
        <f t="shared" si="127"/>
        <v>5229332LEITE EM PÓITAMBÉ</v>
      </c>
      <c r="C4055" s="5" t="s">
        <v>174</v>
      </c>
      <c r="D4055" s="5" t="s">
        <v>633</v>
      </c>
      <c r="E4055" s="5" t="s">
        <v>644</v>
      </c>
      <c r="F4055" s="5">
        <v>5229332</v>
      </c>
      <c r="G4055" s="5" t="s">
        <v>1807</v>
      </c>
      <c r="H4055" s="5" t="s">
        <v>123</v>
      </c>
      <c r="I4055" s="5" t="s">
        <v>25</v>
      </c>
      <c r="J4055" s="5" t="s">
        <v>70</v>
      </c>
      <c r="K4055" s="6">
        <v>0</v>
      </c>
      <c r="L4055" s="14">
        <v>0</v>
      </c>
      <c r="M4055" s="14">
        <v>0</v>
      </c>
      <c r="N4055" s="14">
        <v>0</v>
      </c>
      <c r="O4055" s="14">
        <v>0</v>
      </c>
      <c r="P4055" s="14">
        <v>0</v>
      </c>
      <c r="Q4055" s="14">
        <v>20</v>
      </c>
      <c r="R4055" s="14">
        <v>0</v>
      </c>
      <c r="S4055" s="14">
        <v>0</v>
      </c>
      <c r="T4055" s="13">
        <v>1.7071053571428534</v>
      </c>
    </row>
    <row r="4056" spans="1:20" x14ac:dyDescent="0.3">
      <c r="A4056" t="str">
        <f t="shared" si="126"/>
        <v>LEITE EM PÓLACTALIS</v>
      </c>
      <c r="B4056" t="str">
        <f t="shared" si="127"/>
        <v>5006978LEITE EM PÓLACTALIS</v>
      </c>
      <c r="C4056" s="5" t="s">
        <v>174</v>
      </c>
      <c r="D4056" s="5" t="s">
        <v>681</v>
      </c>
      <c r="E4056" s="5" t="s">
        <v>681</v>
      </c>
      <c r="F4056" s="5">
        <v>5006978</v>
      </c>
      <c r="G4056" s="5" t="s">
        <v>694</v>
      </c>
      <c r="H4056" s="5" t="s">
        <v>28</v>
      </c>
      <c r="I4056" s="5" t="s">
        <v>20</v>
      </c>
      <c r="J4056" s="5" t="s">
        <v>70</v>
      </c>
      <c r="K4056" s="6">
        <v>0</v>
      </c>
      <c r="L4056" s="14">
        <v>0</v>
      </c>
      <c r="M4056" s="14">
        <v>0</v>
      </c>
      <c r="N4056" s="14">
        <v>0</v>
      </c>
      <c r="O4056" s="14">
        <v>0</v>
      </c>
      <c r="P4056" s="14">
        <v>0</v>
      </c>
      <c r="Q4056" s="14">
        <v>0</v>
      </c>
      <c r="R4056" s="14">
        <v>0</v>
      </c>
      <c r="S4056" s="14">
        <v>0</v>
      </c>
      <c r="T4056" s="13">
        <v>-1.3575000000000006</v>
      </c>
    </row>
    <row r="4057" spans="1:20" x14ac:dyDescent="0.3">
      <c r="A4057" t="str">
        <f t="shared" si="126"/>
        <v>LEITE EM PÓLACTALIS</v>
      </c>
      <c r="B4057" t="str">
        <f t="shared" si="127"/>
        <v>5226985LEITE EM PÓLACTALIS</v>
      </c>
      <c r="C4057" s="5" t="s">
        <v>174</v>
      </c>
      <c r="D4057" s="5" t="s">
        <v>681</v>
      </c>
      <c r="E4057" s="5" t="s">
        <v>681</v>
      </c>
      <c r="F4057" s="5">
        <v>5226985</v>
      </c>
      <c r="G4057" s="5" t="s">
        <v>694</v>
      </c>
      <c r="H4057" s="5" t="s">
        <v>28</v>
      </c>
      <c r="I4057" s="5" t="s">
        <v>20</v>
      </c>
      <c r="J4057" s="5" t="s">
        <v>70</v>
      </c>
      <c r="K4057" s="6">
        <v>0</v>
      </c>
      <c r="L4057" s="14">
        <v>0</v>
      </c>
      <c r="M4057" s="14">
        <v>0</v>
      </c>
      <c r="N4057" s="14">
        <v>0</v>
      </c>
      <c r="O4057" s="14">
        <v>0</v>
      </c>
      <c r="P4057" s="14">
        <v>0</v>
      </c>
      <c r="Q4057" s="14">
        <v>7.2</v>
      </c>
      <c r="R4057" s="14">
        <v>0</v>
      </c>
      <c r="S4057" s="14">
        <v>0</v>
      </c>
      <c r="T4057" s="13">
        <v>-1.3575000000000006</v>
      </c>
    </row>
    <row r="4058" spans="1:20" x14ac:dyDescent="0.3">
      <c r="A4058" t="str">
        <f t="shared" si="126"/>
        <v>LEITE UHTLACTALIS</v>
      </c>
      <c r="B4058" t="str">
        <f t="shared" si="127"/>
        <v>5371656LEITE UHTLACTALIS</v>
      </c>
      <c r="C4058" s="5" t="s">
        <v>174</v>
      </c>
      <c r="D4058" s="5" t="s">
        <v>681</v>
      </c>
      <c r="E4058" s="5" t="s">
        <v>1196</v>
      </c>
      <c r="F4058" s="5">
        <v>5371656</v>
      </c>
      <c r="G4058" s="5" t="s">
        <v>1808</v>
      </c>
      <c r="H4058" s="5" t="s">
        <v>28</v>
      </c>
      <c r="I4058" s="5" t="s">
        <v>20</v>
      </c>
      <c r="J4058" s="5" t="s">
        <v>125</v>
      </c>
      <c r="K4058" s="6">
        <v>0</v>
      </c>
      <c r="L4058" s="14">
        <v>0</v>
      </c>
      <c r="M4058" s="14">
        <v>0</v>
      </c>
      <c r="N4058" s="14">
        <v>0</v>
      </c>
      <c r="O4058" s="14">
        <v>0</v>
      </c>
      <c r="P4058" s="14">
        <v>0</v>
      </c>
      <c r="Q4058" s="14">
        <v>12</v>
      </c>
      <c r="R4058" s="14">
        <v>0</v>
      </c>
      <c r="S4058" s="14">
        <v>0</v>
      </c>
      <c r="T4058" s="13">
        <v>0.37163271604938264</v>
      </c>
    </row>
    <row r="4059" spans="1:20" x14ac:dyDescent="0.3">
      <c r="A4059" t="str">
        <f t="shared" si="126"/>
        <v>LEITE EM PÓITAMBÉ</v>
      </c>
      <c r="B4059" t="str">
        <f t="shared" si="127"/>
        <v>5105940LEITE EM PÓITAMBÉ</v>
      </c>
      <c r="C4059" s="5" t="s">
        <v>174</v>
      </c>
      <c r="D4059" s="5" t="s">
        <v>681</v>
      </c>
      <c r="E4059" s="5" t="s">
        <v>1578</v>
      </c>
      <c r="F4059" s="5">
        <v>5105940</v>
      </c>
      <c r="G4059" s="5" t="s">
        <v>686</v>
      </c>
      <c r="H4059" s="5" t="s">
        <v>28</v>
      </c>
      <c r="I4059" s="5" t="s">
        <v>25</v>
      </c>
      <c r="J4059" s="5" t="s">
        <v>70</v>
      </c>
      <c r="K4059" s="6">
        <v>0</v>
      </c>
      <c r="L4059" s="14">
        <v>0</v>
      </c>
      <c r="M4059" s="14">
        <v>0</v>
      </c>
      <c r="N4059" s="14">
        <v>0</v>
      </c>
      <c r="O4059" s="14">
        <v>0</v>
      </c>
      <c r="P4059" s="14">
        <v>0</v>
      </c>
      <c r="Q4059" s="14">
        <v>423</v>
      </c>
      <c r="R4059" s="14">
        <v>0</v>
      </c>
      <c r="S4059" s="14">
        <v>0</v>
      </c>
      <c r="T4059" s="13">
        <v>1.0144263082093115</v>
      </c>
    </row>
    <row r="4060" spans="1:20" x14ac:dyDescent="0.3">
      <c r="A4060" t="str">
        <f t="shared" si="126"/>
        <v>COMPOSTOLACTALIS</v>
      </c>
      <c r="B4060" t="str">
        <f t="shared" si="127"/>
        <v>5173427COMPOSTOLACTALIS</v>
      </c>
      <c r="C4060" s="5" t="s">
        <v>14</v>
      </c>
      <c r="D4060" s="5" t="s">
        <v>15</v>
      </c>
      <c r="E4060" s="5" t="s">
        <v>1433</v>
      </c>
      <c r="F4060" s="5">
        <v>5173427</v>
      </c>
      <c r="G4060" s="5" t="s">
        <v>22</v>
      </c>
      <c r="H4060" s="5" t="s">
        <v>23</v>
      </c>
      <c r="I4060" s="5" t="s">
        <v>20</v>
      </c>
      <c r="J4060" s="5" t="s">
        <v>24</v>
      </c>
      <c r="K4060" s="6">
        <v>0</v>
      </c>
      <c r="L4060" s="14">
        <v>0</v>
      </c>
      <c r="M4060" s="14">
        <v>0</v>
      </c>
      <c r="N4060" s="14">
        <v>0</v>
      </c>
      <c r="O4060" s="14">
        <v>0</v>
      </c>
      <c r="P4060" s="14">
        <v>0</v>
      </c>
      <c r="Q4060" s="14">
        <v>12000</v>
      </c>
      <c r="R4060" s="14">
        <v>0</v>
      </c>
      <c r="S4060" s="14">
        <v>0</v>
      </c>
      <c r="T4060" s="13">
        <v>0</v>
      </c>
    </row>
    <row r="4061" spans="1:20" x14ac:dyDescent="0.3">
      <c r="A4061" t="str">
        <f t="shared" si="126"/>
        <v>DANBOLACTALIS</v>
      </c>
      <c r="B4061" t="str">
        <f t="shared" si="127"/>
        <v>5060394DANBOLACTALIS</v>
      </c>
      <c r="C4061" s="5" t="s">
        <v>14</v>
      </c>
      <c r="D4061" s="5" t="s">
        <v>14</v>
      </c>
      <c r="E4061" s="5" t="s">
        <v>106</v>
      </c>
      <c r="F4061" s="5">
        <v>5060394</v>
      </c>
      <c r="G4061" s="5" t="s">
        <v>135</v>
      </c>
      <c r="H4061" s="5" t="s">
        <v>93</v>
      </c>
      <c r="I4061" s="5" t="s">
        <v>20</v>
      </c>
      <c r="J4061" s="5" t="s">
        <v>1811</v>
      </c>
      <c r="K4061" s="6">
        <v>0</v>
      </c>
      <c r="L4061" s="14">
        <v>0</v>
      </c>
      <c r="M4061" s="14">
        <v>0</v>
      </c>
      <c r="N4061" s="14">
        <v>0</v>
      </c>
      <c r="O4061" s="14">
        <v>0</v>
      </c>
      <c r="P4061" s="14">
        <v>0</v>
      </c>
      <c r="Q4061" s="14">
        <v>109403.77099999999</v>
      </c>
      <c r="R4061" s="14">
        <v>0</v>
      </c>
      <c r="S4061" s="14">
        <v>0</v>
      </c>
      <c r="T4061" s="13">
        <v>0</v>
      </c>
    </row>
    <row r="4062" spans="1:20" x14ac:dyDescent="0.3">
      <c r="A4062" t="str">
        <f t="shared" si="126"/>
        <v>DANBOLACTALIS</v>
      </c>
      <c r="B4062" t="str">
        <f t="shared" si="127"/>
        <v>5160324DANBOLACTALIS</v>
      </c>
      <c r="C4062" s="5" t="s">
        <v>14</v>
      </c>
      <c r="D4062" s="5" t="s">
        <v>14</v>
      </c>
      <c r="E4062" s="5" t="s">
        <v>106</v>
      </c>
      <c r="F4062" s="5">
        <v>5160324</v>
      </c>
      <c r="G4062" s="5" t="s">
        <v>82</v>
      </c>
      <c r="H4062" s="5" t="s">
        <v>123</v>
      </c>
      <c r="I4062" s="5" t="s">
        <v>20</v>
      </c>
      <c r="J4062" s="5" t="s">
        <v>1811</v>
      </c>
      <c r="K4062" s="6">
        <v>0</v>
      </c>
      <c r="L4062" s="14">
        <v>0</v>
      </c>
      <c r="M4062" s="14">
        <v>0</v>
      </c>
      <c r="N4062" s="14">
        <v>0</v>
      </c>
      <c r="O4062" s="14">
        <v>0</v>
      </c>
      <c r="P4062" s="14">
        <v>0</v>
      </c>
      <c r="Q4062" s="14">
        <v>48433.595000000001</v>
      </c>
      <c r="R4062" s="14">
        <v>0</v>
      </c>
      <c r="S4062" s="14">
        <v>0</v>
      </c>
      <c r="T4062" s="13">
        <v>0</v>
      </c>
    </row>
    <row r="4063" spans="1:20" x14ac:dyDescent="0.3">
      <c r="A4063" t="str">
        <f t="shared" si="126"/>
        <v>LEITE EM PÓLACTALIS</v>
      </c>
      <c r="B4063" t="str">
        <f t="shared" si="127"/>
        <v>5249249LEITE EM PÓLACTALIS</v>
      </c>
      <c r="C4063" s="5" t="s">
        <v>174</v>
      </c>
      <c r="D4063" s="5" t="s">
        <v>681</v>
      </c>
      <c r="E4063" s="5" t="s">
        <v>1196</v>
      </c>
      <c r="F4063" s="5">
        <v>5249249</v>
      </c>
      <c r="G4063" s="5" t="s">
        <v>913</v>
      </c>
      <c r="H4063" s="5" t="s">
        <v>28</v>
      </c>
      <c r="I4063" s="5" t="s">
        <v>20</v>
      </c>
      <c r="J4063" s="5" t="s">
        <v>70</v>
      </c>
      <c r="K4063" s="6">
        <v>0</v>
      </c>
      <c r="L4063" s="14">
        <v>0</v>
      </c>
      <c r="M4063" s="14">
        <v>0</v>
      </c>
      <c r="N4063" s="14">
        <v>0</v>
      </c>
      <c r="O4063" s="14">
        <v>0</v>
      </c>
      <c r="P4063" s="14">
        <v>0</v>
      </c>
      <c r="Q4063" s="14">
        <v>0</v>
      </c>
      <c r="R4063" s="14">
        <v>0</v>
      </c>
      <c r="S4063" s="14">
        <v>0</v>
      </c>
      <c r="T4063" s="13">
        <v>-1.3575000000000006</v>
      </c>
    </row>
    <row r="4064" spans="1:20" x14ac:dyDescent="0.3">
      <c r="A4064" t="str">
        <f t="shared" si="126"/>
        <v>PARMESÃOLACTALIS</v>
      </c>
      <c r="B4064" t="str">
        <f t="shared" si="127"/>
        <v>5340656PARMESÃOLACTALIS</v>
      </c>
      <c r="C4064" s="5" t="s">
        <v>174</v>
      </c>
      <c r="D4064" s="5" t="s">
        <v>175</v>
      </c>
      <c r="E4064" s="5" t="s">
        <v>588</v>
      </c>
      <c r="F4064" s="5">
        <v>5340656</v>
      </c>
      <c r="G4064" s="5" t="s">
        <v>609</v>
      </c>
      <c r="H4064" s="5" t="s">
        <v>28</v>
      </c>
      <c r="I4064" s="5" t="s">
        <v>20</v>
      </c>
      <c r="J4064" s="5" t="s">
        <v>149</v>
      </c>
      <c r="K4064" s="6">
        <v>0</v>
      </c>
      <c r="L4064" s="14">
        <v>0</v>
      </c>
      <c r="M4064" s="14">
        <v>0</v>
      </c>
      <c r="N4064" s="14">
        <v>0</v>
      </c>
      <c r="O4064" s="14">
        <v>0</v>
      </c>
      <c r="P4064" s="14">
        <v>0</v>
      </c>
      <c r="Q4064" s="14">
        <v>12.999000000000001</v>
      </c>
      <c r="R4064" s="14">
        <v>0</v>
      </c>
      <c r="S4064" s="14">
        <v>0</v>
      </c>
      <c r="T4064" s="13">
        <v>6.6870565206753065</v>
      </c>
    </row>
    <row r="4065" spans="1:20" x14ac:dyDescent="0.3">
      <c r="A4065" t="str">
        <f t="shared" si="126"/>
        <v>SPREADSLACTALIS</v>
      </c>
      <c r="B4065" t="str">
        <f t="shared" si="127"/>
        <v>5247932SPREADSLACTALIS</v>
      </c>
      <c r="C4065" s="5" t="s">
        <v>174</v>
      </c>
      <c r="D4065" s="5" t="s">
        <v>681</v>
      </c>
      <c r="E4065" s="5" t="s">
        <v>1196</v>
      </c>
      <c r="F4065" s="5">
        <v>5247932</v>
      </c>
      <c r="G4065" s="5" t="s">
        <v>320</v>
      </c>
      <c r="H4065" s="5" t="s">
        <v>28</v>
      </c>
      <c r="I4065" s="5" t="s">
        <v>20</v>
      </c>
      <c r="J4065" s="5" t="s">
        <v>773</v>
      </c>
      <c r="K4065" s="6">
        <v>0</v>
      </c>
      <c r="L4065" s="14">
        <v>0</v>
      </c>
      <c r="M4065" s="14">
        <v>0</v>
      </c>
      <c r="N4065" s="14">
        <v>0</v>
      </c>
      <c r="O4065" s="14">
        <v>0</v>
      </c>
      <c r="P4065" s="14">
        <v>0</v>
      </c>
      <c r="Q4065" s="14">
        <v>7.2</v>
      </c>
      <c r="R4065" s="14">
        <v>0</v>
      </c>
      <c r="S4065" s="14">
        <v>0</v>
      </c>
      <c r="T4065" s="13">
        <v>10.327777777777779</v>
      </c>
    </row>
    <row r="4066" spans="1:20" x14ac:dyDescent="0.3">
      <c r="A4066" t="str">
        <f t="shared" si="126"/>
        <v>SPREADSLACTALIS</v>
      </c>
      <c r="B4066" t="str">
        <f t="shared" si="127"/>
        <v>5253195SPREADSLACTALIS</v>
      </c>
      <c r="C4066" s="5" t="s">
        <v>174</v>
      </c>
      <c r="D4066" s="5" t="s">
        <v>681</v>
      </c>
      <c r="E4066" s="5" t="s">
        <v>1578</v>
      </c>
      <c r="F4066" s="5">
        <v>5253195</v>
      </c>
      <c r="G4066" s="5" t="s">
        <v>1521</v>
      </c>
      <c r="H4066" s="5" t="s">
        <v>28</v>
      </c>
      <c r="I4066" s="5" t="s">
        <v>20</v>
      </c>
      <c r="J4066" s="5" t="s">
        <v>773</v>
      </c>
      <c r="K4066" s="6">
        <v>0</v>
      </c>
      <c r="L4066" s="14">
        <v>0</v>
      </c>
      <c r="M4066" s="14">
        <v>0</v>
      </c>
      <c r="N4066" s="14">
        <v>0</v>
      </c>
      <c r="O4066" s="14">
        <v>0</v>
      </c>
      <c r="P4066" s="14">
        <v>0</v>
      </c>
      <c r="Q4066" s="14">
        <v>15</v>
      </c>
      <c r="R4066" s="14">
        <v>0</v>
      </c>
      <c r="S4066" s="14">
        <v>0</v>
      </c>
      <c r="T4066" s="13">
        <v>10.327777777777779</v>
      </c>
    </row>
    <row r="4067" spans="1:20" x14ac:dyDescent="0.3">
      <c r="A4067" t="str">
        <f t="shared" si="126"/>
        <v>BLISTERLACTALIS</v>
      </c>
      <c r="B4067" t="str">
        <f t="shared" si="127"/>
        <v>5316251BLISTERLACTALIS</v>
      </c>
      <c r="C4067" s="5" t="s">
        <v>174</v>
      </c>
      <c r="D4067" s="5" t="s">
        <v>681</v>
      </c>
      <c r="E4067" s="5" t="s">
        <v>1204</v>
      </c>
      <c r="F4067" s="5">
        <v>5316251</v>
      </c>
      <c r="G4067" s="5" t="s">
        <v>391</v>
      </c>
      <c r="H4067" s="5" t="s">
        <v>28</v>
      </c>
      <c r="I4067" s="5" t="s">
        <v>20</v>
      </c>
      <c r="J4067" s="5" t="s">
        <v>152</v>
      </c>
      <c r="K4067" s="6">
        <v>0</v>
      </c>
      <c r="L4067" s="14">
        <v>0</v>
      </c>
      <c r="M4067" s="14">
        <v>0</v>
      </c>
      <c r="N4067" s="14">
        <v>0</v>
      </c>
      <c r="O4067" s="14">
        <v>0</v>
      </c>
      <c r="P4067" s="14">
        <v>0</v>
      </c>
      <c r="Q4067" s="14">
        <v>10.32</v>
      </c>
      <c r="R4067" s="14">
        <v>0</v>
      </c>
      <c r="S4067" s="14">
        <v>0</v>
      </c>
      <c r="T4067" s="13">
        <v>2.5977269513574703</v>
      </c>
    </row>
    <row r="4068" spans="1:20" x14ac:dyDescent="0.3">
      <c r="A4068" t="str">
        <f t="shared" si="126"/>
        <v>LEITE UHTLACTALIS</v>
      </c>
      <c r="B4068" t="str">
        <f t="shared" si="127"/>
        <v>5264769LEITE UHTLACTALIS</v>
      </c>
      <c r="C4068" s="5" t="s">
        <v>174</v>
      </c>
      <c r="D4068" s="5" t="s">
        <v>681</v>
      </c>
      <c r="E4068" s="5" t="s">
        <v>1204</v>
      </c>
      <c r="F4068" s="5">
        <v>5264769</v>
      </c>
      <c r="G4068" s="5" t="s">
        <v>1607</v>
      </c>
      <c r="H4068" s="5" t="s">
        <v>28</v>
      </c>
      <c r="I4068" s="5" t="s">
        <v>20</v>
      </c>
      <c r="J4068" s="5" t="s">
        <v>125</v>
      </c>
      <c r="K4068" s="6">
        <v>0</v>
      </c>
      <c r="L4068" s="14">
        <v>0</v>
      </c>
      <c r="M4068" s="14">
        <v>0</v>
      </c>
      <c r="N4068" s="14">
        <v>0</v>
      </c>
      <c r="O4068" s="14">
        <v>0</v>
      </c>
      <c r="P4068" s="14">
        <v>0</v>
      </c>
      <c r="Q4068" s="14">
        <v>0</v>
      </c>
      <c r="R4068" s="14">
        <v>0</v>
      </c>
      <c r="S4068" s="14">
        <v>0</v>
      </c>
      <c r="T4068" s="13">
        <v>0.37163271604938264</v>
      </c>
    </row>
    <row r="4069" spans="1:20" x14ac:dyDescent="0.3">
      <c r="A4069" t="str">
        <f t="shared" si="126"/>
        <v>SPREADSLACTALIS</v>
      </c>
      <c r="B4069" t="str">
        <f t="shared" si="127"/>
        <v>5170001SPREADSLACTALIS</v>
      </c>
      <c r="C4069" s="5" t="s">
        <v>174</v>
      </c>
      <c r="D4069" s="5" t="s">
        <v>681</v>
      </c>
      <c r="E4069" s="5" t="s">
        <v>1196</v>
      </c>
      <c r="F4069" s="5">
        <v>5170001</v>
      </c>
      <c r="G4069" s="5" t="s">
        <v>474</v>
      </c>
      <c r="H4069" s="5" t="s">
        <v>28</v>
      </c>
      <c r="I4069" s="5" t="s">
        <v>20</v>
      </c>
      <c r="J4069" s="5" t="s">
        <v>773</v>
      </c>
      <c r="K4069" s="6">
        <v>0</v>
      </c>
      <c r="L4069" s="14">
        <v>0</v>
      </c>
      <c r="M4069" s="14">
        <v>0</v>
      </c>
      <c r="N4069" s="14">
        <v>0</v>
      </c>
      <c r="O4069" s="14">
        <v>0</v>
      </c>
      <c r="P4069" s="14">
        <v>0</v>
      </c>
      <c r="Q4069" s="14">
        <v>8</v>
      </c>
      <c r="R4069" s="14">
        <v>0</v>
      </c>
      <c r="S4069" s="14">
        <v>0</v>
      </c>
      <c r="T4069" s="13">
        <v>10.327777777777779</v>
      </c>
    </row>
    <row r="4070" spans="1:20" x14ac:dyDescent="0.3">
      <c r="A4070" t="str">
        <f t="shared" si="126"/>
        <v>LEITE EM PÓITAMBÉ</v>
      </c>
      <c r="B4070" t="str">
        <f t="shared" si="127"/>
        <v>5189644LEITE EM PÓITAMBÉ</v>
      </c>
      <c r="C4070" s="5" t="s">
        <v>174</v>
      </c>
      <c r="D4070" s="5" t="s">
        <v>681</v>
      </c>
      <c r="E4070" s="5" t="s">
        <v>1197</v>
      </c>
      <c r="F4070" s="5">
        <v>5189644</v>
      </c>
      <c r="G4070" s="5" t="s">
        <v>181</v>
      </c>
      <c r="H4070" s="5" t="s">
        <v>28</v>
      </c>
      <c r="I4070" s="5" t="s">
        <v>25</v>
      </c>
      <c r="J4070" s="5" t="s">
        <v>70</v>
      </c>
      <c r="K4070" s="6">
        <v>0</v>
      </c>
      <c r="L4070" s="14">
        <v>0</v>
      </c>
      <c r="M4070" s="14">
        <v>0</v>
      </c>
      <c r="N4070" s="14">
        <v>0</v>
      </c>
      <c r="O4070" s="14">
        <v>0</v>
      </c>
      <c r="P4070" s="14">
        <v>0</v>
      </c>
      <c r="Q4070" s="14">
        <v>10</v>
      </c>
      <c r="R4070" s="14">
        <v>0</v>
      </c>
      <c r="S4070" s="14">
        <v>0</v>
      </c>
      <c r="T4070" s="13">
        <v>1.0144263082093115</v>
      </c>
    </row>
    <row r="4071" spans="1:20" x14ac:dyDescent="0.3">
      <c r="A4071" t="str">
        <f t="shared" si="126"/>
        <v>LPI 25KGITAMBÉ</v>
      </c>
      <c r="B4071" t="str">
        <f t="shared" si="127"/>
        <v>5194510LPI 25KGITAMBÉ</v>
      </c>
      <c r="C4071" s="5" t="s">
        <v>174</v>
      </c>
      <c r="D4071" s="5" t="s">
        <v>1437</v>
      </c>
      <c r="E4071" s="5" t="s">
        <v>634</v>
      </c>
      <c r="F4071" s="5">
        <v>5194510</v>
      </c>
      <c r="G4071" s="5" t="s">
        <v>1809</v>
      </c>
      <c r="H4071" s="5" t="s">
        <v>38</v>
      </c>
      <c r="I4071" s="5" t="s">
        <v>25</v>
      </c>
      <c r="J4071" s="5" t="s">
        <v>19</v>
      </c>
      <c r="K4071" s="6">
        <v>0</v>
      </c>
      <c r="L4071" s="14">
        <v>0</v>
      </c>
      <c r="M4071" s="14">
        <v>0</v>
      </c>
      <c r="N4071" s="14">
        <v>0</v>
      </c>
      <c r="O4071" s="14">
        <v>0</v>
      </c>
      <c r="P4071" s="14">
        <v>0</v>
      </c>
      <c r="Q4071" s="14">
        <v>0</v>
      </c>
      <c r="R4071" s="14">
        <v>0</v>
      </c>
      <c r="S4071" s="14">
        <v>0</v>
      </c>
      <c r="T4071" s="13">
        <v>0</v>
      </c>
    </row>
    <row r="4072" spans="1:20" x14ac:dyDescent="0.3">
      <c r="A4072" t="str">
        <f t="shared" si="126"/>
        <v>IOGURTESLACTALIS</v>
      </c>
      <c r="B4072" t="str">
        <f t="shared" si="127"/>
        <v>5211344IOGURTESLACTALIS</v>
      </c>
      <c r="C4072" s="5" t="s">
        <v>174</v>
      </c>
      <c r="D4072" s="5" t="s">
        <v>681</v>
      </c>
      <c r="E4072" s="5" t="s">
        <v>681</v>
      </c>
      <c r="F4072" s="5">
        <v>5211344</v>
      </c>
      <c r="G4072" s="5" t="s">
        <v>696</v>
      </c>
      <c r="H4072" s="5" t="s">
        <v>28</v>
      </c>
      <c r="I4072" s="5" t="s">
        <v>20</v>
      </c>
      <c r="J4072" s="5" t="s">
        <v>122</v>
      </c>
      <c r="K4072" s="6">
        <v>0</v>
      </c>
      <c r="L4072" s="14">
        <v>0</v>
      </c>
      <c r="M4072" s="14">
        <v>0</v>
      </c>
      <c r="N4072" s="14">
        <v>0</v>
      </c>
      <c r="O4072" s="14">
        <v>0</v>
      </c>
      <c r="P4072" s="14">
        <v>0</v>
      </c>
      <c r="Q4072" s="14">
        <v>18.399999999999999</v>
      </c>
      <c r="R4072" s="14">
        <v>0</v>
      </c>
      <c r="S4072" s="14">
        <v>0</v>
      </c>
      <c r="T4072" s="13">
        <v>11.440206068840578</v>
      </c>
    </row>
    <row r="4073" spans="1:20" x14ac:dyDescent="0.3">
      <c r="A4073" t="str">
        <f t="shared" si="126"/>
        <v>LEITE EM PÓLACTALIS</v>
      </c>
      <c r="B4073" t="str">
        <f t="shared" si="127"/>
        <v>5211344LEITE EM PÓLACTALIS</v>
      </c>
      <c r="C4073" s="5" t="s">
        <v>174</v>
      </c>
      <c r="D4073" s="5" t="s">
        <v>681</v>
      </c>
      <c r="E4073" s="5" t="s">
        <v>681</v>
      </c>
      <c r="F4073" s="5">
        <v>5211344</v>
      </c>
      <c r="G4073" s="5" t="s">
        <v>696</v>
      </c>
      <c r="H4073" s="5" t="s">
        <v>28</v>
      </c>
      <c r="I4073" s="5" t="s">
        <v>20</v>
      </c>
      <c r="J4073" s="5" t="s">
        <v>70</v>
      </c>
      <c r="K4073" s="6">
        <v>0</v>
      </c>
      <c r="L4073" s="14">
        <v>0</v>
      </c>
      <c r="M4073" s="14">
        <v>0</v>
      </c>
      <c r="N4073" s="14">
        <v>0</v>
      </c>
      <c r="O4073" s="14">
        <v>0</v>
      </c>
      <c r="P4073" s="14">
        <v>0</v>
      </c>
      <c r="Q4073" s="14">
        <v>10.8</v>
      </c>
      <c r="R4073" s="14">
        <v>0</v>
      </c>
      <c r="S4073" s="14">
        <v>0</v>
      </c>
      <c r="T4073" s="13">
        <v>-1.3575000000000006</v>
      </c>
    </row>
    <row r="4074" spans="1:20" x14ac:dyDescent="0.3">
      <c r="A4074" t="str">
        <f t="shared" si="126"/>
        <v>MANTEIGA 5KGLACTALIS</v>
      </c>
      <c r="B4074" t="str">
        <f t="shared" si="127"/>
        <v>5217192MANTEIGA 5KGLACTALIS</v>
      </c>
      <c r="C4074" s="5" t="s">
        <v>174</v>
      </c>
      <c r="D4074" s="5" t="s">
        <v>681</v>
      </c>
      <c r="E4074" s="5" t="s">
        <v>1202</v>
      </c>
      <c r="F4074" s="5">
        <v>5217192</v>
      </c>
      <c r="G4074" s="5" t="s">
        <v>1810</v>
      </c>
      <c r="H4074" s="5" t="s">
        <v>28</v>
      </c>
      <c r="I4074" s="5" t="s">
        <v>20</v>
      </c>
      <c r="J4074" s="5" t="s">
        <v>54</v>
      </c>
      <c r="K4074" s="6">
        <v>0</v>
      </c>
      <c r="L4074" s="14">
        <v>0</v>
      </c>
      <c r="M4074" s="14">
        <v>0</v>
      </c>
      <c r="N4074" s="14">
        <v>0</v>
      </c>
      <c r="O4074" s="14">
        <v>0</v>
      </c>
      <c r="P4074" s="14">
        <v>0</v>
      </c>
      <c r="Q4074" s="14">
        <v>0</v>
      </c>
      <c r="R4074" s="14">
        <v>0</v>
      </c>
      <c r="S4074" s="14">
        <v>0</v>
      </c>
      <c r="T4074" s="13">
        <v>11.674270396270396</v>
      </c>
    </row>
    <row r="4075" spans="1:20" x14ac:dyDescent="0.3">
      <c r="A4075" t="str">
        <f t="shared" si="126"/>
        <v>MERC + AROMLACTALIS</v>
      </c>
      <c r="B4075" t="str">
        <f t="shared" si="127"/>
        <v>5371406MERC + AROMLACTALIS</v>
      </c>
      <c r="C4075" s="5" t="s">
        <v>174</v>
      </c>
      <c r="D4075" s="5" t="s">
        <v>681</v>
      </c>
      <c r="E4075" s="5" t="s">
        <v>1204</v>
      </c>
      <c r="F4075" s="5">
        <v>5371406</v>
      </c>
      <c r="G4075" s="5" t="s">
        <v>1576</v>
      </c>
      <c r="H4075" s="5" t="s">
        <v>28</v>
      </c>
      <c r="I4075" s="5" t="s">
        <v>20</v>
      </c>
      <c r="J4075" s="5" t="s">
        <v>178</v>
      </c>
      <c r="K4075" s="6">
        <v>0</v>
      </c>
      <c r="L4075" s="14">
        <v>0</v>
      </c>
      <c r="M4075" s="14">
        <v>0</v>
      </c>
      <c r="N4075" s="14">
        <v>0</v>
      </c>
      <c r="O4075" s="14">
        <v>0</v>
      </c>
      <c r="P4075" s="14">
        <v>0</v>
      </c>
      <c r="Q4075" s="14">
        <v>6</v>
      </c>
      <c r="R4075" s="14">
        <v>0</v>
      </c>
      <c r="S4075" s="14">
        <v>0</v>
      </c>
      <c r="T4075" s="13">
        <v>32.673333333333339</v>
      </c>
    </row>
    <row r="4076" spans="1:20" x14ac:dyDescent="0.3">
      <c r="A4076" t="str">
        <f t="shared" si="126"/>
        <v>BLISTERLACTALIS</v>
      </c>
      <c r="B4076" t="str">
        <f t="shared" si="127"/>
        <v>5374649BLISTERLACTALIS</v>
      </c>
      <c r="C4076" s="5" t="s">
        <v>174</v>
      </c>
      <c r="D4076" s="5" t="s">
        <v>681</v>
      </c>
      <c r="E4076" s="5" t="s">
        <v>1204</v>
      </c>
      <c r="F4076" s="5">
        <v>5374649</v>
      </c>
      <c r="G4076" s="5" t="s">
        <v>1812</v>
      </c>
      <c r="H4076" s="5" t="s">
        <v>28</v>
      </c>
      <c r="I4076" s="5" t="s">
        <v>20</v>
      </c>
      <c r="J4076" s="5" t="s">
        <v>152</v>
      </c>
      <c r="K4076" s="6">
        <v>0</v>
      </c>
      <c r="L4076" s="14">
        <v>0</v>
      </c>
      <c r="M4076" s="14">
        <v>0</v>
      </c>
      <c r="N4076" s="14">
        <v>0</v>
      </c>
      <c r="O4076" s="14">
        <v>0</v>
      </c>
      <c r="P4076" s="14">
        <v>0</v>
      </c>
      <c r="Q4076" s="14">
        <v>1.92</v>
      </c>
      <c r="R4076" s="14">
        <v>0</v>
      </c>
      <c r="S4076" s="14">
        <v>0</v>
      </c>
      <c r="T4076" s="13">
        <v>2.5977269513574703</v>
      </c>
    </row>
    <row r="4077" spans="1:20" x14ac:dyDescent="0.3">
      <c r="A4077" t="str">
        <f t="shared" si="126"/>
        <v>IOGURTESLACTALIS</v>
      </c>
      <c r="B4077" t="str">
        <f t="shared" si="127"/>
        <v>5284419IOGURTESLACTALIS</v>
      </c>
      <c r="C4077" s="5" t="s">
        <v>174</v>
      </c>
      <c r="D4077" s="5" t="s">
        <v>681</v>
      </c>
      <c r="E4077" s="5" t="s">
        <v>1196</v>
      </c>
      <c r="F4077" s="5">
        <v>5284419</v>
      </c>
      <c r="G4077" s="5" t="s">
        <v>1813</v>
      </c>
      <c r="H4077" s="5" t="s">
        <v>28</v>
      </c>
      <c r="I4077" s="5" t="s">
        <v>20</v>
      </c>
      <c r="J4077" s="5" t="s">
        <v>122</v>
      </c>
      <c r="K4077" s="6">
        <v>0</v>
      </c>
      <c r="L4077" s="14">
        <v>0</v>
      </c>
      <c r="M4077" s="14">
        <v>0</v>
      </c>
      <c r="N4077" s="14">
        <v>0</v>
      </c>
      <c r="O4077" s="14">
        <v>0</v>
      </c>
      <c r="P4077" s="14">
        <v>0</v>
      </c>
      <c r="Q4077" s="14">
        <v>18.399999999999999</v>
      </c>
      <c r="R4077" s="14">
        <v>0</v>
      </c>
      <c r="S4077" s="14">
        <v>0</v>
      </c>
      <c r="T4077" s="13">
        <v>11.440206068840578</v>
      </c>
    </row>
    <row r="4078" spans="1:20" x14ac:dyDescent="0.3">
      <c r="A4078" t="str">
        <f t="shared" si="126"/>
        <v>COMPOSTOITAMBÉ</v>
      </c>
      <c r="B4078" t="str">
        <f t="shared" si="127"/>
        <v>5200125COMPOSTOITAMBÉ</v>
      </c>
      <c r="C4078" s="5" t="s">
        <v>174</v>
      </c>
      <c r="D4078" s="5" t="s">
        <v>1437</v>
      </c>
      <c r="E4078" s="5" t="s">
        <v>721</v>
      </c>
      <c r="F4078" s="5">
        <v>5200125</v>
      </c>
      <c r="G4078" s="5" t="s">
        <v>729</v>
      </c>
      <c r="H4078" s="5" t="s">
        <v>76</v>
      </c>
      <c r="I4078" s="5" t="s">
        <v>25</v>
      </c>
      <c r="J4078" s="5" t="s">
        <v>24</v>
      </c>
      <c r="K4078" s="6">
        <v>0</v>
      </c>
      <c r="L4078" s="14">
        <v>0</v>
      </c>
      <c r="M4078" s="14">
        <v>0</v>
      </c>
      <c r="N4078" s="14">
        <v>0</v>
      </c>
      <c r="O4078" s="14">
        <v>0</v>
      </c>
      <c r="P4078" s="14">
        <v>0</v>
      </c>
      <c r="Q4078" s="14">
        <v>0</v>
      </c>
      <c r="R4078" s="14">
        <v>0</v>
      </c>
      <c r="S4078" s="14">
        <v>0</v>
      </c>
      <c r="T4078" s="13">
        <v>0</v>
      </c>
    </row>
    <row r="4079" spans="1:20" x14ac:dyDescent="0.3">
      <c r="A4079" t="str">
        <f t="shared" si="126"/>
        <v>LEITE EM PÓITAMBÉ</v>
      </c>
      <c r="B4079" t="str">
        <f t="shared" si="127"/>
        <v>5184211LEITE EM PÓITAMBÉ</v>
      </c>
      <c r="C4079" s="5" t="s">
        <v>174</v>
      </c>
      <c r="D4079" s="5" t="s">
        <v>1437</v>
      </c>
      <c r="E4079" s="5" t="s">
        <v>634</v>
      </c>
      <c r="F4079" s="5">
        <v>5184211</v>
      </c>
      <c r="G4079" s="5" t="s">
        <v>1227</v>
      </c>
      <c r="H4079" s="5" t="s">
        <v>81</v>
      </c>
      <c r="I4079" s="5" t="s">
        <v>25</v>
      </c>
      <c r="J4079" s="5" t="s">
        <v>70</v>
      </c>
      <c r="K4079" s="6">
        <v>0</v>
      </c>
      <c r="L4079" s="14">
        <v>0</v>
      </c>
      <c r="M4079" s="14">
        <v>0</v>
      </c>
      <c r="N4079" s="14">
        <v>0</v>
      </c>
      <c r="O4079" s="14">
        <v>0</v>
      </c>
      <c r="P4079" s="14">
        <v>0</v>
      </c>
      <c r="Q4079" s="14">
        <v>0</v>
      </c>
      <c r="R4079" s="14">
        <v>0</v>
      </c>
      <c r="S4079" s="14">
        <v>0</v>
      </c>
      <c r="T4079" s="13">
        <v>0</v>
      </c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2026-10-30T11:23:42Z</dcterms:modified>
  <cp:category/>
  <cp:contentStatus/>
</cp:coreProperties>
</file>