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7CFC2C84-B2F6-4961-B296-05B97E87D1BB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<sst xmlns="http://schemas.openxmlformats.org/spreadsheetml/2006/main" count="28400" uniqueCount="1807">
  <si>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</si>
  <si>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</si>
  <si>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</si>
  <si>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</si>
  <si>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</si>
  <si>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</si>
  <si>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</si>
  <si>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</si>
  <si>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</si>
  <si>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</si>
  <si>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</si>
  <si>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</si>
  <si>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</si>
  <si>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</si>
  <si>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</si>
  <si>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</si>
  <si>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</si>
  <si>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</si>
  <si>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</si>
  <si>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</si>
  <si>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</si>
  <si>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</si>
  <si>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</si>
  <si>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</si>
  <si>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</si>
  <si>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</si>
  <si>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</si>
  <si>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</si>
  <si>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</si>
  <si>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</si>
  <si>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</si>
  <si>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</si>
  <si>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</si>
  <si>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</si>
  <si>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</si>
  <si>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</si>
  <si>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</si>
  <si>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</si>
  <si>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</si>
  <si>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</si>
  <si>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</si>
  <si>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</si>
  <si>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</si>
  <si>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</si>
  <si>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</si>
  <si>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</si>
  <si>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</si>
  <si>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</si>
  <si>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</si>
  <si>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</si>
  <si>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</si>
  <si>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</si>
  <si>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</si>
  <si>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</si>
  <si>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</si>
  <si>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</si>
  <si>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</si>
  <si>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</si>
  <si>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</si>
  <si>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</si>
  <si>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</si>
  <si>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</si>
  <si>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</si>
  <si>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</si>
  <si>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</si>
  <si>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</si>
  <si>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</si>
  <si>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</si>
  <si>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</si>
  <si>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</si>
  <si>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</si>
  <si>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</si>
  <si>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</si>
  <si>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</si>
  <si>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</si>
  <si>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</si>
  <si>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</si>
  <si>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</si>
  <si>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</si>
  <si>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</si>
  <si>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</si>
  <si>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</si>
  <si>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</si>
  <si>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</si>
  <si>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</si>
  <si>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</si>
  <si>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</si>
  <si>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</si>
  <si>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</si>
  <si>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</si>
  <si>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</si>
  <si>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</si>
  <si>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</si>
  <si>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</si>
  <si>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</si>
  <si>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</si>
  <si>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</si>
  <si>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</si>
  <si>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</si>
  <si>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</si>
  <si>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</si>
  <si>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</si>
  <si>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</si>
  <si>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</si>
  <si>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</si>
  <si>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</si>
  <si>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</si>
  <si>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</si>
  <si>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</si>
  <si>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</si>
  <si>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</si>
  <si>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</si>
  <si>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</si>
  <si>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</si>
  <si>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</si>
  <si>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</si>
  <si>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</si>
  <si>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</si>
  <si>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</si>
  <si>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</si>
  <si>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</si>
  <si>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</si>
  <si>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</si>
  <si>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</si>
  <si>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</si>
  <si>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</si>
  <si>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</si>
  <si>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</si>
  <si>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</si>
  <si>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</si>
  <si>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</si>
  <si>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</si>
  <si>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</si>
  <si>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</si>
  <si>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</si>
  <si>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</si>
  <si>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</si>
  <si>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</si>
  <si>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</si>
  <si>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</si>
  <si>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</si>
  <si>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</si>
  <si>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</si>
  <si>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</si>
  <si>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</si>
  <si>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</si>
  <si>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</si>
  <si>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</si>
  <si>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</si>
  <si>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</si>
  <si>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</si>
  <si>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</si>
  <si>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</si>
  <si>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</si>
  <si>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</si>
  <si>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</si>
  <si>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</si>
  <si>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</si>
  <si>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</si>
  <si>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</si>
  <si>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</si>
  <si>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</si>
  <si>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</si>
  <si>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</si>
  <si>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</si>
  <si>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</si>
  <si>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</si>
  <si>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</si>
  <si>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</si>
  <si>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</si>
  <si>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</si>
  <si>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</si>
  <si>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</si>
  <si>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</si>
  <si>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</si>
  <si>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</si>
  <si>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</si>
  <si>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</si>
  <si>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</si>
  <si>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</si>
  <si>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</si>
  <si>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</si>
  <si>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</si>
  <si>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</si>
  <si>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</si>
  <si>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</si>
  <si>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</si>
  <si>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</si>
  <si>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</si>
  <si>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</si>
  <si>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</si>
  <si>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</si>
  <si>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</si>
  <si>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</si>
  <si>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</si>
  <si>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</si>
  <si>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</si>
  <si>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</si>
  <si>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</si>
  <si>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</si>
  <si>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</si>
  <si>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</si>
  <si>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</si>
  <si>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</si>
  <si>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</si>
  <si>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</si>
  <si>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</si>
  <si>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</si>
  <si>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</si>
  <si>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</si>
  <si>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</si>
  <si>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</si>
  <si>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</si>
  <si>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</si>
  <si>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</si>
  <si>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</si>
  <si>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</si>
  <si>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</si>
  <si>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</si>
  <si>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</si>
  <si>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</si>
  <si>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</si>
  <si>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</si>
  <si>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</si>
  <si>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</si>
  <si>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</si>
  <si>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</si>
  <si>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</si>
  <si>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</si>
  <si>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</si>
  <si>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</si>
  <si>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</si>
  <si>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</si>
  <si>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</si>
  <si>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</si>
  <si>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</si>
  <si>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</si>
  <si>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</si>
  <si>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</si>
  <si>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</si>
  <si>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</si>
  <si>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</si>
  <si>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</si>
  <si>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</si>
  <si>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</si>
  <si>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</si>
  <si>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</si>
  <si>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</si>
  <si>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</si>
  <si>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</si>
  <si>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</si>
  <si>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</si>
  <si>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</si>
  <si>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</si>
  <si>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</si>
  <si>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</si>
  <si>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</si>
  <si>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</si>
  <si>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</si>
  <si>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</si>
  <si>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</si>
  <si>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</si>
  <si>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</si>
  <si>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</si>
  <si>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</si>
  <si>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</si>
  <si>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</si>
  <si>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</si>
  <si>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</si>
  <si>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</si>
  <si>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</si>
  <si>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</si>
  <si>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</si>
  <si>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</si>
  <si>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</si>
  <si>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</si>
  <si>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</si>
  <si>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</si>
  <si>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</si>
  <si>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</si>
  <si>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</si>
  <si>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</si>
  <si>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</si>
  <si>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</si>
  <si>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</si>
  <si>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</si>
  <si>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</si>
  <si>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</si>
  <si>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</si>
  <si>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</si>
  <si>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</si>
  <si>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</si>
  <si>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</si>
  <si>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</si>
  <si>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</si>
  <si>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</si>
  <si>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</si>
  <si>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</si>
  <si>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</si>
  <si>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</si>
  <si>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</si>
  <si>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</si>
  <si>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</si>
  <si>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</si>
  <si>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</si>
  <si>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</si>
  <si>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</si>
  <si>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</si>
  <si>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</si>
  <si>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</si>
  <si>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</si>
  <si>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</si>
  <si>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</si>
  <si>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</si>
  <si>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</si>
  <si>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</si>
  <si>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</si>
  <si>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</si>
  <si>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</si>
  <si>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</si>
  <si>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</si>
  <si>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</si>
  <si>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</si>
  <si>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</si>
  <si>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</si>
  <si>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</si>
  <si>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</si>
  <si>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</si>
  <si>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</si>
  <si>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</si>
  <si>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</si>
  <si>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</si>
  <si>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</si>
  <si>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</si>
  <si>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</si>
  <si>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</si>
  <si>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</si>
  <si>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</si>
  <si>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</si>
  <si>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</si>
  <si>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</si>
  <si>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</si>
  <si>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</si>
  <si>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</si>
  <si>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</si>
  <si>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</si>
  <si>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</si>
  <si>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</si>
  <si>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</si>
  <si>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</si>
  <si>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</si>
  <si>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</si>
  <si>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</si>
  <si>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</si>
  <si>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</si>
  <si>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</si>
  <si>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</si>
  <si>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</si>
  <si>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</si>
  <si>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</si>
  <si>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</si>
  <si>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</si>
  <si>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</si>
  <si>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</si>
  <si>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</si>
  <si>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</si>
  <si>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</si>
  <si>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</si>
  <si>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</si>
  <si>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</si>
  <si>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</si>
  <si>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</si>
  <si>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</si>
  <si>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</si>
  <si>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</si>
  <si>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</si>
  <si>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</si>
  <si>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</si>
  <si>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</si>
  <si>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</si>
  <si>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</si>
  <si>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</si>
  <si>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</si>
  <si>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</si>
  <si>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</si>
  <si>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</si>
  <si>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</si>
  <si>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</si>
  <si>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</si>
  <si>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</si>
  <si>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</si>
  <si>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</si>
  <si>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</si>
  <si>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</si>
  <si>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</si>
  <si>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</si>
  <si>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</si>
  <si>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</si>
  <si>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</si>
  <si>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</si>
  <si>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</si>
  <si>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</si>
  <si>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</si>
  <si>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</si>
  <si>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</si>
  <si>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</si>
  <si>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</si>
  <si>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</si>
  <si>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</si>
  <si>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</si>
  <si>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</si>
  <si>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</si>
  <si>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</si>
  <si>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</si>
  <si>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</si>
  <si>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</si>
  <si>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</si>
  <si>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</si>
  <si>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</si>
  <si>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</si>
  <si>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</si>
  <si>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</si>
  <si>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</si>
  <si>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</si>
  <si>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</si>
  <si>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</si>
  <si>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</si>
  <si>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</si>
  <si>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</si>
  <si>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</si>
  <si>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</si>
  <si>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</si>
  <si>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</si>
  <si>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</si>
  <si>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</si>
  <si>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</si>
  <si>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</si>
  <si>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</si>
  <si>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</si>
  <si>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</si>
  <si>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</si>
  <si>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</si>
  <si>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</si>
  <si>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</si>
  <si>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</si>
  <si>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</si>
  <si>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</si>
  <si>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</si>
  <si>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</si>
  <si>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</si>
  <si>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</si>
  <si>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</si>
  <si>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</si>
  <si>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</si>
  <si>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</si>
  <si>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</si>
  <si>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</si>
  <si>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</si>
  <si>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</si>
  <si>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</si>
  <si>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</si>
  <si>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</si>
  <si>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</si>
  <si>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</si>
  <si>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</si>
  <si>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</si>
  <si>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</si>
  <si>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</si>
  <si>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</si>
  <si>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</si>
  <si>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</si>
  <si>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</si>
  <si>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</si>
  <si>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</si>
  <si>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</si>
  <si>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</si>
  <si>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</si>
  <si>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</si>
  <si>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</si>
  <si>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</si>
  <si>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</si>
  <si>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</si>
  <si>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</si>
  <si>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</si>
  <si>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</si>
  <si>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</si>
  <si>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</si>
  <si>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</si>
  <si>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</si>
  <si>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</si>
  <si>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</si>
  <si>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</si>
  <si>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</si>
  <si>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</si>
  <si>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</si>
  <si>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</si>
  <si>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</si>
  <si>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</si>
  <si>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</si>
  <si>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</si>
  <si>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</si>
  <si>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</si>
  <si>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</si>
  <si>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</si>
  <si>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</si>
  <si>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</si>
  <si>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</si>
  <si>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</si>
  <si>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</si>
  <si>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</si>
  <si>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</si>
  <si>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</si>
  <si>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</si>
  <si>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</si>
  <si>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</si>
  <si>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</si>
  <si>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</si>
  <si>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</si>
  <si>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</si>
  <si>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</si>
  <si>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</si>
  <si>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</si>
  <si>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</si>
  <si>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</si>
  <si>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</si>
  <si>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</si>
  <si>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</si>
  <si>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</si>
  <si>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</si>
  <si>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</si>
  <si>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</si>
  <si>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</si>
  <si>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</si>
  <si>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</si>
  <si>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</si>
  <si>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</si>
  <si>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</si>
  <si>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</si>
  <si>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</si>
  <si>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</si>
  <si>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</si>
  <si>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</si>
  <si>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</si>
  <si>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</si>
  <si>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</si>
  <si>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</si>
  <si>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</si>
  <si>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</si>
  <si>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</si>
  <si>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</si>
  <si>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</si>
  <si>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</si>
  <si>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</si>
  <si>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</si>
  <si>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</si>
  <si>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</si>
  <si>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</si>
  <si>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</si>
  <si>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</si>
  <si>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</si>
  <si>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</si>
  <si>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</si>
  <si>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</si>
  <si>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</si>
  <si>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</si>
  <si>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</si>
  <si>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</si>
  <si>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</si>
  <si>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</si>
  <si>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</si>
  <si>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</si>
  <si>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</si>
  <si>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</si>
  <si>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</si>
  <si>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</si>
  <si>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</si>
  <si>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</si>
  <si>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</si>
  <si>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</si>
  <si>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</si>
  <si>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</si>
  <si>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</si>
  <si>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</si>
  <si>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</si>
  <si>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</si>
  <si>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</si>
  <si>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</si>
  <si>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</si>
  <si>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</si>
  <si>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</si>
  <si>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</si>
  <si>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</si>
  <si>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</si>
  <si>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</si>
  <si>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</si>
  <si>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</si>
  <si>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</si>
  <si>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</si>
  <si>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</si>
  <si>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</si>
  <si>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</si>
  <si>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</si>
  <si>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</si>
  <si>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</si>
  <si>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</si>
  <si>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</si>
  <si>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</si>
  <si>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</si>
  <si>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</si>
  <si>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</si>
  <si>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</si>
  <si>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</si>
  <si>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</si>
  <si>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</si>
  <si>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</si>
  <si>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</si>
  <si>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</si>
  <si>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</si>
  <si>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</si>
  <si>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</si>
  <si>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</si>
  <si>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</si>
  <si>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</si>
  <si>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</si>
  <si>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</si>
  <si>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</si>
  <si>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</si>
  <si>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</si>
  <si>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</si>
  <si>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</si>
  <si>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</si>
  <si>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</si>
  <si>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</si>
  <si>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</si>
  <si>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</si>
  <si>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</si>
  <si>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</si>
  <si>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</si>
  <si>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</si>
  <si>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</si>
  <si>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</si>
  <si>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</si>
  <si>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</si>
  <si>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</si>
  <si>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</si>
  <si>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</si>
  <si>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</si>
  <si>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</si>
  <si>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</si>
  <si>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</si>
  <si>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</si>
  <si>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</si>
  <si>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</si>
  <si>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</si>
  <si>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</si>
  <si>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</si>
  <si>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</si>
  <si>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</si>
  <si>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</si>
  <si>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</si>
  <si>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</si>
  <si>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</si>
  <si>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</si>
  <si>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</si>
  <si>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</si>
  <si>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</si>
  <si>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</si>
  <si>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</si>
  <si>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</si>
  <si>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</si>
  <si>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</si>
  <si>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</si>
  <si>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</si>
  <si>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</si>
  <si>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</si>
  <si>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</si>
  <si>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</si>
  <si>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</si>
  <si>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</si>
  <si>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</si>
  <si>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</si>
  <si>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</si>
  <si>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</si>
  <si>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</si>
  <si>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</si>
  <si>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</si>
  <si>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</si>
  <si>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</si>
  <si>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</si>
  <si>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</si>
  <si>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</si>
  <si>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</si>
  <si>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</si>
  <si>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</si>
  <si>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</si>
  <si>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</si>
  <si>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</si>
  <si>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</si>
  <si>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</si>
  <si>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</si>
  <si>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</si>
  <si>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</si>
  <si>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</si>
  <si>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</si>
  <si>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</si>
  <si>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</si>
  <si>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</si>
  <si>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</si>
  <si>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</si>
  <si>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</si>
  <si>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</si>
  <si>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</si>
  <si>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</si>
  <si>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</si>
  <si>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</si>
  <si>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</si>
  <si>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</si>
  <si>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</si>
  <si>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</si>
  <si>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</si>
  <si>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</si>
  <si>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</si>
  <si>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</si>
  <si>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</si>
  <si>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</si>
  <si>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</si>
  <si>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</si>
  <si>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</si>
  <si>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</si>
  <si>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</si>
  <si>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</si>
  <si>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</si>
  <si>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</si>
  <si>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</si>
  <si>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</si>
  <si>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</si>
  <si>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</si>
  <si>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</si>
  <si>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</si>
  <si>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</si>
  <si>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</si>
  <si>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</si>
  <si>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</si>
  <si>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</si>
  <si>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</si>
  <si>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</si>
  <si>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</si>
  <si>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</si>
  <si>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</si>
  <si>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</si>
  <si>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</si>
  <si>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</si>
  <si>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</si>
  <si>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</si>
  <si>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</si>
  <si>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</si>
  <si>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</si>
  <si>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</si>
  <si>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</si>
  <si>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</si>
  <si>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</si>
  <si>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</si>
  <si>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</si>
  <si>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</si>
  <si>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</si>
  <si>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</si>
  <si>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</si>
  <si>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</si>
  <si>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</si>
  <si>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</si>
  <si>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</si>
  <si>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</si>
  <si>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</si>
  <si>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</si>
  <si>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</si>
  <si>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</si>
  <si>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</si>
  <si>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</si>
  <si>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</si>
  <si>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</si>
  <si>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</si>
  <si>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</si>
  <si>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</si>
  <si>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</si>
  <si>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</si>
  <si>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</si>
  <si>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</si>
  <si>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</si>
  <si>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</si>
  <si>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</si>
  <si>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</si>
  <si>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</si>
  <si>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</si>
  <si>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</si>
  <si>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</si>
  <si>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</si>
  <si>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</si>
  <si>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</si>
  <si>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</si>
  <si>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</si>
  <si>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</si>
  <si>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</si>
  <si>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</si>
  <si>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</si>
  <si>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</si>
  <si>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</si>
  <si>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</si>
  <si>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</si>
  <si>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</si>
  <si>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</si>
  <si>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</si>
  <si>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</si>
  <si>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</si>
  <si>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</si>
  <si>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</si>
  <si>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</si>
  <si>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</si>
  <si>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</si>
  <si>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</si>
  <si>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</si>
  <si>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</si>
  <si>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</si>
  <si>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</si>
  <si>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</si>
  <si>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</si>
  <si>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</si>
  <si>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</si>
  <si>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</si>
  <si>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</si>
  <si>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</si>
  <si>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</si>
  <si>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</si>
  <si>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</si>
  <si>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</si>
  <si>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</si>
  <si>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</si>
  <si>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</si>
  <si>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</si>
  <si>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</si>
  <si>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</si>
  <si>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</si>
  <si>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</si>
  <si>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</si>
  <si>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</si>
  <si>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</si>
  <si>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</si>
  <si>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</si>
  <si>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</si>
  <si>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</si>
  <si>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</si>
  <si>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</si>
  <si>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</si>
  <si>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</si>
  <si>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</si>
  <si>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</si>
  <si>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</si>
  <si>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</si>
  <si>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</si>
  <si>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</si>
  <si>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</si>
  <si>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</si>
  <si>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</si>
  <si>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</si>
  <si>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</si>
  <si>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</si>
  <si>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</si>
  <si>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</si>
  <si>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</si>
  <si>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</si>
  <si>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</si>
  <si>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</si>
  <si>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</si>
  <si>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</si>
  <si>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</si>
  <si>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</si>
  <si>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</si>
  <si>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</si>
  <si>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</si>
  <si>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</si>
  <si>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</si>
  <si>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</si>
  <si>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</si>
  <si>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</si>
  <si>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</si>
  <si>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</si>
  <si>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</si>
  <si>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</si>
  <si>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</si>
  <si>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</si>
  <si>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</si>
  <si>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</si>
  <si>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</si>
  <si>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</si>
  <si>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</si>
  <si>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</si>
  <si>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</si>
  <si>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</si>
  <si>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</si>
  <si>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</si>
  <si>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</si>
  <si>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</si>
  <si>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</si>
  <si>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</si>
  <si>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</si>
  <si>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</si>
  <si>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</si>
  <si>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</si>
  <si>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</si>
  <si>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</si>
  <si>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</si>
  <si>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</si>
  <si>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</si>
  <si>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</si>
  <si>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</si>
  <si>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</si>
  <si>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</si>
  <si>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</si>
  <si>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</si>
  <si>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</si>
  <si>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</si>
  <si>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</si>
  <si>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</si>
  <si>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</si>
  <si>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</si>
  <si>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</si>
  <si>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</si>
  <si>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</si>
  <si>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</si>
  <si>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</si>
  <si>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</si>
  <si>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</si>
  <si>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</si>
  <si>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</si>
  <si>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</si>
  <si>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</si>
  <si>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</si>
  <si>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</si>
  <si>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</si>
  <si>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</si>
  <si>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</si>
  <si>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</si>
  <si>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</si>
  <si>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</si>
  <si>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</si>
  <si>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</si>
  <si>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</si>
  <si>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</si>
  <si>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</si>
  <si>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</si>
  <si>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</si>
  <si>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</si>
  <si>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</si>
  <si>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</si>
  <si>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</si>
  <si>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</si>
  <si>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</si>
  <si>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</si>
  <si>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</si>
  <si>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</si>
  <si>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</si>
  <si>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</si>
  <si>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</si>
  <si>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</si>
  <si>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</si>
  <si>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</si>
  <si>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</si>
  <si>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</si>
  <si>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</si>
  <si>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</si>
  <si>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</si>
  <si>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</si>
  <si>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</si>
  <si>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</si>
  <si>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</si>
  <si>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</si>
  <si>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</si>
  <si>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</si>
  <si>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</si>
  <si>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</si>
  <si>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</si>
  <si>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</si>
  <si>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</si>
  <si>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</si>
  <si>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</si>
  <si>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</si>
  <si>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</si>
  <si>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</si>
  <si>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</si>
  <si>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</si>
  <si>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</si>
  <si>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</si>
  <si>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</si>
  <si>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</si>
  <si>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</si>
  <si>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</si>
  <si>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</si>
  <si>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</si>
  <si>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</si>
  <si>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</si>
  <si>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</si>
  <si>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</si>
  <si>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</si>
  <si>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</si>
  <si>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</si>
  <si>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</si>
  <si>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</si>
  <si>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</si>
  <si>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</si>
  <si>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</si>
  <si>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</si>
  <si>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</si>
  <si>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</si>
  <si>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</si>
  <si>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</si>
  <si>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</si>
  <si>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</si>
  <si>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</si>
  <si>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</si>
  <si>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</si>
  <si>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</si>
  <si>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</si>
  <si>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</si>
  <si>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</si>
  <si>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</si>
  <si>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</si>
  <si>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</si>
  <si>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</si>
  <si>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</si>
  <si>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</si>
  <si>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</si>
  <si>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</si>
  <si>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</si>
  <si>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</si>
  <si>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</si>
  <si>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</si>
  <si>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</si>
  <si>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</si>
  <si>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</si>
  <si>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</si>
  <si>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</si>
  <si>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</si>
  <si>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</si>
  <si>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</si>
  <si>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</si>
  <si>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</si>
  <si>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</si>
  <si>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</si>
  <si>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</si>
  <si>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</si>
  <si>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</si>
  <si>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</si>
  <si>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</si>
  <si>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</si>
  <si>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</si>
  <si>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</si>
  <si>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</si>
  <si>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</si>
  <si>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</si>
  <si>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</si>
  <si>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</si>
  <si>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</si>
  <si>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</si>
  <si>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</si>
  <si>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</si>
  <si>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</si>
  <si>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</si>
  <si>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</si>
  <si>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</si>
  <si>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</si>
  <si>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</si>
  <si>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</si>
  <si>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</si>
  <si>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</si>
  <si>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</si>
  <si>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</si>
  <si>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</si>
  <si>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</si>
  <si>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</si>
  <si>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</si>
  <si>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</si>
  <si>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</si>
  <si>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</si>
  <si>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</si>
  <si>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</si>
  <si>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</si>
  <si>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</si>
  <si>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</si>
  <si>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</si>
  <si>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</si>
  <si>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</si>
  <si>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</si>
  <si>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</si>
  <si>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</si>
  <si>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</si>
  <si>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</si>
  <si>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</si>
  <si>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</si>
  <si>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</si>
  <si>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</si>
  <si>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</si>
  <si>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</si>
  <si>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</si>
  <si>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</si>
  <si>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</si>
  <si>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</si>
  <si>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</si>
  <si>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</si>
  <si>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</si>
  <si>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</si>
  <si>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</si>
  <si>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</si>
  <si>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</si>
  <si>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</si>
  <si>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</si>
  <si>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</si>
  <si>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</si>
  <si>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</si>
  <si>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</si>
  <si>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</si>
  <si>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</si>
  <si>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</si>
  <si>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</si>
  <si>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</si>
  <si>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</si>
  <si>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</si>
  <si>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</si>
  <si>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</si>
  <si>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</si>
  <si>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</si>
  <si>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</si>
  <si>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</si>
  <si>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</si>
  <si>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</si>
  <si>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</si>
  <si>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</si>
  <si>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</si>
  <si>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</si>
  <si>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</si>
  <si>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</si>
  <si>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</si>
  <si>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</si>
  <si>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</si>
  <si>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</si>
  <si>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</si>
  <si>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</si>
  <si>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</si>
  <si>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</si>
  <si>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</si>
  <si>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</si>
  <si>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</si>
  <si>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</si>
  <si>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</si>
  <si>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</si>
  <si>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</si>
  <si>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</si>
  <si>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</si>
  <si>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</si>
  <si>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</si>
  <si>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</si>
  <si>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</si>
  <si>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</si>
  <si>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</si>
  <si>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</si>
  <si>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</si>
  <si>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</si>
  <si>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</si>
  <si>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</si>
  <si>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</si>
  <si>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</si>
  <si>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</si>
  <si>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</si>
  <si>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</si>
  <si>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</si>
  <si>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</si>
  <si>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</si>
  <si>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</si>
  <si>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</si>
  <si>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</si>
  <si>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</si>
  <si>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</si>
  <si>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</si>
  <si>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</si>
  <si>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</si>
  <si>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</si>
  <si>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</si>
  <si>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</si>
  <si>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</si>
  <si>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</si>
  <si>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</si>
  <si>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</si>
  <si>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</si>
  <si>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</si>
  <si>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</si>
  <si>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</si>
  <si>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</si>
  <si>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</si>
  <si>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</si>
  <si>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</si>
  <si>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</si>
  <si>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</si>
  <si>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</si>
  <si>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</si>
  <si>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</si>
  <si>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</si>
  <si>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</si>
  <si>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</si>
  <si>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</si>
  <si>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</si>
  <si>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</si>
  <si>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</si>
  <si>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</si>
  <si>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</si>
  <si>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</si>
  <si>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</si>
  <si>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</si>
  <si>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</si>
  <si>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</si>
  <si>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</si>
  <si>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</si>
  <si>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</si>
  <si>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</si>
  <si>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</si>
  <si>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</si>
  <si>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</si>
  <si>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</si>
  <si>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</si>
  <si>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</si>
  <si>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</si>
  <si>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</si>
  <si>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</si>
  <si>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</si>
  <si>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</si>
  <si>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</si>
  <si>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</si>
  <si>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</si>
  <si>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</si>
  <si>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</si>
  <si>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</si>
  <si>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</si>
  <si>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</si>
  <si>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</si>
  <si>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</si>
  <si>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</si>
  <si>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</si>
  <si>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</si>
  <si>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</si>
  <si>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</si>
  <si>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</si>
  <si>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</si>
  <si>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</si>
  <si>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</si>
  <si>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</si>
  <si>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</si>
  <si>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</si>
  <si>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</si>
  <si>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</si>
  <si>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</si>
  <si>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</si>
  <si>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</si>
  <si>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</si>
  <si>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</si>
  <si>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</si>
  <si>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</si>
  <si>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</si>
  <si>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</si>
  <si>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</si>
  <si>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</si>
  <si>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</si>
  <si>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</si>
  <si>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</si>
  <si>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</si>
  <si>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</si>
  <si>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</si>
  <si>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</si>
  <si>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</si>
  <si>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</si>
  <si>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</si>
  <si>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</si>
  <si>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</si>
  <si>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</si>
  <si>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</si>
  <si>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</si>
  <si>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</si>
  <si>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</si>
  <si>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</si>
  <si>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</si>
  <si>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</si>
  <si>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</si>
  <si>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</si>
  <si>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</si>
  <si>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</si>
  <si>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</si>
  <si>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</si>
  <si>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</si>
  <si>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</si>
  <si>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</si>
  <si>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</si>
  <si>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</si>
  <si>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</si>
  <si>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</si>
  <si>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</si>
  <si>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</si>
  <si>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</si>
  <si>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</si>
  <si>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</si>
  <si>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</si>
  <si>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</si>
  <si>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</si>
  <si>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</si>
  <si>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</si>
  <si>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</si>
  <si>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</si>
  <si>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</si>
  <si>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</si>
  <si>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</si>
  <si>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</si>
  <si>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</si>
  <si>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</si>
  <si>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</si>
  <si>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</si>
  <si>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</si>
  <si>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</si>
  <si>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</si>
  <si>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</si>
  <si>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</si>
  <si>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</si>
  <si>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</si>
  <si>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</si>
  <si>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</si>
  <si>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</si>
  <si>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</si>
  <si>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</si>
  <si>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</si>
  <si>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</si>
  <si>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</si>
  <si>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</si>
  <si>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</si>
  <si>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</si>
  <si>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</si>
  <si>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</si>
  <si>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</si>
  <si>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</si>
  <si>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</si>
  <si>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</si>
  <si>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</si>
  <si>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</si>
  <si>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</si>
  <si>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</si>
  <si>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</si>
  <si>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</si>
  <si>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</si>
  <si>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</si>
  <si>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</si>
  <si>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</si>
  <si>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</si>
  <si>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</si>
  <si>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</si>
  <si>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</si>
  <si>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</si>
  <si>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</si>
  <si>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</si>
  <si>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</si>
  <si>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</si>
  <si>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</si>
  <si>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</si>
  <si>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</si>
  <si>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</si>
  <si>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</si>
  <si>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</si>
  <si>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</si>
  <si>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</si>
  <si>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</si>
  <si>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</si>
  <si>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</si>
  <si>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</si>
  <si>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</si>
  <si>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</si>
  <si>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</si>
  <si>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</si>
  <si>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</si>
  <si>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</si>
  <si>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</si>
  <si>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</si>
  <si>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</si>
  <si>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</si>
  <si>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</si>
  <si>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</si>
  <si>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</si>
  <si>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</si>
  <si>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</si>
  <si>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</si>
  <si>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</si>
  <si>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</si>
  <si>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</si>
  <si>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</si>
  <si>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</si>
  <si>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</si>
  <si>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</si>
  <si>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</si>
  <si>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</si>
  <si>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</si>
  <si>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</si>
  <si>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</si>
  <si>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</si>
  <si>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</si>
  <si>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</si>
  <si>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</si>
  <si>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</si>
  <si>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</si>
  <si>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</si>
  <si>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</si>
  <si>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</si>
  <si>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</si>
  <si>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</si>
  <si>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</si>
  <si>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</si>
  <si>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</si>
  <si>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</si>
  <si>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</si>
  <si>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</si>
  <si>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</si>
  <si>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</si>
  <si>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</si>
  <si>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</si>
  <si>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</si>
  <si>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</si>
  <si>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</si>
  <si>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</si>
  <si>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</si>
  <si>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</si>
  <si>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</si>
  <si>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</si>
  <si>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</si>
  <si>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</si>
  <si>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</si>
  <si>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</si>
  <si>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</si>
  <si>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</si>
  <si>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</si>
  <si>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</si>
  <si>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</si>
  <si>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</si>
  <si>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</si>
  <si>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</si>
  <si>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</si>
  <si>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</si>
  <si>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</si>
  <si>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</si>
  <si>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</si>
  <si>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</si>
  <si>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</si>
  <si>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</si>
  <si>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</si>
  <si>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</si>
  <si>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</si>
  <si>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</si>
  <si>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</si>
  <si>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</si>
  <si>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</si>
  <si>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</si>
  <si>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</si>
  <si>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</si>
  <si>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</si>
  <si>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</si>
  <si>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</si>
  <si>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</si>
  <si>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</si>
  <si>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</si>
  <si>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</si>
  <si>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</si>
  <si>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</si>
  <si>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</si>
  <si>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</si>
  <si>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</si>
  <si>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</si>
  <si>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</si>
  <si>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</si>
  <si>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</si>
  <si>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</si>
  <si>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</si>
  <si>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</si>
  <si>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</si>
  <si>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</si>
  <si>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</si>
  <si>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</si>
  <si>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</si>
  <si>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</si>
  <si>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</si>
  <si>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</si>
  <si>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</si>
  <si>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</si>
  <si>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</si>
  <si>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</si>
  <si>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</si>
  <si>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</si>
  <si>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</si>
  <si>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</si>
  <si>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</si>
  <si>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</si>
  <si>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</si>
  <si>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</si>
  <si>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</si>
  <si>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</si>
  <si>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</si>
  <si>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</si>
  <si>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</si>
  <si>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</si>
  <si>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</si>
  <si>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</si>
  <si>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</si>
  <si>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</si>
  <si>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</si>
  <si>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</si>
  <si>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</si>
  <si>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</si>
  <si>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</si>
  <si>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</si>
  <si>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</si>
  <si>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</si>
  <si>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</si>
  <si>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</si>
  <si>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</si>
  <si>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</si>
  <si>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</si>
  <si>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</si>
  <si>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</si>
  <si>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</si>
  <si>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</si>
  <si>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</si>
  <si>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</si>
  <si>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</si>
  <si>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</si>
  <si>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</si>
  <si>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</si>
  <si>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</si>
  <si>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</si>
  <si>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</si>
  <si>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</si>
  <si>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</si>
  <si>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</si>
  <si>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</si>
  <si>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</si>
  <si>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</si>
  <si>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</si>
  <si>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</si>
  <si>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</si>
  <si>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</si>
  <si>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</si>
  <si>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</si>
  <si>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</si>
  <si>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</si>
  <si>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</si>
  <si>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</si>
  <si>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</si>
  <si>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</si>
  <si>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</si>
  <si>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</si>
  <si>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</si>
  <si>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</si>
  <si>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</si>
  <si>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</si>
  <si>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</si>
  <si>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</si>
  <si>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</si>
  <si>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</si>
  <si>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</si>
  <si>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</si>
  <si>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</si>
  <si>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</si>
  <si>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</si>
  <si>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</si>
  <si>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</si>
  <si>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</si>
  <si>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</si>
  <si>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</si>
  <si>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</si>
  <si>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</si>
  <si>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</si>
  <si>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</si>
  <si>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</si>
  <si>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</si>
  <si>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</si>
  <si>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</si>
  <si>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</si>
  <si>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</si>
  <si>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</si>
  <si>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</si>
  <si>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</si>
  <si>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</si>
  <si>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</si>
  <si>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</si>
  <si>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</si>
  <si>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</si>
  <si>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</si>
  <si>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</si>
  <si>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</si>
  <si>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</si>
  <si>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</si>
  <si>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</si>
  <si>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</si>
  <si>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</si>
  <si>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</si>
  <si>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</si>
  <si>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</si>
  <si>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</si>
  <si>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</si>
  <si>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</si>
  <si>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</si>
  <si>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</si>
  <si>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</si>
  <si>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</si>
  <si>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</si>
  <si>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</si>
  <si>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</si>
  <si>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</si>
  <si>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</si>
  <si>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</si>
  <si>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</si>
  <si>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</si>
  <si>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</si>
  <si>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</si>
  <si>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</si>
  <si>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</si>
  <si>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</si>
  <si>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</si>
  <si>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</si>
  <si>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</si>
  <si>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</si>
  <si>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</si>
  <si>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</si>
  <si>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</si>
  <si>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</si>
  <si>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</si>
  <si>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</si>
  <si>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</si>
  <si>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</si>
  <si>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</si>
  <si>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</si>
  <si>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</si>
  <si>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</si>
  <si>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</si>
  <si>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</si>
  <si>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</si>
  <si>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</si>
  <si>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</si>
  <si>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</si>
  <si>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</si>
  <si>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</si>
  <si>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</si>
  <si>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</si>
  <si>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</si>
  <si>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</si>
  <si>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</si>
  <si>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</si>
  <si>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</si>
  <si>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</si>
  <si>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</si>
  <si>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</si>
  <si>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</si>
  <si>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</si>
  <si>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</si>
  <si>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</si>
  <si>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</si>
  <si>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</si>
  <si>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</si>
  <si>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</si>
  <si>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</si>
  <si>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</si>
  <si>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</si>
  <si>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</si>
  <si>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</si>
  <si>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</si>
  <si>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</si>
  <si>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</si>
  <si>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</si>
  <si>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</si>
  <si>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</si>
  <si>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</si>
  <si>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</si>
  <si>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</si>
  <si>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</si>
  <si>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</si>
  <si>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</si>
  <si>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</si>
  <si>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</si>
  <si>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</si>
  <si>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</si>
  <si>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</si>
  <si>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</si>
  <si>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</si>
  <si>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</si>
  <si>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</si>
  <si>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</si>
  <si>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</si>
  <si>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</si>
  <si>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</si>
  <si>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</si>
  <si>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</si>
  <si>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</si>
  <si>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</si>
  <si>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</si>
  <si>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</si>
  <si>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</si>
  <si>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</si>
  <si>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</si>
  <si>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</si>
  <si>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</si>
  <si>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</si>
  <si>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</si>
  <si>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</si>
  <si>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</si>
  <si>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</si>
  <si>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</si>
  <si>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</si>
  <si>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</si>
  <si>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</si>
  <si>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</si>
  <si>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</si>
  <si>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</si>
  <si>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</si>
  <si>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</si>
  <si>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</si>
  <si>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</si>
  <si>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</si>
  <si>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</si>
  <si>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</si>
  <si>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</si>
  <si>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</si>
  <si>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</si>
  <si>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</si>
  <si>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</si>
  <si>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</si>
  <si>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</si>
  <si>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</si>
  <si>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</si>
  <si>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</si>
  <si>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</si>
  <si>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</si>
  <si>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</si>
  <si>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</si>
  <si>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</si>
  <si>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</si>
  <si>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</si>
  <si>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</si>
  <si>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</si>
  <si>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</si>
  <si>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</si>
  <si>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</si>
  <si>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</si>
  <si>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</si>
  <si>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</si>
  <si>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</si>
  <si>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</si>
  <si>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</si>
  <si>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</si>
  <si>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</si>
  <si>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</si>
  <si>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</si>
  <si>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</si>
  <si>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</si>
  <si>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</si>
  <si>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</si>
  <si>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</si>
  <si>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</si>
  <si>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</si>
  <si>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</si>
  <si>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</si>
  <si>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</si>
  <si>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</si>
  <si>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</si>
  <si>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</si>
  <si>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</si>
  <si>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</si>
  <si>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</si>
  <si>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</si>
  <si>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</si>
  <si>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(vazio)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</si>
  <si>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</si>
  <si>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</si>
  <si>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</si>
  <si>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</si>
  <si>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</si>
  <si>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</si>
  <si>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</si>
  <si>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</si>
  <si>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</si>
  <si>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</si>
  <si>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</si>
  <si>
    <t>FERPAN DIST DE PROD ALIM D LTDA</t>
  </si>
  <si>
    <t>NOVA FOODS COMERCIO DE ALIMENTOS LT</t>
  </si>
  <si>
    <t>CLAUDIO JORGE DA SILVA FS RN</t>
  </si>
  <si>
    <t>TUTTI SP MARKET LTDA</t>
  </si>
  <si>
    <t>INDUSTRIA DE ALIMENTOS FAVO DE MEL LTDA</t>
  </si>
  <si>
    <t>MUNDAREU DE CHOCOLATES CONTINENTAL LTDA</t>
  </si>
  <si>
    <t>PENNACCHI E CIA LTDA</t>
  </si>
  <si>
    <t>FERPAN DIST DE PRODUTOS ALIM E DES LTDA</t>
  </si>
  <si>
    <t>43163180 ALAN LENK COURA</t>
  </si>
  <si>
    <t>COMERCIAL ATACADISTA NECHIO LTD</t>
  </si>
  <si>
    <t>IBAC INDUSTRIA BRASILEIRA DE ALIM C</t>
  </si>
  <si>
    <t>GABHELO GASTRONOMIA ARTEIRA LTDA</t>
  </si>
  <si>
    <t>CVS COM ALIMENTOS E SERV CARTOES EI</t>
  </si>
  <si>
    <t>PREMIER ALIMENTOS LTDA</t>
  </si>
  <si>
    <t>FAST NUTRI CON COM DE PROD NAT S A</t>
  </si>
  <si>
    <t>AUGURI SORVETES EIRELI</t>
  </si>
  <si>
    <t>VAM REFEICOES E EVENTOS LTDA</t>
  </si>
  <si>
    <t>CARMEN CARNEIRO RESTAURANTE LTDA</t>
  </si>
  <si>
    <t>SL CEREAIS E ALIMENTOS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</si>
</sst>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zoomScaleNormal="100" workbookViewId="0">
      <selection activeCell="T21" sqref="T21:T4039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384</v>
      </c>
      <c r="R2" s="14">
        <v>0</v>
      </c>
      <c r="S2" s="14">
        <v>0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2170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504</v>
      </c>
      <c r="R6" s="14">
        <v>0</v>
      </c>
      <c r="S6" s="14">
        <v>9356.26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14807</v>
      </c>
      <c r="R8" s="14">
        <v>0</v>
      </c>
      <c r="S8" s="14">
        <v>15000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275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-166.4</v>
      </c>
      <c r="R14" s="14">
        <v>0</v>
      </c>
      <c r="S14" s="14">
        <v>0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200</v>
      </c>
      <c r="R16" s="14">
        <v>0</v>
      </c>
      <c r="S16" s="14">
        <v>942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200</v>
      </c>
      <c r="R17" s="14">
        <v>0</v>
      </c>
      <c r="S17" s="14">
        <v>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0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72000</v>
      </c>
      <c r="R26" s="14">
        <v>0</v>
      </c>
      <c r="S26" s="14">
        <v>72000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96.96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980</v>
      </c>
      <c r="R28" s="14">
        <v>0</v>
      </c>
      <c r="S28" s="14">
        <v>980</v>
      </c>
      <c r="T28" s="13">
        <v>0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50000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0</v>
      </c>
      <c r="R32" s="14">
        <v>0</v>
      </c>
      <c r="S32" s="14">
        <v>1500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4000</v>
      </c>
      <c r="R33" s="14">
        <v>0</v>
      </c>
      <c r="S33" s="14">
        <v>3000</v>
      </c>
      <c r="T33" s="13">
        <v>0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1500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525</v>
      </c>
      <c r="R40" s="14">
        <v>0</v>
      </c>
      <c r="S40" s="14">
        <v>0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100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500</v>
      </c>
      <c r="R45" s="14">
        <v>0</v>
      </c>
      <c r="S45" s="14">
        <v>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0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1025</v>
      </c>
      <c r="R48" s="14">
        <v>0</v>
      </c>
      <c r="S48" s="14">
        <v>225</v>
      </c>
      <c r="T48" s="13">
        <v>0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1200</v>
      </c>
      <c r="R49" s="14">
        <v>0</v>
      </c>
      <c r="S49" s="14">
        <v>1200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43.2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1115.04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0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400</v>
      </c>
      <c r="R57" s="14">
        <v>0</v>
      </c>
      <c r="S57" s="14">
        <v>600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0</v>
      </c>
      <c r="R61" s="14">
        <v>0</v>
      </c>
      <c r="S61" s="14">
        <v>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24000</v>
      </c>
      <c r="R62" s="14">
        <v>0</v>
      </c>
      <c r="S62" s="14">
        <v>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1920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0</v>
      </c>
      <c r="R64" s="14">
        <v>0</v>
      </c>
      <c r="S64" s="14">
        <v>0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24000</v>
      </c>
      <c r="R65" s="14">
        <v>0</v>
      </c>
      <c r="S65" s="14">
        <v>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23903.345000000001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1720</v>
      </c>
      <c r="R67" s="14">
        <v>0</v>
      </c>
      <c r="S67" s="14">
        <v>660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1000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24850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1500</v>
      </c>
      <c r="R73" s="14">
        <v>0</v>
      </c>
      <c r="S73" s="14">
        <v>1500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1000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2825</v>
      </c>
      <c r="T83" s="13">
        <v>0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25000</v>
      </c>
      <c r="R92" s="14">
        <v>0</v>
      </c>
      <c r="S92" s="14">
        <v>25000</v>
      </c>
      <c r="T92" s="13">
        <v>0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-20</v>
      </c>
      <c r="R94" s="14">
        <v>0</v>
      </c>
      <c r="S94" s="14">
        <v>-20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450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120000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606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3125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4875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84000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3876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71000</v>
      </c>
      <c r="R121" s="14">
        <v>0</v>
      </c>
      <c r="S121" s="14">
        <v>140000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12000</v>
      </c>
      <c r="R122" s="14">
        <v>0</v>
      </c>
      <c r="S122" s="14">
        <v>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1100</v>
      </c>
      <c r="R125" s="14">
        <v>0</v>
      </c>
      <c r="S125" s="14">
        <v>1250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46975</v>
      </c>
      <c r="R135" s="14">
        <v>0</v>
      </c>
      <c r="S135" s="14">
        <v>23000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73440</v>
      </c>
      <c r="R136" s="14">
        <v>0</v>
      </c>
      <c r="S136" s="14">
        <v>48960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934400</v>
      </c>
      <c r="R137" s="14">
        <v>0</v>
      </c>
      <c r="S137" s="14">
        <v>948416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1680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108000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388800</v>
      </c>
      <c r="R142" s="14">
        <v>0</v>
      </c>
      <c r="S142" s="14">
        <v>332939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1530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0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24000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2650</v>
      </c>
      <c r="R151" s="14">
        <v>0</v>
      </c>
      <c r="S151" s="14">
        <v>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4000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400</v>
      </c>
      <c r="T155" s="13">
        <v>0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0</v>
      </c>
      <c r="R156" s="14">
        <v>0</v>
      </c>
      <c r="S156" s="14">
        <v>3275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250</v>
      </c>
      <c r="R158" s="14">
        <v>0</v>
      </c>
      <c r="S158" s="14">
        <v>0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200</v>
      </c>
      <c r="R163" s="14">
        <v>0</v>
      </c>
      <c r="S163" s="14">
        <v>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2500</v>
      </c>
      <c r="R164" s="14">
        <v>0</v>
      </c>
      <c r="S164" s="14">
        <v>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0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406.08</v>
      </c>
      <c r="R167" s="14">
        <v>0</v>
      </c>
      <c r="S167" s="14">
        <v>478.8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2000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200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0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1008</v>
      </c>
      <c r="R182" s="14">
        <v>0</v>
      </c>
      <c r="S182" s="14">
        <v>0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300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835.2</v>
      </c>
      <c r="R184" s="14">
        <v>0</v>
      </c>
      <c r="S184" s="14">
        <v>1500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2313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24480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1620</v>
      </c>
      <c r="R188" s="14">
        <v>0</v>
      </c>
      <c r="S188" s="14">
        <v>4050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1598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122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0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770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520.20000000000005</v>
      </c>
      <c r="R200" s="14">
        <v>0</v>
      </c>
      <c r="S200" s="14">
        <v>2040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150</v>
      </c>
      <c r="R201" s="14">
        <v>0</v>
      </c>
      <c r="S201" s="14">
        <v>50</v>
      </c>
      <c r="T201" s="13">
        <v>0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220</v>
      </c>
      <c r="R208" s="14">
        <v>0</v>
      </c>
      <c r="S208" s="14">
        <v>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7080</v>
      </c>
      <c r="R211" s="14">
        <v>0</v>
      </c>
      <c r="S211" s="14">
        <v>7280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500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1551.36</v>
      </c>
      <c r="R213" s="14">
        <v>0</v>
      </c>
      <c r="S213" s="14">
        <v>1551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3000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0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242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500</v>
      </c>
      <c r="R226" s="14">
        <v>0</v>
      </c>
      <c r="S226" s="14">
        <v>640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60</v>
      </c>
      <c r="R231" s="14">
        <v>0</v>
      </c>
      <c r="S231" s="14">
        <v>0</v>
      </c>
      <c r="T231" s="13">
        <v>0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0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664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100</v>
      </c>
      <c r="R240" s="14">
        <v>0</v>
      </c>
      <c r="S240" s="14">
        <v>0</v>
      </c>
      <c r="T240" s="13">
        <v>0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395.76</v>
      </c>
      <c r="R246" s="14">
        <v>0</v>
      </c>
      <c r="S246" s="14">
        <v>1200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0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100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120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28.8</v>
      </c>
      <c r="R251" s="14">
        <v>0</v>
      </c>
      <c r="S251" s="14">
        <v>14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75</v>
      </c>
      <c r="R254" s="14">
        <v>0</v>
      </c>
      <c r="S254" s="14">
        <v>75</v>
      </c>
      <c r="T254" s="13">
        <v>0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367.2</v>
      </c>
      <c r="R255" s="14">
        <v>0</v>
      </c>
      <c r="S255" s="14">
        <v>450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0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1000</v>
      </c>
      <c r="T257" s="13">
        <v>0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460.8</v>
      </c>
      <c r="R259" s="14">
        <v>0</v>
      </c>
      <c r="S259" s="14">
        <v>346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318000</v>
      </c>
      <c r="R260" s="14">
        <v>0</v>
      </c>
      <c r="S260" s="14">
        <v>291720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1152</v>
      </c>
      <c r="R262" s="14">
        <v>0</v>
      </c>
      <c r="S262" s="14">
        <v>864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30</v>
      </c>
      <c r="R263" s="14">
        <v>0</v>
      </c>
      <c r="S263" s="14">
        <v>0</v>
      </c>
      <c r="T263" s="13">
        <v>0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0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>
        <v>0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0</v>
      </c>
      <c r="T266" s="13">
        <v>0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140</v>
      </c>
      <c r="R267" s="14">
        <v>0</v>
      </c>
      <c r="S267" s="14">
        <v>0</v>
      </c>
      <c r="T267" s="13">
        <v>0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0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0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0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0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0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110</v>
      </c>
      <c r="R273" s="14">
        <v>0</v>
      </c>
      <c r="S273" s="14">
        <v>60</v>
      </c>
      <c r="T273" s="13">
        <v>0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0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70</v>
      </c>
      <c r="R275" s="14">
        <v>0</v>
      </c>
      <c r="S275" s="14">
        <v>0</v>
      </c>
      <c r="T275" s="13">
        <v>0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0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0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0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0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0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0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0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0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0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0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362.88</v>
      </c>
      <c r="R301" s="14">
        <v>0</v>
      </c>
      <c r="S301" s="14">
        <v>700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590.4</v>
      </c>
      <c r="R302" s="14">
        <v>0</v>
      </c>
      <c r="S302" s="14">
        <v>1100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1800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2937.6000000000004</v>
      </c>
      <c r="R304" s="14">
        <v>0</v>
      </c>
      <c r="S304" s="14">
        <v>3136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1135.1999999999998</v>
      </c>
      <c r="R305" s="14">
        <v>0</v>
      </c>
      <c r="S305" s="14">
        <v>1219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1450</v>
      </c>
      <c r="R306" s="14">
        <v>0</v>
      </c>
      <c r="S306" s="14">
        <v>1200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0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426.24</v>
      </c>
      <c r="R309" s="14">
        <v>0</v>
      </c>
      <c r="S309" s="14">
        <v>400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1000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2316</v>
      </c>
      <c r="R311" s="14">
        <v>0</v>
      </c>
      <c r="S311" s="14">
        <v>2400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350</v>
      </c>
      <c r="R313" s="14">
        <v>0</v>
      </c>
      <c r="S313" s="14">
        <v>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4326.84</v>
      </c>
      <c r="R314" s="14">
        <v>0</v>
      </c>
      <c r="S314" s="14">
        <v>4569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2500</v>
      </c>
      <c r="T316" s="13">
        <v>0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5880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336</v>
      </c>
      <c r="R323" s="14">
        <v>0</v>
      </c>
      <c r="S323" s="14">
        <v>500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669.6</v>
      </c>
      <c r="R324" s="14">
        <v>0</v>
      </c>
      <c r="S324" s="14">
        <v>1100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172.8</v>
      </c>
      <c r="R325" s="14">
        <v>0</v>
      </c>
      <c r="S325" s="14">
        <v>200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36720</v>
      </c>
      <c r="R327" s="14">
        <v>0</v>
      </c>
      <c r="S327" s="14">
        <v>36720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499.2</v>
      </c>
      <c r="R328" s="14">
        <v>0</v>
      </c>
      <c r="S328" s="14">
        <v>700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455.4</v>
      </c>
      <c r="R329" s="14">
        <v>0</v>
      </c>
      <c r="S329" s="14">
        <v>500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4400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12240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0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25344</v>
      </c>
      <c r="R336" s="14">
        <v>0</v>
      </c>
      <c r="S336" s="14">
        <v>25344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0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14256</v>
      </c>
      <c r="R344" s="14">
        <v>0</v>
      </c>
      <c r="S344" s="14">
        <v>3042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180</v>
      </c>
      <c r="R345" s="14">
        <v>0</v>
      </c>
      <c r="S345" s="14">
        <v>500</v>
      </c>
      <c r="T345" s="13">
        <v>0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4409.88</v>
      </c>
      <c r="R346" s="14">
        <v>0</v>
      </c>
      <c r="S346" s="14">
        <v>2523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53220</v>
      </c>
      <c r="R347" s="14">
        <v>0</v>
      </c>
      <c r="S347" s="14">
        <v>80100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11.52</v>
      </c>
      <c r="R348" s="14">
        <v>0</v>
      </c>
      <c r="S348" s="14">
        <v>6.6966666666666672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83270</v>
      </c>
      <c r="R350" s="14">
        <v>0</v>
      </c>
      <c r="S350" s="14">
        <v>76440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0</v>
      </c>
      <c r="R351" s="14">
        <v>0</v>
      </c>
      <c r="S351" s="14">
        <v>25480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2000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10140</v>
      </c>
      <c r="R353" s="14">
        <v>0</v>
      </c>
      <c r="S353" s="14">
        <v>16370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18.293333333333333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14745.68</v>
      </c>
      <c r="R356" s="14">
        <v>0</v>
      </c>
      <c r="S356" s="14">
        <v>25700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0</v>
      </c>
      <c r="R357" s="14">
        <v>0</v>
      </c>
      <c r="S357" s="14">
        <v>11450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840</v>
      </c>
      <c r="R359" s="14">
        <v>0</v>
      </c>
      <c r="S359" s="14">
        <v>255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22.566666666666666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9393</v>
      </c>
      <c r="R361" s="14">
        <v>0</v>
      </c>
      <c r="S361" s="14">
        <v>9000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5285.8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2257.92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675</v>
      </c>
      <c r="R364" s="14">
        <v>0</v>
      </c>
      <c r="S364" s="14">
        <v>1000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8833.2000000000007</v>
      </c>
      <c r="R365" s="14">
        <v>0</v>
      </c>
      <c r="S365" s="14">
        <v>8833.2000000000007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1759.8</v>
      </c>
      <c r="R366" s="14">
        <v>0</v>
      </c>
      <c r="S366" s="14">
        <v>5988.0589999999993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385.79999999999995</v>
      </c>
      <c r="R367" s="14">
        <v>0</v>
      </c>
      <c r="S367" s="14">
        <v>10400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0</v>
      </c>
      <c r="R368" s="14">
        <v>0</v>
      </c>
      <c r="S368" s="14">
        <v>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690</v>
      </c>
      <c r="R369" s="14">
        <v>0</v>
      </c>
      <c r="S369" s="14">
        <v>700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8908.880000000001</v>
      </c>
      <c r="R370" s="14">
        <v>0</v>
      </c>
      <c r="S370" s="14">
        <v>18738.094499999996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3700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1440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12</v>
      </c>
      <c r="R374" s="14">
        <v>0</v>
      </c>
      <c r="S374" s="14">
        <v>31.25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5.8</v>
      </c>
      <c r="R376" s="14">
        <v>0</v>
      </c>
      <c r="S376" s="14">
        <v>12.45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1000</v>
      </c>
      <c r="R380" s="14">
        <v>0</v>
      </c>
      <c r="S380" s="14">
        <v>2500</v>
      </c>
      <c r="T380" s="13">
        <v>0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6.666666666666667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2090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2.9333333333333336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804</v>
      </c>
      <c r="R385" s="14">
        <v>0</v>
      </c>
      <c r="S385" s="14">
        <v>804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8.8666666666666671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0</v>
      </c>
      <c r="R389" s="14">
        <v>0</v>
      </c>
      <c r="S389" s="14">
        <v>0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12000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336</v>
      </c>
      <c r="R391" s="14">
        <v>0</v>
      </c>
      <c r="S391" s="14">
        <v>298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1272</v>
      </c>
      <c r="R393" s="14">
        <v>0</v>
      </c>
      <c r="S393" s="14">
        <v>1344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96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415.44666666666672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1200</v>
      </c>
      <c r="R397" s="14">
        <v>0</v>
      </c>
      <c r="S397" s="14">
        <v>1200</v>
      </c>
      <c r="T397" s="13">
        <v>0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24</v>
      </c>
      <c r="R398" s="14">
        <v>0</v>
      </c>
      <c r="S398" s="14">
        <v>14.4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1500</v>
      </c>
      <c r="R399" s="14">
        <v>0</v>
      </c>
      <c r="S399" s="14">
        <v>4000</v>
      </c>
      <c r="T399" s="13">
        <v>0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1138.2</v>
      </c>
      <c r="R400" s="14">
        <v>0</v>
      </c>
      <c r="S400" s="14">
        <v>2663.154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44.8</v>
      </c>
      <c r="R401" s="14">
        <v>0</v>
      </c>
      <c r="S401" s="14">
        <v>44.8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0</v>
      </c>
      <c r="R403" s="14">
        <v>0</v>
      </c>
      <c r="S403" s="14">
        <v>960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0</v>
      </c>
      <c r="R404" s="14">
        <v>0</v>
      </c>
      <c r="S404" s="14">
        <v>3.75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1450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26.6</v>
      </c>
      <c r="R406" s="14">
        <v>0</v>
      </c>
      <c r="S406" s="14">
        <v>26.6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0</v>
      </c>
      <c r="R407" s="14">
        <v>0</v>
      </c>
      <c r="S407" s="14">
        <v>884.77300000000002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2510</v>
      </c>
      <c r="R409" s="14">
        <v>0</v>
      </c>
      <c r="S409" s="14">
        <v>4000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0</v>
      </c>
      <c r="R412" s="14">
        <v>0</v>
      </c>
      <c r="S412" s="14">
        <v>1000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981.12</v>
      </c>
      <c r="R413" s="14">
        <v>0</v>
      </c>
      <c r="S413" s="14">
        <v>504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7.1999999999999993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333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1.2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4782.3999999999996</v>
      </c>
      <c r="R417" s="14">
        <v>0</v>
      </c>
      <c r="S417" s="14">
        <v>3640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741</v>
      </c>
      <c r="R419" s="14">
        <v>0</v>
      </c>
      <c r="S419" s="14">
        <v>900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800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250.00000000000003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4096.5600000000004</v>
      </c>
      <c r="R423" s="14">
        <v>0</v>
      </c>
      <c r="S423" s="14">
        <v>2024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700</v>
      </c>
      <c r="R424" s="14">
        <v>0</v>
      </c>
      <c r="S424" s="14">
        <v>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970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1020</v>
      </c>
      <c r="R426" s="14">
        <v>0</v>
      </c>
      <c r="S426" s="14">
        <v>1800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38.4</v>
      </c>
      <c r="R427" s="14">
        <v>0</v>
      </c>
      <c r="S427" s="14">
        <v>52.373333333333335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9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25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537.6</v>
      </c>
      <c r="R433" s="14">
        <v>0</v>
      </c>
      <c r="S433" s="14">
        <v>230.4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0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0</v>
      </c>
      <c r="R435" s="14">
        <v>0</v>
      </c>
      <c r="S435" s="14">
        <v>9.7466666666666661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360.96000000000004</v>
      </c>
      <c r="R436" s="14">
        <v>0</v>
      </c>
      <c r="S436" s="14">
        <v>361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-360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75</v>
      </c>
      <c r="R438" s="14">
        <v>0</v>
      </c>
      <c r="S438" s="14">
        <v>75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53.4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953.32500000000005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209.28</v>
      </c>
      <c r="R442" s="14">
        <v>0</v>
      </c>
      <c r="S442" s="14">
        <v>270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0</v>
      </c>
      <c r="R443" s="14">
        <v>0</v>
      </c>
      <c r="S443" s="14">
        <v>100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85.537916666666661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1500</v>
      </c>
      <c r="T445" s="13">
        <v>0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1080</v>
      </c>
      <c r="R446" s="14">
        <v>0</v>
      </c>
      <c r="S446" s="14">
        <v>480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350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1820</v>
      </c>
      <c r="R448" s="14">
        <v>0</v>
      </c>
      <c r="S448" s="14">
        <v>2400</v>
      </c>
      <c r="T448" s="13">
        <v>0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500</v>
      </c>
      <c r="R449" s="14">
        <v>0</v>
      </c>
      <c r="S449" s="14">
        <v>500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0</v>
      </c>
      <c r="R450" s="14">
        <v>0</v>
      </c>
      <c r="S450" s="14">
        <v>68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500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8.56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5.8224999999999998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6.8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22.439999999999998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51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180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96</v>
      </c>
      <c r="R461" s="14">
        <v>0</v>
      </c>
      <c r="S461" s="14">
        <v>90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910</v>
      </c>
      <c r="R462" s="14">
        <v>0</v>
      </c>
      <c r="S462" s="14">
        <v>623.39949999999999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6472.7999999999993</v>
      </c>
      <c r="R465" s="14">
        <v>0</v>
      </c>
      <c r="S465" s="14">
        <v>11000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1000</v>
      </c>
      <c r="R467" s="14">
        <v>0</v>
      </c>
      <c r="S467" s="14">
        <v>1500</v>
      </c>
      <c r="T467" s="13">
        <v>0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31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17.920000000000002</v>
      </c>
      <c r="R469" s="14">
        <v>0</v>
      </c>
      <c r="S469" s="14">
        <v>8.9600000000000009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12</v>
      </c>
      <c r="R470" s="14">
        <v>0</v>
      </c>
      <c r="S470" s="14">
        <v>34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51.983333333333334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210</v>
      </c>
      <c r="R473" s="14">
        <v>0</v>
      </c>
      <c r="S473" s="14">
        <v>81.272500000000008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513.87583333333328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32</v>
      </c>
      <c r="R475" s="14">
        <v>0</v>
      </c>
      <c r="S475" s="14">
        <v>16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30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0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100</v>
      </c>
      <c r="R480" s="14">
        <v>0</v>
      </c>
      <c r="S480" s="14">
        <v>73.333333333333343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190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193.41049999999998</v>
      </c>
      <c r="T482" s="13">
        <v>0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738.32</v>
      </c>
      <c r="R484" s="14">
        <v>0</v>
      </c>
      <c r="S484" s="14">
        <v>701.59999999999991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864</v>
      </c>
      <c r="R485" s="14">
        <v>0</v>
      </c>
      <c r="S485" s="14">
        <v>500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30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180</v>
      </c>
      <c r="R487" s="14">
        <v>0</v>
      </c>
      <c r="S487" s="14">
        <v>120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300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6</v>
      </c>
      <c r="R489" s="14">
        <v>0</v>
      </c>
      <c r="S489" s="14">
        <v>6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8.5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120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51.666666666666671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0</v>
      </c>
      <c r="R495" s="14">
        <v>0</v>
      </c>
      <c r="S495" s="14">
        <v>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540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120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0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68.56</v>
      </c>
      <c r="R499" s="14">
        <v>0</v>
      </c>
      <c r="S499" s="14">
        <v>32.04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180</v>
      </c>
      <c r="R500" s="14">
        <v>0</v>
      </c>
      <c r="S500" s="14">
        <v>180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160</v>
      </c>
      <c r="R501" s="14">
        <v>0</v>
      </c>
      <c r="S501" s="14">
        <v>213.33333333333334</v>
      </c>
      <c r="T501" s="13">
        <v>0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455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26.666666666666668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200</v>
      </c>
      <c r="T504" s="13">
        <v>0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23.103333333333332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10.354166666666666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3.7333333333333334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125</v>
      </c>
      <c r="R508" s="14">
        <v>0</v>
      </c>
      <c r="S508" s="14">
        <v>125</v>
      </c>
      <c r="T508" s="13">
        <v>0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31.36</v>
      </c>
      <c r="R509" s="14">
        <v>0</v>
      </c>
      <c r="S509" s="14">
        <v>31.36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400</v>
      </c>
      <c r="R510" s="14">
        <v>0</v>
      </c>
      <c r="S510" s="14">
        <v>250</v>
      </c>
      <c r="T510" s="13">
        <v>0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498.48</v>
      </c>
      <c r="R512" s="14">
        <v>0</v>
      </c>
      <c r="S512" s="14">
        <v>450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68.62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200.65666666666669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0.89999999999999991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6.1333333333333329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10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0</v>
      </c>
      <c r="T519" s="13">
        <v>0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24.709166666666668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0</v>
      </c>
      <c r="R522" s="14">
        <v>0</v>
      </c>
      <c r="S522" s="14">
        <v>157.5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15.496666666666666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150</v>
      </c>
      <c r="T524" s="13">
        <v>0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40.223333333333329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19.2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31.84333333333333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18.856666666666669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2.2666666666666666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153.6</v>
      </c>
      <c r="R531" s="14">
        <v>0</v>
      </c>
      <c r="S531" s="14">
        <v>153.6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121.66666666666667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220.8</v>
      </c>
      <c r="R533" s="14">
        <v>0</v>
      </c>
      <c r="S533" s="14">
        <v>100.8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0</v>
      </c>
      <c r="R534" s="14">
        <v>0</v>
      </c>
      <c r="S534" s="14">
        <v>227.08333333333334</v>
      </c>
      <c r="T534" s="13">
        <v>0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33.333333333333336</v>
      </c>
      <c r="T535" s="13">
        <v>0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33.053333333333327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0.39999999999999997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100</v>
      </c>
      <c r="R538" s="14">
        <v>0</v>
      </c>
      <c r="S538" s="14">
        <v>100</v>
      </c>
      <c r="T538" s="13">
        <v>0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0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125</v>
      </c>
      <c r="R540" s="14">
        <v>0</v>
      </c>
      <c r="S540" s="14">
        <v>125</v>
      </c>
      <c r="T540" s="13">
        <v>0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186.66666666666669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7.5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100</v>
      </c>
      <c r="R543" s="14">
        <v>0</v>
      </c>
      <c r="S543" s="14">
        <v>100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121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33.556666666666672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0.83333333333333337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240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1.1199999999999999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20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145.83333333333331</v>
      </c>
      <c r="T553" s="13">
        <v>0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150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61.99666666666667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203.33333333333334</v>
      </c>
      <c r="T556" s="13">
        <v>0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0.75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0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178.33333333333334</v>
      </c>
      <c r="T559" s="13">
        <v>0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50</v>
      </c>
      <c r="T560" s="13">
        <v>0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20.399999999999999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8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30</v>
      </c>
      <c r="T564" s="13">
        <v>0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118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153.6</v>
      </c>
      <c r="R566" s="14">
        <v>0</v>
      </c>
      <c r="S566" s="14">
        <v>500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100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228.49799999999999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280</v>
      </c>
      <c r="R569" s="14">
        <v>0</v>
      </c>
      <c r="S569" s="14">
        <v>120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120</v>
      </c>
      <c r="R570" s="14">
        <v>0</v>
      </c>
      <c r="S570" s="14">
        <v>70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22.5</v>
      </c>
      <c r="R571" s="14">
        <v>0</v>
      </c>
      <c r="S571" s="14">
        <v>13.5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30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40</v>
      </c>
      <c r="T574" s="13">
        <v>0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0</v>
      </c>
      <c r="R575" s="14">
        <v>0</v>
      </c>
      <c r="S575" s="14">
        <v>227.7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20.833333333333336</v>
      </c>
      <c r="T576" s="13">
        <v>0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116.4</v>
      </c>
      <c r="R577" s="14">
        <v>0</v>
      </c>
      <c r="S577" s="14">
        <v>116.4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0</v>
      </c>
      <c r="R578" s="14">
        <v>0</v>
      </c>
      <c r="S578" s="14">
        <v>221.66666666666669</v>
      </c>
      <c r="T578" s="13">
        <v>0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144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45</v>
      </c>
      <c r="R580" s="14">
        <v>0</v>
      </c>
      <c r="S580" s="14">
        <v>20</v>
      </c>
      <c r="T580" s="13">
        <v>0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149.58333333333331</v>
      </c>
      <c r="T582" s="13">
        <v>0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94.8</v>
      </c>
      <c r="R583" s="14">
        <v>0</v>
      </c>
      <c r="S583" s="14">
        <v>47.4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20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25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434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27.5</v>
      </c>
      <c r="T587" s="13">
        <v>0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87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40</v>
      </c>
      <c r="T589" s="13">
        <v>0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18.687916666666666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14.709999999999999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3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5.2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9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30.950416666666662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0</v>
      </c>
      <c r="R597" s="14">
        <v>0</v>
      </c>
      <c r="S597" s="14">
        <v>910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110</v>
      </c>
      <c r="R598" s="14">
        <v>0</v>
      </c>
      <c r="S598" s="14">
        <v>40</v>
      </c>
      <c r="T598" s="13">
        <v>0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94.8</v>
      </c>
      <c r="R599" s="14">
        <v>0</v>
      </c>
      <c r="S599" s="14">
        <v>47.4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121.2</v>
      </c>
      <c r="R600" s="14">
        <v>0</v>
      </c>
      <c r="S600" s="14">
        <v>0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40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50</v>
      </c>
      <c r="R604" s="14">
        <v>0</v>
      </c>
      <c r="S604" s="14">
        <v>43.333333333333336</v>
      </c>
      <c r="T604" s="13">
        <v>0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46.25</v>
      </c>
      <c r="T605" s="13">
        <v>0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60</v>
      </c>
      <c r="R606" s="14">
        <v>0</v>
      </c>
      <c r="S606" s="14">
        <v>30</v>
      </c>
      <c r="T606" s="13">
        <v>0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90</v>
      </c>
      <c r="R607" s="14">
        <v>0</v>
      </c>
      <c r="S607" s="14">
        <v>20</v>
      </c>
      <c r="T607" s="13">
        <v>0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40</v>
      </c>
      <c r="T608" s="13">
        <v>0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30</v>
      </c>
      <c r="T609" s="13">
        <v>0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27.083333333333336</v>
      </c>
      <c r="T610" s="13">
        <v>0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60</v>
      </c>
      <c r="R611" s="14">
        <v>0</v>
      </c>
      <c r="S611" s="14">
        <v>28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130</v>
      </c>
      <c r="R612" s="14">
        <v>0</v>
      </c>
      <c r="S612" s="14">
        <v>100</v>
      </c>
      <c r="T612" s="13">
        <v>0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49.629999999999995</v>
      </c>
      <c r="R614" s="14">
        <v>0</v>
      </c>
      <c r="S614" s="14">
        <v>49.629999999999995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110</v>
      </c>
      <c r="R615" s="14">
        <v>0</v>
      </c>
      <c r="S615" s="14">
        <v>60</v>
      </c>
      <c r="T615" s="13">
        <v>0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11.66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123.36000000000001</v>
      </c>
      <c r="R618" s="14">
        <v>0</v>
      </c>
      <c r="S618" s="14">
        <v>123.36000000000001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72</v>
      </c>
      <c r="R619" s="14">
        <v>0</v>
      </c>
      <c r="S619" s="14">
        <v>72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95.833333333333314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23.04</v>
      </c>
      <c r="R624" s="14">
        <v>0</v>
      </c>
      <c r="S624" s="14">
        <v>26.879999999999995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32.64</v>
      </c>
      <c r="R625" s="14">
        <v>0</v>
      </c>
      <c r="S625" s="14">
        <v>68.319999999999993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84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1.9125000000000001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27.599999999999998</v>
      </c>
      <c r="R628" s="14">
        <v>0</v>
      </c>
      <c r="S628" s="14">
        <v>67.75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8.9600000000000009</v>
      </c>
      <c r="R629" s="14">
        <v>0</v>
      </c>
      <c r="S629" s="14">
        <v>5.9533333333333331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0.995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6</v>
      </c>
      <c r="R631" s="14">
        <v>0</v>
      </c>
      <c r="S631" s="14">
        <v>7.5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23.13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0.33333333333333331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47.4</v>
      </c>
      <c r="R634" s="14">
        <v>0</v>
      </c>
      <c r="S634" s="14">
        <v>47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20.700000000000003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208.07999999999998</v>
      </c>
      <c r="R636" s="14">
        <v>0</v>
      </c>
      <c r="S636" s="14">
        <v>153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300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98.9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120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23.21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11.59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324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3.16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27.6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108</v>
      </c>
      <c r="R645" s="14">
        <v>0</v>
      </c>
      <c r="S645" s="14">
        <v>103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0</v>
      </c>
      <c r="R646" s="14">
        <v>0</v>
      </c>
      <c r="S646" s="14">
        <v>49.5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42</v>
      </c>
      <c r="R647" s="14">
        <v>0</v>
      </c>
      <c r="S647" s="14">
        <v>28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9.1999999999999993</v>
      </c>
      <c r="R648" s="14">
        <v>0</v>
      </c>
      <c r="S648" s="14">
        <v>9.1999999999999993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156</v>
      </c>
      <c r="R649" s="14">
        <v>0</v>
      </c>
      <c r="S649" s="14">
        <v>84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3.8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4.8058333333333332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540</v>
      </c>
      <c r="R652" s="14">
        <v>0</v>
      </c>
      <c r="S652" s="14">
        <v>300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9.1666666666666661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65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23.869083333333332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26.666666666666668</v>
      </c>
      <c r="T656" s="13">
        <v>0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0.7466666666666667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41.666666666666671</v>
      </c>
      <c r="T658" s="13">
        <v>0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48</v>
      </c>
      <c r="R659" s="14">
        <v>0</v>
      </c>
      <c r="S659" s="14">
        <v>48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13.596666666666668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22.159999999999997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9.6499999999999986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60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50</v>
      </c>
      <c r="R664" s="14">
        <v>0</v>
      </c>
      <c r="S664" s="14">
        <v>50</v>
      </c>
      <c r="T664" s="13">
        <v>0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30</v>
      </c>
      <c r="T665" s="13">
        <v>0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31.92</v>
      </c>
      <c r="R666" s="14">
        <v>0</v>
      </c>
      <c r="S666" s="14">
        <v>12.24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20</v>
      </c>
      <c r="R667" s="14">
        <v>0</v>
      </c>
      <c r="S667" s="14">
        <v>24.166666666666664</v>
      </c>
      <c r="T667" s="13">
        <v>0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120</v>
      </c>
      <c r="R668" s="14">
        <v>0</v>
      </c>
      <c r="S668" s="14">
        <v>228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8.7058333333333326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7.0933333333333328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84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5.9974999999999996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11.7</v>
      </c>
      <c r="R674" s="14">
        <v>0</v>
      </c>
      <c r="S674" s="14">
        <v>15.453333333333333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791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45.123333333333335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63</v>
      </c>
      <c r="R677" s="14">
        <v>0</v>
      </c>
      <c r="S677" s="14">
        <v>63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27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22.5</v>
      </c>
      <c r="R679" s="14">
        <v>0</v>
      </c>
      <c r="S679" s="14">
        <v>19.125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125.44</v>
      </c>
      <c r="R680" s="14">
        <v>0</v>
      </c>
      <c r="S680" s="14">
        <v>62.72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22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7.8640833333333333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96</v>
      </c>
      <c r="R683" s="14">
        <v>0</v>
      </c>
      <c r="S683" s="14">
        <v>48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4.5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384</v>
      </c>
      <c r="R685" s="14">
        <v>0</v>
      </c>
      <c r="S685" s="14">
        <v>384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75</v>
      </c>
      <c r="R686" s="14">
        <v>0</v>
      </c>
      <c r="S686" s="14">
        <v>25</v>
      </c>
      <c r="T686" s="13">
        <v>0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0</v>
      </c>
      <c r="R687" s="14">
        <v>0</v>
      </c>
      <c r="S687" s="14">
        <v>5.6520833333333336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24</v>
      </c>
      <c r="R688" s="14">
        <v>0</v>
      </c>
      <c r="S688" s="14">
        <v>24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60</v>
      </c>
      <c r="R689" s="14">
        <v>0</v>
      </c>
      <c r="S689" s="14">
        <v>30</v>
      </c>
      <c r="T689" s="13">
        <v>0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10.833333333333334</v>
      </c>
      <c r="T690" s="13">
        <v>0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443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5</v>
      </c>
      <c r="R692" s="14">
        <v>0</v>
      </c>
      <c r="S692" s="14">
        <v>3.75</v>
      </c>
      <c r="T692" s="13">
        <v>0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3.76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60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1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95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1.2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30</v>
      </c>
      <c r="R698" s="14">
        <v>0</v>
      </c>
      <c r="S698" s="14">
        <v>15</v>
      </c>
      <c r="T698" s="13">
        <v>0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20</v>
      </c>
      <c r="R699" s="14">
        <v>0</v>
      </c>
      <c r="S699" s="14">
        <v>20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50</v>
      </c>
      <c r="R700" s="14">
        <v>0</v>
      </c>
      <c r="S700" s="14">
        <v>25</v>
      </c>
      <c r="T700" s="13">
        <v>0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0</v>
      </c>
      <c r="R703" s="14">
        <v>0</v>
      </c>
      <c r="S703" s="14">
        <v>49.066666666666656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0</v>
      </c>
      <c r="R704" s="14">
        <v>0</v>
      </c>
      <c r="S704" s="14">
        <v>19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30</v>
      </c>
      <c r="T705" s="13">
        <v>0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15</v>
      </c>
      <c r="T706" s="13">
        <v>0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39.583333333333329</v>
      </c>
      <c r="T707" s="13">
        <v>0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2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160.63999999999999</v>
      </c>
      <c r="R710" s="14">
        <v>0</v>
      </c>
      <c r="S710" s="14">
        <v>86.84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32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13.44</v>
      </c>
      <c r="R712" s="14">
        <v>0</v>
      </c>
      <c r="S712" s="14">
        <v>13.44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180</v>
      </c>
      <c r="R713" s="14">
        <v>0</v>
      </c>
      <c r="S713" s="14">
        <v>347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1.9616666666666667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12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0</v>
      </c>
      <c r="R716" s="14">
        <v>0</v>
      </c>
      <c r="S716" s="14">
        <v>9.6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1.6666666666666667</v>
      </c>
      <c r="T717" s="13">
        <v>0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72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3.5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44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9.48</v>
      </c>
      <c r="R722" s="14">
        <v>0</v>
      </c>
      <c r="S722" s="14">
        <v>12.64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8.9600000000000009</v>
      </c>
      <c r="R723" s="14">
        <v>0</v>
      </c>
      <c r="S723" s="14">
        <v>4.4800000000000004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96</v>
      </c>
      <c r="R724" s="14">
        <v>0</v>
      </c>
      <c r="S724" s="14">
        <v>36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22.91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7.9091666666666676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280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28.16</v>
      </c>
      <c r="R728" s="14">
        <v>0</v>
      </c>
      <c r="S728" s="14">
        <v>16.48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7.68</v>
      </c>
      <c r="R729" s="14">
        <v>0</v>
      </c>
      <c r="S729" s="14">
        <v>29.400000000000002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33.6</v>
      </c>
      <c r="R730" s="14">
        <v>0</v>
      </c>
      <c r="S730" s="14">
        <v>33.6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3.8999999999999995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9.6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1.2670833333333333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22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0</v>
      </c>
      <c r="R736" s="14">
        <v>0</v>
      </c>
      <c r="S736" s="14">
        <v>143.33333333333334</v>
      </c>
      <c r="T736" s="13">
        <v>0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72</v>
      </c>
      <c r="R737" s="14">
        <v>0</v>
      </c>
      <c r="S737" s="14">
        <v>60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60</v>
      </c>
      <c r="R738" s="14">
        <v>0</v>
      </c>
      <c r="S738" s="14">
        <v>40</v>
      </c>
      <c r="T738" s="13">
        <v>0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35.840000000000003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30</v>
      </c>
      <c r="R740" s="14">
        <v>0</v>
      </c>
      <c r="S740" s="14">
        <v>20</v>
      </c>
      <c r="T740" s="13">
        <v>0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15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20</v>
      </c>
      <c r="T742" s="13">
        <v>0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30</v>
      </c>
      <c r="R743" s="14">
        <v>0</v>
      </c>
      <c r="S743" s="14">
        <v>20</v>
      </c>
      <c r="T743" s="13">
        <v>0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30</v>
      </c>
      <c r="R744" s="14">
        <v>0</v>
      </c>
      <c r="S744" s="14">
        <v>30</v>
      </c>
      <c r="T744" s="13">
        <v>0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28.8</v>
      </c>
      <c r="R745" s="14">
        <v>0</v>
      </c>
      <c r="S745" s="14">
        <v>9.6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116.6</v>
      </c>
      <c r="R746" s="14">
        <v>0</v>
      </c>
      <c r="S746" s="14">
        <v>71.8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1.25</v>
      </c>
      <c r="T748" s="13">
        <v>0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15</v>
      </c>
      <c r="R749" s="14">
        <v>0</v>
      </c>
      <c r="S749" s="14">
        <v>15</v>
      </c>
      <c r="T749" s="13">
        <v>0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28.67</v>
      </c>
      <c r="R750" s="14">
        <v>0</v>
      </c>
      <c r="S750" s="14">
        <v>28.67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4.9961666666666673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7.4724166666666667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0.5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23.35</v>
      </c>
      <c r="R754" s="14">
        <v>0</v>
      </c>
      <c r="S754" s="14">
        <v>11.77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28.333333333333336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4.5508333333333333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14</v>
      </c>
      <c r="R757" s="14">
        <v>0</v>
      </c>
      <c r="S757" s="14">
        <v>16.333333333333336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60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1.3333333333333333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120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24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12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22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128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61.08</v>
      </c>
      <c r="R765" s="14">
        <v>0</v>
      </c>
      <c r="S765" s="14">
        <v>17.048333333333336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19.2</v>
      </c>
      <c r="R767" s="14">
        <v>0</v>
      </c>
      <c r="S767" s="14">
        <v>19.2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0</v>
      </c>
      <c r="R768" s="14">
        <v>0</v>
      </c>
      <c r="S768" s="14">
        <v>3.4000000000000004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242.4</v>
      </c>
      <c r="R769" s="14">
        <v>0</v>
      </c>
      <c r="S769" s="14">
        <v>81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2400</v>
      </c>
      <c r="R770" s="14">
        <v>0</v>
      </c>
      <c r="S770" s="14">
        <v>1200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25.3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4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8.25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12.266666666666667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7.125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8.9600000000000009</v>
      </c>
      <c r="R776" s="14">
        <v>0</v>
      </c>
      <c r="S776" s="14">
        <v>8.9600000000000009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48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12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11.68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20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47.76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180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6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7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13.3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12</v>
      </c>
      <c r="R787" s="14">
        <v>0</v>
      </c>
      <c r="S787" s="14">
        <v>51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4.8</v>
      </c>
      <c r="R788" s="14">
        <v>0</v>
      </c>
      <c r="S788" s="14">
        <v>7.75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42.5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96</v>
      </c>
      <c r="R790" s="14">
        <v>0</v>
      </c>
      <c r="S790" s="14">
        <v>192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0.98333333333333339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2.5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100</v>
      </c>
      <c r="R793" s="14">
        <v>0</v>
      </c>
      <c r="S793" s="14">
        <v>60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14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10</v>
      </c>
      <c r="R795" s="14">
        <v>0</v>
      </c>
      <c r="S795" s="14">
        <v>10</v>
      </c>
      <c r="T795" s="13">
        <v>0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240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25</v>
      </c>
      <c r="R797" s="14">
        <v>0</v>
      </c>
      <c r="S797" s="14">
        <v>15</v>
      </c>
      <c r="T797" s="13">
        <v>0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70.349999999999994</v>
      </c>
      <c r="R798" s="14">
        <v>0</v>
      </c>
      <c r="S798" s="14">
        <v>47.19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0</v>
      </c>
      <c r="R799" s="14">
        <v>0</v>
      </c>
      <c r="S799" s="14">
        <v>30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4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120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10</v>
      </c>
      <c r="T802" s="13">
        <v>0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24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1.3333333333333333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27.463333333333335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25</v>
      </c>
      <c r="R806" s="14">
        <v>0</v>
      </c>
      <c r="S806" s="14">
        <v>15</v>
      </c>
      <c r="T806" s="13">
        <v>0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20</v>
      </c>
      <c r="R807" s="14">
        <v>0</v>
      </c>
      <c r="S807" s="14">
        <v>10</v>
      </c>
      <c r="T807" s="13">
        <v>0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10</v>
      </c>
      <c r="R808" s="14">
        <v>0</v>
      </c>
      <c r="S808" s="14">
        <v>17.5</v>
      </c>
      <c r="T808" s="13">
        <v>0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72</v>
      </c>
      <c r="R809" s="14">
        <v>0</v>
      </c>
      <c r="S809" s="14">
        <v>48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10</v>
      </c>
      <c r="R810" s="14">
        <v>0</v>
      </c>
      <c r="S810" s="14">
        <v>10</v>
      </c>
      <c r="T810" s="13">
        <v>0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11.775000000000002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25</v>
      </c>
      <c r="R812" s="14">
        <v>0</v>
      </c>
      <c r="S812" s="14">
        <v>15</v>
      </c>
      <c r="T812" s="13">
        <v>0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6.25</v>
      </c>
      <c r="T813" s="13">
        <v>0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7.0499999999999989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15</v>
      </c>
      <c r="R815" s="14">
        <v>0</v>
      </c>
      <c r="S815" s="14">
        <v>15</v>
      </c>
      <c r="T815" s="13">
        <v>0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23.26</v>
      </c>
      <c r="R816" s="14">
        <v>0</v>
      </c>
      <c r="S816" s="14">
        <v>23.26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0.625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10</v>
      </c>
      <c r="T818" s="13">
        <v>0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360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20</v>
      </c>
      <c r="R820" s="14">
        <v>0</v>
      </c>
      <c r="S820" s="14">
        <v>10</v>
      </c>
      <c r="T820" s="13">
        <v>0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1.9125000000000001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0.31666666666666665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7.7766666666666673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184</v>
      </c>
      <c r="R824" s="14">
        <v>0</v>
      </c>
      <c r="S824" s="14">
        <v>138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720</v>
      </c>
      <c r="R825" s="14">
        <v>0</v>
      </c>
      <c r="S825" s="14">
        <v>540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20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8.9600000000000009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1.0008333333333332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720</v>
      </c>
      <c r="R829" s="14">
        <v>0</v>
      </c>
      <c r="S829" s="14">
        <v>360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30</v>
      </c>
      <c r="T830" s="13">
        <v>0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0</v>
      </c>
      <c r="R831" s="14">
        <v>0</v>
      </c>
      <c r="S831" s="14">
        <v>6.7199999999999989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35</v>
      </c>
      <c r="R832" s="14">
        <v>0</v>
      </c>
      <c r="S832" s="14">
        <v>25</v>
      </c>
      <c r="T832" s="13">
        <v>0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4.833333333333333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0.83333333333333337</v>
      </c>
      <c r="T834" s="13">
        <v>0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0</v>
      </c>
      <c r="R835" s="14">
        <v>0</v>
      </c>
      <c r="S835" s="14">
        <v>48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45</v>
      </c>
      <c r="R838" s="14">
        <v>0</v>
      </c>
      <c r="S838" s="14">
        <v>15</v>
      </c>
      <c r="T838" s="13">
        <v>0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56.333333333333329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8.75</v>
      </c>
      <c r="T840" s="13">
        <v>0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4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120</v>
      </c>
      <c r="R842" s="14">
        <v>0</v>
      </c>
      <c r="S842" s="14">
        <v>26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10</v>
      </c>
      <c r="R843" s="14">
        <v>0</v>
      </c>
      <c r="S843" s="14">
        <v>10</v>
      </c>
      <c r="T843" s="13">
        <v>0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14.4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240</v>
      </c>
      <c r="R845" s="14">
        <v>0</v>
      </c>
      <c r="S845" s="14">
        <v>120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60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96.24</v>
      </c>
      <c r="R847" s="14">
        <v>0</v>
      </c>
      <c r="S847" s="14">
        <v>50.16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65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1.9158333333333333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200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9.8387499999999992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120</v>
      </c>
      <c r="R852" s="14">
        <v>0</v>
      </c>
      <c r="S852" s="14">
        <v>50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0.97333333333333327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43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24.56</v>
      </c>
      <c r="R855" s="14">
        <v>0</v>
      </c>
      <c r="S855" s="14">
        <v>24.759999999999998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0.3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120</v>
      </c>
      <c r="R857" s="14">
        <v>0</v>
      </c>
      <c r="S857" s="14">
        <v>120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4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8.6666666666666661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2.7199999999999998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28.44</v>
      </c>
      <c r="R861" s="14">
        <v>0</v>
      </c>
      <c r="S861" s="14">
        <v>33.18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6.32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1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8.9600000000000009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12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8.16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96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120</v>
      </c>
      <c r="R871" s="14">
        <v>0</v>
      </c>
      <c r="S871" s="14">
        <v>240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11.52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171.36</v>
      </c>
      <c r="R873" s="14">
        <v>0</v>
      </c>
      <c r="S873" s="14">
        <v>110.16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120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11.52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4.4800000000000004</v>
      </c>
      <c r="R878" s="14">
        <v>0</v>
      </c>
      <c r="S878" s="14">
        <v>4.4800000000000004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60</v>
      </c>
      <c r="R879" s="14">
        <v>0</v>
      </c>
      <c r="S879" s="14">
        <v>132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9.6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3.9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4.8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79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20</v>
      </c>
      <c r="T885" s="13">
        <v>0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61.666666666666671</v>
      </c>
      <c r="T886" s="13">
        <v>0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360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40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30</v>
      </c>
      <c r="R891" s="14">
        <v>0</v>
      </c>
      <c r="S891" s="14">
        <v>10</v>
      </c>
      <c r="T891" s="13">
        <v>0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4.8900000000000006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3.1999999999999997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16.2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72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0</v>
      </c>
      <c r="R897" s="14">
        <v>0</v>
      </c>
      <c r="S897" s="14">
        <v>9.6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6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4.166666666666667</v>
      </c>
      <c r="T899" s="13">
        <v>0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10</v>
      </c>
      <c r="R900" s="14">
        <v>0</v>
      </c>
      <c r="S900" s="14">
        <v>5</v>
      </c>
      <c r="T900" s="13">
        <v>0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0</v>
      </c>
      <c r="R901" s="14">
        <v>0</v>
      </c>
      <c r="S901" s="14">
        <v>565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8.3333333333333339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1.25</v>
      </c>
      <c r="T903" s="13">
        <v>0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1.6666666666666667</v>
      </c>
      <c r="T904" s="13">
        <v>0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3.3333333333333335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5</v>
      </c>
      <c r="R906" s="14">
        <v>0</v>
      </c>
      <c r="S906" s="14">
        <v>2.916666666666667</v>
      </c>
      <c r="T906" s="13">
        <v>0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6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136.47999999999999</v>
      </c>
      <c r="R908" s="14">
        <v>0</v>
      </c>
      <c r="S908" s="14">
        <v>75.52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8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0.41666666666666669</v>
      </c>
      <c r="T910" s="13">
        <v>0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0.5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1.2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0.83333333333333337</v>
      </c>
      <c r="T913" s="13">
        <v>0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288</v>
      </c>
      <c r="R914" s="14">
        <v>0</v>
      </c>
      <c r="S914" s="14">
        <v>180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0</v>
      </c>
      <c r="R915" s="14">
        <v>0</v>
      </c>
      <c r="S915" s="14">
        <v>4.166666666666667</v>
      </c>
      <c r="T915" s="13">
        <v>0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6</v>
      </c>
      <c r="R916" s="14">
        <v>0</v>
      </c>
      <c r="S916" s="14">
        <v>1.5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60</v>
      </c>
      <c r="R918" s="14">
        <v>0</v>
      </c>
      <c r="S918" s="14">
        <v>68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2.0833333333333335</v>
      </c>
      <c r="T919" s="13">
        <v>0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3.84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55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2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0.75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3.75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120</v>
      </c>
      <c r="R925" s="14">
        <v>0</v>
      </c>
      <c r="S925" s="14">
        <v>60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64.64</v>
      </c>
      <c r="R926" s="14">
        <v>0</v>
      </c>
      <c r="S926" s="14">
        <v>64.64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113.67333333333332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5.76</v>
      </c>
      <c r="R928" s="14">
        <v>0</v>
      </c>
      <c r="S928" s="14">
        <v>1.92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2.2400000000000002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1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7.92</v>
      </c>
      <c r="R931" s="14">
        <v>0</v>
      </c>
      <c r="S931" s="14">
        <v>1.92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1.92</v>
      </c>
      <c r="R932" s="14">
        <v>0</v>
      </c>
      <c r="S932" s="14">
        <v>3.3600000000000003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0.64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0</v>
      </c>
      <c r="R934" s="14">
        <v>0</v>
      </c>
      <c r="S934" s="14">
        <v>18.353333333333339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0</v>
      </c>
      <c r="R935" s="14">
        <v>0</v>
      </c>
      <c r="S935" s="14">
        <v>37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3.84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19.2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35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2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60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108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20.069583333333334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7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25480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10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852</v>
      </c>
      <c r="R949" s="14">
        <v>0</v>
      </c>
      <c r="S949" s="14">
        <v>852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157.38</v>
      </c>
      <c r="R950" s="14">
        <v>0</v>
      </c>
      <c r="S950" s="14">
        <v>3.64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0</v>
      </c>
      <c r="R951" s="14">
        <v>0</v>
      </c>
      <c r="S951" s="14">
        <v>9.2200000000000006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46554.78</v>
      </c>
      <c r="R952" s="14">
        <v>0</v>
      </c>
      <c r="S952" s="14">
        <v>46000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11.8</v>
      </c>
      <c r="R953" s="14">
        <v>0</v>
      </c>
      <c r="S953" s="14">
        <v>6.7966666666666669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1.0666666666666667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140.76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1080</v>
      </c>
      <c r="R956" s="14">
        <v>0</v>
      </c>
      <c r="S956" s="14">
        <v>810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41437.760000000002</v>
      </c>
      <c r="R957" s="14">
        <v>0</v>
      </c>
      <c r="S957" s="14">
        <v>41478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30.160000000000004</v>
      </c>
      <c r="R958" s="14">
        <v>0</v>
      </c>
      <c r="S958" s="14">
        <v>95.846666666666678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48.959999999999994</v>
      </c>
      <c r="R960" s="14">
        <v>0</v>
      </c>
      <c r="S960" s="14">
        <v>12.239999999999998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20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444</v>
      </c>
      <c r="R962" s="14">
        <v>0</v>
      </c>
      <c r="S962" s="14">
        <v>636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23.97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360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25480</v>
      </c>
      <c r="R965" s="14">
        <v>0</v>
      </c>
      <c r="S965" s="14">
        <v>25480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2.5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16.834999999999997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18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4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7.2</v>
      </c>
      <c r="R971" s="14">
        <v>0</v>
      </c>
      <c r="S971" s="14">
        <v>26.413333333333334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88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-100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81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120</v>
      </c>
      <c r="R975" s="14">
        <v>0</v>
      </c>
      <c r="S975" s="14">
        <v>104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20020.2</v>
      </c>
      <c r="R976" s="14">
        <v>0</v>
      </c>
      <c r="S976" s="14">
        <v>21000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36.72</v>
      </c>
      <c r="R979" s="14">
        <v>0</v>
      </c>
      <c r="S979" s="14">
        <v>36.72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40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10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0</v>
      </c>
      <c r="R982" s="14">
        <v>0</v>
      </c>
      <c r="S982" s="14">
        <v>10000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81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276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400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14.559999999999999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15005.6</v>
      </c>
      <c r="R987" s="14">
        <v>0</v>
      </c>
      <c r="S987" s="14">
        <v>9100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30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168</v>
      </c>
      <c r="R989" s="14">
        <v>0</v>
      </c>
      <c r="S989" s="14">
        <v>58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200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120</v>
      </c>
      <c r="R991" s="14">
        <v>0</v>
      </c>
      <c r="S991" s="14">
        <v>75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60</v>
      </c>
      <c r="R992" s="14">
        <v>0</v>
      </c>
      <c r="S992" s="14">
        <v>43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17.3</v>
      </c>
      <c r="R993" s="14">
        <v>0</v>
      </c>
      <c r="S993" s="14">
        <v>11.51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50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204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138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165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65932.799999999988</v>
      </c>
      <c r="R998" s="14">
        <v>0</v>
      </c>
      <c r="S998" s="14">
        <v>57692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180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12014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27.6</v>
      </c>
      <c r="R1001" s="14">
        <v>0</v>
      </c>
      <c r="S1001" s="14">
        <v>50.600000000000009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5440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2.73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120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10850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3.8541666666666665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26.419999999999995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1.825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147.19999999999999</v>
      </c>
      <c r="R1009" s="14">
        <v>0</v>
      </c>
      <c r="S1009" s="14">
        <v>64.400000000000006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13.478333333333333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0</v>
      </c>
      <c r="R1012" s="14">
        <v>0</v>
      </c>
      <c r="S1012" s="14">
        <v>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11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8.74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480</v>
      </c>
      <c r="R1015" s="14">
        <v>0</v>
      </c>
      <c r="S1015" s="14">
        <v>240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3.5700000000000003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342.6</v>
      </c>
      <c r="R1017" s="14">
        <v>0</v>
      </c>
      <c r="S1017" s="14">
        <v>151.19999999999999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60</v>
      </c>
      <c r="R1018" s="14">
        <v>0</v>
      </c>
      <c r="S1018" s="14">
        <v>40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8248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0</v>
      </c>
      <c r="R1020" s="14">
        <v>0</v>
      </c>
      <c r="S1020" s="14">
        <v>12000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60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6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180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80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720</v>
      </c>
      <c r="R1025" s="14">
        <v>0</v>
      </c>
      <c r="S1025" s="14">
        <v>370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120</v>
      </c>
      <c r="R1026" s="14">
        <v>0</v>
      </c>
      <c r="S1026" s="14">
        <v>120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379.2</v>
      </c>
      <c r="R1027" s="14">
        <v>0</v>
      </c>
      <c r="S1027" s="14">
        <v>185.12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0.34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5.8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1.3333333333333333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1197</v>
      </c>
      <c r="R1031" s="14">
        <v>0</v>
      </c>
      <c r="S1031" s="14">
        <v>10000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5450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120</v>
      </c>
      <c r="R1034" s="14">
        <v>0</v>
      </c>
      <c r="S1034" s="14">
        <v>120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0</v>
      </c>
      <c r="R1035" s="14">
        <v>0</v>
      </c>
      <c r="S1035" s="14">
        <v>7000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20.990000000000002</v>
      </c>
      <c r="R1036" s="14">
        <v>0</v>
      </c>
      <c r="S1036" s="14">
        <v>20.990000000000002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12414</v>
      </c>
      <c r="R1037" s="14">
        <v>0</v>
      </c>
      <c r="S1037" s="14">
        <v>9000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120</v>
      </c>
      <c r="R1038" s="14">
        <v>0</v>
      </c>
      <c r="S1038" s="14">
        <v>109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6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20</v>
      </c>
      <c r="R1040" s="14">
        <v>0</v>
      </c>
      <c r="S1040" s="14">
        <v>20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6.2999999999999989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18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4.8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9.1999999999999993</v>
      </c>
      <c r="R1044" s="14">
        <v>0</v>
      </c>
      <c r="S1044" s="14">
        <v>9.1999999999999993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96</v>
      </c>
      <c r="R1045" s="14">
        <v>0</v>
      </c>
      <c r="S1045" s="14">
        <v>72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4000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56</v>
      </c>
      <c r="R1047" s="14">
        <v>0</v>
      </c>
      <c r="S1047" s="14">
        <v>24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4400</v>
      </c>
      <c r="R1048" s="14">
        <v>0</v>
      </c>
      <c r="S1048" s="14">
        <v>10400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120</v>
      </c>
      <c r="R1049" s="14">
        <v>0</v>
      </c>
      <c r="S1049" s="14">
        <v>240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6130</v>
      </c>
      <c r="R1050" s="14">
        <v>0</v>
      </c>
      <c r="S1050" s="14">
        <v>3600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2000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5740.8333333333339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2000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15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3949.75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0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12.833333333333334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0</v>
      </c>
      <c r="R1059" s="14">
        <v>0</v>
      </c>
      <c r="S1059" s="14">
        <v>5616.666666666667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3.5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0</v>
      </c>
      <c r="R1061" s="14">
        <v>0</v>
      </c>
      <c r="S1061" s="14">
        <v>4000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3.333333333333333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31.323333333333338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144</v>
      </c>
      <c r="R1064" s="14">
        <v>0</v>
      </c>
      <c r="S1064" s="14">
        <v>120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3</v>
      </c>
      <c r="R1065" s="14">
        <v>0</v>
      </c>
      <c r="S1065" s="14">
        <v>1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2.6666666666666665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0.34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192</v>
      </c>
      <c r="R1068" s="14">
        <v>0</v>
      </c>
      <c r="S1068" s="14">
        <v>72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5.4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360</v>
      </c>
      <c r="R1070" s="14">
        <v>0</v>
      </c>
      <c r="S1070" s="14">
        <v>180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1500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3.0833333333333335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0</v>
      </c>
      <c r="R1074" s="14">
        <v>0</v>
      </c>
      <c r="S1074" s="14">
        <v>2828.9290000000001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0</v>
      </c>
      <c r="R1075" s="14">
        <v>0</v>
      </c>
      <c r="S1075" s="14">
        <v>14256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1.3333333333333335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0.97083333333333333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0.58333333333333326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2710</v>
      </c>
      <c r="R1079" s="14">
        <v>0</v>
      </c>
      <c r="S1079" s="14">
        <v>2730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10.290000000000003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9.1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8.2366666666666681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10.100000000000001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4.08</v>
      </c>
      <c r="R1084" s="14">
        <v>0</v>
      </c>
      <c r="S1084" s="14">
        <v>4.08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60</v>
      </c>
      <c r="R1085" s="14">
        <v>0</v>
      </c>
      <c r="S1085" s="14">
        <v>60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5.4</v>
      </c>
      <c r="R1086" s="14">
        <v>0</v>
      </c>
      <c r="S1086" s="14">
        <v>5.4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13545.53</v>
      </c>
      <c r="R1087" s="14">
        <v>0</v>
      </c>
      <c r="S1087" s="14">
        <v>9100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4.08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8181</v>
      </c>
      <c r="R1089" s="14">
        <v>0</v>
      </c>
      <c r="S1089" s="14">
        <v>412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17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0.45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129.92000000000002</v>
      </c>
      <c r="R1092" s="14">
        <v>0</v>
      </c>
      <c r="S1092" s="14">
        <v>49.28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970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3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65.64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70.36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120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230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40</v>
      </c>
      <c r="R1101" s="14">
        <v>0</v>
      </c>
      <c r="S1101" s="14">
        <v>3500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300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19.424999999999997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217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21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264</v>
      </c>
      <c r="R1106" s="14">
        <v>0</v>
      </c>
      <c r="S1106" s="14">
        <v>120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62.86666666666666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0</v>
      </c>
      <c r="R1108" s="14">
        <v>0</v>
      </c>
      <c r="S1108" s="14">
        <v>126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0</v>
      </c>
      <c r="R1110" s="14">
        <v>0</v>
      </c>
      <c r="S1110" s="14">
        <v>3932.4774999999995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0</v>
      </c>
      <c r="R1111" s="14">
        <v>0</v>
      </c>
      <c r="S1111" s="14">
        <v>5205.2777777777783</v>
      </c>
      <c r="T1111" s="13">
        <v>0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123.48</v>
      </c>
      <c r="R1112" s="14">
        <v>0</v>
      </c>
      <c r="S1112" s="14">
        <v>45.239999999999995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120</v>
      </c>
      <c r="R1113" s="14">
        <v>0</v>
      </c>
      <c r="S1113" s="14">
        <v>117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9.6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168</v>
      </c>
      <c r="R1116" s="14">
        <v>0</v>
      </c>
      <c r="S1116" s="14">
        <v>269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3000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3.64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3094.4444444444439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12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1080</v>
      </c>
      <c r="R1122" s="14">
        <v>0</v>
      </c>
      <c r="S1122" s="14">
        <v>3030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-36</v>
      </c>
      <c r="R1124" s="14">
        <v>0</v>
      </c>
      <c r="S1124" s="14">
        <v>-72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815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0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9272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910</v>
      </c>
      <c r="R1128" s="14">
        <v>0</v>
      </c>
      <c r="S1128" s="14">
        <v>1820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50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180</v>
      </c>
      <c r="R1131" s="14">
        <v>0</v>
      </c>
      <c r="S1131" s="14">
        <v>2571.3934999999997</v>
      </c>
      <c r="T1131" s="13">
        <v>0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74.986666666666665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1128</v>
      </c>
      <c r="R1133" s="14">
        <v>0</v>
      </c>
      <c r="S1133" s="14">
        <v>648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2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0.5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0.75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1000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1000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1348</v>
      </c>
      <c r="R1144" s="14">
        <v>0</v>
      </c>
      <c r="S1144" s="14">
        <v>1348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198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18.333333333333332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144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50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4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243.57999999999998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2242</v>
      </c>
      <c r="R1155" s="14">
        <v>0</v>
      </c>
      <c r="S1155" s="14">
        <v>4177.1785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0</v>
      </c>
      <c r="R1156" s="14">
        <v>0</v>
      </c>
      <c r="S1156" s="14">
        <v>55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17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2730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1.5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0</v>
      </c>
      <c r="R1161" s="14">
        <v>0</v>
      </c>
      <c r="S1161" s="14">
        <v>1000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5.3</v>
      </c>
      <c r="R1162" s="14">
        <v>0</v>
      </c>
      <c r="S1162" s="14">
        <v>5.3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72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0</v>
      </c>
      <c r="R1164" s="14">
        <v>0</v>
      </c>
      <c r="S1164" s="14">
        <v>3000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5898.24</v>
      </c>
      <c r="R1165" s="14">
        <v>0</v>
      </c>
      <c r="S1165" s="14">
        <v>6000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126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16.2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8000</v>
      </c>
      <c r="R1168" s="14">
        <v>0</v>
      </c>
      <c r="S1168" s="14">
        <v>8000</v>
      </c>
      <c r="T1168" s="13">
        <v>0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13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0.37333333333333335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120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7.0833333333333339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3603.2</v>
      </c>
      <c r="R1174" s="14">
        <v>0</v>
      </c>
      <c r="S1174" s="14">
        <v>4500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5880</v>
      </c>
      <c r="R1175" s="14">
        <v>0</v>
      </c>
      <c r="S1175" s="14">
        <v>4900</v>
      </c>
      <c r="T1175" s="13">
        <v>0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60</v>
      </c>
      <c r="R1176" s="14">
        <v>0</v>
      </c>
      <c r="S1176" s="14">
        <v>47.5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6</v>
      </c>
      <c r="R1177" s="14">
        <v>0</v>
      </c>
      <c r="S1177" s="14">
        <v>4.5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9.1999999999999993</v>
      </c>
      <c r="R1178" s="14">
        <v>0</v>
      </c>
      <c r="S1178" s="14">
        <v>6.3733333333333331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30.6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42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208.07</v>
      </c>
      <c r="R1181" s="14">
        <v>0</v>
      </c>
      <c r="S1181" s="14">
        <v>116.06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12</v>
      </c>
      <c r="R1182" s="14">
        <v>0</v>
      </c>
      <c r="S1182" s="14">
        <v>1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3</v>
      </c>
      <c r="R1183" s="14">
        <v>0</v>
      </c>
      <c r="S1183" s="14">
        <v>2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0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47.433333333333337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120</v>
      </c>
      <c r="R1186" s="14">
        <v>0</v>
      </c>
      <c r="S1186" s="14">
        <v>60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827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2100</v>
      </c>
      <c r="R1190" s="14">
        <v>0</v>
      </c>
      <c r="S1190" s="14">
        <v>2000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4423.8</v>
      </c>
      <c r="R1191" s="14">
        <v>0</v>
      </c>
      <c r="S1191" s="14">
        <v>5151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10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3981.6000000000004</v>
      </c>
      <c r="R1193" s="14">
        <v>0</v>
      </c>
      <c r="S1193" s="14">
        <v>2060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0.33333333333333331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41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100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9.6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0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100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60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3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13.440000000000001</v>
      </c>
      <c r="R1204" s="14">
        <v>0</v>
      </c>
      <c r="S1204" s="14">
        <v>4.4800000000000004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540</v>
      </c>
      <c r="R1205" s="14">
        <v>0</v>
      </c>
      <c r="S1205" s="14">
        <v>355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15.96</v>
      </c>
      <c r="R1207" s="14">
        <v>0</v>
      </c>
      <c r="S1207" s="14">
        <v>6.84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2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20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0.66666666666666663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0</v>
      </c>
      <c r="T1211" s="13">
        <v>0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48</v>
      </c>
      <c r="R1212" s="14">
        <v>0</v>
      </c>
      <c r="S1212" s="14">
        <v>22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1.3333333333333333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1.8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680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2800</v>
      </c>
      <c r="R1217" s="14">
        <v>0</v>
      </c>
      <c r="S1217" s="14">
        <v>2800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108.39999999999999</v>
      </c>
      <c r="R1218" s="14">
        <v>0</v>
      </c>
      <c r="S1218" s="14">
        <v>64.8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0</v>
      </c>
      <c r="R1220" s="14">
        <v>0</v>
      </c>
      <c r="S1220" s="14">
        <v>38.839999999999996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96.6</v>
      </c>
      <c r="R1221" s="14">
        <v>0</v>
      </c>
      <c r="S1221" s="14">
        <v>46.88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49.72</v>
      </c>
      <c r="R1222" s="14">
        <v>0</v>
      </c>
      <c r="S1222" s="14">
        <v>49.72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180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31.049999999999997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120</v>
      </c>
      <c r="R1226" s="14">
        <v>0</v>
      </c>
      <c r="S1226" s="14">
        <v>120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1030.2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64.400000000000006</v>
      </c>
      <c r="R1229" s="14">
        <v>0</v>
      </c>
      <c r="S1229" s="14">
        <v>46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875</v>
      </c>
      <c r="R1230" s="14">
        <v>0</v>
      </c>
      <c r="S1230" s="14">
        <v>1000</v>
      </c>
      <c r="T1230" s="13">
        <v>0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23.28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192</v>
      </c>
      <c r="R1232" s="14">
        <v>0</v>
      </c>
      <c r="S1232" s="14">
        <v>96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3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39.50333333333333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1855</v>
      </c>
      <c r="R1235" s="14">
        <v>0</v>
      </c>
      <c r="S1235" s="14">
        <v>3920</v>
      </c>
      <c r="T1235" s="13">
        <v>0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1500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3000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600</v>
      </c>
      <c r="R1238" s="14">
        <v>0</v>
      </c>
      <c r="S1238" s="14">
        <v>300</v>
      </c>
      <c r="T1238" s="13">
        <v>0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15.36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12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648</v>
      </c>
      <c r="R1242" s="14">
        <v>0</v>
      </c>
      <c r="S1242" s="14">
        <v>648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363.6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3600</v>
      </c>
      <c r="R1244" s="14">
        <v>0</v>
      </c>
      <c r="S1244" s="14">
        <v>3620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31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2641.74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900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3.0666666666666664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64.400000000000006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204</v>
      </c>
      <c r="R1251" s="14">
        <v>0</v>
      </c>
      <c r="S1251" s="14">
        <v>60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60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0</v>
      </c>
      <c r="R1254" s="14">
        <v>0</v>
      </c>
      <c r="S1254" s="14">
        <v>2000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156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13.22</v>
      </c>
      <c r="R1258" s="14">
        <v>0</v>
      </c>
      <c r="S1258" s="14">
        <v>2.1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118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9.6</v>
      </c>
      <c r="R1260" s="14">
        <v>0</v>
      </c>
      <c r="S1260" s="14">
        <v>62.5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205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910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1820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0</v>
      </c>
      <c r="R1264" s="14">
        <v>0</v>
      </c>
      <c r="S1264" s="14">
        <v>0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0</v>
      </c>
      <c r="R1265" s="14">
        <v>0</v>
      </c>
      <c r="S1265" s="14">
        <v>355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460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1030.2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19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15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8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252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3.0600000000000005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18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2.25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98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2000</v>
      </c>
      <c r="T1277" s="13">
        <v>0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1304.28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60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3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1.4933333333333334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36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0</v>
      </c>
      <c r="R1284" s="14">
        <v>0</v>
      </c>
      <c r="S1284" s="14">
        <v>1000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1.1200000000000001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20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108</v>
      </c>
      <c r="R1287" s="14">
        <v>0</v>
      </c>
      <c r="S1287" s="14">
        <v>45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237</v>
      </c>
      <c r="R1288" s="14">
        <v>0</v>
      </c>
      <c r="S1288" s="14">
        <v>200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2.333333333333333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727.2</v>
      </c>
      <c r="R1291" s="14">
        <v>0</v>
      </c>
      <c r="S1291" s="14">
        <v>320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363.6</v>
      </c>
      <c r="R1293" s="14">
        <v>0</v>
      </c>
      <c r="S1293" s="14">
        <v>1000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0.7466666666666667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522.04458333333332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1000</v>
      </c>
      <c r="T1298" s="13">
        <v>0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95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115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200.44</v>
      </c>
      <c r="R1302" s="14">
        <v>0</v>
      </c>
      <c r="S1302" s="14">
        <v>102.77000000000001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70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900</v>
      </c>
      <c r="R1306" s="14">
        <v>0</v>
      </c>
      <c r="S1306" s="14">
        <v>900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346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900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1000</v>
      </c>
      <c r="R1309" s="14">
        <v>0</v>
      </c>
      <c r="S1309" s="14">
        <v>500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359.04</v>
      </c>
      <c r="R1313" s="14">
        <v>0</v>
      </c>
      <c r="S1313" s="14">
        <v>1064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1976.4449999999999</v>
      </c>
      <c r="R1314" s="14">
        <v>0</v>
      </c>
      <c r="S1314" s="14">
        <v>2482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0</v>
      </c>
      <c r="R1315" s="14">
        <v>0</v>
      </c>
      <c r="S1315" s="14">
        <v>300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666.66666666666663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2.8833333333333333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700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47.4</v>
      </c>
      <c r="R1320" s="14">
        <v>0</v>
      </c>
      <c r="S1320" s="14">
        <v>0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900</v>
      </c>
      <c r="R1321" s="14">
        <v>0</v>
      </c>
      <c r="S1321" s="14">
        <v>307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3.6799999999999997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0</v>
      </c>
      <c r="R1324" s="14">
        <v>0</v>
      </c>
      <c r="S1324" s="14">
        <v>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80</v>
      </c>
      <c r="R1325" s="14">
        <v>0</v>
      </c>
      <c r="S1325" s="14">
        <v>53.333333333333336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6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0.95416666666666661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35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20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0.7466666666666667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3640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0</v>
      </c>
      <c r="R1334" s="14">
        <v>0</v>
      </c>
      <c r="S1334" s="14">
        <v>1820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1030.2</v>
      </c>
      <c r="R1336" s="14">
        <v>0</v>
      </c>
      <c r="S1336" s="14">
        <v>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192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60</v>
      </c>
      <c r="R1338" s="14">
        <v>0</v>
      </c>
      <c r="S1338" s="14">
        <v>120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5.5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6.666666666666667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804.48</v>
      </c>
      <c r="R1342" s="14">
        <v>0</v>
      </c>
      <c r="S1342" s="14">
        <v>804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0</v>
      </c>
      <c r="R1346" s="14">
        <v>0</v>
      </c>
      <c r="S1346" s="14">
        <v>23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2000</v>
      </c>
      <c r="T1347" s="13">
        <v>0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1920</v>
      </c>
      <c r="R1348" s="14">
        <v>0</v>
      </c>
      <c r="S1348" s="14">
        <v>1000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10.8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4.8</v>
      </c>
      <c r="R1350" s="14">
        <v>0</v>
      </c>
      <c r="S1350" s="14">
        <v>4.8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21.580000000000002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0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4.1066666666666674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75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9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108.96000000000001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600</v>
      </c>
      <c r="R1357" s="14">
        <v>0</v>
      </c>
      <c r="S1357" s="14">
        <v>910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0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355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78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1960</v>
      </c>
      <c r="R1361" s="14">
        <v>0</v>
      </c>
      <c r="S1361" s="14">
        <v>980</v>
      </c>
      <c r="T1361" s="13">
        <v>0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1000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700</v>
      </c>
      <c r="R1363" s="14">
        <v>0</v>
      </c>
      <c r="S1363" s="14">
        <v>700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0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0</v>
      </c>
      <c r="R1365" s="14">
        <v>0</v>
      </c>
      <c r="S1365" s="14">
        <v>980</v>
      </c>
      <c r="T1365" s="13">
        <v>0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3386.88</v>
      </c>
      <c r="R1366" s="14">
        <v>0</v>
      </c>
      <c r="S1366" s="14">
        <v>3387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0</v>
      </c>
      <c r="R1367" s="14">
        <v>0</v>
      </c>
      <c r="S1367" s="14">
        <v>215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0</v>
      </c>
      <c r="R1368" s="14">
        <v>0</v>
      </c>
      <c r="S1368" s="14">
        <v>500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13.49</v>
      </c>
      <c r="R1369" s="14">
        <v>0</v>
      </c>
      <c r="S1369" s="14">
        <v>13.49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347</v>
      </c>
      <c r="R1370" s="14">
        <v>0</v>
      </c>
      <c r="S1370" s="14">
        <v>137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284.39999999999998</v>
      </c>
      <c r="R1373" s="14">
        <v>0</v>
      </c>
      <c r="S1373" s="14">
        <v>189.6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29.6</v>
      </c>
      <c r="R1374" s="14">
        <v>0</v>
      </c>
      <c r="S1374" s="14">
        <v>17.600000000000001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360</v>
      </c>
      <c r="R1375" s="14">
        <v>0</v>
      </c>
      <c r="S1375" s="14">
        <v>365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28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76.8</v>
      </c>
      <c r="R1377" s="14">
        <v>0</v>
      </c>
      <c r="S1377" s="14">
        <v>78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0</v>
      </c>
      <c r="R1378" s="14">
        <v>0</v>
      </c>
      <c r="S1378" s="14">
        <v>910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775</v>
      </c>
      <c r="R1379" s="14">
        <v>0</v>
      </c>
      <c r="S1379" s="14">
        <v>700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572.33333333333337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0.66666666666666663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18.399999999999999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72</v>
      </c>
      <c r="R1385" s="14">
        <v>0</v>
      </c>
      <c r="S1385" s="14">
        <v>72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3</v>
      </c>
      <c r="R1386" s="14">
        <v>0</v>
      </c>
      <c r="S1386" s="14">
        <v>3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3">
        <v>0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1470</v>
      </c>
      <c r="R1388" s="14">
        <v>0</v>
      </c>
      <c r="S1388" s="14">
        <v>6103</v>
      </c>
      <c r="T1388" s="13">
        <v>0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4550</v>
      </c>
      <c r="R1389" s="14">
        <v>0</v>
      </c>
      <c r="S1389" s="14">
        <v>2304.1666666666665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108</v>
      </c>
      <c r="R1390" s="14">
        <v>0</v>
      </c>
      <c r="S1390" s="14">
        <v>648.6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0</v>
      </c>
      <c r="R1391" s="14">
        <v>0</v>
      </c>
      <c r="S1391" s="14">
        <v>4944.1799999999994</v>
      </c>
      <c r="T1391" s="13">
        <v>0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209.68</v>
      </c>
      <c r="R1392" s="14">
        <v>0</v>
      </c>
      <c r="S1392" s="14">
        <v>209.68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115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92.16</v>
      </c>
      <c r="R1394" s="14">
        <v>0</v>
      </c>
      <c r="S1394" s="14">
        <v>75.84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0.25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0.25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0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180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0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120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4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4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500</v>
      </c>
      <c r="T1404" s="13">
        <v>0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140.16</v>
      </c>
      <c r="R1405" s="14">
        <v>0</v>
      </c>
      <c r="S1405" s="14">
        <v>776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1.5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20</v>
      </c>
      <c r="R1407" s="14">
        <v>0</v>
      </c>
      <c r="S1407" s="14">
        <v>12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118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3.36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268.8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10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14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0</v>
      </c>
      <c r="R1413" s="14">
        <v>0</v>
      </c>
      <c r="S1413" s="14">
        <v>300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1008</v>
      </c>
      <c r="R1414" s="14">
        <v>0</v>
      </c>
      <c r="S1414" s="14">
        <v>588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3004.8</v>
      </c>
      <c r="R1416" s="14">
        <v>0</v>
      </c>
      <c r="S1416" s="14">
        <v>3005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685.44</v>
      </c>
      <c r="R1417" s="14">
        <v>0</v>
      </c>
      <c r="S1417" s="14">
        <v>600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0.96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144</v>
      </c>
      <c r="R1420" s="14">
        <v>0</v>
      </c>
      <c r="S1420" s="14">
        <v>72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10.8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16.2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0.51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240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39.866666666666667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9.6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10.8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10.8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5.4</v>
      </c>
      <c r="R1430" s="14">
        <v>0</v>
      </c>
      <c r="S1430" s="14">
        <v>5.4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60</v>
      </c>
      <c r="R1431" s="14">
        <v>0</v>
      </c>
      <c r="S1431" s="14">
        <v>112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192</v>
      </c>
      <c r="R1432" s="14">
        <v>0</v>
      </c>
      <c r="S1432" s="14">
        <v>192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2.5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912</v>
      </c>
      <c r="R1434" s="14">
        <v>0</v>
      </c>
      <c r="S1434" s="14">
        <v>264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16</v>
      </c>
      <c r="R1435" s="14">
        <v>0</v>
      </c>
      <c r="S1435" s="14">
        <v>16.666666666666664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6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4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30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1680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48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2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2200</v>
      </c>
      <c r="R1443" s="14">
        <v>0</v>
      </c>
      <c r="S1443" s="14">
        <v>2200</v>
      </c>
      <c r="T1443" s="13">
        <v>0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11.25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10.799999999999999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0.25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12</v>
      </c>
      <c r="R1448" s="14">
        <v>0</v>
      </c>
      <c r="S1448" s="14">
        <v>6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365.375</v>
      </c>
      <c r="R1449" s="14">
        <v>0</v>
      </c>
      <c r="S1449" s="14">
        <v>153.17708333333331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6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5.7675000000000001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1095</v>
      </c>
      <c r="R1454" s="14">
        <v>0</v>
      </c>
      <c r="S1454" s="14">
        <v>781.66949999999986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24.150000000000002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6.9783333333333335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4.6666666666666661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0</v>
      </c>
      <c r="R1459" s="14">
        <v>0</v>
      </c>
      <c r="S1459" s="14">
        <v>400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4.8391666666666664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0</v>
      </c>
      <c r="R1461" s="14">
        <v>0</v>
      </c>
      <c r="S1461" s="14">
        <v>500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0.25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7.68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9.8000000000000007</v>
      </c>
      <c r="R1464" s="14">
        <v>0</v>
      </c>
      <c r="S1464" s="14">
        <v>5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5.5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910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120</v>
      </c>
      <c r="R1467" s="14">
        <v>0</v>
      </c>
      <c r="S1467" s="14">
        <v>120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300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96</v>
      </c>
      <c r="R1470" s="14">
        <v>0</v>
      </c>
      <c r="S1470" s="14">
        <v>60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10.75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190</v>
      </c>
      <c r="R1473" s="14">
        <v>0</v>
      </c>
      <c r="S1473" s="14">
        <v>700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0</v>
      </c>
      <c r="R1474" s="14">
        <v>0</v>
      </c>
      <c r="S1474" s="14">
        <v>6.458333333333333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500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19.2</v>
      </c>
      <c r="R1476" s="14">
        <v>0</v>
      </c>
      <c r="S1476" s="14">
        <v>19.2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48</v>
      </c>
      <c r="R1477" s="14">
        <v>0</v>
      </c>
      <c r="S1477" s="14">
        <v>19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48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76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4.5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0</v>
      </c>
      <c r="R1481" s="14">
        <v>0</v>
      </c>
      <c r="S1481" s="14">
        <v>250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300</v>
      </c>
      <c r="R1482" s="14">
        <v>0</v>
      </c>
      <c r="S1482" s="14">
        <v>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1620</v>
      </c>
      <c r="R1483" s="14">
        <v>0</v>
      </c>
      <c r="S1483" s="14">
        <v>2305.3649999999998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2100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800</v>
      </c>
      <c r="R1485" s="14">
        <v>0</v>
      </c>
      <c r="S1485" s="14">
        <v>400</v>
      </c>
      <c r="T1485" s="13">
        <v>0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0</v>
      </c>
      <c r="R1486" s="14">
        <v>0</v>
      </c>
      <c r="S1486" s="14">
        <v>330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3.24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17.8</v>
      </c>
      <c r="R1488" s="14">
        <v>0</v>
      </c>
      <c r="S1488" s="14">
        <v>13.600000000000001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4.3999999999999995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19.2</v>
      </c>
      <c r="R1490" s="14">
        <v>0</v>
      </c>
      <c r="S1490" s="14">
        <v>196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12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119.75999999999999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9.6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0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33.413333333333334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72</v>
      </c>
      <c r="R1496" s="14">
        <v>0</v>
      </c>
      <c r="S1496" s="14">
        <v>72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500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68.8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2930</v>
      </c>
      <c r="R1499" s="14">
        <v>0</v>
      </c>
      <c r="S1499" s="14">
        <v>1820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18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211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900</v>
      </c>
      <c r="R1502" s="14">
        <v>0</v>
      </c>
      <c r="S1502" s="14">
        <v>900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27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10.8</v>
      </c>
      <c r="R1504" s="14">
        <v>0</v>
      </c>
      <c r="S1504" s="14">
        <v>10.8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15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14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910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0</v>
      </c>
      <c r="T1508" s="13">
        <v>0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75</v>
      </c>
      <c r="R1509" s="14">
        <v>0</v>
      </c>
      <c r="S1509" s="14">
        <v>0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250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41.400000000000006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542.22199999999998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40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700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0.375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200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264.95999999999998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18.399999999999999</v>
      </c>
      <c r="R1519" s="14">
        <v>0</v>
      </c>
      <c r="S1519" s="14">
        <v>24.533333333333331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120</v>
      </c>
      <c r="R1520" s="14">
        <v>0</v>
      </c>
      <c r="S1520" s="14">
        <v>247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720</v>
      </c>
      <c r="R1521" s="14">
        <v>0</v>
      </c>
      <c r="S1521" s="14">
        <v>400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0.6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0.7466666666666667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39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308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52.08</v>
      </c>
      <c r="R1527" s="14">
        <v>0</v>
      </c>
      <c r="S1527" s="14">
        <v>17.5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19.8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400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364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144</v>
      </c>
      <c r="R1531" s="14">
        <v>0</v>
      </c>
      <c r="S1531" s="14">
        <v>96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282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300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126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600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0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133.19999999999999</v>
      </c>
      <c r="R1543" s="14">
        <v>0</v>
      </c>
      <c r="S1543" s="14">
        <v>376.5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0</v>
      </c>
      <c r="R1544" s="14">
        <v>0</v>
      </c>
      <c r="S1544" s="14">
        <v>1000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250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0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1041.55</v>
      </c>
      <c r="R1553" s="14">
        <v>0</v>
      </c>
      <c r="S1553" s="14">
        <v>460.03749999999997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150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358.56000000000006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148.80000000000001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0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1080.3599999999999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9.6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336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24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326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250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2060.4</v>
      </c>
      <c r="R1569" s="14">
        <v>0</v>
      </c>
      <c r="S1569" s="14">
        <v>1030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330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396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242.4</v>
      </c>
      <c r="R1572" s="14">
        <v>0</v>
      </c>
      <c r="S1572" s="14">
        <v>242.4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800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51.350000000000009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5.4</v>
      </c>
      <c r="R1577" s="14">
        <v>0</v>
      </c>
      <c r="S1577" s="14">
        <v>80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166.66666666666666</v>
      </c>
      <c r="T1578" s="13">
        <v>0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48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1188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0</v>
      </c>
      <c r="R1583" s="14">
        <v>0</v>
      </c>
      <c r="S1583" s="14">
        <v>120.83333333333334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255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100</v>
      </c>
      <c r="R1587" s="14">
        <v>0</v>
      </c>
      <c r="S1587" s="14">
        <v>100</v>
      </c>
      <c r="T1587" s="13">
        <v>0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0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34.433333333333337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3.6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77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2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7.8999999999999995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6.666666666666667</v>
      </c>
      <c r="T1596" s="13">
        <v>0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21.12</v>
      </c>
      <c r="R1597" s="14">
        <v>0</v>
      </c>
      <c r="S1597" s="14">
        <v>594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140</v>
      </c>
      <c r="R1600" s="14">
        <v>0</v>
      </c>
      <c r="S1600" s="14">
        <v>311.5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145.83333333333331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500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29.495000000000001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0</v>
      </c>
      <c r="R1608" s="14">
        <v>0</v>
      </c>
      <c r="S1608" s="14">
        <v>100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238.2</v>
      </c>
      <c r="R1610" s="14">
        <v>0</v>
      </c>
      <c r="S1610" s="14">
        <v>82.05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200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0</v>
      </c>
      <c r="R1612" s="14">
        <v>0</v>
      </c>
      <c r="S1612" s="14">
        <v>594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0</v>
      </c>
      <c r="R1613" s="14">
        <v>0</v>
      </c>
      <c r="S1613" s="14">
        <v>83.226666666666659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0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0</v>
      </c>
      <c r="R1616" s="14">
        <v>0</v>
      </c>
      <c r="S1616" s="14">
        <v>300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486.38888888888886</v>
      </c>
      <c r="T1617" s="13">
        <v>0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73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0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2170</v>
      </c>
      <c r="R1621" s="14">
        <v>0</v>
      </c>
      <c r="S1621" s="14">
        <v>1400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5040</v>
      </c>
      <c r="R1623" s="14">
        <v>0</v>
      </c>
      <c r="S1623" s="14">
        <v>5100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30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2717.1990000000001</v>
      </c>
      <c r="R1626" s="14">
        <v>0</v>
      </c>
      <c r="S1626" s="14">
        <v>929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160</v>
      </c>
      <c r="R1627" s="14">
        <v>0</v>
      </c>
      <c r="S1627" s="14">
        <v>140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121.2</v>
      </c>
      <c r="R1628" s="14">
        <v>0</v>
      </c>
      <c r="S1628" s="14">
        <v>308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4.166666666666667</v>
      </c>
      <c r="T1629" s="13">
        <v>0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14.166666666666668</v>
      </c>
      <c r="T1630" s="13">
        <v>0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144</v>
      </c>
      <c r="R1631" s="14">
        <v>0</v>
      </c>
      <c r="S1631" s="14">
        <v>192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0.41666666666666669</v>
      </c>
      <c r="T1632" s="13">
        <v>0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62.5</v>
      </c>
      <c r="T1633" s="13">
        <v>0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0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0</v>
      </c>
      <c r="R1635" s="14">
        <v>0</v>
      </c>
      <c r="S1635" s="14">
        <v>121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20.833333333333332</v>
      </c>
      <c r="T1636" s="13">
        <v>0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85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400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6125</v>
      </c>
      <c r="R1639" s="14">
        <v>0</v>
      </c>
      <c r="S1639" s="14">
        <v>7000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38880</v>
      </c>
      <c r="R1640" s="14">
        <v>0</v>
      </c>
      <c r="S1640" s="14">
        <v>12960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63</v>
      </c>
      <c r="R1642" s="14">
        <v>0</v>
      </c>
      <c r="S1642" s="14">
        <v>85.239999999999981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780</v>
      </c>
      <c r="R1643" s="14">
        <v>0</v>
      </c>
      <c r="S1643" s="14">
        <v>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495</v>
      </c>
      <c r="R1645" s="14">
        <v>0</v>
      </c>
      <c r="S1645" s="14">
        <v>495</v>
      </c>
      <c r="T1645" s="13">
        <v>0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0</v>
      </c>
      <c r="R1646" s="14">
        <v>0</v>
      </c>
      <c r="S1646" s="14">
        <v>11.666666666666668</v>
      </c>
      <c r="T1646" s="13">
        <v>0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18.96</v>
      </c>
      <c r="R1649" s="14">
        <v>0</v>
      </c>
      <c r="S1649" s="14">
        <v>15.010000000000002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75</v>
      </c>
      <c r="T1650" s="13">
        <v>0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22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22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48.48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700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25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288</v>
      </c>
      <c r="R1656" s="14">
        <v>0</v>
      </c>
      <c r="S1656" s="14">
        <v>101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44.355499999999999</v>
      </c>
      <c r="T1657" s="13">
        <v>0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233.28</v>
      </c>
      <c r="R1659" s="14">
        <v>0</v>
      </c>
      <c r="S1659" s="14">
        <v>0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223.2</v>
      </c>
      <c r="R1660" s="14">
        <v>0</v>
      </c>
      <c r="S1660" s="14">
        <v>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29.166666666666664</v>
      </c>
      <c r="T1662" s="13">
        <v>0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121.2</v>
      </c>
      <c r="R1664" s="14">
        <v>0</v>
      </c>
      <c r="S1664" s="14">
        <v>0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0</v>
      </c>
      <c r="R1665" s="14">
        <v>0</v>
      </c>
      <c r="S1665" s="14">
        <v>400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135</v>
      </c>
      <c r="R1666" s="14">
        <v>0</v>
      </c>
      <c r="S1666" s="14">
        <v>90</v>
      </c>
      <c r="T1666" s="13">
        <v>0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0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137.19</v>
      </c>
      <c r="R1668" s="14">
        <v>0</v>
      </c>
      <c r="S1668" s="14">
        <v>63.99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50</v>
      </c>
      <c r="R1669" s="14">
        <v>0</v>
      </c>
      <c r="S1669" s="14">
        <v>89.583333333333343</v>
      </c>
      <c r="T1669" s="13">
        <v>0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65</v>
      </c>
      <c r="R1670" s="14">
        <v>0</v>
      </c>
      <c r="S1670" s="14">
        <v>65</v>
      </c>
      <c r="T1670" s="13">
        <v>0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75</v>
      </c>
      <c r="T1671" s="13">
        <v>0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0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3500</v>
      </c>
      <c r="R1673" s="14">
        <v>0</v>
      </c>
      <c r="S1673" s="14">
        <v>3500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0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46.350000000000009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100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180</v>
      </c>
      <c r="R1680" s="14">
        <v>0</v>
      </c>
      <c r="S1680" s="14">
        <v>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0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40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40</v>
      </c>
      <c r="R1686" s="14">
        <v>0</v>
      </c>
      <c r="S1686" s="14">
        <v>20</v>
      </c>
      <c r="T1686" s="13">
        <v>0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40.4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47.4</v>
      </c>
      <c r="R1688" s="14">
        <v>0</v>
      </c>
      <c r="S1688" s="14">
        <v>47.4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60</v>
      </c>
      <c r="R1689" s="14">
        <v>0</v>
      </c>
      <c r="S1689" s="14">
        <v>75</v>
      </c>
      <c r="T1689" s="13">
        <v>0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0.41666666666666669</v>
      </c>
      <c r="T1690" s="13">
        <v>0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28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48.48</v>
      </c>
      <c r="R1692" s="14">
        <v>0</v>
      </c>
      <c r="S1692" s="14">
        <v>1030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0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86.4</v>
      </c>
      <c r="R1694" s="14">
        <v>0</v>
      </c>
      <c r="S1694" s="14">
        <v>87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0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0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680.40000000000009</v>
      </c>
      <c r="R1700" s="14">
        <v>0</v>
      </c>
      <c r="S1700" s="14">
        <v>0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14.399999999999999</v>
      </c>
      <c r="R1702" s="14">
        <v>0</v>
      </c>
      <c r="S1702" s="14">
        <v>0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0</v>
      </c>
      <c r="R1703" s="14">
        <v>0</v>
      </c>
      <c r="S1703" s="14">
        <v>0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0</v>
      </c>
      <c r="R1704" s="14">
        <v>0</v>
      </c>
      <c r="S1704" s="14">
        <v>80.118750000000006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53.653749999999995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37.92</v>
      </c>
      <c r="R1706" s="14">
        <v>0</v>
      </c>
      <c r="S1706" s="14">
        <v>34.76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3.04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51.039999999999992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12.5</v>
      </c>
      <c r="T1710" s="13">
        <v>0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22.190416666666664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5.62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0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0</v>
      </c>
      <c r="R1715" s="14">
        <v>0</v>
      </c>
      <c r="S1715" s="14">
        <v>50.833333333333336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0</v>
      </c>
      <c r="R1716" s="14">
        <v>0</v>
      </c>
      <c r="S1716" s="14">
        <v>55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32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0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51.333333333333329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0</v>
      </c>
      <c r="R1722" s="14">
        <v>0</v>
      </c>
      <c r="S1722" s="14">
        <v>18.3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50</v>
      </c>
      <c r="R1723" s="14">
        <v>0</v>
      </c>
      <c r="S1723" s="14">
        <v>25</v>
      </c>
      <c r="T1723" s="13">
        <v>0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25</v>
      </c>
      <c r="R1724" s="14">
        <v>0</v>
      </c>
      <c r="S1724" s="14">
        <v>63.333333333333329</v>
      </c>
      <c r="T1724" s="13">
        <v>0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0</v>
      </c>
      <c r="R1725" s="14">
        <v>0</v>
      </c>
      <c r="S1725" s="14">
        <v>100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34.340000000000003</v>
      </c>
      <c r="R1726" s="14">
        <v>0</v>
      </c>
      <c r="S1726" s="14">
        <v>0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32.39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9.48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70</v>
      </c>
      <c r="T1729" s="13">
        <v>0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75</v>
      </c>
      <c r="T1730" s="13">
        <v>0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0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428.8</v>
      </c>
      <c r="R1732" s="14">
        <v>0</v>
      </c>
      <c r="S1732" s="14">
        <v>400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28.8</v>
      </c>
      <c r="R1733" s="14">
        <v>0</v>
      </c>
      <c r="S1733" s="14">
        <v>0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700</v>
      </c>
      <c r="R1734" s="14">
        <v>0</v>
      </c>
      <c r="S1734" s="14">
        <v>700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9.6</v>
      </c>
      <c r="R1735" s="14">
        <v>0</v>
      </c>
      <c r="S1735" s="14">
        <v>7.5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30</v>
      </c>
      <c r="R1736" s="14">
        <v>0</v>
      </c>
      <c r="S1736" s="14">
        <v>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86.399999999999991</v>
      </c>
      <c r="R1738" s="14">
        <v>0</v>
      </c>
      <c r="S1738" s="14">
        <v>31.28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0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17.170000000000002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0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65</v>
      </c>
      <c r="R1746" s="14">
        <v>0</v>
      </c>
      <c r="S1746" s="14">
        <v>67.916666666666657</v>
      </c>
      <c r="T1746" s="13">
        <v>0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45</v>
      </c>
      <c r="T1747" s="13">
        <v>0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47.4</v>
      </c>
      <c r="R1748" s="14">
        <v>0</v>
      </c>
      <c r="S1748" s="14">
        <v>52.14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28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18.666666666666664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0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9.6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300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37.200000000000003</v>
      </c>
      <c r="R1755" s="14">
        <v>0</v>
      </c>
      <c r="S1755" s="14">
        <v>29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21.12</v>
      </c>
      <c r="R1756" s="14">
        <v>0</v>
      </c>
      <c r="S1756" s="14">
        <v>7.68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0</v>
      </c>
      <c r="R1757" s="14">
        <v>0</v>
      </c>
      <c r="S1757" s="14">
        <v>174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0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2.9166666666666665</v>
      </c>
      <c r="T1759" s="13">
        <v>0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0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50</v>
      </c>
      <c r="T1761" s="13">
        <v>0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20</v>
      </c>
      <c r="R1762" s="14">
        <v>0</v>
      </c>
      <c r="S1762" s="14">
        <v>20</v>
      </c>
      <c r="T1762" s="13">
        <v>0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96</v>
      </c>
      <c r="R1764" s="14">
        <v>0</v>
      </c>
      <c r="S1764" s="14">
        <v>96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48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0</v>
      </c>
      <c r="R1767" s="14">
        <v>0</v>
      </c>
      <c r="S1767" s="14">
        <v>5.25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32.46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6.32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0</v>
      </c>
      <c r="R1774" s="14">
        <v>0</v>
      </c>
      <c r="S1774" s="14">
        <v>200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85.32</v>
      </c>
      <c r="R1775" s="14">
        <v>0</v>
      </c>
      <c r="S1775" s="14">
        <v>37.92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7.9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8.3333333333333339</v>
      </c>
      <c r="T1778" s="13">
        <v>0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6.25</v>
      </c>
      <c r="T1779" s="13">
        <v>0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0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11.25</v>
      </c>
      <c r="T1781" s="13">
        <v>0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21</v>
      </c>
      <c r="R1782" s="14">
        <v>0</v>
      </c>
      <c r="S1782" s="14">
        <v>0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0.79999999999999993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100</v>
      </c>
      <c r="R1785" s="14">
        <v>0</v>
      </c>
      <c r="S1785" s="14">
        <v>200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24</v>
      </c>
      <c r="R1787" s="14">
        <v>0</v>
      </c>
      <c r="S1787" s="14">
        <v>60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0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15</v>
      </c>
      <c r="R1789" s="14">
        <v>0</v>
      </c>
      <c r="S1789" s="14">
        <v>12.083333333333334</v>
      </c>
      <c r="T1789" s="13">
        <v>0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60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0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0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0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55</v>
      </c>
      <c r="R1796" s="14">
        <v>0</v>
      </c>
      <c r="S1796" s="14">
        <v>40</v>
      </c>
      <c r="T1796" s="13">
        <v>0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6264</v>
      </c>
      <c r="R1797" s="14">
        <v>0</v>
      </c>
      <c r="S1797" s="14">
        <v>6264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60</v>
      </c>
      <c r="T1798" s="13">
        <v>0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1200</v>
      </c>
      <c r="R1799" s="14">
        <v>0</v>
      </c>
      <c r="S1799" s="14">
        <v>1987.172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20</v>
      </c>
      <c r="R1801" s="14">
        <v>0</v>
      </c>
      <c r="S1801" s="14">
        <v>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30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80</v>
      </c>
      <c r="R1803" s="14">
        <v>0</v>
      </c>
      <c r="S1803" s="14">
        <v>529.93849999999998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3.2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960</v>
      </c>
      <c r="R1805" s="14">
        <v>0</v>
      </c>
      <c r="S1805" s="14">
        <v>335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10.833333333333334</v>
      </c>
      <c r="T1806" s="13">
        <v>0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50.4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75</v>
      </c>
      <c r="T1808" s="13">
        <v>0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17.5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0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28.799999999999997</v>
      </c>
      <c r="R1812" s="14">
        <v>0</v>
      </c>
      <c r="S1812" s="14">
        <v>19.2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89.166666666666671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0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0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10</v>
      </c>
      <c r="R1819" s="14">
        <v>0</v>
      </c>
      <c r="S1819" s="14">
        <v>13.75</v>
      </c>
      <c r="T1819" s="13">
        <v>0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0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20</v>
      </c>
      <c r="T1821" s="13">
        <v>0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24.72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112.5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101.4</v>
      </c>
      <c r="R1824" s="14">
        <v>0</v>
      </c>
      <c r="S1824" s="14">
        <v>60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0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0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0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0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10</v>
      </c>
      <c r="R1830" s="14">
        <v>0</v>
      </c>
      <c r="S1830" s="14">
        <v>10</v>
      </c>
      <c r="T1830" s="13">
        <v>0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32.880000000000003</v>
      </c>
      <c r="R1832" s="14">
        <v>0</v>
      </c>
      <c r="S1832" s="14">
        <v>32.880000000000003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2.16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5.53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2.37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5.53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310</v>
      </c>
      <c r="R1839" s="14">
        <v>0</v>
      </c>
      <c r="S1839" s="14">
        <v>327.57899999999995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9.1666666666666679</v>
      </c>
      <c r="T1840" s="13">
        <v>0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11.6945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0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25.041999999999998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0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2.5</v>
      </c>
      <c r="T1845" s="13">
        <v>0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51.839999999999996</v>
      </c>
      <c r="R1846" s="14">
        <v>0</v>
      </c>
      <c r="S1846" s="14">
        <v>27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29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3.45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48</v>
      </c>
      <c r="R1850" s="14">
        <v>0</v>
      </c>
      <c r="S1850" s="14">
        <v>19.2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3.5999999999999996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72</v>
      </c>
      <c r="R1852" s="14">
        <v>0</v>
      </c>
      <c r="S1852" s="14">
        <v>598.32899999999995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6.32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9.9655000000000005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419.786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400</v>
      </c>
      <c r="R1857" s="14">
        <v>0</v>
      </c>
      <c r="S1857" s="14">
        <v>201.39999999999998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10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10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10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0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25</v>
      </c>
      <c r="R1862" s="14">
        <v>0</v>
      </c>
      <c r="S1862" s="14">
        <v>15</v>
      </c>
      <c r="T1862" s="13">
        <v>0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0.41666666666666669</v>
      </c>
      <c r="T1863" s="13">
        <v>0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6.666666666666667</v>
      </c>
      <c r="T1864" s="13">
        <v>0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0.83333333333333337</v>
      </c>
      <c r="T1865" s="13">
        <v>0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7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120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1.1200000000000001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8.4</v>
      </c>
      <c r="R1869" s="14">
        <v>0</v>
      </c>
      <c r="S1869" s="14">
        <v>8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0.5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0</v>
      </c>
      <c r="R1873" s="14">
        <v>0</v>
      </c>
      <c r="S1873" s="14">
        <v>0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60.664999999999999</v>
      </c>
      <c r="R1874" s="14">
        <v>0</v>
      </c>
      <c r="S1874" s="14">
        <v>61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6.0449999999999999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0</v>
      </c>
      <c r="R1877" s="14">
        <v>0</v>
      </c>
      <c r="S1877" s="14">
        <v>8.3333333333333339</v>
      </c>
      <c r="T1877" s="13">
        <v>0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5</v>
      </c>
      <c r="T1878" s="13">
        <v>0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10</v>
      </c>
      <c r="T1879" s="13">
        <v>0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0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4.5833333333333339</v>
      </c>
      <c r="T1882" s="13">
        <v>0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2.916666666666667</v>
      </c>
      <c r="T1883" s="13">
        <v>0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20</v>
      </c>
      <c r="R1884" s="14">
        <v>0</v>
      </c>
      <c r="S1884" s="14">
        <v>20</v>
      </c>
      <c r="T1884" s="13">
        <v>0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900</v>
      </c>
      <c r="R1885" s="14">
        <v>0</v>
      </c>
      <c r="S1885" s="14">
        <v>900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0</v>
      </c>
      <c r="R1886" s="14">
        <v>0</v>
      </c>
      <c r="S1886" s="14">
        <v>17796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7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104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8.4500000000000011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35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9.0399999999999991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7.68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10</v>
      </c>
      <c r="T1896" s="13">
        <v>0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0.83333333333333337</v>
      </c>
      <c r="T1897" s="13">
        <v>0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0.83333333333333337</v>
      </c>
      <c r="T1898" s="13">
        <v>0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1.6666666666666667</v>
      </c>
      <c r="T1899" s="13">
        <v>0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2.0833333333333335</v>
      </c>
      <c r="T1900" s="13">
        <v>0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107.2</v>
      </c>
      <c r="R1901" s="14">
        <v>0</v>
      </c>
      <c r="S1901" s="14">
        <v>107.2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6</v>
      </c>
      <c r="R1903" s="14">
        <v>0</v>
      </c>
      <c r="S1903" s="14">
        <v>0.36000000000000004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10.399999999999999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0.32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1.65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1.5999999999999999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0.39999999999999997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30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0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5</v>
      </c>
      <c r="T1916" s="13">
        <v>0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5</v>
      </c>
      <c r="T1917" s="13">
        <v>0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2.5</v>
      </c>
      <c r="T1918" s="13">
        <v>0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2.5</v>
      </c>
      <c r="T1919" s="13">
        <v>0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0</v>
      </c>
      <c r="R1921" s="14">
        <v>0</v>
      </c>
      <c r="S1921" s="14">
        <v>2.5</v>
      </c>
      <c r="T1921" s="13">
        <v>0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1500</v>
      </c>
      <c r="R1922" s="14">
        <v>0</v>
      </c>
      <c r="S1922" s="14">
        <v>1000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2.2399999999999998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1.76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5.76</v>
      </c>
      <c r="R1927" s="14">
        <v>0</v>
      </c>
      <c r="S1927" s="14">
        <v>5.76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0.16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10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2.916666666666667</v>
      </c>
      <c r="T1934" s="13">
        <v>0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10</v>
      </c>
      <c r="T1936" s="13">
        <v>0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0.41666666666666669</v>
      </c>
      <c r="T1937" s="13">
        <v>0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1.6666666666666667</v>
      </c>
      <c r="T1938" s="13">
        <v>0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0.41666666666666669</v>
      </c>
      <c r="T1939" s="13">
        <v>0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3.3333333333333335</v>
      </c>
      <c r="T1940" s="13">
        <v>0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5</v>
      </c>
      <c r="T1942" s="13">
        <v>0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25</v>
      </c>
      <c r="T1943" s="13">
        <v>0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122.4</v>
      </c>
      <c r="R1944" s="14">
        <v>0</v>
      </c>
      <c r="S1944" s="14">
        <v>142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0.64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4450</v>
      </c>
      <c r="R1947" s="14">
        <v>0</v>
      </c>
      <c r="S1947" s="14">
        <v>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1.92</v>
      </c>
      <c r="R1948" s="14">
        <v>0</v>
      </c>
      <c r="S1948" s="14">
        <v>2.08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1.1200000000000001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21.466666666666669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26.250000000000004</v>
      </c>
      <c r="T1953" s="13">
        <v>0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28.333333333333336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0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31.200000000000003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15</v>
      </c>
      <c r="T1960" s="13">
        <v>0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100</v>
      </c>
      <c r="R1962" s="14">
        <v>0</v>
      </c>
      <c r="S1962" s="14">
        <v>50</v>
      </c>
      <c r="T1962" s="13">
        <v>0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6.25</v>
      </c>
      <c r="T1963" s="13">
        <v>0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11.9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2.37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85</v>
      </c>
      <c r="R1966" s="14">
        <v>0</v>
      </c>
      <c r="S1966" s="14">
        <v>45</v>
      </c>
      <c r="T1966" s="13">
        <v>0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95.625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67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7.875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2.5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9.6</v>
      </c>
      <c r="R1973" s="14">
        <v>0</v>
      </c>
      <c r="S1973" s="14">
        <v>5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18.96</v>
      </c>
      <c r="R1974" s="14">
        <v>0</v>
      </c>
      <c r="S1974" s="14">
        <v>16.590000000000003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0</v>
      </c>
      <c r="R1975" s="14">
        <v>0</v>
      </c>
      <c r="S1975" s="14">
        <v>24.480000000000004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-0.89116666666666666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11.52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0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7.27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8.16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4.6745833333333335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3000</v>
      </c>
      <c r="R1982" s="14">
        <v>0</v>
      </c>
      <c r="S1982" s="14">
        <v>2000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1.58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150</v>
      </c>
      <c r="R1986" s="14">
        <v>0</v>
      </c>
      <c r="S1986" s="14">
        <v>150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2.4304166666666669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5.833333333333333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34.857500000000002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42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0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3.3333333333333335</v>
      </c>
      <c r="T1992" s="13">
        <v>0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4.166666666666667</v>
      </c>
      <c r="T1993" s="13">
        <v>0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60</v>
      </c>
      <c r="T1994" s="13">
        <v>0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9.6</v>
      </c>
      <c r="R1995" s="14">
        <v>0</v>
      </c>
      <c r="S1995" s="14">
        <v>4.8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18.96</v>
      </c>
      <c r="R1996" s="14">
        <v>0</v>
      </c>
      <c r="S1996" s="14">
        <v>11.850000000000001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2.0833333333333335</v>
      </c>
      <c r="T1998" s="13">
        <v>0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0.96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5</v>
      </c>
      <c r="R2000" s="14">
        <v>0</v>
      </c>
      <c r="S2000" s="14">
        <v>3.75</v>
      </c>
      <c r="T2000" s="13">
        <v>0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2.25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48.5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9.6</v>
      </c>
      <c r="R2003" s="14">
        <v>0</v>
      </c>
      <c r="S2003" s="14">
        <v>3.5999999999999996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18.96</v>
      </c>
      <c r="R2004" s="14">
        <v>0</v>
      </c>
      <c r="S2004" s="14">
        <v>18.96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0</v>
      </c>
      <c r="R2005" s="14">
        <v>0</v>
      </c>
      <c r="S2005" s="14">
        <v>33.333333333333336</v>
      </c>
      <c r="T2005" s="13">
        <v>0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9.5833333333333339</v>
      </c>
      <c r="T2006" s="13">
        <v>0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0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10</v>
      </c>
      <c r="T2008" s="13">
        <v>0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18</v>
      </c>
      <c r="R2009" s="14">
        <v>0</v>
      </c>
      <c r="S2009" s="14">
        <v>9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0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11.52</v>
      </c>
      <c r="R2013" s="14">
        <v>0</v>
      </c>
      <c r="S2013" s="14">
        <v>5.76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1.6666666666666667</v>
      </c>
      <c r="T2014" s="13">
        <v>0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10</v>
      </c>
      <c r="T2015" s="13">
        <v>0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0</v>
      </c>
      <c r="R2016" s="14">
        <v>0</v>
      </c>
      <c r="S2016" s="14">
        <v>5</v>
      </c>
      <c r="T2016" s="13">
        <v>0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577.20000000000005</v>
      </c>
      <c r="R2017" s="14">
        <v>0</v>
      </c>
      <c r="S2017" s="14">
        <v>175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52</v>
      </c>
      <c r="R2018" s="14">
        <v>0</v>
      </c>
      <c r="S2018" s="14">
        <v>0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10</v>
      </c>
      <c r="R2019" s="14">
        <v>0</v>
      </c>
      <c r="S2019" s="14">
        <v>5.416666666666667</v>
      </c>
      <c r="T2019" s="13">
        <v>0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0.96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2.25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15</v>
      </c>
      <c r="R2022" s="14">
        <v>0</v>
      </c>
      <c r="S2022" s="14">
        <v>16.25</v>
      </c>
      <c r="T2022" s="13">
        <v>0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20</v>
      </c>
      <c r="R2023" s="14">
        <v>0</v>
      </c>
      <c r="S2023" s="14">
        <v>20</v>
      </c>
      <c r="T2023" s="13">
        <v>0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13.44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1.6666666666666667</v>
      </c>
      <c r="T2025" s="13">
        <v>0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2.916666666666667</v>
      </c>
      <c r="T2026" s="13">
        <v>0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10</v>
      </c>
      <c r="T2027" s="13">
        <v>0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2.5</v>
      </c>
      <c r="T2028" s="13">
        <v>0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60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0</v>
      </c>
      <c r="R2030" s="14">
        <v>0</v>
      </c>
      <c r="S2030" s="14">
        <v>308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310</v>
      </c>
      <c r="R2032" s="14">
        <v>0</v>
      </c>
      <c r="S2032" s="14">
        <v>200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316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0</v>
      </c>
      <c r="R2036" s="14">
        <v>0</v>
      </c>
      <c r="S2036" s="14">
        <v>400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0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40</v>
      </c>
      <c r="R2038" s="14">
        <v>0</v>
      </c>
      <c r="S2038" s="14">
        <v>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0</v>
      </c>
      <c r="T2040" s="13">
        <v>0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140</v>
      </c>
      <c r="R2043" s="14">
        <v>0</v>
      </c>
      <c r="S2043" s="14">
        <v>910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147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48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9100</v>
      </c>
      <c r="R2046" s="14">
        <v>0</v>
      </c>
      <c r="S2046" s="14">
        <v>18900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0</v>
      </c>
      <c r="T2049" s="13">
        <v>0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288</v>
      </c>
      <c r="R2052" s="14">
        <v>0</v>
      </c>
      <c r="S2052" s="14">
        <v>0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1000</v>
      </c>
      <c r="T2054" s="13">
        <v>0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70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100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960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0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111.16900000000001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1080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250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900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4000</v>
      </c>
      <c r="R2071" s="14">
        <v>0</v>
      </c>
      <c r="S2071" s="14">
        <v>1000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0</v>
      </c>
      <c r="R2072" s="14">
        <v>0</v>
      </c>
      <c r="S2072" s="14">
        <v>75</v>
      </c>
      <c r="T2072" s="13">
        <v>0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820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-100</v>
      </c>
      <c r="R2075" s="14">
        <v>0</v>
      </c>
      <c r="S2075" s="14">
        <v>83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0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408</v>
      </c>
      <c r="R2077" s="14">
        <v>0</v>
      </c>
      <c r="S2077" s="14">
        <v>12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432</v>
      </c>
      <c r="R2078" s="14">
        <v>0</v>
      </c>
      <c r="S2078" s="14">
        <v>432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0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0</v>
      </c>
      <c r="R2081" s="14">
        <v>0</v>
      </c>
      <c r="S2081" s="14">
        <v>76.056666666666672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0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2.4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910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500</v>
      </c>
      <c r="R2085" s="14">
        <v>0</v>
      </c>
      <c r="S2085" s="14">
        <v>400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0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0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0</v>
      </c>
      <c r="R2091" s="14">
        <v>0</v>
      </c>
      <c r="S2091" s="14">
        <v>0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0</v>
      </c>
      <c r="R2093" s="14">
        <v>0</v>
      </c>
      <c r="S2093" s="14">
        <v>3640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27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7.2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270</v>
      </c>
      <c r="R2098" s="14">
        <v>0</v>
      </c>
      <c r="S2098" s="14">
        <v>270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9.57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72</v>
      </c>
      <c r="R2100" s="14">
        <v>0</v>
      </c>
      <c r="S2100" s="14">
        <v>119.99333333333334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100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60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120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25</v>
      </c>
      <c r="T2107" s="13">
        <v>0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66.666666666666671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16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30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40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10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7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0</v>
      </c>
      <c r="R2120" s="14">
        <v>0</v>
      </c>
      <c r="S2120" s="14">
        <v>910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250</v>
      </c>
      <c r="R2121" s="14">
        <v>0</v>
      </c>
      <c r="S2121" s="14">
        <v>150</v>
      </c>
      <c r="T2121" s="13">
        <v>0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20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10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7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8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25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0.32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55.35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84.84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162.44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0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0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0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0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0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0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0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0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0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0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0</v>
      </c>
      <c r="T2168" s="13">
        <v>0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0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0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14.4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0.64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1.25</v>
      </c>
      <c r="T2176" s="13">
        <v>0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3.6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57.6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1.4000000000000001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1.32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0.64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13.44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1.1200000000000001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0.48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20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20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0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0.79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0</v>
      </c>
      <c r="R2197" s="14">
        <v>0</v>
      </c>
      <c r="S2197" s="14">
        <v>184.07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1.1666666666666667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0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36.340000000000003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4.74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610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767.88</v>
      </c>
      <c r="R2206" s="14">
        <v>0</v>
      </c>
      <c r="S2206" s="14">
        <v>3612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0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10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2000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10.467499999999999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120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4.8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-12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16.699999999999996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0.9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45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0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4.3499999999999996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-2.02</v>
      </c>
      <c r="R2234" s="14">
        <v>0</v>
      </c>
      <c r="S2234" s="14">
        <v>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36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120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6.375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0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300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20</v>
      </c>
      <c r="T2241" s="13">
        <v>0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0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0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0.41666666666666669</v>
      </c>
      <c r="T2244" s="13">
        <v>0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45</v>
      </c>
      <c r="R2245" s="14">
        <v>0</v>
      </c>
      <c r="S2245" s="14">
        <v>30</v>
      </c>
      <c r="T2245" s="13">
        <v>0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84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-60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6300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16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247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6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12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200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36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24</v>
      </c>
      <c r="R2256" s="14">
        <v>0</v>
      </c>
      <c r="S2256" s="14">
        <v>12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229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24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72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60</v>
      </c>
      <c r="R2261" s="14">
        <v>0</v>
      </c>
      <c r="S2261" s="14">
        <v>18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5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65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36</v>
      </c>
      <c r="R2265" s="14">
        <v>0</v>
      </c>
      <c r="S2265" s="14">
        <v>76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90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36</v>
      </c>
      <c r="R2267" s="14">
        <v>0</v>
      </c>
      <c r="S2267" s="14">
        <v>66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17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444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60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4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96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0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10.8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430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4.08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0</v>
      </c>
      <c r="R2283" s="14">
        <v>0</v>
      </c>
      <c r="S2283" s="14">
        <v>6.38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0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5</v>
      </c>
      <c r="R2285" s="14">
        <v>0</v>
      </c>
      <c r="S2285" s="14">
        <v>20</v>
      </c>
      <c r="T2285" s="13">
        <v>0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2.916666666666667</v>
      </c>
      <c r="T2286" s="13">
        <v>0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2.2400000000000002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0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0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200</v>
      </c>
      <c r="R2290" s="14">
        <v>0</v>
      </c>
      <c r="S2290" s="14">
        <v>200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2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20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20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0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0.375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36.309666666666672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174</v>
      </c>
      <c r="R2298" s="14">
        <v>0</v>
      </c>
      <c r="S2298" s="14">
        <v>228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9.8000000000000007</v>
      </c>
      <c r="R2299" s="14">
        <v>0</v>
      </c>
      <c r="S2299" s="14">
        <v>5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0</v>
      </c>
      <c r="R2301" s="14">
        <v>0</v>
      </c>
      <c r="S2301" s="14">
        <v>300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10</v>
      </c>
      <c r="T2302" s="13">
        <v>0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1.9333333333333331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3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0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2.5775000000000001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1.2337499999999999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14.6</v>
      </c>
      <c r="R2314" s="14">
        <v>0</v>
      </c>
      <c r="S2314" s="14">
        <v>9.8000000000000007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14.994999999999999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125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2.4358333333333335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9.8566666666666674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5.4</v>
      </c>
      <c r="R2323" s="14">
        <v>0</v>
      </c>
      <c r="S2323" s="14">
        <v>5.4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40</v>
      </c>
      <c r="R2324" s="14">
        <v>0</v>
      </c>
      <c r="S2324" s="14">
        <v>10.8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9.7391666666666676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3.96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0</v>
      </c>
      <c r="R2329" s="14">
        <v>0</v>
      </c>
      <c r="S2329" s="14">
        <v>0.66666666666666663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1.3333333333333333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20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72.25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20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0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0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3</v>
      </c>
      <c r="R2339" s="14">
        <v>0</v>
      </c>
      <c r="S2339" s="14">
        <v>6.75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0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30.466583333333332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8.5333333333333332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5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3.16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8.8333333333333321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1.1200000000000001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-0.6399999999999999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1.8666666666666667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0</v>
      </c>
      <c r="T2352" s="13">
        <v>0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0.3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119.99999999999999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2.1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2.1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0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24000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700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60</v>
      </c>
      <c r="R2364" s="14">
        <v>0</v>
      </c>
      <c r="S2364" s="14">
        <v>60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0.66666666666666663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14.166666666666666</v>
      </c>
      <c r="T2366" s="13">
        <v>0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20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54</v>
      </c>
      <c r="R2369" s="14">
        <v>0</v>
      </c>
      <c r="S2369" s="14">
        <v>418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34.626666666666665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3.84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4.4800000000000004</v>
      </c>
      <c r="R2372" s="14">
        <v>0</v>
      </c>
      <c r="S2372" s="14">
        <v>2.9866666666666668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40</v>
      </c>
      <c r="R2373" s="14">
        <v>0</v>
      </c>
      <c r="S2373" s="14">
        <v>74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0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200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4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144</v>
      </c>
      <c r="R2379" s="14">
        <v>0</v>
      </c>
      <c r="S2379" s="14">
        <v>72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108</v>
      </c>
      <c r="R2380" s="14">
        <v>0</v>
      </c>
      <c r="S2380" s="14">
        <v>36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0.95500000000000007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0</v>
      </c>
      <c r="R2384" s="14">
        <v>0</v>
      </c>
      <c r="S2384" s="14">
        <v>2.5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3.854166666666667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15585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0.48916666666666669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12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0.37999999999999995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0.33333333333333331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9.6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0.79999999999999993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0</v>
      </c>
      <c r="R2393" s="14">
        <v>0</v>
      </c>
      <c r="S2393" s="14">
        <v>13.25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0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2.916666666666667</v>
      </c>
      <c r="T2395" s="13">
        <v>0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6.1587499999999995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0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8.3333333333333339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8.9600000000000009</v>
      </c>
      <c r="R2402" s="14">
        <v>0</v>
      </c>
      <c r="S2402" s="14">
        <v>4.4800000000000004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14.4</v>
      </c>
      <c r="R2405" s="14">
        <v>0</v>
      </c>
      <c r="S2405" s="14">
        <v>9.6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0.83333333333333337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1920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5.61</v>
      </c>
      <c r="R2411" s="14">
        <v>0</v>
      </c>
      <c r="S2411" s="14">
        <v>8.56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0.98499999999999999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6.8916666666666666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132</v>
      </c>
      <c r="R2415" s="14">
        <v>0</v>
      </c>
      <c r="S2415" s="14">
        <v>66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0.54999999999999993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2.25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9.48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18.96</v>
      </c>
      <c r="R2419" s="14">
        <v>0</v>
      </c>
      <c r="S2419" s="14">
        <v>9.48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0.37333333333333335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120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40.125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6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32</v>
      </c>
      <c r="R2429" s="14">
        <v>0</v>
      </c>
      <c r="S2429" s="14">
        <v>16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5.8500000000000005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1.6666666666666667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20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5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0.45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20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17.536666666666669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3.6</v>
      </c>
      <c r="R2456" s="14">
        <v>0</v>
      </c>
      <c r="S2456" s="14">
        <v>3.6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105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612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130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-4.166666666666667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0.41666666666666669</v>
      </c>
      <c r="T2463" s="13">
        <v>0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12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1.7499999999999998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4.8</v>
      </c>
      <c r="R2467" s="14">
        <v>0</v>
      </c>
      <c r="S2467" s="14">
        <v>16.45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4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3.05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8.7999999999999989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4.666666666666667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0.41666666666666669</v>
      </c>
      <c r="T2472" s="13">
        <v>0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0</v>
      </c>
      <c r="R2475" s="14">
        <v>0</v>
      </c>
      <c r="S2475" s="14">
        <v>295.83333333333331</v>
      </c>
      <c r="T2475" s="13">
        <v>0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20</v>
      </c>
      <c r="R2480" s="14">
        <v>0</v>
      </c>
      <c r="S2480" s="14">
        <v>15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7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26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83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88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20</v>
      </c>
      <c r="T2485" s="13">
        <v>0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1.9375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4.8241666666666667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1.1295833333333334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1.1645833333333333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2.8933333333333335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4.8274999999999997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0</v>
      </c>
      <c r="R2494" s="14">
        <v>0</v>
      </c>
      <c r="S2494" s="14">
        <v>923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0</v>
      </c>
      <c r="R2495" s="14">
        <v>0</v>
      </c>
      <c r="S2495" s="14">
        <v>5700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0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3.84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10</v>
      </c>
      <c r="R2499" s="14">
        <v>0</v>
      </c>
      <c r="S2499" s="14">
        <v>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606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1.6666666666666667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48</v>
      </c>
      <c r="R2507" s="14">
        <v>0</v>
      </c>
      <c r="S2507" s="14">
        <v>23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1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10.45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0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10000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10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18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37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39.067250000000001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2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17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28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4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72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6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84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38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84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170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3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156</v>
      </c>
      <c r="R2532" s="14">
        <v>0</v>
      </c>
      <c r="S2532" s="14">
        <v>72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601.654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2.25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2.25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2.9125000000000001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3.75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12</v>
      </c>
      <c r="R2538" s="14">
        <v>0</v>
      </c>
      <c r="S2538" s="14">
        <v>0.95291666666666675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9.9408333333333339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0.875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0.95583333333333342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3.4124999999999996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0.6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4.9216666666666669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45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69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8.5237499999999997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0.79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6.7200000000000006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0.37333333333333335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3.92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0.83333333333333337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61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12500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0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0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10</v>
      </c>
      <c r="R2564" s="14">
        <v>0</v>
      </c>
      <c r="S2564" s="14">
        <v>9.1666666666666679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0</v>
      </c>
      <c r="R2565" s="14">
        <v>0</v>
      </c>
      <c r="S2565" s="14">
        <v>8285.869999999999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11.71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0.3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0.39999999999999997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1.3333333333333333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12.96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0.37333333333333335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0.83333333333333337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0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1.5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0.375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4192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5.32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5.8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0.5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546.98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17708.400000000001</v>
      </c>
      <c r="R2590" s="14">
        <v>0</v>
      </c>
      <c r="S2590" s="14">
        <v>13000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0.9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7135.68</v>
      </c>
      <c r="R2593" s="14">
        <v>0</v>
      </c>
      <c r="S2593" s="14">
        <v>4550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63.333333333333343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1.92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0.83333333333333337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75</v>
      </c>
      <c r="R2597" s="14">
        <v>0</v>
      </c>
      <c r="S2597" s="14">
        <v>75</v>
      </c>
      <c r="T2597" s="13">
        <v>0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300</v>
      </c>
      <c r="R2598" s="14">
        <v>0</v>
      </c>
      <c r="S2598" s="14">
        <v>400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1.2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180</v>
      </c>
      <c r="R2601" s="14">
        <v>0</v>
      </c>
      <c r="S2601" s="14">
        <v>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50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49.5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2.63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-1.6</v>
      </c>
      <c r="R2608" s="14">
        <v>0</v>
      </c>
      <c r="S2608" s="14">
        <v>60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5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168</v>
      </c>
      <c r="R2613" s="14">
        <v>0</v>
      </c>
      <c r="S2613" s="14">
        <v>72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12.161666666666669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0.96749999999999992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6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19.2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0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1.4933333333333334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6.32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14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5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0.6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0.7466666666666667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5.53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1503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0</v>
      </c>
      <c r="R2645" s="14">
        <v>0</v>
      </c>
      <c r="S2645" s="14">
        <v>69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30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1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5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24</v>
      </c>
      <c r="R2649" s="14">
        <v>0</v>
      </c>
      <c r="S2649" s="14">
        <v>13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4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10.416666666666668</v>
      </c>
      <c r="T2651" s="13">
        <v>0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4.5833333333333339</v>
      </c>
      <c r="T2652" s="13">
        <v>0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0</v>
      </c>
      <c r="R2653" s="14">
        <v>0</v>
      </c>
      <c r="S2653" s="14">
        <v>4.8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5.7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4.6475000000000009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2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6.6666666666666661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2.58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240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21.6</v>
      </c>
      <c r="R2661" s="14">
        <v>0</v>
      </c>
      <c r="S2661" s="14">
        <v>7.2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3.0666666666666664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20.700000000000003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2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35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120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22900</v>
      </c>
      <c r="R2670" s="14">
        <v>0</v>
      </c>
      <c r="S2670" s="14">
        <v>22900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500</v>
      </c>
      <c r="T2671" s="13">
        <v>0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0.39999999999999997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108.33333333333334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1.5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29.9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120</v>
      </c>
      <c r="R2677" s="14">
        <v>0</v>
      </c>
      <c r="S2677" s="14">
        <v>114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26880</v>
      </c>
      <c r="R2679" s="14">
        <v>0</v>
      </c>
      <c r="S2679" s="14">
        <v>26880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3.833333333333333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0.83333333333333337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3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3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20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77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0.75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6.7683333333333335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8.6775000000000002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23.23</v>
      </c>
      <c r="R2690" s="14">
        <v>0</v>
      </c>
      <c r="S2690" s="14">
        <v>23.23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9.6425000000000001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0.39999999999999997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3000</v>
      </c>
      <c r="R2696" s="14">
        <v>0</v>
      </c>
      <c r="S2696" s="14">
        <v>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3.16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0.83333333333333337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0.41666666666666669</v>
      </c>
      <c r="T2701" s="13">
        <v>0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7.8791666666666664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13.44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0.7466666666666667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0.83333333333333337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15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34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0.75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7.68</v>
      </c>
      <c r="R2713" s="14">
        <v>0</v>
      </c>
      <c r="S2713" s="14">
        <v>3.84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60</v>
      </c>
      <c r="R2714" s="14">
        <v>0</v>
      </c>
      <c r="S2714" s="14">
        <v>101.66666666666667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9</v>
      </c>
      <c r="R2715" s="14">
        <v>0</v>
      </c>
      <c r="S2715" s="14">
        <v>0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0.375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18</v>
      </c>
      <c r="R2717" s="14">
        <v>0</v>
      </c>
      <c r="S2717" s="14">
        <v>9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4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0.83333333333333337</v>
      </c>
      <c r="T2720" s="13">
        <v>0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3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0.95583333333333342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0.95750000000000002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1.6666666666666667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2.6733333333333329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6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3.813333333333333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0.9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0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0.7466666666666667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0</v>
      </c>
      <c r="R2736" s="14">
        <v>0</v>
      </c>
      <c r="S2736" s="14">
        <v>300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38.4</v>
      </c>
      <c r="R2737" s="14">
        <v>0</v>
      </c>
      <c r="S2737" s="14">
        <v>200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2.02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2.8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6.666666666666667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0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0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0.39999999999999997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0.39999999999999997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1167.5999999999999</v>
      </c>
      <c r="R2749" s="14">
        <v>0</v>
      </c>
      <c r="S2749" s="14">
        <v>9.1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0.34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27.027499999999996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12.5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0.79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3.16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4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15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0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0.96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3.9908333333333332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0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2.4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105.60000000000001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1.3333333333333333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0</v>
      </c>
      <c r="R2773" s="14">
        <v>0</v>
      </c>
      <c r="S2773" s="14">
        <v>18.96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2000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0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8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100000</v>
      </c>
      <c r="R2779" s="14">
        <v>0</v>
      </c>
      <c r="S2779" s="14">
        <v>100000</v>
      </c>
      <c r="T2779" s="13">
        <v>0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20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1.6666666666666667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4.166666666666667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0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13.43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3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20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5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5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35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6.666666666666667</v>
      </c>
      <c r="T2794" s="13">
        <v>0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20</v>
      </c>
      <c r="T2795" s="13">
        <v>0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1</v>
      </c>
      <c r="R2796" s="14">
        <v>0</v>
      </c>
      <c r="S2796" s="14">
        <v>0.33333333333333331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24000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4.333333333333333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4.5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264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12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3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50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1.2258333333333333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1.9225000000000001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0.98333333333333339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0.9458333333333333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0.3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180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2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0.41666666666666669</v>
      </c>
      <c r="T2825" s="13">
        <v>0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16.615833333333335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12000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4.4800000000000004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35.840000000000003</v>
      </c>
      <c r="R2835" s="14">
        <v>0</v>
      </c>
      <c r="S2835" s="14">
        <v>17.920000000000002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10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2.5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1.8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8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1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3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15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500</v>
      </c>
      <c r="R2855" s="14">
        <v>0</v>
      </c>
      <c r="S2855" s="14">
        <v>250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1.5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25920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7.2662500000000012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7.6666666666666661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0.9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0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1041.6666666666667</v>
      </c>
      <c r="T2866" s="13">
        <v>0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0.25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7.53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120</v>
      </c>
      <c r="R2869" s="14">
        <v>0</v>
      </c>
      <c r="S2869" s="14">
        <v>130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11.666666666666668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220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1710</v>
      </c>
      <c r="R2872" s="14">
        <v>0</v>
      </c>
      <c r="S2872" s="14">
        <v>0</v>
      </c>
      <c r="T2872" s="13">
        <v>0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6.3416666666666668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110.39999999999999</v>
      </c>
      <c r="R2874" s="14">
        <v>0</v>
      </c>
      <c r="S2874" s="14">
        <v>73.599999999999994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7.5733333333333324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50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7.8</v>
      </c>
      <c r="R2878" s="14">
        <v>0</v>
      </c>
      <c r="S2878" s="14">
        <v>0.66666666666666663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0</v>
      </c>
      <c r="R2879" s="14">
        <v>0</v>
      </c>
      <c r="S2879" s="14">
        <v>350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31.5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27.9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60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40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36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4.166666666666667</v>
      </c>
      <c r="T2889" s="13">
        <v>0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1.1412500000000001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0.39999999999999997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100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0.79999999999999993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142.19999999999999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5.53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2.37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1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2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0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33.6</v>
      </c>
      <c r="R2904" s="14">
        <v>0</v>
      </c>
      <c r="S2904" s="14">
        <v>48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237</v>
      </c>
      <c r="R2905" s="14">
        <v>0</v>
      </c>
      <c r="S2905" s="14">
        <v>150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6</v>
      </c>
      <c r="R2906" s="14">
        <v>0</v>
      </c>
      <c r="S2906" s="14">
        <v>6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4.9499999999999993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1.5333333333333332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750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15</v>
      </c>
      <c r="R2913" s="14">
        <v>0</v>
      </c>
      <c r="S2913" s="14">
        <v>15</v>
      </c>
      <c r="T2913" s="13">
        <v>0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30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196.66666666666669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15.32</v>
      </c>
      <c r="R2917" s="14">
        <v>0</v>
      </c>
      <c r="S2917" s="14">
        <v>6.12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3.06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6.7333333333333343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2.5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0.3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10.5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1.6666666666666667</v>
      </c>
      <c r="T2925" s="13">
        <v>0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6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126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1.3333333333333333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0.33333333333333331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9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0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3.75</v>
      </c>
      <c r="T2932" s="13">
        <v>0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817.8</v>
      </c>
      <c r="R2933" s="14">
        <v>0</v>
      </c>
      <c r="S2933" s="14">
        <v>1995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69.3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1.2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192</v>
      </c>
      <c r="R2954" s="14">
        <v>0</v>
      </c>
      <c r="S2954" s="14">
        <v>96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21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138</v>
      </c>
      <c r="R2966" s="14">
        <v>0</v>
      </c>
      <c r="S2966" s="14">
        <v>92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110.4</v>
      </c>
      <c r="R2967" s="14">
        <v>0</v>
      </c>
      <c r="S2967" s="14">
        <v>74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3.375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2.2799999999999998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9.18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10.799999999999999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0.89999999999999991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100</v>
      </c>
      <c r="R2979" s="14">
        <v>0</v>
      </c>
      <c r="S2979" s="14">
        <v>100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0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1.02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14.22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60</v>
      </c>
      <c r="R2987" s="14">
        <v>0</v>
      </c>
      <c r="S2987" s="14">
        <v>0</v>
      </c>
      <c r="T2987" s="13">
        <v>0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27.6</v>
      </c>
      <c r="R2988" s="14">
        <v>0</v>
      </c>
      <c r="S2988" s="14">
        <v>28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0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0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7.5</v>
      </c>
      <c r="T2991" s="13">
        <v>0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0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9.6</v>
      </c>
      <c r="R2998" s="14">
        <v>0</v>
      </c>
      <c r="S2998" s="14">
        <v>4.8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6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600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24</v>
      </c>
      <c r="R3003" s="14">
        <v>0</v>
      </c>
      <c r="S3003" s="14">
        <v>6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57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-3925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2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16.64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14.399999999999999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0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204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24000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22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">
        <v>86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">
        <v>93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">
        <v>38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">
        <v>18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100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">
        <v>28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20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">
        <v>38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">
        <v>18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">
        <v>38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">
        <v>93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">
        <v>93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">
        <v>28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12960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">
        <v>28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21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">
        <v>28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12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0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8.75</v>
      </c>
      <c r="T3038" s="13">
        <v>0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5.2800000000000011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7.68</v>
      </c>
      <c r="R3041" s="14">
        <v>0</v>
      </c>
      <c r="S3041" s="14">
        <v>3.84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144</v>
      </c>
      <c r="R3043" s="14">
        <v>0</v>
      </c>
      <c r="S3043" s="14">
        <v>120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3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1.25</v>
      </c>
      <c r="T3045" s="13">
        <v>0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3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0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40</v>
      </c>
      <c r="R3051" s="14">
        <v>0</v>
      </c>
      <c r="S3051" s="14">
        <v>40</v>
      </c>
      <c r="T3051" s="13">
        <v>0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600</v>
      </c>
      <c r="R3053" s="14">
        <v>0</v>
      </c>
      <c r="S3053" s="14">
        <v>0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0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4.5999999999999996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450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1.44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115.2</v>
      </c>
      <c r="R3061" s="14">
        <v>0</v>
      </c>
      <c r="S3061" s="14">
        <v>57.6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11.25</v>
      </c>
      <c r="T3063" s="13">
        <v>0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3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216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200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0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>
        <v>0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400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6.9599999999999991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11.22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3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120</v>
      </c>
      <c r="R3082" s="14">
        <v>0</v>
      </c>
      <c r="S3082" s="14">
        <v>96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48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12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3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1.2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19.68</v>
      </c>
      <c r="R3093" s="14">
        <v>0</v>
      </c>
      <c r="S3093" s="14">
        <v>12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3.5999999999999996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200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0.75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49000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20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1.02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14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4.0500000000000007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11518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6.25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2.5</v>
      </c>
      <c r="T3114" s="13">
        <v>0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10000</v>
      </c>
      <c r="T3115" s="13">
        <v>0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3.7475000000000005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1.5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0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0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-0.90549999999999986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0.66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15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2.5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11298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205.36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0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0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-1000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250</v>
      </c>
      <c r="R3149" s="14">
        <v>0</v>
      </c>
      <c r="S3149" s="14">
        <v>625</v>
      </c>
      <c r="T3149" s="13">
        <v>0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0</v>
      </c>
      <c r="R3150" s="14">
        <v>0</v>
      </c>
      <c r="S3150" s="14">
        <v>9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15.000000000000002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1.8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61488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0</v>
      </c>
      <c r="R3155" s="14">
        <v>0</v>
      </c>
      <c r="S3155" s="14">
        <v>132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145000</v>
      </c>
      <c r="R3158" s="14">
        <v>0</v>
      </c>
      <c r="S3158" s="14">
        <v>48000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31.4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0.96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1.92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2.37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9.5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5</v>
      </c>
      <c r="T3170" s="13">
        <v>0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15</v>
      </c>
      <c r="R3171" s="14">
        <v>0</v>
      </c>
      <c r="S3171" s="14">
        <v>7.5</v>
      </c>
      <c r="T3171" s="13">
        <v>0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2.5</v>
      </c>
      <c r="T3172" s="13">
        <v>0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1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54.75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0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30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150</v>
      </c>
      <c r="R3178" s="14">
        <v>0</v>
      </c>
      <c r="S3178" s="14">
        <v>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24.500000000000004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6.25</v>
      </c>
      <c r="T3182" s="13">
        <v>0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24000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102.23333333333333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1030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0</v>
      </c>
      <c r="R3192" s="14">
        <v>0</v>
      </c>
      <c r="S3192" s="14">
        <v>50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1000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20</v>
      </c>
      <c r="R3194" s="14">
        <v>0</v>
      </c>
      <c r="S3194" s="14">
        <v>5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0</v>
      </c>
      <c r="R3199" s="14">
        <v>0</v>
      </c>
      <c r="S3199" s="14">
        <v>120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1750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6324</v>
      </c>
      <c r="R3210" s="14">
        <v>0</v>
      </c>
      <c r="S3210" s="14">
        <v>2160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2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1.56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2.88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5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45.239999999999995</v>
      </c>
      <c r="R3222" s="14">
        <v>0</v>
      </c>
      <c r="S3222" s="14">
        <v>45.24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0</v>
      </c>
      <c r="R3223" s="14">
        <v>0</v>
      </c>
      <c r="S3223" s="14">
        <v>2.04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64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7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32.4</v>
      </c>
      <c r="R3227" s="14">
        <v>0</v>
      </c>
      <c r="S3227" s="14">
        <v>21.6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4.5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84</v>
      </c>
      <c r="R3229" s="14">
        <v>0</v>
      </c>
      <c r="S3229" s="14">
        <v>111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36</v>
      </c>
      <c r="R3230" s="14">
        <v>0</v>
      </c>
      <c r="S3230" s="14">
        <v>30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0</v>
      </c>
      <c r="R3231" s="14">
        <v>0</v>
      </c>
      <c r="S3231" s="14">
        <v>132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72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12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66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252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24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3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228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204</v>
      </c>
      <c r="R3239" s="14">
        <v>0</v>
      </c>
      <c r="S3239" s="14">
        <v>168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36</v>
      </c>
      <c r="R3240" s="14">
        <v>0</v>
      </c>
      <c r="S3240" s="14">
        <v>9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6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25000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25000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3.75</v>
      </c>
      <c r="T3249" s="13">
        <v>0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0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5</v>
      </c>
      <c r="R3251" s="14">
        <v>0</v>
      </c>
      <c r="S3251" s="14">
        <v>2.5</v>
      </c>
      <c r="T3251" s="13">
        <v>0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2.25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4.125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13.5</v>
      </c>
      <c r="R3254" s="14">
        <v>0</v>
      </c>
      <c r="S3254" s="14">
        <v>6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8.9499999999999993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5.8449999999999998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11.54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5.8624999999999998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116.35</v>
      </c>
      <c r="R3259" s="14">
        <v>0</v>
      </c>
      <c r="S3259" s="14">
        <v>116.35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9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1.2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9.6</v>
      </c>
      <c r="R3264" s="14">
        <v>0</v>
      </c>
      <c r="S3264" s="14">
        <v>4.8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1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2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3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1.7999999999999998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300</v>
      </c>
      <c r="R3271" s="14">
        <v>0</v>
      </c>
      <c r="S3271" s="14">
        <v>300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2.5</v>
      </c>
      <c r="T3273" s="13">
        <v>0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7.5</v>
      </c>
      <c r="T3274" s="13">
        <v>0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3.88625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23.259999999999998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313.2</v>
      </c>
      <c r="R3277" s="14">
        <v>0</v>
      </c>
      <c r="S3277" s="14">
        <v>151.19999999999999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1126.08</v>
      </c>
      <c r="R3278" s="14">
        <v>0</v>
      </c>
      <c r="S3278" s="14">
        <v>3739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0</v>
      </c>
      <c r="R3280" s="14">
        <v>0</v>
      </c>
      <c r="S3280" s="14">
        <v>96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1.7999999999999998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1.7999999999999998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132</v>
      </c>
      <c r="R3283" s="14">
        <v>0</v>
      </c>
      <c r="S3283" s="14">
        <v>60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96</v>
      </c>
      <c r="R3284" s="14">
        <v>0</v>
      </c>
      <c r="S3284" s="14">
        <v>132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60</v>
      </c>
      <c r="R3285" s="14">
        <v>0</v>
      </c>
      <c r="S3285" s="14">
        <v>42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90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15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6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60</v>
      </c>
      <c r="R3289" s="14">
        <v>0</v>
      </c>
      <c r="S3289" s="14">
        <v>27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0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0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3895</v>
      </c>
      <c r="R3292" s="14">
        <v>0</v>
      </c>
      <c r="S3292" s="14">
        <v>2055</v>
      </c>
      <c r="T3292" s="13">
        <v>0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1.25</v>
      </c>
      <c r="T3293" s="13">
        <v>0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12.847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80</v>
      </c>
      <c r="R3295" s="14">
        <v>0</v>
      </c>
      <c r="S3295" s="14">
        <v>28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0</v>
      </c>
      <c r="R3297" s="14">
        <v>0</v>
      </c>
      <c r="S3297" s="14">
        <v>90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3.84</v>
      </c>
      <c r="R3299" s="14">
        <v>0</v>
      </c>
      <c r="S3299" s="14">
        <v>0.96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27</v>
      </c>
      <c r="R3300" s="14">
        <v>0</v>
      </c>
      <c r="S3300" s="14">
        <v>16.2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3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18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24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144</v>
      </c>
      <c r="R3304" s="14">
        <v>0</v>
      </c>
      <c r="S3304" s="14">
        <v>36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36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12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24800</v>
      </c>
      <c r="T3307" s="13">
        <v>0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6.65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2.9849999999999999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2.9750000000000001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13.000000000000002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36.25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0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0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0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0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20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0</v>
      </c>
      <c r="R3348" s="14">
        <v>0</v>
      </c>
      <c r="S3348" s="14">
        <v>0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10.8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96</v>
      </c>
      <c r="R3350" s="14">
        <v>0</v>
      </c>
      <c r="S3350" s="14">
        <v>0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8</v>
      </c>
      <c r="R3352" s="14">
        <v>0</v>
      </c>
      <c r="S3352" s="14">
        <v>8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1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80</v>
      </c>
      <c r="R3354" s="14">
        <v>0</v>
      </c>
      <c r="S3354" s="14">
        <v>32.5</v>
      </c>
      <c r="T3354" s="13">
        <v>0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60</v>
      </c>
      <c r="R3355" s="14">
        <v>0</v>
      </c>
      <c r="S3355" s="14">
        <v>60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120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60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36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60</v>
      </c>
      <c r="R3359" s="14">
        <v>0</v>
      </c>
      <c r="S3359" s="14">
        <v>45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240</v>
      </c>
      <c r="R3360" s="14">
        <v>0</v>
      </c>
      <c r="S3360" s="14">
        <v>105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12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3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0.125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3.0666666666666664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0.64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1.1200000000000001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15.36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3.5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43650</v>
      </c>
      <c r="R3390" s="14">
        <v>0</v>
      </c>
      <c r="S3390" s="14">
        <v>20650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900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0</v>
      </c>
      <c r="R3392" s="14">
        <v>0</v>
      </c>
      <c r="S3392" s="14">
        <v>3.5400000000000005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8.16</v>
      </c>
      <c r="R3393" s="14">
        <v>0</v>
      </c>
      <c r="S3393" s="14">
        <v>4.32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2.1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16.2</v>
      </c>
      <c r="R3395" s="14">
        <v>0</v>
      </c>
      <c r="S3395" s="14">
        <v>5.4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2.5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45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-36</v>
      </c>
      <c r="R3400" s="14">
        <v>0</v>
      </c>
      <c r="S3400" s="14">
        <v>9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0</v>
      </c>
      <c r="R3401" s="14">
        <v>0</v>
      </c>
      <c r="S3401" s="14">
        <v>24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24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0</v>
      </c>
      <c r="R3403" s="14">
        <v>0</v>
      </c>
      <c r="S3403" s="14">
        <v>21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36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0</v>
      </c>
      <c r="R3405" s="14">
        <v>0</v>
      </c>
      <c r="S3405" s="14">
        <v>15</v>
      </c>
      <c r="T3405" s="13">
        <v>0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1.125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5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4.2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147.19999999999999</v>
      </c>
      <c r="R3412" s="14">
        <v>0</v>
      </c>
      <c r="S3412" s="14">
        <v>73.599999999999994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21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36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9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240</v>
      </c>
      <c r="R3416" s="14">
        <v>0</v>
      </c>
      <c r="S3416" s="14">
        <v>120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2.5</v>
      </c>
      <c r="T3417" s="13">
        <v>0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42</v>
      </c>
      <c r="R3418" s="14">
        <v>0</v>
      </c>
      <c r="S3418" s="14">
        <v>16.799999999999997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19.2</v>
      </c>
      <c r="R3419" s="14">
        <v>0</v>
      </c>
      <c r="S3419" s="14">
        <v>9.6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36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141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1.92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9.6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12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3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72000</v>
      </c>
      <c r="R3430" s="14">
        <v>0</v>
      </c>
      <c r="S3430" s="14">
        <v>48000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1.125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11.59</v>
      </c>
      <c r="R3432" s="14">
        <v>0</v>
      </c>
      <c r="S3432" s="14">
        <v>12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31560</v>
      </c>
      <c r="R3433" s="14">
        <v>0</v>
      </c>
      <c r="S3433" s="14">
        <v>27705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4.8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774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2.37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36</v>
      </c>
      <c r="R3440" s="14">
        <v>0</v>
      </c>
      <c r="S3440" s="14">
        <v>24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6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0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0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15.36</v>
      </c>
      <c r="R3445" s="14">
        <v>0</v>
      </c>
      <c r="S3445" s="14">
        <v>4.8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2.7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141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36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1.25</v>
      </c>
      <c r="T3451" s="13">
        <v>0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100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0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0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0</v>
      </c>
      <c r="R3455" s="14">
        <v>0</v>
      </c>
      <c r="S3455" s="14">
        <v>1.2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9.48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1.7999999999999998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96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312</v>
      </c>
      <c r="R3462" s="14">
        <v>0</v>
      </c>
      <c r="S3462" s="14">
        <v>120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7.5</v>
      </c>
      <c r="T3464" s="13">
        <v>0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-0.26174999999999998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4.9999999999999996E-2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69050.880000000005</v>
      </c>
      <c r="R3476" s="14">
        <v>0</v>
      </c>
      <c r="S3476" s="14">
        <v>74000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1.44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0</v>
      </c>
      <c r="R3479" s="14">
        <v>0</v>
      </c>
      <c r="S3479" s="14">
        <v>38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10.8</v>
      </c>
      <c r="R3480" s="14">
        <v>0</v>
      </c>
      <c r="S3480" s="14">
        <v>0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0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150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0</v>
      </c>
      <c r="R3484" s="14">
        <v>0</v>
      </c>
      <c r="S3484" s="14">
        <v>675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48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15.125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29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84</v>
      </c>
      <c r="R3494" s="14">
        <v>0</v>
      </c>
      <c r="S3494" s="14">
        <v>36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192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240</v>
      </c>
      <c r="R3496" s="14">
        <v>0</v>
      </c>
      <c r="S3496" s="14">
        <v>30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2.5</v>
      </c>
      <c r="T3497" s="13">
        <v>0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0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312.09000000000003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250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10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0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4.5999999999999996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0.6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2.5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105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48</v>
      </c>
      <c r="R3508" s="14">
        <v>0</v>
      </c>
      <c r="S3508" s="14">
        <v>18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3000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10.8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2.4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4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1300</v>
      </c>
      <c r="R3516" s="14">
        <v>0</v>
      </c>
      <c r="S3516" s="14">
        <v>500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10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24.48</v>
      </c>
      <c r="R3518" s="14">
        <v>0</v>
      </c>
      <c r="S3518" s="14">
        <v>8.7499999999999982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2.37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2.25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1038.9749999999999</v>
      </c>
      <c r="R3521" s="14">
        <v>0</v>
      </c>
      <c r="S3521" s="14">
        <v>1065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2.9950000000000001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447.05</v>
      </c>
      <c r="R3524" s="14">
        <v>0</v>
      </c>
      <c r="S3524" s="14">
        <v>155.63849999999999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4.2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14.500000000000002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2500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232.26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3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2.1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2.9125000000000001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2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200</v>
      </c>
      <c r="R3538" s="14">
        <v>0</v>
      </c>
      <c r="S3538" s="14">
        <v>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27.6</v>
      </c>
      <c r="R3539" s="14">
        <v>0</v>
      </c>
      <c r="S3539" s="14">
        <v>27.6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2.37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2.5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3.99125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0.5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6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2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5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275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121.6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6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2.9125000000000001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2120</v>
      </c>
      <c r="R3561" s="14">
        <v>0</v>
      </c>
      <c r="S3561" s="14">
        <v>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12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1.2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11.85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48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2.5</v>
      </c>
      <c r="T3567" s="13">
        <v>0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0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13.475</v>
      </c>
      <c r="R3569" s="14">
        <v>0</v>
      </c>
      <c r="S3569" s="14">
        <v>13.475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1.5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1080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2.25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4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2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1.2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2.4000000000000004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0.48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0.48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0</v>
      </c>
      <c r="R3586" s="14">
        <v>0</v>
      </c>
      <c r="S3586" s="14">
        <v>13.799999999999999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1.0999999999999999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15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5</v>
      </c>
      <c r="R3589" s="14">
        <v>0</v>
      </c>
      <c r="S3589" s="14">
        <v>5</v>
      </c>
      <c r="T3589" s="13">
        <v>0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2.9175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0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0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110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300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100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0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0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0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432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383.4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0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0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67.2</v>
      </c>
      <c r="R3703" s="14">
        <v>0</v>
      </c>
      <c r="S3703" s="14">
        <v>33.6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0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0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168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0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3.42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0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0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1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0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0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0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0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0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0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0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-20.145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110886.77099999999</v>
      </c>
      <c r="R3815" s="14">
        <v>0</v>
      </c>
      <c r="S3815" s="14">
        <v>150000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5.4</v>
      </c>
      <c r="R3816" s="14">
        <v>0</v>
      </c>
      <c r="S3816" s="14">
        <v>5.3000000000000007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20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1325</v>
      </c>
      <c r="R3819" s="14">
        <v>0</v>
      </c>
      <c r="S3819" s="14">
        <v>750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-168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468.48</v>
      </c>
      <c r="R3821" s="14">
        <v>0</v>
      </c>
      <c r="S3821" s="14">
        <v>228.48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-0.79999999999999993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-30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48433.595000000001</v>
      </c>
      <c r="R3828" s="14">
        <v>0</v>
      </c>
      <c r="S3828" s="14">
        <v>48433.595000000001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1.92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0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0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s">
        <v>1197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s">
        <v>1197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0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s">
        <v>681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0</v>
      </c>
      <c r="R3851" s="14">
        <v>0</v>
      </c>
      <c r="S3851" s="14">
        <v>24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664.32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20</v>
      </c>
      <c r="T3857" s="13">
        <v>0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2521.9960000000001</v>
      </c>
      <c r="R3859" s="14">
        <v>0</v>
      </c>
      <c r="S3859" s="14">
        <v>2147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1000</v>
      </c>
      <c r="R3861" s="14">
        <v>0</v>
      </c>
      <c r="S3861" s="14">
        <v>1000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50</v>
      </c>
      <c r="R3862" s="14">
        <v>0</v>
      </c>
      <c r="S3862" s="14">
        <v>50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6.8800000000000008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393.76</v>
      </c>
      <c r="R3864" s="14">
        <v>0</v>
      </c>
      <c r="S3864" s="14">
        <v>425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28.44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28.44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18.96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23.6</v>
      </c>
      <c r="R3868" s="14">
        <v>0</v>
      </c>
      <c r="S3868" s="14">
        <v>0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1250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5</v>
      </c>
      <c r="T3871" s="13">
        <v>0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10</v>
      </c>
      <c r="R3872" s="14">
        <v>0</v>
      </c>
      <c r="S3872" s="14">
        <v>5</v>
      </c>
      <c r="T3872" s="13">
        <v>0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12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4.5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625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22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11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2.4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53.76</v>
      </c>
      <c r="R3883" s="14">
        <v>0</v>
      </c>
      <c r="S3883" s="14">
        <v>35.840000000000003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200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300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5</v>
      </c>
      <c r="T3886" s="13">
        <v>0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5</v>
      </c>
      <c r="T3887" s="13">
        <v>0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6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27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9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19.2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57.6</v>
      </c>
      <c r="R3896" s="14">
        <v>0</v>
      </c>
      <c r="S3896" s="14">
        <v>57.6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9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486</v>
      </c>
      <c r="R3898" s="14">
        <v>0</v>
      </c>
      <c r="S3898" s="14">
        <v>486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130.80000000000001</v>
      </c>
      <c r="R3899" s="14">
        <v>0</v>
      </c>
      <c r="S3899" s="14">
        <v>108.4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17.920000000000002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21.33</v>
      </c>
      <c r="R3901" s="14">
        <v>0</v>
      </c>
      <c r="S3901" s="14">
        <v>21.33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3.6</v>
      </c>
      <c r="R3903" s="14">
        <v>0</v>
      </c>
      <c r="S3903" s="14">
        <v>3.6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50000</v>
      </c>
      <c r="R3906" s="14">
        <v>0</v>
      </c>
      <c r="S3906" s="14">
        <v>25000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0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95</v>
      </c>
      <c r="T3909" s="13">
        <v>0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5</v>
      </c>
      <c r="T3910" s="13">
        <v>0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8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70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12816</v>
      </c>
      <c r="R3915" s="14">
        <v>0</v>
      </c>
      <c r="S3915" s="14">
        <v>11088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9.1999999999999993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25.48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18.96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75.84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10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5.4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2.4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250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17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1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22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12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1.92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14</v>
      </c>
      <c r="D3937" s="5" t="s">
        <v>49</v>
      </c>
      <c r="E3937" s="5" t="s">
        <v>50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1237.25</v>
      </c>
      <c r="R3937" s="14">
        <v>0</v>
      </c>
      <c r="S3937" s="14">
        <v>207.05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65.279999999999987</v>
      </c>
      <c r="R3939" s="14">
        <v>0</v>
      </c>
      <c r="S3939" s="14">
        <v>92.879999999999981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14</v>
      </c>
      <c r="D3940" s="5" t="s">
        <v>49</v>
      </c>
      <c r="E3940" s="5" t="s">
        <v>50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900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100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120</v>
      </c>
      <c r="R3942" s="14">
        <v>0</v>
      </c>
      <c r="S3942" s="14">
        <v>120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48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1000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31</v>
      </c>
      <c r="T3945" s="13">
        <v>6.6870565206753065</v>
      </c>
    </row>
    <row r="3946" spans="1:20" x14ac:dyDescent="0.3">
      <c r="A3946" t="str">
        <f t="shared" si="122"/>
        <v>(vazio)LACTALIS</v>
      </c>
      <c r="B3946" t="str">
        <f t="shared" si="123"/>
        <v>5340656(vazio)LACTALIS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1776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67.2</v>
      </c>
      <c r="R3947" s="14">
        <v>0</v>
      </c>
      <c r="S3947" s="14">
        <v>57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9.6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48</v>
      </c>
      <c r="R3949" s="14">
        <v>0</v>
      </c>
      <c r="S3949" s="14">
        <v>9.6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20</v>
      </c>
      <c r="R3950" s="14">
        <v>0</v>
      </c>
      <c r="S3950" s="14">
        <v>20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18.96</v>
      </c>
      <c r="R3951" s="14">
        <v>0</v>
      </c>
      <c r="S3951" s="14">
        <v>9.48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100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1750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6</v>
      </c>
      <c r="T3954" s="13">
        <v>4.7878615384615371</v>
      </c>
    </row>
    <row r="3955" spans="1:20" x14ac:dyDescent="0.3">
      <c r="A3955" t="str">
        <f t="shared" si="122"/>
        <v>DOCE DE LEITELACTALIS</v>
      </c>
      <c r="B3955" t="str">
        <f t="shared" si="123"/>
        <v>5340656DOCE DE LEITELACTALIS</v>
      </c>
      <c r="C3955" s="5" t="s">
        <v>174</v>
      </c>
      <c r="D3955" s="5" t="s">
        <v>175</v>
      </c>
      <c r="E3955" s="5" t="s">
        <v>588</v>
      </c>
      <c r="F3955" s="5">
        <v>5340656</v>
      </c>
      <c r="G3955" s="5" t="s">
        <v>609</v>
      </c>
      <c r="H3955" s="5" t="s">
        <v>28</v>
      </c>
      <c r="I3955" s="5" t="s">
        <v>20</v>
      </c>
      <c r="J3955" s="5" t="s">
        <v>42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6</v>
      </c>
      <c r="R3955" s="14">
        <v>0</v>
      </c>
      <c r="S3955" s="14">
        <v>0</v>
      </c>
      <c r="T3955" s="13">
        <v>4.7878615384615371</v>
      </c>
    </row>
    <row r="3956" spans="1:20" x14ac:dyDescent="0.3">
      <c r="A3956" t="str">
        <f t="shared" si="122"/>
        <v>IOGURTESLACTALIS</v>
      </c>
      <c r="B3956" t="str">
        <f t="shared" si="123"/>
        <v>5371456IOGURTESLACTALIS</v>
      </c>
      <c r="C3956" s="5" t="s">
        <v>174</v>
      </c>
      <c r="D3956" s="5" t="s">
        <v>681</v>
      </c>
      <c r="E3956" s="5" t="s">
        <v>1204</v>
      </c>
      <c r="F3956" s="5">
        <v>5371456</v>
      </c>
      <c r="G3956" s="5" t="s">
        <v>1777</v>
      </c>
      <c r="H3956" s="5" t="s">
        <v>28</v>
      </c>
      <c r="I3956" s="5" t="s">
        <v>20</v>
      </c>
      <c r="J3956" s="5" t="s">
        <v>122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9.1999999999999993</v>
      </c>
      <c r="R3956" s="14">
        <v>0</v>
      </c>
      <c r="S3956" s="14">
        <v>9.1999999999999993</v>
      </c>
      <c r="T3956" s="13">
        <v>11.440206068840578</v>
      </c>
    </row>
    <row r="3957" spans="1:20" x14ac:dyDescent="0.3">
      <c r="A3957" t="str">
        <f t="shared" si="122"/>
        <v>LEITE CONDENSADOLACTALIS</v>
      </c>
      <c r="B3957" t="str">
        <f t="shared" si="123"/>
        <v>5367655LEITE CONDENSADOLACTALIS</v>
      </c>
      <c r="C3957" s="5" t="s">
        <v>174</v>
      </c>
      <c r="D3957" s="5" t="s">
        <v>681</v>
      </c>
      <c r="E3957" s="5" t="s">
        <v>1202</v>
      </c>
      <c r="F3957" s="5">
        <v>5367655</v>
      </c>
      <c r="G3957" s="5" t="s">
        <v>1778</v>
      </c>
      <c r="H3957" s="5" t="s">
        <v>28</v>
      </c>
      <c r="I3957" s="5" t="s">
        <v>20</v>
      </c>
      <c r="J3957" s="5" t="s">
        <v>31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0</v>
      </c>
      <c r="R3957" s="14">
        <v>0</v>
      </c>
      <c r="S3957" s="14">
        <v>28</v>
      </c>
      <c r="T3957" s="13">
        <v>-2.942545710267229</v>
      </c>
    </row>
    <row r="3958" spans="1:20" x14ac:dyDescent="0.3">
      <c r="A3958" t="str">
        <f t="shared" si="122"/>
        <v>LEITE EM PÓLACTALIS</v>
      </c>
      <c r="B3958" t="str">
        <f t="shared" si="123"/>
        <v>5034562LEITE EM PÓLACTALIS</v>
      </c>
      <c r="C3958" s="5" t="s">
        <v>174</v>
      </c>
      <c r="D3958" s="5" t="s">
        <v>681</v>
      </c>
      <c r="E3958" s="5" t="s">
        <v>1204</v>
      </c>
      <c r="F3958" s="5">
        <v>5034562</v>
      </c>
      <c r="G3958" s="5" t="s">
        <v>1709</v>
      </c>
      <c r="H3958" s="5" t="s">
        <v>28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9</v>
      </c>
      <c r="R3958" s="14">
        <v>0</v>
      </c>
      <c r="S3958" s="14">
        <v>9</v>
      </c>
      <c r="T3958" s="13">
        <v>-1.3575000000000006</v>
      </c>
    </row>
    <row r="3959" spans="1:20" x14ac:dyDescent="0.3">
      <c r="A3959" t="str">
        <f t="shared" si="122"/>
        <v>LEITE EM PÓLACTALIS</v>
      </c>
      <c r="B3959" t="str">
        <f t="shared" si="123"/>
        <v>5175205LEITE EM PÓLACTALIS</v>
      </c>
      <c r="C3959" s="5" t="s">
        <v>174</v>
      </c>
      <c r="D3959" s="5" t="s">
        <v>633</v>
      </c>
      <c r="E3959" s="5" t="s">
        <v>649</v>
      </c>
      <c r="F3959" s="5">
        <v>5175205</v>
      </c>
      <c r="G3959" s="5" t="s">
        <v>659</v>
      </c>
      <c r="H3959" s="5" t="s">
        <v>30</v>
      </c>
      <c r="I3959" s="5" t="s">
        <v>20</v>
      </c>
      <c r="J3959" s="5" t="s">
        <v>70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50</v>
      </c>
      <c r="R3959" s="14">
        <v>0</v>
      </c>
      <c r="S3959" s="14">
        <v>50</v>
      </c>
      <c r="T3959" s="13">
        <v>1.8993</v>
      </c>
    </row>
    <row r="3960" spans="1:20" x14ac:dyDescent="0.3">
      <c r="A3960" t="str">
        <f t="shared" si="122"/>
        <v>LEITE UHTLACTALIS</v>
      </c>
      <c r="B3960" t="str">
        <f t="shared" si="123"/>
        <v>5371404LEITE UHTLACTALIS</v>
      </c>
      <c r="C3960" s="5" t="s">
        <v>174</v>
      </c>
      <c r="D3960" s="5" t="s">
        <v>681</v>
      </c>
      <c r="E3960" s="5" t="s">
        <v>1196</v>
      </c>
      <c r="F3960" s="5">
        <v>5371404</v>
      </c>
      <c r="G3960" s="5" t="s">
        <v>1779</v>
      </c>
      <c r="H3960" s="5" t="s">
        <v>28</v>
      </c>
      <c r="I3960" s="5" t="s">
        <v>20</v>
      </c>
      <c r="J3960" s="5" t="s">
        <v>125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60</v>
      </c>
      <c r="R3960" s="14">
        <v>0</v>
      </c>
      <c r="S3960" s="14">
        <v>60</v>
      </c>
      <c r="T3960" s="13">
        <v>0.37163271604938264</v>
      </c>
    </row>
    <row r="3961" spans="1:20" x14ac:dyDescent="0.3">
      <c r="A3961" t="str">
        <f t="shared" si="122"/>
        <v>LPI 25KGITAMBÉ</v>
      </c>
      <c r="B3961" t="str">
        <f t="shared" si="123"/>
        <v>5373854LPI 25KGITAMBÉ</v>
      </c>
      <c r="C3961" s="5" t="s">
        <v>14</v>
      </c>
      <c r="D3961" s="5" t="s">
        <v>15</v>
      </c>
      <c r="E3961" s="5" t="s">
        <v>1303</v>
      </c>
      <c r="F3961" s="5">
        <v>5373854</v>
      </c>
      <c r="G3961" s="5" t="s">
        <v>1780</v>
      </c>
      <c r="H3961" s="5" t="s">
        <v>85</v>
      </c>
      <c r="I3961" s="5" t="s">
        <v>25</v>
      </c>
      <c r="J3961" s="5" t="s">
        <v>19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500</v>
      </c>
      <c r="R3961" s="14">
        <v>0</v>
      </c>
      <c r="S3961" s="14">
        <v>0</v>
      </c>
      <c r="T3961" s="13">
        <v>0</v>
      </c>
    </row>
    <row r="3962" spans="1:20" x14ac:dyDescent="0.3">
      <c r="A3962" t="str">
        <f t="shared" si="122"/>
        <v>MANTEIGA 5KGLACTALIS</v>
      </c>
      <c r="B3962" t="str">
        <f t="shared" si="123"/>
        <v>5367655MANTEIGA 5KGLACTALIS</v>
      </c>
      <c r="C3962" s="5" t="s">
        <v>174</v>
      </c>
      <c r="D3962" s="5" t="s">
        <v>681</v>
      </c>
      <c r="E3962" s="5" t="s">
        <v>1202</v>
      </c>
      <c r="F3962" s="5">
        <v>5367655</v>
      </c>
      <c r="G3962" s="5" t="s">
        <v>1778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10</v>
      </c>
      <c r="R3962" s="14">
        <v>0</v>
      </c>
      <c r="S3962" s="14">
        <v>10</v>
      </c>
      <c r="T3962" s="13">
        <v>0</v>
      </c>
    </row>
    <row r="3963" spans="1:20" x14ac:dyDescent="0.3">
      <c r="A3963" t="str">
        <f t="shared" si="122"/>
        <v>MANTEIGA 5KGLACTALIS</v>
      </c>
      <c r="B3963" t="str">
        <f t="shared" si="123"/>
        <v>5369793MANTEIGA 5KGLACTALIS</v>
      </c>
      <c r="C3963" s="5" t="s">
        <v>174</v>
      </c>
      <c r="D3963" s="5" t="s">
        <v>681</v>
      </c>
      <c r="E3963" s="5" t="s">
        <v>1198</v>
      </c>
      <c r="F3963" s="5">
        <v>5369793</v>
      </c>
      <c r="G3963" s="5" t="s">
        <v>1781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20</v>
      </c>
      <c r="R3963" s="14">
        <v>0</v>
      </c>
      <c r="S3963" s="14">
        <v>0</v>
      </c>
      <c r="T3963" s="13">
        <v>0</v>
      </c>
    </row>
    <row r="3964" spans="1:20" x14ac:dyDescent="0.3">
      <c r="A3964" t="str">
        <f t="shared" si="122"/>
        <v>MANTEIGA 5KGLACTALIS</v>
      </c>
      <c r="B3964" t="str">
        <f t="shared" si="123"/>
        <v>5371456MANTEIGA 5KGLACTALIS</v>
      </c>
      <c r="C3964" s="5" t="s">
        <v>174</v>
      </c>
      <c r="D3964" s="5" t="s">
        <v>681</v>
      </c>
      <c r="E3964" s="5" t="s">
        <v>1204</v>
      </c>
      <c r="F3964" s="5">
        <v>5371456</v>
      </c>
      <c r="G3964" s="5" t="s">
        <v>1777</v>
      </c>
      <c r="H3964" s="5" t="s">
        <v>28</v>
      </c>
      <c r="I3964" s="5" t="s">
        <v>20</v>
      </c>
      <c r="J3964" s="5" t="s">
        <v>54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15</v>
      </c>
      <c r="R3964" s="14">
        <v>0</v>
      </c>
      <c r="S3964" s="14">
        <v>15</v>
      </c>
      <c r="T3964" s="13">
        <v>0</v>
      </c>
    </row>
    <row r="3965" spans="1:20" x14ac:dyDescent="0.3">
      <c r="A3965" t="str">
        <f t="shared" si="122"/>
        <v>MERC + AROMLACTALIS</v>
      </c>
      <c r="B3965" t="str">
        <f t="shared" si="123"/>
        <v>5320070MERC + AROMLACTALIS</v>
      </c>
      <c r="C3965" s="5" t="s">
        <v>174</v>
      </c>
      <c r="D3965" s="5" t="s">
        <v>633</v>
      </c>
      <c r="E3965" s="5" t="s">
        <v>644</v>
      </c>
      <c r="F3965" s="5">
        <v>5320070</v>
      </c>
      <c r="G3965" s="5" t="s">
        <v>801</v>
      </c>
      <c r="H3965" s="5" t="s">
        <v>123</v>
      </c>
      <c r="I3965" s="5" t="s">
        <v>20</v>
      </c>
      <c r="J3965" s="5" t="s">
        <v>178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12</v>
      </c>
      <c r="R3965" s="14">
        <v>0</v>
      </c>
      <c r="S3965" s="14">
        <v>0</v>
      </c>
      <c r="T3965" s="13">
        <v>0</v>
      </c>
    </row>
    <row r="3966" spans="1:20" x14ac:dyDescent="0.3">
      <c r="A3966" t="str">
        <f t="shared" si="122"/>
        <v>QUEIJOSLACTALIS</v>
      </c>
      <c r="B3966" t="str">
        <f t="shared" si="123"/>
        <v>5034559QUEIJOSLACTALIS</v>
      </c>
      <c r="C3966" s="5" t="s">
        <v>174</v>
      </c>
      <c r="D3966" s="5" t="s">
        <v>681</v>
      </c>
      <c r="E3966" s="5" t="s">
        <v>1198</v>
      </c>
      <c r="F3966" s="5">
        <v>5034559</v>
      </c>
      <c r="G3966" s="5" t="s">
        <v>1709</v>
      </c>
      <c r="H3966" s="5" t="s">
        <v>28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0</v>
      </c>
      <c r="R3966" s="14">
        <v>0</v>
      </c>
      <c r="S3966" s="14">
        <v>28.92</v>
      </c>
      <c r="T3966" s="13">
        <v>15.573476190476198</v>
      </c>
    </row>
    <row r="3967" spans="1:20" x14ac:dyDescent="0.3">
      <c r="A3967" t="str">
        <f t="shared" si="122"/>
        <v>QUEIJOSLACTALIS</v>
      </c>
      <c r="B3967" t="str">
        <f t="shared" si="123"/>
        <v>5320070QUEIJOSLACTALIS</v>
      </c>
      <c r="C3967" s="5" t="s">
        <v>174</v>
      </c>
      <c r="D3967" s="5" t="s">
        <v>633</v>
      </c>
      <c r="E3967" s="5" t="s">
        <v>644</v>
      </c>
      <c r="F3967" s="5">
        <v>5320070</v>
      </c>
      <c r="G3967" s="5" t="s">
        <v>801</v>
      </c>
      <c r="H3967" s="5" t="s">
        <v>123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15490.95</v>
      </c>
      <c r="R3967" s="14">
        <v>0</v>
      </c>
      <c r="S3967" s="14">
        <v>0</v>
      </c>
      <c r="T3967" s="13">
        <v>4.5111956911011371</v>
      </c>
    </row>
    <row r="3968" spans="1:20" x14ac:dyDescent="0.3">
      <c r="A3968" t="str">
        <f t="shared" si="122"/>
        <v>QUEIJOSLACTALIS</v>
      </c>
      <c r="B3968" t="str">
        <f t="shared" si="123"/>
        <v>5373511QUEIJOSLACTALIS</v>
      </c>
      <c r="C3968" s="5" t="s">
        <v>174</v>
      </c>
      <c r="D3968" s="5" t="s">
        <v>681</v>
      </c>
      <c r="E3968" s="5" t="s">
        <v>1201</v>
      </c>
      <c r="F3968" s="5">
        <v>5373511</v>
      </c>
      <c r="G3968" s="5" t="s">
        <v>1769</v>
      </c>
      <c r="H3968" s="5" t="s">
        <v>28</v>
      </c>
      <c r="I3968" s="5" t="s">
        <v>20</v>
      </c>
      <c r="J3968" s="5" t="s">
        <v>56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4</v>
      </c>
      <c r="R3968" s="14">
        <v>0</v>
      </c>
      <c r="S3968" s="14">
        <v>2</v>
      </c>
      <c r="T3968" s="13">
        <v>15.573476190476198</v>
      </c>
    </row>
    <row r="3969" spans="1:20" x14ac:dyDescent="0.3">
      <c r="A3969" t="str">
        <f t="shared" si="122"/>
        <v>SPREADSITAMBÉ</v>
      </c>
      <c r="B3969" t="str">
        <f t="shared" si="123"/>
        <v>5321782SPREADSITAMBÉ</v>
      </c>
      <c r="C3969" s="5" t="s">
        <v>174</v>
      </c>
      <c r="D3969" s="5" t="s">
        <v>1439</v>
      </c>
      <c r="E3969" s="5" t="s">
        <v>1439</v>
      </c>
      <c r="F3969" s="5">
        <v>5321782</v>
      </c>
      <c r="G3969" s="5" t="s">
        <v>768</v>
      </c>
      <c r="H3969" s="5" t="s">
        <v>93</v>
      </c>
      <c r="I3969" s="5" t="s">
        <v>25</v>
      </c>
      <c r="J3969" s="5" t="s">
        <v>773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60</v>
      </c>
      <c r="T3969" s="13">
        <v>0</v>
      </c>
    </row>
    <row r="3970" spans="1:20" x14ac:dyDescent="0.3">
      <c r="A3970" t="str">
        <f t="shared" si="122"/>
        <v>CREME UHTLACTALIS</v>
      </c>
      <c r="B3970" t="str">
        <f t="shared" si="123"/>
        <v>5141759CREME UHTLACTALIS</v>
      </c>
      <c r="C3970" s="5" t="s">
        <v>174</v>
      </c>
      <c r="D3970" s="5" t="s">
        <v>633</v>
      </c>
      <c r="E3970" s="5" t="s">
        <v>649</v>
      </c>
      <c r="F3970" s="5">
        <v>5141759</v>
      </c>
      <c r="G3970" s="5" t="s">
        <v>657</v>
      </c>
      <c r="H3970" s="5" t="s">
        <v>30</v>
      </c>
      <c r="I3970" s="5" t="s">
        <v>20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48</v>
      </c>
      <c r="T3970" s="13">
        <v>-2.2703125000000002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5350815CREME UHTITAMBÉ</v>
      </c>
      <c r="C3971" s="5" t="s">
        <v>174</v>
      </c>
      <c r="D3971" s="5" t="s">
        <v>633</v>
      </c>
      <c r="E3971" s="5" t="s">
        <v>649</v>
      </c>
      <c r="F3971" s="5">
        <v>5350815</v>
      </c>
      <c r="G3971" s="5" t="s">
        <v>666</v>
      </c>
      <c r="H3971" s="5" t="s">
        <v>30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5.4</v>
      </c>
      <c r="R3971" s="14">
        <v>0</v>
      </c>
      <c r="S3971" s="14">
        <v>5</v>
      </c>
      <c r="T3971" s="13">
        <v>0.46372549019607973</v>
      </c>
    </row>
    <row r="3972" spans="1:20" x14ac:dyDescent="0.3">
      <c r="A3972" t="str">
        <f t="shared" si="124"/>
        <v>CREME UHTITAMBÉ</v>
      </c>
      <c r="B3972" t="str">
        <f t="shared" si="125"/>
        <v>5373064CREME UHTITAMBÉ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32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0</v>
      </c>
      <c r="R3972" s="14">
        <v>0</v>
      </c>
      <c r="S3972" s="14">
        <v>108</v>
      </c>
      <c r="T3972" s="13">
        <v>-0.72695707070706983</v>
      </c>
    </row>
    <row r="3973" spans="1:20" x14ac:dyDescent="0.3">
      <c r="A3973" t="str">
        <f t="shared" si="124"/>
        <v>DOCE DE LEITEITAMBÉ</v>
      </c>
      <c r="B3973" t="str">
        <f t="shared" si="125"/>
        <v>5373064DOCE DE LEITEITAMBÉ</v>
      </c>
      <c r="C3973" s="5" t="s">
        <v>174</v>
      </c>
      <c r="D3973" s="5" t="s">
        <v>1439</v>
      </c>
      <c r="E3973" s="5" t="s">
        <v>1439</v>
      </c>
      <c r="F3973" s="5">
        <v>5373064</v>
      </c>
      <c r="G3973" s="5" t="s">
        <v>1751</v>
      </c>
      <c r="H3973" s="5" t="s">
        <v>93</v>
      </c>
      <c r="I3973" s="5" t="s">
        <v>25</v>
      </c>
      <c r="J3973" s="5" t="s">
        <v>42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108</v>
      </c>
      <c r="T3973" s="13">
        <v>5.795799999999999</v>
      </c>
    </row>
    <row r="3974" spans="1:20" x14ac:dyDescent="0.3">
      <c r="A3974" t="str">
        <f t="shared" si="124"/>
        <v>IOGURTESITAMBÉ</v>
      </c>
      <c r="B3974" t="str">
        <f t="shared" si="125"/>
        <v>5195658IOGURTESITAMBÉ</v>
      </c>
      <c r="C3974" s="5" t="s">
        <v>174</v>
      </c>
      <c r="D3974" s="5" t="s">
        <v>681</v>
      </c>
      <c r="E3974" s="5" t="s">
        <v>1196</v>
      </c>
      <c r="F3974" s="5">
        <v>5195658</v>
      </c>
      <c r="G3974" s="5" t="s">
        <v>825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27.6</v>
      </c>
      <c r="R3974" s="14">
        <v>0</v>
      </c>
      <c r="S3974" s="14">
        <v>27.6</v>
      </c>
      <c r="T3974" s="13">
        <v>0.6160239651416124</v>
      </c>
    </row>
    <row r="3975" spans="1:20" x14ac:dyDescent="0.3">
      <c r="A3975" t="str">
        <f t="shared" si="124"/>
        <v>IOGURTESITAMBÉ</v>
      </c>
      <c r="B3975" t="str">
        <f t="shared" si="125"/>
        <v>5361809IOGURTESITAMBÉ</v>
      </c>
      <c r="C3975" s="5" t="s">
        <v>119</v>
      </c>
      <c r="D3975" s="5" t="s">
        <v>161</v>
      </c>
      <c r="E3975" s="5" t="s">
        <v>161</v>
      </c>
      <c r="F3975" s="5">
        <v>5361809</v>
      </c>
      <c r="G3975" s="5" t="s">
        <v>1782</v>
      </c>
      <c r="H3975" s="5" t="s">
        <v>28</v>
      </c>
      <c r="I3975" s="5" t="s">
        <v>25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0</v>
      </c>
      <c r="R3975" s="14">
        <v>0</v>
      </c>
      <c r="S3975" s="14">
        <v>38</v>
      </c>
      <c r="T3975" s="13">
        <v>0.6160239651416124</v>
      </c>
    </row>
    <row r="3976" spans="1:20" x14ac:dyDescent="0.3">
      <c r="A3976" t="str">
        <f t="shared" si="124"/>
        <v>IOGURTESLACTALIS</v>
      </c>
      <c r="B3976" t="str">
        <f t="shared" si="125"/>
        <v>5222398IOGURTESLACTALIS</v>
      </c>
      <c r="C3976" s="5" t="s">
        <v>174</v>
      </c>
      <c r="D3976" s="5" t="s">
        <v>681</v>
      </c>
      <c r="E3976" s="5" t="s">
        <v>1201</v>
      </c>
      <c r="F3976" s="5">
        <v>5222398</v>
      </c>
      <c r="G3976" s="5" t="s">
        <v>319</v>
      </c>
      <c r="H3976" s="5" t="s">
        <v>28</v>
      </c>
      <c r="I3976" s="5" t="s">
        <v>20</v>
      </c>
      <c r="J3976" s="5" t="s">
        <v>122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18.399999999999999</v>
      </c>
      <c r="R3976" s="14">
        <v>0</v>
      </c>
      <c r="S3976" s="14">
        <v>18.399999999999999</v>
      </c>
      <c r="T3976" s="13">
        <v>11.440206068840578</v>
      </c>
    </row>
    <row r="3977" spans="1:20" x14ac:dyDescent="0.3">
      <c r="A3977" t="str">
        <f t="shared" si="124"/>
        <v>LEITE CONDENSADOLACTALIS</v>
      </c>
      <c r="B3977" t="str">
        <f t="shared" si="125"/>
        <v>5141759LEITE CONDENSADOLACTALIS</v>
      </c>
      <c r="C3977" s="5" t="s">
        <v>174</v>
      </c>
      <c r="D3977" s="5" t="s">
        <v>633</v>
      </c>
      <c r="E3977" s="5" t="s">
        <v>649</v>
      </c>
      <c r="F3977" s="5">
        <v>5141759</v>
      </c>
      <c r="G3977" s="5" t="s">
        <v>657</v>
      </c>
      <c r="H3977" s="5" t="s">
        <v>30</v>
      </c>
      <c r="I3977" s="5" t="s">
        <v>20</v>
      </c>
      <c r="J3977" s="5" t="s">
        <v>31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284.39999999999998</v>
      </c>
      <c r="R3977" s="14">
        <v>0</v>
      </c>
      <c r="S3977" s="14">
        <v>284</v>
      </c>
      <c r="T3977" s="13">
        <v>-1.9755244122965634</v>
      </c>
    </row>
    <row r="3978" spans="1:20" x14ac:dyDescent="0.3">
      <c r="A3978" t="str">
        <f t="shared" si="124"/>
        <v>LEITE EM PÓITAMBÉ</v>
      </c>
      <c r="B3978" t="str">
        <f t="shared" si="125"/>
        <v>5361809LEITE EM PÓITAMBÉ</v>
      </c>
      <c r="C3978" s="5" t="s">
        <v>119</v>
      </c>
      <c r="D3978" s="5" t="s">
        <v>161</v>
      </c>
      <c r="E3978" s="5" t="s">
        <v>161</v>
      </c>
      <c r="F3978" s="5">
        <v>5361809</v>
      </c>
      <c r="G3978" s="5" t="s">
        <v>1782</v>
      </c>
      <c r="H3978" s="5" t="s">
        <v>28</v>
      </c>
      <c r="I3978" s="5" t="s">
        <v>25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0</v>
      </c>
      <c r="R3978" s="14">
        <v>0</v>
      </c>
      <c r="S3978" s="14">
        <v>0</v>
      </c>
      <c r="T3978" s="13">
        <v>1.0144263082093115</v>
      </c>
    </row>
    <row r="3979" spans="1:20" x14ac:dyDescent="0.3">
      <c r="A3979" t="str">
        <f t="shared" si="124"/>
        <v>LEITE EM PÓLACTALIS</v>
      </c>
      <c r="B3979" t="str">
        <f t="shared" si="125"/>
        <v>5141759LEITE EM PÓLACTALIS</v>
      </c>
      <c r="C3979" s="5" t="s">
        <v>174</v>
      </c>
      <c r="D3979" s="5" t="s">
        <v>633</v>
      </c>
      <c r="E3979" s="5" t="s">
        <v>649</v>
      </c>
      <c r="F3979" s="5">
        <v>5141759</v>
      </c>
      <c r="G3979" s="5" t="s">
        <v>657</v>
      </c>
      <c r="H3979" s="5" t="s">
        <v>30</v>
      </c>
      <c r="I3979" s="5" t="s">
        <v>20</v>
      </c>
      <c r="J3979" s="5" t="s">
        <v>70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20</v>
      </c>
      <c r="R3979" s="14">
        <v>0</v>
      </c>
      <c r="S3979" s="14">
        <v>20</v>
      </c>
      <c r="T3979" s="13">
        <v>1.8993</v>
      </c>
    </row>
    <row r="3980" spans="1:20" x14ac:dyDescent="0.3">
      <c r="A3980" t="str">
        <f t="shared" si="124"/>
        <v>LEITE UHTLACTALIS</v>
      </c>
      <c r="B3980" t="str">
        <f t="shared" si="125"/>
        <v>5296844LEITE UHTLACTALIS</v>
      </c>
      <c r="C3980" s="5" t="s">
        <v>174</v>
      </c>
      <c r="D3980" s="5" t="s">
        <v>681</v>
      </c>
      <c r="E3980" s="5" t="s">
        <v>1198</v>
      </c>
      <c r="F3980" s="5">
        <v>5296844</v>
      </c>
      <c r="G3980" s="5" t="s">
        <v>270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60</v>
      </c>
      <c r="R3980" s="14">
        <v>0</v>
      </c>
      <c r="S3980" s="14">
        <v>60</v>
      </c>
      <c r="T3980" s="13">
        <v>0.37163271604938264</v>
      </c>
    </row>
    <row r="3981" spans="1:20" x14ac:dyDescent="0.3">
      <c r="A3981" t="str">
        <f t="shared" si="124"/>
        <v>LEITE UHTLACTALIS</v>
      </c>
      <c r="B3981" t="str">
        <f t="shared" si="125"/>
        <v>5372652LEITE UHTLACTALIS</v>
      </c>
      <c r="C3981" s="5" t="s">
        <v>174</v>
      </c>
      <c r="D3981" s="5" t="s">
        <v>681</v>
      </c>
      <c r="E3981" s="5" t="s">
        <v>1204</v>
      </c>
      <c r="F3981" s="5">
        <v>5372652</v>
      </c>
      <c r="G3981" s="5" t="s">
        <v>1674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24</v>
      </c>
      <c r="R3981" s="14">
        <v>0</v>
      </c>
      <c r="S3981" s="14">
        <v>24</v>
      </c>
      <c r="T3981" s="13">
        <v>0.37163271604938264</v>
      </c>
    </row>
    <row r="3982" spans="1:20" x14ac:dyDescent="0.3">
      <c r="A3982" t="str">
        <f t="shared" si="124"/>
        <v>LEITE UHTLACTALIS</v>
      </c>
      <c r="B3982" t="str">
        <f t="shared" si="125"/>
        <v>5373511LEITE UHTLACTALIS</v>
      </c>
      <c r="C3982" s="5" t="s">
        <v>174</v>
      </c>
      <c r="D3982" s="5" t="s">
        <v>681</v>
      </c>
      <c r="E3982" s="5" t="s">
        <v>1201</v>
      </c>
      <c r="F3982" s="5">
        <v>5373511</v>
      </c>
      <c r="G3982" s="5" t="s">
        <v>1769</v>
      </c>
      <c r="H3982" s="5" t="s">
        <v>28</v>
      </c>
      <c r="I3982" s="5" t="s">
        <v>20</v>
      </c>
      <c r="J3982" s="5" t="s">
        <v>125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144</v>
      </c>
      <c r="R3982" s="14">
        <v>0</v>
      </c>
      <c r="S3982" s="14">
        <v>144</v>
      </c>
      <c r="T3982" s="13">
        <v>0.37163271604938264</v>
      </c>
    </row>
    <row r="3983" spans="1:20" x14ac:dyDescent="0.3">
      <c r="A3983" t="str">
        <f t="shared" si="124"/>
        <v>LPI 25KGITAMBÉ</v>
      </c>
      <c r="B3983" t="str">
        <f t="shared" si="125"/>
        <v>5364891LPI 25KGITAMBÉ</v>
      </c>
      <c r="C3983" s="5" t="s">
        <v>14</v>
      </c>
      <c r="D3983" s="5" t="s">
        <v>15</v>
      </c>
      <c r="E3983" s="5" t="s">
        <v>1324</v>
      </c>
      <c r="F3983" s="5">
        <v>5364891</v>
      </c>
      <c r="G3983" s="5" t="s">
        <v>1645</v>
      </c>
      <c r="H3983" s="5" t="s">
        <v>705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250</v>
      </c>
      <c r="R3983" s="14">
        <v>0</v>
      </c>
      <c r="S3983" s="14">
        <v>250</v>
      </c>
      <c r="T3983" s="13">
        <v>0</v>
      </c>
    </row>
    <row r="3984" spans="1:20" x14ac:dyDescent="0.3">
      <c r="A3984" t="str">
        <f t="shared" si="124"/>
        <v>LPI 25KGITAMBÉ</v>
      </c>
      <c r="B3984" t="str">
        <f t="shared" si="125"/>
        <v>5366209LPI 25KGITAMBÉ</v>
      </c>
      <c r="C3984" s="5" t="s">
        <v>14</v>
      </c>
      <c r="D3984" s="5" t="s">
        <v>15</v>
      </c>
      <c r="E3984" s="5" t="s">
        <v>1303</v>
      </c>
      <c r="F3984" s="5">
        <v>5366209</v>
      </c>
      <c r="G3984" s="5" t="s">
        <v>1783</v>
      </c>
      <c r="H3984" s="5" t="s">
        <v>85</v>
      </c>
      <c r="I3984" s="5" t="s">
        <v>25</v>
      </c>
      <c r="J3984" s="5" t="s">
        <v>19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500</v>
      </c>
      <c r="R3984" s="14">
        <v>0</v>
      </c>
      <c r="S3984" s="14">
        <v>500</v>
      </c>
      <c r="T3984" s="13">
        <v>0</v>
      </c>
    </row>
    <row r="3985" spans="1:20" x14ac:dyDescent="0.3">
      <c r="A3985" t="str">
        <f t="shared" si="124"/>
        <v>MANTEIGA 5KGLACTALIS</v>
      </c>
      <c r="B3985" t="str">
        <f t="shared" si="125"/>
        <v>5372957MANTEIGA 5KGLACTALIS</v>
      </c>
      <c r="C3985" s="5" t="s">
        <v>174</v>
      </c>
      <c r="D3985" s="5" t="s">
        <v>681</v>
      </c>
      <c r="E3985" s="5" t="s">
        <v>1196</v>
      </c>
      <c r="F3985" s="5">
        <v>5372957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5</v>
      </c>
      <c r="R3985" s="14">
        <v>0</v>
      </c>
      <c r="S3985" s="14">
        <v>5</v>
      </c>
      <c r="T3985" s="13">
        <v>0</v>
      </c>
    </row>
    <row r="3986" spans="1:20" x14ac:dyDescent="0.3">
      <c r="A3986" t="str">
        <f t="shared" si="124"/>
        <v>MANTEIGA 5KGLACTALIS</v>
      </c>
      <c r="B3986" t="str">
        <f t="shared" si="125"/>
        <v>5374066MANTEIGA 5KGLACTALIS</v>
      </c>
      <c r="C3986" s="5" t="s">
        <v>174</v>
      </c>
      <c r="D3986" s="5" t="s">
        <v>681</v>
      </c>
      <c r="E3986" s="5" t="s">
        <v>1204</v>
      </c>
      <c r="F3986" s="5">
        <v>5374066</v>
      </c>
      <c r="G3986" s="5" t="s">
        <v>1785</v>
      </c>
      <c r="H3986" s="5" t="s">
        <v>28</v>
      </c>
      <c r="I3986" s="5" t="s">
        <v>20</v>
      </c>
      <c r="J3986" s="5" t="s">
        <v>54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15</v>
      </c>
      <c r="R3986" s="14">
        <v>0</v>
      </c>
      <c r="S3986" s="14">
        <v>15</v>
      </c>
      <c r="T3986" s="13">
        <v>0</v>
      </c>
    </row>
    <row r="3987" spans="1:20" x14ac:dyDescent="0.3">
      <c r="A3987" t="str">
        <f t="shared" si="124"/>
        <v>MERC + AROMITAMBÉ</v>
      </c>
      <c r="B3987" t="str">
        <f t="shared" si="125"/>
        <v>5195658MERC + AROMITAMBÉ</v>
      </c>
      <c r="C3987" s="5" t="s">
        <v>174</v>
      </c>
      <c r="D3987" s="5" t="s">
        <v>681</v>
      </c>
      <c r="E3987" s="5" t="s">
        <v>1196</v>
      </c>
      <c r="F3987" s="5">
        <v>5195658</v>
      </c>
      <c r="G3987" s="5" t="s">
        <v>825</v>
      </c>
      <c r="H3987" s="5" t="s">
        <v>28</v>
      </c>
      <c r="I3987" s="5" t="s">
        <v>25</v>
      </c>
      <c r="J3987" s="5" t="s">
        <v>178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18.000473933649289</v>
      </c>
      <c r="R3987" s="14">
        <v>0</v>
      </c>
      <c r="S3987" s="14">
        <v>4.5004739336492898</v>
      </c>
      <c r="T3987" s="13">
        <v>1.9233658031827585</v>
      </c>
    </row>
    <row r="3988" spans="1:20" x14ac:dyDescent="0.3">
      <c r="A3988" t="str">
        <f t="shared" si="124"/>
        <v>QUEIJOSITAMBÉ</v>
      </c>
      <c r="B3988" t="str">
        <f t="shared" si="125"/>
        <v>5075754QUEIJOSITAMBÉ</v>
      </c>
      <c r="C3988" s="5" t="s">
        <v>174</v>
      </c>
      <c r="D3988" s="5" t="s">
        <v>1437</v>
      </c>
      <c r="E3988" s="5" t="s">
        <v>721</v>
      </c>
      <c r="F3988" s="5">
        <v>5075754</v>
      </c>
      <c r="G3988" s="5" t="s">
        <v>724</v>
      </c>
      <c r="H3988" s="5" t="s">
        <v>76</v>
      </c>
      <c r="I3988" s="5" t="s">
        <v>25</v>
      </c>
      <c r="J3988" s="5" t="s">
        <v>56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1</v>
      </c>
      <c r="R3988" s="14">
        <v>0</v>
      </c>
      <c r="S3988" s="14">
        <v>0</v>
      </c>
      <c r="T3988" s="13">
        <v>0</v>
      </c>
    </row>
    <row r="3989" spans="1:20" x14ac:dyDescent="0.3">
      <c r="A3989" t="str">
        <f t="shared" si="124"/>
        <v>SPREADSLACTALIS</v>
      </c>
      <c r="B3989" t="str">
        <f t="shared" si="125"/>
        <v>5268767SPREADSLACTALIS</v>
      </c>
      <c r="C3989" s="5" t="s">
        <v>119</v>
      </c>
      <c r="D3989" s="5" t="s">
        <v>161</v>
      </c>
      <c r="E3989" s="5" t="s">
        <v>161</v>
      </c>
      <c r="F3989" s="5">
        <v>5268767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60</v>
      </c>
      <c r="R3989" s="14">
        <v>0</v>
      </c>
      <c r="S3989" s="14">
        <v>60</v>
      </c>
      <c r="T3989" s="13">
        <v>10.327777777777779</v>
      </c>
    </row>
    <row r="3990" spans="1:20" x14ac:dyDescent="0.3">
      <c r="A3990" t="str">
        <f t="shared" si="124"/>
        <v>SPREADSLACTALIS</v>
      </c>
      <c r="B3990" t="str">
        <f t="shared" si="125"/>
        <v>5370630SPREADSLACTALIS</v>
      </c>
      <c r="C3990" s="5" t="s">
        <v>174</v>
      </c>
      <c r="D3990" s="5" t="s">
        <v>681</v>
      </c>
      <c r="E3990" s="5" t="s">
        <v>1205</v>
      </c>
      <c r="F3990" s="5">
        <v>5370630</v>
      </c>
      <c r="G3990" s="5" t="s">
        <v>1787</v>
      </c>
      <c r="H3990" s="5" t="s">
        <v>28</v>
      </c>
      <c r="I3990" s="5" t="s">
        <v>20</v>
      </c>
      <c r="J3990" s="5" t="s">
        <v>773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0</v>
      </c>
      <c r="R3990" s="14">
        <v>0</v>
      </c>
      <c r="S3990" s="14">
        <v>12</v>
      </c>
      <c r="T3990" s="13">
        <v>10.327777777777779</v>
      </c>
    </row>
    <row r="3991" spans="1:20" x14ac:dyDescent="0.3">
      <c r="A3991" t="str">
        <f t="shared" si="124"/>
        <v>COMPOSTOITAMBÉ</v>
      </c>
      <c r="B3991" t="str">
        <f t="shared" si="125"/>
        <v>5370503COMPOSTOITAMBÉ</v>
      </c>
      <c r="C3991" s="5" t="s">
        <v>174</v>
      </c>
      <c r="D3991" s="5" t="s">
        <v>633</v>
      </c>
      <c r="E3991" s="5" t="s">
        <v>862</v>
      </c>
      <c r="F3991" s="5">
        <v>5370503</v>
      </c>
      <c r="G3991" s="5" t="s">
        <v>1788</v>
      </c>
      <c r="H3991" s="5" t="s">
        <v>123</v>
      </c>
      <c r="I3991" s="5" t="s">
        <v>25</v>
      </c>
      <c r="J3991" s="5" t="s">
        <v>24</v>
      </c>
      <c r="K3991" s="6">
        <v>0</v>
      </c>
      <c r="L3991" s="14">
        <v>0</v>
      </c>
      <c r="M3991" s="14">
        <v>0</v>
      </c>
      <c r="N3991" s="14">
        <v>0</v>
      </c>
      <c r="O3991" s="14">
        <v>0</v>
      </c>
      <c r="P3991" s="14">
        <v>0</v>
      </c>
      <c r="Q3991" s="14">
        <v>30</v>
      </c>
      <c r="R3991" s="14">
        <v>0</v>
      </c>
      <c r="S3991" s="14">
        <v>0</v>
      </c>
      <c r="T3991" s="13">
        <v>2.562850000000001</v>
      </c>
    </row>
    <row r="3992" spans="1:20" x14ac:dyDescent="0.3">
      <c r="A3992" t="str">
        <f t="shared" si="124"/>
        <v>CREME UHTLACTALIS</v>
      </c>
      <c r="B3992" t="str">
        <f t="shared" si="125"/>
        <v>5316731CREME UHTLACTALIS</v>
      </c>
      <c r="C3992" s="5" t="s">
        <v>174</v>
      </c>
      <c r="D3992" s="5" t="s">
        <v>681</v>
      </c>
      <c r="E3992" s="5" t="s">
        <v>1196</v>
      </c>
      <c r="F3992" s="5">
        <v>5316731</v>
      </c>
      <c r="G3992" s="5" t="s">
        <v>547</v>
      </c>
      <c r="H3992" s="5" t="s">
        <v>28</v>
      </c>
      <c r="I3992" s="5" t="s">
        <v>20</v>
      </c>
      <c r="J3992" s="5" t="s">
        <v>32</v>
      </c>
      <c r="K3992" s="6">
        <v>0</v>
      </c>
      <c r="L3992" s="14">
        <v>0</v>
      </c>
      <c r="M3992" s="14">
        <v>0</v>
      </c>
      <c r="N3992" s="14">
        <v>0</v>
      </c>
      <c r="O3992" s="14">
        <v>0</v>
      </c>
      <c r="P3992" s="14">
        <v>0</v>
      </c>
      <c r="Q3992" s="14">
        <v>4.8</v>
      </c>
      <c r="R3992" s="14">
        <v>0</v>
      </c>
      <c r="S3992" s="14">
        <v>0</v>
      </c>
      <c r="T3992" s="13">
        <v>-4.4038541666666644</v>
      </c>
    </row>
    <row r="3993" spans="1:20" x14ac:dyDescent="0.3">
      <c r="A3993" t="str">
        <f t="shared" si="124"/>
        <v>DOCE DE LEITEITAMBÉ</v>
      </c>
      <c r="B3993" t="str">
        <f t="shared" si="125"/>
        <v>5263652DOCE DE LEITEITAMBÉ</v>
      </c>
      <c r="C3993" s="5" t="s">
        <v>174</v>
      </c>
      <c r="D3993" s="5" t="s">
        <v>681</v>
      </c>
      <c r="E3993" s="5" t="s">
        <v>1198</v>
      </c>
      <c r="F3993" s="5">
        <v>5263652</v>
      </c>
      <c r="G3993" s="5" t="s">
        <v>233</v>
      </c>
      <c r="H3993" s="5" t="s">
        <v>28</v>
      </c>
      <c r="I3993" s="5" t="s">
        <v>25</v>
      </c>
      <c r="J3993" s="5" t="s">
        <v>42</v>
      </c>
      <c r="K3993" s="6">
        <v>0</v>
      </c>
      <c r="L3993" s="14">
        <v>0</v>
      </c>
      <c r="M3993" s="14">
        <v>0</v>
      </c>
      <c r="N3993" s="14">
        <v>0</v>
      </c>
      <c r="O3993" s="14">
        <v>0</v>
      </c>
      <c r="P3993" s="14">
        <v>0</v>
      </c>
      <c r="Q3993" s="14">
        <v>20</v>
      </c>
      <c r="R3993" s="14">
        <v>0</v>
      </c>
      <c r="S3993" s="14">
        <v>0</v>
      </c>
      <c r="T3993" s="13">
        <v>4.4452675469075746</v>
      </c>
    </row>
    <row r="3994" spans="1:20" x14ac:dyDescent="0.3">
      <c r="A3994" t="str">
        <f t="shared" si="124"/>
        <v>LEITE CONDENSADOITAMBÉ</v>
      </c>
      <c r="B3994" t="str">
        <f t="shared" si="125"/>
        <v>5263652LEITE CONDENSADOITAMBÉ</v>
      </c>
      <c r="C3994" s="5" t="s">
        <v>174</v>
      </c>
      <c r="D3994" s="5" t="s">
        <v>681</v>
      </c>
      <c r="E3994" s="5" t="s">
        <v>1198</v>
      </c>
      <c r="F3994" s="5">
        <v>5263652</v>
      </c>
      <c r="G3994" s="5" t="s">
        <v>233</v>
      </c>
      <c r="H3994" s="5" t="s">
        <v>28</v>
      </c>
      <c r="I3994" s="5" t="s">
        <v>25</v>
      </c>
      <c r="J3994" s="5" t="s">
        <v>31</v>
      </c>
      <c r="K3994" s="6">
        <v>0</v>
      </c>
      <c r="L3994" s="14">
        <v>0</v>
      </c>
      <c r="M3994" s="14">
        <v>0</v>
      </c>
      <c r="N3994" s="14">
        <v>0</v>
      </c>
      <c r="O3994" s="14">
        <v>0</v>
      </c>
      <c r="P3994" s="14">
        <v>0</v>
      </c>
      <c r="Q3994" s="14">
        <v>30</v>
      </c>
      <c r="R3994" s="14">
        <v>0</v>
      </c>
      <c r="S3994" s="14">
        <v>0</v>
      </c>
      <c r="T3994" s="13">
        <v>2.0833225806451607</v>
      </c>
    </row>
    <row r="3995" spans="1:20" x14ac:dyDescent="0.3">
      <c r="A3995" t="str">
        <f t="shared" si="124"/>
        <v>LEITE CONDENSADOITAMBÉ</v>
      </c>
      <c r="B3995" t="str">
        <f t="shared" si="125"/>
        <v>5314201LEITE CONDENSADOITAMBÉ</v>
      </c>
      <c r="C3995" s="5" t="s">
        <v>174</v>
      </c>
      <c r="D3995" s="5" t="s">
        <v>1437</v>
      </c>
      <c r="E3995" s="5" t="s">
        <v>634</v>
      </c>
      <c r="F3995" s="5">
        <v>5314201</v>
      </c>
      <c r="G3995" s="5" t="s">
        <v>1514</v>
      </c>
      <c r="H3995" s="5" t="s">
        <v>38</v>
      </c>
      <c r="I3995" s="5" t="s">
        <v>25</v>
      </c>
      <c r="J3995" s="5" t="s">
        <v>31</v>
      </c>
      <c r="K3995" s="6">
        <v>0</v>
      </c>
      <c r="L3995" s="14">
        <v>0</v>
      </c>
      <c r="M3995" s="14">
        <v>0</v>
      </c>
      <c r="N3995" s="14">
        <v>0</v>
      </c>
      <c r="O3995" s="14">
        <v>0</v>
      </c>
      <c r="P3995" s="14">
        <v>0</v>
      </c>
      <c r="Q3995" s="14">
        <v>159.97499999999999</v>
      </c>
      <c r="R3995" s="14">
        <v>0</v>
      </c>
      <c r="S3995" s="14">
        <v>0</v>
      </c>
      <c r="T3995" s="13">
        <v>1.7160598010105743</v>
      </c>
    </row>
    <row r="3996" spans="1:20" x14ac:dyDescent="0.3">
      <c r="A3996" t="str">
        <f t="shared" si="124"/>
        <v>LEITE EM PÓITAMBÉ</v>
      </c>
      <c r="B3996" t="str">
        <f t="shared" si="125"/>
        <v>5157739LEITE EM PÓITAMBÉ</v>
      </c>
      <c r="C3996" s="5" t="s">
        <v>174</v>
      </c>
      <c r="D3996" s="5" t="s">
        <v>1437</v>
      </c>
      <c r="E3996" s="5" t="s">
        <v>1790</v>
      </c>
      <c r="F3996" s="5">
        <v>5157739</v>
      </c>
      <c r="G3996" s="5" t="s">
        <v>1789</v>
      </c>
      <c r="H3996" s="5" t="s">
        <v>81</v>
      </c>
      <c r="I3996" s="5" t="s">
        <v>25</v>
      </c>
      <c r="J3996" s="5" t="s">
        <v>70</v>
      </c>
      <c r="K3996" s="6">
        <v>0</v>
      </c>
      <c r="L3996" s="14">
        <v>0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3">
        <v>0</v>
      </c>
    </row>
    <row r="3997" spans="1:20" x14ac:dyDescent="0.3">
      <c r="A3997" t="str">
        <f t="shared" si="124"/>
        <v>LEITE EM PÓLACTALIS</v>
      </c>
      <c r="B3997" t="str">
        <f t="shared" si="125"/>
        <v>5213905LEITE EM PÓLACTALIS</v>
      </c>
      <c r="C3997" s="5" t="s">
        <v>174</v>
      </c>
      <c r="D3997" s="5" t="s">
        <v>633</v>
      </c>
      <c r="E3997" s="5" t="s">
        <v>649</v>
      </c>
      <c r="F3997" s="5">
        <v>5213905</v>
      </c>
      <c r="G3997" s="5" t="s">
        <v>663</v>
      </c>
      <c r="H3997" s="5" t="s">
        <v>30</v>
      </c>
      <c r="I3997" s="5" t="s">
        <v>20</v>
      </c>
      <c r="J3997" s="5" t="s">
        <v>70</v>
      </c>
      <c r="K3997" s="6">
        <v>0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20</v>
      </c>
      <c r="R3997" s="14">
        <v>0</v>
      </c>
      <c r="S3997" s="14">
        <v>0</v>
      </c>
      <c r="T3997" s="13">
        <v>1.8993</v>
      </c>
    </row>
    <row r="3998" spans="1:20" x14ac:dyDescent="0.3">
      <c r="A3998" t="str">
        <f t="shared" si="124"/>
        <v>BLISTERLACTALIS</v>
      </c>
      <c r="B3998" t="str">
        <f t="shared" si="125"/>
        <v>5185956BLISTERLACTALIS</v>
      </c>
      <c r="C3998" s="5" t="s">
        <v>174</v>
      </c>
      <c r="D3998" s="5" t="s">
        <v>681</v>
      </c>
      <c r="E3998" s="5" t="s">
        <v>1198</v>
      </c>
      <c r="F3998" s="5">
        <v>5185956</v>
      </c>
      <c r="G3998" s="5" t="s">
        <v>1746</v>
      </c>
      <c r="H3998" s="5" t="s">
        <v>28</v>
      </c>
      <c r="I3998" s="5" t="s">
        <v>20</v>
      </c>
      <c r="J3998" s="5" t="s">
        <v>152</v>
      </c>
      <c r="K3998" s="6">
        <v>0</v>
      </c>
      <c r="L3998" s="14">
        <v>0</v>
      </c>
      <c r="M3998" s="14">
        <v>0</v>
      </c>
      <c r="N3998" s="14">
        <v>0</v>
      </c>
      <c r="O3998" s="14">
        <v>0</v>
      </c>
      <c r="P3998" s="14">
        <v>0</v>
      </c>
      <c r="Q3998" s="14">
        <v>38.4</v>
      </c>
      <c r="R3998" s="14">
        <v>0</v>
      </c>
      <c r="S3998" s="14">
        <v>0</v>
      </c>
      <c r="T3998" s="13">
        <v>2.5977269513574703</v>
      </c>
    </row>
    <row r="3999" spans="1:20" x14ac:dyDescent="0.3">
      <c r="A3999" t="str">
        <f t="shared" si="124"/>
        <v>CREME UHTLACTALIS</v>
      </c>
      <c r="B3999" t="str">
        <f t="shared" si="125"/>
        <v>5044784CREME UHTLACTALIS</v>
      </c>
      <c r="C3999" s="5" t="s">
        <v>174</v>
      </c>
      <c r="D3999" s="5" t="s">
        <v>633</v>
      </c>
      <c r="E3999" s="5" t="s">
        <v>649</v>
      </c>
      <c r="F3999" s="5">
        <v>5044784</v>
      </c>
      <c r="G3999" s="5" t="s">
        <v>654</v>
      </c>
      <c r="H3999" s="5" t="s">
        <v>30</v>
      </c>
      <c r="I3999" s="5" t="s">
        <v>20</v>
      </c>
      <c r="J3999" s="5" t="s">
        <v>32</v>
      </c>
      <c r="K3999" s="6">
        <v>0</v>
      </c>
      <c r="L3999" s="14">
        <v>0</v>
      </c>
      <c r="M3999" s="14">
        <v>0</v>
      </c>
      <c r="N3999" s="14">
        <v>0</v>
      </c>
      <c r="O3999" s="14">
        <v>0</v>
      </c>
      <c r="P3999" s="14">
        <v>0</v>
      </c>
      <c r="Q3999" s="14">
        <v>0</v>
      </c>
      <c r="R3999" s="14">
        <v>0</v>
      </c>
      <c r="S3999" s="14">
        <v>0</v>
      </c>
      <c r="T3999" s="13">
        <v>-2.2703125000000002</v>
      </c>
    </row>
    <row r="4000" spans="1:20" x14ac:dyDescent="0.3">
      <c r="A4000" t="str">
        <f t="shared" si="124"/>
        <v>DOCE DE LEITELACTALIS</v>
      </c>
      <c r="B4000" t="str">
        <f t="shared" si="125"/>
        <v>5185956DOCE DE LEITELACTALIS</v>
      </c>
      <c r="C4000" s="5" t="s">
        <v>174</v>
      </c>
      <c r="D4000" s="5" t="s">
        <v>681</v>
      </c>
      <c r="E4000" s="5" t="s">
        <v>1198</v>
      </c>
      <c r="F4000" s="5">
        <v>5185956</v>
      </c>
      <c r="G4000" s="5" t="s">
        <v>1746</v>
      </c>
      <c r="H4000" s="5" t="s">
        <v>28</v>
      </c>
      <c r="I4000" s="5" t="s">
        <v>20</v>
      </c>
      <c r="J4000" s="5" t="s">
        <v>42</v>
      </c>
      <c r="K4000" s="6">
        <v>0</v>
      </c>
      <c r="L4000" s="14">
        <v>0</v>
      </c>
      <c r="M4000" s="14">
        <v>0</v>
      </c>
      <c r="N4000" s="14">
        <v>0</v>
      </c>
      <c r="O4000" s="14">
        <v>0</v>
      </c>
      <c r="P4000" s="14">
        <v>0</v>
      </c>
      <c r="Q4000" s="14">
        <v>16.8</v>
      </c>
      <c r="R4000" s="14">
        <v>0</v>
      </c>
      <c r="S4000" s="14">
        <v>0</v>
      </c>
      <c r="T4000" s="13">
        <v>4.7878615384615371</v>
      </c>
    </row>
    <row r="4001" spans="1:20" x14ac:dyDescent="0.3">
      <c r="A4001" t="str">
        <f t="shared" si="124"/>
        <v>LEITE CONDENSADOLACTALIS</v>
      </c>
      <c r="B4001" t="str">
        <f t="shared" si="125"/>
        <v>5044784LEITE CONDENSADOLACTALIS</v>
      </c>
      <c r="C4001" s="5" t="s">
        <v>174</v>
      </c>
      <c r="D4001" s="5" t="s">
        <v>633</v>
      </c>
      <c r="E4001" s="5" t="s">
        <v>649</v>
      </c>
      <c r="F4001" s="5">
        <v>5044784</v>
      </c>
      <c r="G4001" s="5" t="s">
        <v>654</v>
      </c>
      <c r="H4001" s="5" t="s">
        <v>30</v>
      </c>
      <c r="I4001" s="5" t="s">
        <v>20</v>
      </c>
      <c r="J4001" s="5" t="s">
        <v>31</v>
      </c>
      <c r="K4001" s="6">
        <v>0</v>
      </c>
      <c r="L4001" s="14">
        <v>0</v>
      </c>
      <c r="M4001" s="14">
        <v>0</v>
      </c>
      <c r="N4001" s="14">
        <v>0</v>
      </c>
      <c r="O4001" s="14">
        <v>0</v>
      </c>
      <c r="P4001" s="14">
        <v>0</v>
      </c>
      <c r="Q4001" s="14">
        <v>189.6</v>
      </c>
      <c r="R4001" s="14">
        <v>0</v>
      </c>
      <c r="S4001" s="14">
        <v>0</v>
      </c>
      <c r="T4001" s="13">
        <v>-1.9755244122965634</v>
      </c>
    </row>
    <row r="4002" spans="1:20" x14ac:dyDescent="0.3">
      <c r="A4002" t="str">
        <f t="shared" si="124"/>
        <v>LEITE EM PÓLACTALIS</v>
      </c>
      <c r="B4002" t="str">
        <f t="shared" si="125"/>
        <v>5044784LEITE EM PÓLACTALIS</v>
      </c>
      <c r="C4002" s="5" t="s">
        <v>174</v>
      </c>
      <c r="D4002" s="5" t="s">
        <v>633</v>
      </c>
      <c r="E4002" s="5" t="s">
        <v>649</v>
      </c>
      <c r="F4002" s="5">
        <v>5044784</v>
      </c>
      <c r="G4002" s="5" t="s">
        <v>654</v>
      </c>
      <c r="H4002" s="5" t="s">
        <v>30</v>
      </c>
      <c r="I4002" s="5" t="s">
        <v>20</v>
      </c>
      <c r="J4002" s="5" t="s">
        <v>70</v>
      </c>
      <c r="K4002" s="6">
        <v>0</v>
      </c>
      <c r="L4002" s="14">
        <v>0</v>
      </c>
      <c r="M4002" s="14">
        <v>0</v>
      </c>
      <c r="N4002" s="14">
        <v>0</v>
      </c>
      <c r="O4002" s="14">
        <v>0</v>
      </c>
      <c r="P4002" s="14">
        <v>0</v>
      </c>
      <c r="Q4002" s="14">
        <v>30</v>
      </c>
      <c r="R4002" s="14">
        <v>0</v>
      </c>
      <c r="S4002" s="14">
        <v>0</v>
      </c>
      <c r="T4002" s="13">
        <v>1.8993</v>
      </c>
    </row>
    <row r="4003" spans="1:20" x14ac:dyDescent="0.3">
      <c r="A4003" t="str">
        <f t="shared" si="124"/>
        <v>LEITE UHTLACTALIS</v>
      </c>
      <c r="B4003" t="str">
        <f t="shared" si="125"/>
        <v>5373453LEITE UHTLACTALIS</v>
      </c>
      <c r="C4003" s="5" t="s">
        <v>174</v>
      </c>
      <c r="D4003" s="5" t="s">
        <v>681</v>
      </c>
      <c r="E4003" s="5" t="s">
        <v>1196</v>
      </c>
      <c r="F4003" s="5">
        <v>5373453</v>
      </c>
      <c r="G4003" s="5" t="s">
        <v>1791</v>
      </c>
      <c r="H4003" s="5" t="s">
        <v>28</v>
      </c>
      <c r="I4003" s="5" t="s">
        <v>20</v>
      </c>
      <c r="J4003" s="5" t="s">
        <v>125</v>
      </c>
      <c r="K4003" s="6">
        <v>0</v>
      </c>
      <c r="L4003" s="14">
        <v>0</v>
      </c>
      <c r="M4003" s="14">
        <v>0</v>
      </c>
      <c r="N4003" s="14">
        <v>0</v>
      </c>
      <c r="O4003" s="14">
        <v>0</v>
      </c>
      <c r="P4003" s="14">
        <v>0</v>
      </c>
      <c r="Q4003" s="14">
        <v>72</v>
      </c>
      <c r="R4003" s="14">
        <v>0</v>
      </c>
      <c r="S4003" s="14">
        <v>0</v>
      </c>
      <c r="T4003" s="13">
        <v>0.37163271604938264</v>
      </c>
    </row>
    <row r="4004" spans="1:20" x14ac:dyDescent="0.3">
      <c r="A4004" t="str">
        <f t="shared" si="124"/>
        <v>LPI 25KGITAMBÉ</v>
      </c>
      <c r="B4004" t="str">
        <f t="shared" si="125"/>
        <v>5372410LPI 25KGITAMBÉ</v>
      </c>
      <c r="C4004" s="5" t="s">
        <v>14</v>
      </c>
      <c r="D4004" s="5" t="s">
        <v>15</v>
      </c>
      <c r="E4004" s="5" t="s">
        <v>40</v>
      </c>
      <c r="F4004" s="5">
        <v>5372410</v>
      </c>
      <c r="G4004" s="5" t="s">
        <v>1792</v>
      </c>
      <c r="H4004" s="5" t="s">
        <v>23</v>
      </c>
      <c r="I4004" s="5" t="s">
        <v>25</v>
      </c>
      <c r="J4004" s="5" t="s">
        <v>19</v>
      </c>
      <c r="K4004" s="6">
        <v>0</v>
      </c>
      <c r="L4004" s="14">
        <v>0</v>
      </c>
      <c r="M4004" s="14">
        <v>0</v>
      </c>
      <c r="N4004" s="14">
        <v>0</v>
      </c>
      <c r="O4004" s="14">
        <v>0</v>
      </c>
      <c r="P4004" s="14">
        <v>0</v>
      </c>
      <c r="Q4004" s="14">
        <v>500</v>
      </c>
      <c r="R4004" s="14">
        <v>0</v>
      </c>
      <c r="S4004" s="14">
        <v>0</v>
      </c>
      <c r="T4004" s="13">
        <v>-6.1849974683544282</v>
      </c>
    </row>
    <row r="4005" spans="1:20" x14ac:dyDescent="0.3">
      <c r="A4005" t="str">
        <f t="shared" si="124"/>
        <v>MERC + AROMLACTALIS</v>
      </c>
      <c r="B4005" t="str">
        <f t="shared" si="125"/>
        <v>5373867MERC + AROMLACTALIS</v>
      </c>
      <c r="C4005" s="5" t="s">
        <v>174</v>
      </c>
      <c r="D4005" s="5" t="s">
        <v>681</v>
      </c>
      <c r="E4005" s="5" t="s">
        <v>1205</v>
      </c>
      <c r="F4005" s="5">
        <v>5373867</v>
      </c>
      <c r="G4005" s="5" t="s">
        <v>1793</v>
      </c>
      <c r="H4005" s="5" t="s">
        <v>28</v>
      </c>
      <c r="I4005" s="5" t="s">
        <v>20</v>
      </c>
      <c r="J4005" s="5" t="s">
        <v>178</v>
      </c>
      <c r="K4005" s="6">
        <v>0</v>
      </c>
      <c r="L4005" s="14">
        <v>0</v>
      </c>
      <c r="M4005" s="14">
        <v>0</v>
      </c>
      <c r="N4005" s="14">
        <v>0</v>
      </c>
      <c r="O4005" s="14">
        <v>0</v>
      </c>
      <c r="P4005" s="14">
        <v>0</v>
      </c>
      <c r="Q4005" s="14">
        <v>3</v>
      </c>
      <c r="R4005" s="14">
        <v>0</v>
      </c>
      <c r="S4005" s="14">
        <v>0</v>
      </c>
      <c r="T4005" s="13">
        <v>32.673333333333339</v>
      </c>
    </row>
    <row r="4006" spans="1:20" x14ac:dyDescent="0.3">
      <c r="A4006" t="str">
        <f t="shared" si="124"/>
        <v>CREME UHTITAMBÉ</v>
      </c>
      <c r="B4006" t="str">
        <f t="shared" si="125"/>
        <v>5016719CREME UHTITAMBÉ</v>
      </c>
      <c r="C4006" s="5" t="s">
        <v>174</v>
      </c>
      <c r="D4006" s="5" t="s">
        <v>1439</v>
      </c>
      <c r="E4006" s="5" t="s">
        <v>1439</v>
      </c>
      <c r="F4006" s="5">
        <v>5016719</v>
      </c>
      <c r="G4006" s="5" t="s">
        <v>1794</v>
      </c>
      <c r="H4006" s="5" t="s">
        <v>93</v>
      </c>
      <c r="I4006" s="5" t="s">
        <v>25</v>
      </c>
      <c r="J4006" s="5" t="s">
        <v>32</v>
      </c>
      <c r="K4006" s="6">
        <v>0</v>
      </c>
      <c r="L4006" s="14">
        <v>0</v>
      </c>
      <c r="M4006" s="14">
        <v>0</v>
      </c>
      <c r="N4006" s="14">
        <v>0</v>
      </c>
      <c r="O4006" s="14">
        <v>0</v>
      </c>
      <c r="P4006" s="14">
        <v>0</v>
      </c>
      <c r="Q4006" s="14">
        <v>1042.32</v>
      </c>
      <c r="R4006" s="14">
        <v>0</v>
      </c>
      <c r="S4006" s="14">
        <v>0</v>
      </c>
      <c r="T4006" s="13">
        <v>-0.72695707070706983</v>
      </c>
    </row>
    <row r="4007" spans="1:20" x14ac:dyDescent="0.3">
      <c r="A4007" t="str">
        <f t="shared" si="124"/>
        <v>CREME UHTITAMBÉ</v>
      </c>
      <c r="B4007" t="str">
        <f t="shared" si="125"/>
        <v>5370503CREME UHTITAMBÉ</v>
      </c>
      <c r="C4007" s="5" t="s">
        <v>174</v>
      </c>
      <c r="D4007" s="5" t="s">
        <v>633</v>
      </c>
      <c r="E4007" s="5" t="s">
        <v>862</v>
      </c>
      <c r="F4007" s="5">
        <v>5370503</v>
      </c>
      <c r="G4007" s="5" t="s">
        <v>1795</v>
      </c>
      <c r="H4007" s="5" t="s">
        <v>123</v>
      </c>
      <c r="I4007" s="5" t="s">
        <v>25</v>
      </c>
      <c r="J4007" s="5" t="s">
        <v>32</v>
      </c>
      <c r="K4007" s="6">
        <v>0</v>
      </c>
      <c r="L4007" s="14">
        <v>0</v>
      </c>
      <c r="M4007" s="14">
        <v>0</v>
      </c>
      <c r="N4007" s="14">
        <v>0</v>
      </c>
      <c r="O4007" s="14">
        <v>0</v>
      </c>
      <c r="P4007" s="14">
        <v>0</v>
      </c>
      <c r="Q4007" s="14">
        <v>36.36</v>
      </c>
      <c r="R4007" s="14">
        <v>0</v>
      </c>
      <c r="S4007" s="14">
        <v>0</v>
      </c>
      <c r="T4007" s="13">
        <v>0.63299941758881662</v>
      </c>
    </row>
    <row r="4008" spans="1:20" x14ac:dyDescent="0.3">
      <c r="A4008" t="str">
        <f t="shared" si="124"/>
        <v>CREME UHTLACTALIS</v>
      </c>
      <c r="B4008" t="str">
        <f t="shared" si="125"/>
        <v>5259285CREME UHTLACTALIS</v>
      </c>
      <c r="C4008" s="5" t="s">
        <v>174</v>
      </c>
      <c r="D4008" s="5" t="s">
        <v>681</v>
      </c>
      <c r="E4008" s="5" t="s">
        <v>1203</v>
      </c>
      <c r="F4008" s="5">
        <v>5259285</v>
      </c>
      <c r="G4008" s="5" t="s">
        <v>1715</v>
      </c>
      <c r="H4008" s="5" t="s">
        <v>28</v>
      </c>
      <c r="I4008" s="5" t="s">
        <v>20</v>
      </c>
      <c r="J4008" s="5" t="s">
        <v>32</v>
      </c>
      <c r="K4008" s="6">
        <v>0</v>
      </c>
      <c r="L4008" s="14">
        <v>0</v>
      </c>
      <c r="M4008" s="14">
        <v>0</v>
      </c>
      <c r="N4008" s="14">
        <v>0</v>
      </c>
      <c r="O4008" s="14">
        <v>0</v>
      </c>
      <c r="P4008" s="14">
        <v>0</v>
      </c>
      <c r="Q4008" s="14">
        <v>576</v>
      </c>
      <c r="R4008" s="14">
        <v>0</v>
      </c>
      <c r="S4008" s="14">
        <v>0</v>
      </c>
      <c r="T4008" s="13">
        <v>-4.4038541666666644</v>
      </c>
    </row>
    <row r="4009" spans="1:20" x14ac:dyDescent="0.3">
      <c r="A4009" t="str">
        <f t="shared" si="124"/>
        <v>LEITE CONDENSADOITAMBÉ</v>
      </c>
      <c r="B4009" t="str">
        <f t="shared" si="125"/>
        <v>5016719LEITE CONDENSADOITAMBÉ</v>
      </c>
      <c r="C4009" s="5" t="s">
        <v>174</v>
      </c>
      <c r="D4009" s="5" t="s">
        <v>1439</v>
      </c>
      <c r="E4009" s="5" t="s">
        <v>1439</v>
      </c>
      <c r="F4009" s="5">
        <v>5016719</v>
      </c>
      <c r="G4009" s="5" t="s">
        <v>1794</v>
      </c>
      <c r="H4009" s="5" t="s">
        <v>93</v>
      </c>
      <c r="I4009" s="5" t="s">
        <v>25</v>
      </c>
      <c r="J4009" s="5" t="s">
        <v>31</v>
      </c>
      <c r="K4009" s="6">
        <v>0</v>
      </c>
      <c r="L4009" s="14">
        <v>0</v>
      </c>
      <c r="M4009" s="14">
        <v>0</v>
      </c>
      <c r="N4009" s="14">
        <v>0</v>
      </c>
      <c r="O4009" s="14">
        <v>0</v>
      </c>
      <c r="P4009" s="14">
        <v>0</v>
      </c>
      <c r="Q4009" s="14">
        <v>775.68</v>
      </c>
      <c r="R4009" s="14">
        <v>0</v>
      </c>
      <c r="S4009" s="14">
        <v>0</v>
      </c>
      <c r="T4009" s="13">
        <v>3.917161716171619</v>
      </c>
    </row>
    <row r="4010" spans="1:20" x14ac:dyDescent="0.3">
      <c r="A4010" t="str">
        <f t="shared" si="124"/>
        <v>LEITE CONDENSADOITAMBÉ</v>
      </c>
      <c r="B4010" t="str">
        <f t="shared" si="125"/>
        <v>5370503LEITE CONDENSADOITAMBÉ</v>
      </c>
      <c r="C4010" s="5" t="s">
        <v>174</v>
      </c>
      <c r="D4010" s="5" t="s">
        <v>633</v>
      </c>
      <c r="E4010" s="5" t="s">
        <v>862</v>
      </c>
      <c r="F4010" s="5">
        <v>5370503</v>
      </c>
      <c r="G4010" s="5" t="s">
        <v>1795</v>
      </c>
      <c r="H4010" s="5" t="s">
        <v>123</v>
      </c>
      <c r="I4010" s="5" t="s">
        <v>25</v>
      </c>
      <c r="J4010" s="5" t="s">
        <v>31</v>
      </c>
      <c r="K4010" s="6">
        <v>0</v>
      </c>
      <c r="L4010" s="14">
        <v>0</v>
      </c>
      <c r="M4010" s="14">
        <v>0</v>
      </c>
      <c r="N4010" s="14">
        <v>0</v>
      </c>
      <c r="O4010" s="14">
        <v>0</v>
      </c>
      <c r="P4010" s="14">
        <v>0</v>
      </c>
      <c r="Q4010" s="14">
        <v>30</v>
      </c>
      <c r="R4010" s="14">
        <v>0</v>
      </c>
      <c r="S4010" s="14">
        <v>0</v>
      </c>
      <c r="T4010" s="13">
        <v>1.3388539876022285</v>
      </c>
    </row>
    <row r="4011" spans="1:20" x14ac:dyDescent="0.3">
      <c r="A4011" t="str">
        <f t="shared" si="124"/>
        <v>LEITE UHTLACTALIS</v>
      </c>
      <c r="B4011" t="str">
        <f t="shared" si="125"/>
        <v>5372337LEITE UHTLACTALIS</v>
      </c>
      <c r="C4011" s="5" t="s">
        <v>174</v>
      </c>
      <c r="D4011" s="5" t="s">
        <v>681</v>
      </c>
      <c r="E4011" s="5" t="s">
        <v>1204</v>
      </c>
      <c r="F4011" s="5">
        <v>5372337</v>
      </c>
      <c r="G4011" s="5" t="s">
        <v>1796</v>
      </c>
      <c r="H4011" s="5" t="s">
        <v>28</v>
      </c>
      <c r="I4011" s="5" t="s">
        <v>20</v>
      </c>
      <c r="J4011" s="5" t="s">
        <v>125</v>
      </c>
      <c r="K4011" s="6">
        <v>0</v>
      </c>
      <c r="L4011" s="14">
        <v>0</v>
      </c>
      <c r="M4011" s="14">
        <v>0</v>
      </c>
      <c r="N4011" s="14">
        <v>0</v>
      </c>
      <c r="O4011" s="14">
        <v>0</v>
      </c>
      <c r="P4011" s="14">
        <v>0</v>
      </c>
      <c r="Q4011" s="14">
        <v>12</v>
      </c>
      <c r="R4011" s="14">
        <v>0</v>
      </c>
      <c r="S4011" s="14">
        <v>0</v>
      </c>
      <c r="T4011" s="13">
        <v>0.37163271604938264</v>
      </c>
    </row>
    <row r="4012" spans="1:20" x14ac:dyDescent="0.3">
      <c r="A4012" t="str">
        <f t="shared" si="124"/>
        <v>MANTEIGA 5KGLACTALIS</v>
      </c>
      <c r="B4012" t="str">
        <f t="shared" si="125"/>
        <v>5372337MANTEIGA 5KGLACTALIS</v>
      </c>
      <c r="C4012" s="5" t="s">
        <v>174</v>
      </c>
      <c r="D4012" s="5" t="s">
        <v>681</v>
      </c>
      <c r="E4012" s="5" t="s">
        <v>1204</v>
      </c>
      <c r="F4012" s="5">
        <v>5372337</v>
      </c>
      <c r="G4012" s="5" t="s">
        <v>1796</v>
      </c>
      <c r="H4012" s="5" t="s">
        <v>28</v>
      </c>
      <c r="I4012" s="5" t="s">
        <v>20</v>
      </c>
      <c r="J4012" s="5" t="s">
        <v>54</v>
      </c>
      <c r="K4012" s="6">
        <v>0</v>
      </c>
      <c r="L4012" s="14">
        <v>0</v>
      </c>
      <c r="M4012" s="14">
        <v>0</v>
      </c>
      <c r="N4012" s="14">
        <v>0</v>
      </c>
      <c r="O4012" s="14">
        <v>0</v>
      </c>
      <c r="P4012" s="14">
        <v>0</v>
      </c>
      <c r="Q4012" s="14">
        <v>5</v>
      </c>
      <c r="R4012" s="14">
        <v>0</v>
      </c>
      <c r="S4012" s="14">
        <v>0</v>
      </c>
      <c r="T4012" s="13">
        <v>0</v>
      </c>
    </row>
    <row r="4013" spans="1:20" x14ac:dyDescent="0.3">
      <c r="A4013" t="str">
        <f t="shared" si="124"/>
        <v>SPREADSLACTALIS</v>
      </c>
      <c r="B4013" t="str">
        <f t="shared" si="125"/>
        <v>5361702SPREADSLACTALIS</v>
      </c>
      <c r="C4013" s="5" t="s">
        <v>174</v>
      </c>
      <c r="D4013" s="5" t="s">
        <v>681</v>
      </c>
      <c r="E4013" s="5" t="s">
        <v>1204</v>
      </c>
      <c r="F4013" s="5">
        <v>5361702</v>
      </c>
      <c r="G4013" s="5" t="s">
        <v>1220</v>
      </c>
      <c r="H4013" s="5" t="s">
        <v>28</v>
      </c>
      <c r="I4013" s="5" t="s">
        <v>20</v>
      </c>
      <c r="J4013" s="5" t="s">
        <v>773</v>
      </c>
      <c r="K4013" s="6">
        <v>0</v>
      </c>
      <c r="L4013" s="14">
        <v>0</v>
      </c>
      <c r="M4013" s="14">
        <v>0</v>
      </c>
      <c r="N4013" s="14">
        <v>0</v>
      </c>
      <c r="O4013" s="14">
        <v>0</v>
      </c>
      <c r="P4013" s="14">
        <v>0</v>
      </c>
      <c r="Q4013" s="14">
        <v>4</v>
      </c>
      <c r="R4013" s="14">
        <v>0</v>
      </c>
      <c r="S4013" s="14">
        <v>0</v>
      </c>
      <c r="T4013" s="13">
        <v>10.327777777777779</v>
      </c>
    </row>
    <row r="4014" spans="1:20" x14ac:dyDescent="0.3">
      <c r="A4014" t="str">
        <f t="shared" si="124"/>
        <v>DOCE DE LEITEITAMBÉ</v>
      </c>
      <c r="B4014" t="str">
        <f t="shared" si="125"/>
        <v>5339488DOCE DE LEITEITAMBÉ</v>
      </c>
      <c r="C4014" s="5" t="s">
        <v>174</v>
      </c>
      <c r="D4014" s="5" t="s">
        <v>681</v>
      </c>
      <c r="E4014" s="5" t="s">
        <v>1201</v>
      </c>
      <c r="F4014" s="5">
        <v>5339488</v>
      </c>
      <c r="G4014" s="5" t="s">
        <v>986</v>
      </c>
      <c r="H4014" s="5" t="s">
        <v>28</v>
      </c>
      <c r="I4014" s="5" t="s">
        <v>25</v>
      </c>
      <c r="J4014" s="5" t="s">
        <v>42</v>
      </c>
      <c r="K4014" s="6">
        <v>0</v>
      </c>
      <c r="L4014" s="14">
        <v>0</v>
      </c>
      <c r="M4014" s="14">
        <v>0</v>
      </c>
      <c r="N4014" s="14">
        <v>0</v>
      </c>
      <c r="O4014" s="14">
        <v>0</v>
      </c>
      <c r="P4014" s="14">
        <v>0</v>
      </c>
      <c r="Q4014" s="14">
        <v>20</v>
      </c>
      <c r="R4014" s="14">
        <v>0</v>
      </c>
      <c r="S4014" s="14">
        <v>0</v>
      </c>
      <c r="T4014" s="13">
        <v>4.4452675469075746</v>
      </c>
    </row>
    <row r="4015" spans="1:20" x14ac:dyDescent="0.3">
      <c r="A4015" t="str">
        <f t="shared" si="124"/>
        <v>IOGURTESITAMBÉ</v>
      </c>
      <c r="B4015" t="str">
        <f t="shared" si="125"/>
        <v>5346063IOGURTESITAMBÉ</v>
      </c>
      <c r="C4015" s="5" t="s">
        <v>174</v>
      </c>
      <c r="D4015" s="5" t="s">
        <v>633</v>
      </c>
      <c r="E4015" s="5" t="s">
        <v>644</v>
      </c>
      <c r="F4015" s="5">
        <v>5346063</v>
      </c>
      <c r="G4015" s="5" t="s">
        <v>1797</v>
      </c>
      <c r="H4015" s="5" t="s">
        <v>123</v>
      </c>
      <c r="I4015" s="5" t="s">
        <v>25</v>
      </c>
      <c r="J4015" s="5" t="s">
        <v>122</v>
      </c>
      <c r="K4015" s="6">
        <v>0</v>
      </c>
      <c r="L4015" s="14">
        <v>0</v>
      </c>
      <c r="M4015" s="14">
        <v>0</v>
      </c>
      <c r="N4015" s="14">
        <v>0</v>
      </c>
      <c r="O4015" s="14">
        <v>0</v>
      </c>
      <c r="P4015" s="14">
        <v>0</v>
      </c>
      <c r="Q4015" s="14">
        <v>216</v>
      </c>
      <c r="R4015" s="14">
        <v>0</v>
      </c>
      <c r="S4015" s="14">
        <v>0</v>
      </c>
      <c r="T4015" s="13">
        <v>-5.3052173913043479</v>
      </c>
    </row>
    <row r="4016" spans="1:20" x14ac:dyDescent="0.3">
      <c r="A4016" t="str">
        <f t="shared" si="124"/>
        <v>LEITE CONDENSADOITAMBÉ</v>
      </c>
      <c r="B4016" t="str">
        <f t="shared" si="125"/>
        <v>5339488LEITE CONDENSADOITAMBÉ</v>
      </c>
      <c r="C4016" s="5" t="s">
        <v>174</v>
      </c>
      <c r="D4016" s="5" t="s">
        <v>681</v>
      </c>
      <c r="E4016" s="5" t="s">
        <v>1201</v>
      </c>
      <c r="F4016" s="5">
        <v>5339488</v>
      </c>
      <c r="G4016" s="5" t="s">
        <v>986</v>
      </c>
      <c r="H4016" s="5" t="s">
        <v>28</v>
      </c>
      <c r="I4016" s="5" t="s">
        <v>25</v>
      </c>
      <c r="J4016" s="5" t="s">
        <v>31</v>
      </c>
      <c r="K4016" s="6">
        <v>0</v>
      </c>
      <c r="L4016" s="14">
        <v>0</v>
      </c>
      <c r="M4016" s="14">
        <v>0</v>
      </c>
      <c r="N4016" s="14">
        <v>0</v>
      </c>
      <c r="O4016" s="14">
        <v>0</v>
      </c>
      <c r="P4016" s="14">
        <v>0</v>
      </c>
      <c r="Q4016" s="14">
        <v>18.96</v>
      </c>
      <c r="R4016" s="14">
        <v>0</v>
      </c>
      <c r="S4016" s="14">
        <v>0</v>
      </c>
      <c r="T4016" s="13">
        <v>2.0833225806451607</v>
      </c>
    </row>
    <row r="4017" spans="1:20" x14ac:dyDescent="0.3">
      <c r="A4017" t="str">
        <f t="shared" si="124"/>
        <v>IOGURTESLACTALIS</v>
      </c>
      <c r="B4017" t="str">
        <f t="shared" si="125"/>
        <v>5355177IOGURTESLACTALIS</v>
      </c>
      <c r="C4017" s="5" t="s">
        <v>174</v>
      </c>
      <c r="D4017" s="5" t="s">
        <v>681</v>
      </c>
      <c r="E4017" s="5" t="s">
        <v>1196</v>
      </c>
      <c r="F4017" s="5">
        <v>5355177</v>
      </c>
      <c r="G4017" s="5" t="s">
        <v>1568</v>
      </c>
      <c r="H4017" s="5" t="s">
        <v>28</v>
      </c>
      <c r="I4017" s="5" t="s">
        <v>20</v>
      </c>
      <c r="J4017" s="5" t="s">
        <v>122</v>
      </c>
      <c r="K4017" s="6">
        <v>0</v>
      </c>
      <c r="L4017" s="14">
        <v>0</v>
      </c>
      <c r="M4017" s="14">
        <v>0</v>
      </c>
      <c r="N4017" s="14">
        <v>0</v>
      </c>
      <c r="O4017" s="14">
        <v>0</v>
      </c>
      <c r="P4017" s="14">
        <v>0</v>
      </c>
      <c r="Q4017" s="14">
        <v>4.88</v>
      </c>
      <c r="R4017" s="14">
        <v>0</v>
      </c>
      <c r="S4017" s="14">
        <v>0</v>
      </c>
      <c r="T4017" s="13">
        <v>11.440206068840578</v>
      </c>
    </row>
    <row r="4018" spans="1:20" x14ac:dyDescent="0.3">
      <c r="A4018" t="str">
        <f t="shared" si="124"/>
        <v>LPD 25KGLACTALIS</v>
      </c>
      <c r="B4018" t="str">
        <f t="shared" si="125"/>
        <v>5157826LPD 25KGLACTALIS</v>
      </c>
      <c r="C4018" s="5" t="s">
        <v>14</v>
      </c>
      <c r="D4018" s="5" t="s">
        <v>26</v>
      </c>
      <c r="E4018" s="5" t="s">
        <v>26</v>
      </c>
      <c r="F4018" s="5">
        <v>5157826</v>
      </c>
      <c r="G4018" s="5" t="s">
        <v>1798</v>
      </c>
      <c r="H4018" s="5" t="s">
        <v>28</v>
      </c>
      <c r="I4018" s="5" t="s">
        <v>20</v>
      </c>
      <c r="J4018" s="5" t="s">
        <v>39</v>
      </c>
      <c r="K4018" s="6">
        <v>0</v>
      </c>
      <c r="L4018" s="14">
        <v>0</v>
      </c>
      <c r="M4018" s="14">
        <v>0</v>
      </c>
      <c r="N4018" s="14">
        <v>0</v>
      </c>
      <c r="O4018" s="14">
        <v>0</v>
      </c>
      <c r="P4018" s="14">
        <v>0</v>
      </c>
      <c r="Q4018" s="14">
        <v>48000</v>
      </c>
      <c r="R4018" s="14">
        <v>0</v>
      </c>
      <c r="S4018" s="14">
        <v>0</v>
      </c>
      <c r="T4018" s="13">
        <v>1.9028645833333333</v>
      </c>
    </row>
    <row r="4019" spans="1:20" x14ac:dyDescent="0.3">
      <c r="A4019" t="str">
        <f t="shared" si="124"/>
        <v>MANTEIGA 5KGLACTALIS</v>
      </c>
      <c r="B4019" t="str">
        <f t="shared" si="125"/>
        <v>5372352MANTEIGA 5KGLACTALIS</v>
      </c>
      <c r="C4019" s="5" t="s">
        <v>174</v>
      </c>
      <c r="D4019" s="5" t="s">
        <v>681</v>
      </c>
      <c r="E4019" s="5" t="s">
        <v>1204</v>
      </c>
      <c r="F4019" s="5">
        <v>5372352</v>
      </c>
      <c r="G4019" s="5" t="s">
        <v>1799</v>
      </c>
      <c r="H4019" s="5" t="s">
        <v>28</v>
      </c>
      <c r="I4019" s="5" t="s">
        <v>20</v>
      </c>
      <c r="J4019" s="5" t="s">
        <v>54</v>
      </c>
      <c r="K4019" s="6">
        <v>0</v>
      </c>
      <c r="L4019" s="14">
        <v>0</v>
      </c>
      <c r="M4019" s="14">
        <v>0</v>
      </c>
      <c r="N4019" s="14">
        <v>0</v>
      </c>
      <c r="O4019" s="14">
        <v>0</v>
      </c>
      <c r="P4019" s="14">
        <v>0</v>
      </c>
      <c r="Q4019" s="14">
        <v>15</v>
      </c>
      <c r="R4019" s="14">
        <v>0</v>
      </c>
      <c r="S4019" s="14">
        <v>0</v>
      </c>
      <c r="T4019" s="13">
        <v>0</v>
      </c>
    </row>
    <row r="4020" spans="1:20" x14ac:dyDescent="0.3">
      <c r="A4020" t="str">
        <f t="shared" si="124"/>
        <v>MERC + AROMLACTALIS</v>
      </c>
      <c r="B4020" t="str">
        <f t="shared" si="125"/>
        <v>5331926MERC + AROMLACTALIS</v>
      </c>
      <c r="C4020" s="5" t="s">
        <v>174</v>
      </c>
      <c r="D4020" s="5" t="s">
        <v>681</v>
      </c>
      <c r="E4020" s="5" t="s">
        <v>1203</v>
      </c>
      <c r="F4020" s="5">
        <v>5331926</v>
      </c>
      <c r="G4020" s="5" t="s">
        <v>1733</v>
      </c>
      <c r="H4020" s="5" t="s">
        <v>28</v>
      </c>
      <c r="I4020" s="5" t="s">
        <v>20</v>
      </c>
      <c r="J4020" s="5" t="s">
        <v>178</v>
      </c>
      <c r="K4020" s="6">
        <v>0</v>
      </c>
      <c r="L4020" s="14">
        <v>0</v>
      </c>
      <c r="M4020" s="14">
        <v>0</v>
      </c>
      <c r="N4020" s="14">
        <v>0</v>
      </c>
      <c r="O4020" s="14">
        <v>0</v>
      </c>
      <c r="P4020" s="14">
        <v>0</v>
      </c>
      <c r="Q4020" s="14">
        <v>350.4</v>
      </c>
      <c r="R4020" s="14">
        <v>0</v>
      </c>
      <c r="S4020" s="14">
        <v>0</v>
      </c>
      <c r="T4020" s="13">
        <v>32.673333333333339</v>
      </c>
    </row>
    <row r="4021" spans="1:20" x14ac:dyDescent="0.3">
      <c r="A4021" t="str">
        <f t="shared" si="124"/>
        <v>QUEIJOSLACTALIS</v>
      </c>
      <c r="B4021" t="str">
        <f t="shared" si="125"/>
        <v>5011725QUEIJOSLACTALIS</v>
      </c>
      <c r="C4021" s="5" t="s">
        <v>174</v>
      </c>
      <c r="D4021" s="5" t="s">
        <v>681</v>
      </c>
      <c r="E4021" s="5" t="s">
        <v>1203</v>
      </c>
      <c r="F4021" s="5">
        <v>5011725</v>
      </c>
      <c r="G4021" s="5" t="s">
        <v>1800</v>
      </c>
      <c r="H4021" s="5" t="s">
        <v>28</v>
      </c>
      <c r="I4021" s="5" t="s">
        <v>20</v>
      </c>
      <c r="J4021" s="5" t="s">
        <v>56</v>
      </c>
      <c r="K4021" s="6">
        <v>0</v>
      </c>
      <c r="L4021" s="14">
        <v>0</v>
      </c>
      <c r="M4021" s="14">
        <v>0</v>
      </c>
      <c r="N4021" s="14">
        <v>0</v>
      </c>
      <c r="O4021" s="14">
        <v>0</v>
      </c>
      <c r="P4021" s="14">
        <v>0</v>
      </c>
      <c r="Q4021" s="14">
        <v>232.2</v>
      </c>
      <c r="R4021" s="14">
        <v>0</v>
      </c>
      <c r="S4021" s="14">
        <v>0</v>
      </c>
      <c r="T4021" s="13">
        <v>15.573476190476198</v>
      </c>
    </row>
    <row r="4022" spans="1:20" x14ac:dyDescent="0.3">
      <c r="A4022" t="str">
        <f t="shared" si="124"/>
        <v>QUEIJOSLACTALIS</v>
      </c>
      <c r="B4022" t="str">
        <f t="shared" si="125"/>
        <v>5169592QUEIJOSLACTALIS</v>
      </c>
      <c r="C4022" s="5" t="s">
        <v>14</v>
      </c>
      <c r="D4022" s="5" t="s">
        <v>26</v>
      </c>
      <c r="E4022" s="5" t="s">
        <v>1435</v>
      </c>
      <c r="F4022" s="5">
        <v>5169592</v>
      </c>
      <c r="G4022" s="5" t="s">
        <v>126</v>
      </c>
      <c r="H4022" s="5" t="s">
        <v>28</v>
      </c>
      <c r="I4022" s="5" t="s">
        <v>20</v>
      </c>
      <c r="J4022" s="5" t="s">
        <v>56</v>
      </c>
      <c r="K4022" s="6">
        <v>0</v>
      </c>
      <c r="L4022" s="14">
        <v>0</v>
      </c>
      <c r="M4022" s="14">
        <v>0</v>
      </c>
      <c r="N4022" s="14">
        <v>0</v>
      </c>
      <c r="O4022" s="14">
        <v>0</v>
      </c>
      <c r="P4022" s="14">
        <v>0</v>
      </c>
      <c r="Q4022" s="14">
        <v>492.5</v>
      </c>
      <c r="R4022" s="14">
        <v>0</v>
      </c>
      <c r="S4022" s="14">
        <v>0</v>
      </c>
      <c r="T4022" s="13">
        <v>15.573476190476198</v>
      </c>
    </row>
    <row r="4023" spans="1:20" x14ac:dyDescent="0.3">
      <c r="A4023" t="str">
        <f t="shared" si="124"/>
        <v>QUEIJOSLACTALIS</v>
      </c>
      <c r="B4023" t="str">
        <f t="shared" si="125"/>
        <v>5355177QUEIJOSLACTALIS</v>
      </c>
      <c r="C4023" s="5" t="s">
        <v>174</v>
      </c>
      <c r="D4023" s="5" t="s">
        <v>681</v>
      </c>
      <c r="E4023" s="5" t="s">
        <v>1196</v>
      </c>
      <c r="F4023" s="5">
        <v>5355177</v>
      </c>
      <c r="G4023" s="5" t="s">
        <v>1568</v>
      </c>
      <c r="H4023" s="5" t="s">
        <v>28</v>
      </c>
      <c r="I4023" s="5" t="s">
        <v>20</v>
      </c>
      <c r="J4023" s="5" t="s">
        <v>56</v>
      </c>
      <c r="K4023" s="6">
        <v>0</v>
      </c>
      <c r="L4023" s="14">
        <v>0</v>
      </c>
      <c r="M4023" s="14">
        <v>0</v>
      </c>
      <c r="N4023" s="14">
        <v>0</v>
      </c>
      <c r="O4023" s="14">
        <v>0</v>
      </c>
      <c r="P4023" s="14">
        <v>0</v>
      </c>
      <c r="Q4023" s="14">
        <v>8.4</v>
      </c>
      <c r="R4023" s="14">
        <v>0</v>
      </c>
      <c r="S4023" s="14">
        <v>0</v>
      </c>
      <c r="T4023" s="13">
        <v>15.573476190476198</v>
      </c>
    </row>
    <row r="4024" spans="1:20" x14ac:dyDescent="0.3">
      <c r="A4024" t="str">
        <f t="shared" si="124"/>
        <v>BLISTERLACTALIS</v>
      </c>
      <c r="B4024" t="str">
        <f t="shared" si="125"/>
        <v>5374089BLISTERLACTALIS</v>
      </c>
      <c r="C4024" s="5" t="s">
        <v>174</v>
      </c>
      <c r="D4024" s="5" t="s">
        <v>175</v>
      </c>
      <c r="E4024" s="5" t="s">
        <v>588</v>
      </c>
      <c r="F4024" s="5">
        <v>5374089</v>
      </c>
      <c r="G4024" s="5" t="s">
        <v>1801</v>
      </c>
      <c r="H4024" s="5" t="s">
        <v>28</v>
      </c>
      <c r="I4024" s="5" t="s">
        <v>20</v>
      </c>
      <c r="J4024" s="5" t="s">
        <v>152</v>
      </c>
      <c r="K4024" s="6">
        <v>0</v>
      </c>
      <c r="L4024" s="14">
        <v>0</v>
      </c>
      <c r="M4024" s="14">
        <v>0</v>
      </c>
      <c r="N4024" s="14">
        <v>0</v>
      </c>
      <c r="O4024" s="14">
        <v>0</v>
      </c>
      <c r="P4024" s="14">
        <v>0</v>
      </c>
      <c r="Q4024" s="14">
        <v>76.8</v>
      </c>
      <c r="R4024" s="14">
        <v>0</v>
      </c>
      <c r="S4024" s="14">
        <v>0</v>
      </c>
      <c r="T4024" s="13">
        <v>2.5977269513574703</v>
      </c>
    </row>
    <row r="4025" spans="1:20" x14ac:dyDescent="0.3">
      <c r="A4025" t="str">
        <f t="shared" si="124"/>
        <v>CREME UHTLACTALIS</v>
      </c>
      <c r="B4025" t="str">
        <f t="shared" si="125"/>
        <v>5263907CREME UHTLACTALIS</v>
      </c>
      <c r="C4025" s="5" t="s">
        <v>174</v>
      </c>
      <c r="D4025" s="5" t="s">
        <v>681</v>
      </c>
      <c r="E4025" s="5" t="s">
        <v>1196</v>
      </c>
      <c r="F4025" s="5">
        <v>5263907</v>
      </c>
      <c r="G4025" s="5" t="s">
        <v>1520</v>
      </c>
      <c r="H4025" s="5" t="s">
        <v>28</v>
      </c>
      <c r="I4025" s="5" t="s">
        <v>20</v>
      </c>
      <c r="J4025" s="5" t="s">
        <v>32</v>
      </c>
      <c r="K4025" s="6">
        <v>0</v>
      </c>
      <c r="L4025" s="14">
        <v>0</v>
      </c>
      <c r="M4025" s="14">
        <v>0</v>
      </c>
      <c r="N4025" s="14">
        <v>0</v>
      </c>
      <c r="O4025" s="14">
        <v>0</v>
      </c>
      <c r="P4025" s="14">
        <v>0</v>
      </c>
      <c r="Q4025" s="14">
        <v>9.6</v>
      </c>
      <c r="R4025" s="14">
        <v>0</v>
      </c>
      <c r="S4025" s="14">
        <v>0</v>
      </c>
      <c r="T4025" s="13">
        <v>-4.4038541666666644</v>
      </c>
    </row>
    <row r="4026" spans="1:20" x14ac:dyDescent="0.3">
      <c r="A4026" t="str">
        <f t="shared" si="124"/>
        <v>IOGURTESLACTALIS</v>
      </c>
      <c r="B4026" t="str">
        <f t="shared" si="125"/>
        <v>5263907IOGURTESLACTALIS</v>
      </c>
      <c r="C4026" s="5" t="s">
        <v>174</v>
      </c>
      <c r="D4026" s="5" t="s">
        <v>681</v>
      </c>
      <c r="E4026" s="5" t="s">
        <v>1196</v>
      </c>
      <c r="F4026" s="5">
        <v>5263907</v>
      </c>
      <c r="G4026" s="5" t="s">
        <v>1520</v>
      </c>
      <c r="H4026" s="5" t="s">
        <v>28</v>
      </c>
      <c r="I4026" s="5" t="s">
        <v>20</v>
      </c>
      <c r="J4026" s="5" t="s">
        <v>122</v>
      </c>
      <c r="K4026" s="6">
        <v>0</v>
      </c>
      <c r="L4026" s="14">
        <v>0</v>
      </c>
      <c r="M4026" s="14">
        <v>0</v>
      </c>
      <c r="N4026" s="14">
        <v>0</v>
      </c>
      <c r="O4026" s="14">
        <v>0</v>
      </c>
      <c r="P4026" s="14">
        <v>0</v>
      </c>
      <c r="Q4026" s="14">
        <v>18.399999999999999</v>
      </c>
      <c r="R4026" s="14">
        <v>0</v>
      </c>
      <c r="S4026" s="14">
        <v>0</v>
      </c>
      <c r="T4026" s="13">
        <v>11.440206068840578</v>
      </c>
    </row>
    <row r="4027" spans="1:20" x14ac:dyDescent="0.3">
      <c r="A4027" t="str">
        <f t="shared" si="124"/>
        <v>LEITE EM PÓITAMBÉ</v>
      </c>
      <c r="B4027" t="str">
        <f t="shared" si="125"/>
        <v>5350815LEITE EM PÓITAMBÉ</v>
      </c>
      <c r="C4027" s="5" t="s">
        <v>174</v>
      </c>
      <c r="D4027" s="5" t="s">
        <v>633</v>
      </c>
      <c r="E4027" s="5" t="s">
        <v>649</v>
      </c>
      <c r="F4027" s="5">
        <v>5350815</v>
      </c>
      <c r="G4027" s="5" t="s">
        <v>666</v>
      </c>
      <c r="H4027" s="5" t="s">
        <v>30</v>
      </c>
      <c r="I4027" s="5" t="s">
        <v>25</v>
      </c>
      <c r="J4027" s="5" t="s">
        <v>70</v>
      </c>
      <c r="K4027" s="6">
        <v>0</v>
      </c>
      <c r="L4027" s="14">
        <v>0</v>
      </c>
      <c r="M4027" s="14">
        <v>0</v>
      </c>
      <c r="N4027" s="14">
        <v>0</v>
      </c>
      <c r="O4027" s="14">
        <v>0</v>
      </c>
      <c r="P4027" s="14">
        <v>0</v>
      </c>
      <c r="Q4027" s="14">
        <v>10</v>
      </c>
      <c r="R4027" s="14">
        <v>0</v>
      </c>
      <c r="S4027" s="14">
        <v>0</v>
      </c>
      <c r="T4027" s="13">
        <v>1.3965000000000041</v>
      </c>
    </row>
    <row r="4028" spans="1:20" x14ac:dyDescent="0.3">
      <c r="A4028" t="str">
        <f t="shared" si="124"/>
        <v>LEITE EM PÓITAMBÉ</v>
      </c>
      <c r="B4028" t="str">
        <f t="shared" si="125"/>
        <v>5374092LEITE EM PÓITAMBÉ</v>
      </c>
      <c r="C4028" s="5" t="s">
        <v>174</v>
      </c>
      <c r="D4028" s="5" t="s">
        <v>633</v>
      </c>
      <c r="E4028" s="5" t="s">
        <v>649</v>
      </c>
      <c r="F4028" s="5">
        <v>5374092</v>
      </c>
      <c r="G4028" s="5" t="s">
        <v>1802</v>
      </c>
      <c r="H4028" s="5" t="s">
        <v>30</v>
      </c>
      <c r="I4028" s="5" t="s">
        <v>25</v>
      </c>
      <c r="J4028" s="5" t="s">
        <v>70</v>
      </c>
      <c r="K4028" s="6">
        <v>0</v>
      </c>
      <c r="L4028" s="14">
        <v>0</v>
      </c>
      <c r="M4028" s="14">
        <v>0</v>
      </c>
      <c r="N4028" s="14">
        <v>0</v>
      </c>
      <c r="O4028" s="14">
        <v>0</v>
      </c>
      <c r="P4028" s="14">
        <v>0</v>
      </c>
      <c r="Q4028" s="14">
        <v>36</v>
      </c>
      <c r="R4028" s="14">
        <v>0</v>
      </c>
      <c r="S4028" s="14">
        <v>0</v>
      </c>
      <c r="T4028" s="13">
        <v>1.3965000000000041</v>
      </c>
    </row>
    <row r="4029" spans="1:20" x14ac:dyDescent="0.3">
      <c r="A4029" t="str">
        <f t="shared" si="124"/>
        <v>LEITE UHTLACTALIS</v>
      </c>
      <c r="B4029" t="str">
        <f t="shared" si="125"/>
        <v>5270158LEITE UHTLACTALIS</v>
      </c>
      <c r="C4029" s="5" t="s">
        <v>174</v>
      </c>
      <c r="D4029" s="5" t="s">
        <v>681</v>
      </c>
      <c r="E4029" s="5" t="s">
        <v>1196</v>
      </c>
      <c r="F4029" s="5">
        <v>5270158</v>
      </c>
      <c r="G4029" s="5" t="s">
        <v>363</v>
      </c>
      <c r="H4029" s="5" t="s">
        <v>28</v>
      </c>
      <c r="I4029" s="5" t="s">
        <v>20</v>
      </c>
      <c r="J4029" s="5" t="s">
        <v>125</v>
      </c>
      <c r="K4029" s="6">
        <v>0</v>
      </c>
      <c r="L4029" s="14">
        <v>0</v>
      </c>
      <c r="M4029" s="14">
        <v>0</v>
      </c>
      <c r="N4029" s="14">
        <v>0</v>
      </c>
      <c r="O4029" s="14">
        <v>0</v>
      </c>
      <c r="P4029" s="14">
        <v>0</v>
      </c>
      <c r="Q4029" s="14">
        <v>120</v>
      </c>
      <c r="R4029" s="14">
        <v>0</v>
      </c>
      <c r="S4029" s="14">
        <v>0</v>
      </c>
      <c r="T4029" s="13">
        <v>0.37163271604938264</v>
      </c>
    </row>
    <row r="4030" spans="1:20" x14ac:dyDescent="0.3">
      <c r="A4030" t="str">
        <f t="shared" si="124"/>
        <v>LEITE UHTLACTALIS</v>
      </c>
      <c r="B4030" t="str">
        <f t="shared" si="125"/>
        <v>5365501LEITE UHTLACTALIS</v>
      </c>
      <c r="C4030" s="5" t="s">
        <v>174</v>
      </c>
      <c r="D4030" s="5" t="s">
        <v>681</v>
      </c>
      <c r="E4030" s="5" t="s">
        <v>1204</v>
      </c>
      <c r="F4030" s="5">
        <v>5365501</v>
      </c>
      <c r="G4030" s="5" t="s">
        <v>1411</v>
      </c>
      <c r="H4030" s="5" t="s">
        <v>28</v>
      </c>
      <c r="I4030" s="5" t="s">
        <v>20</v>
      </c>
      <c r="J4030" s="5" t="s">
        <v>125</v>
      </c>
      <c r="K4030" s="6">
        <v>0</v>
      </c>
      <c r="L4030" s="14">
        <v>0</v>
      </c>
      <c r="M4030" s="14">
        <v>0</v>
      </c>
      <c r="N4030" s="14">
        <v>0</v>
      </c>
      <c r="O4030" s="14">
        <v>0</v>
      </c>
      <c r="P4030" s="14">
        <v>0</v>
      </c>
      <c r="Q4030" s="14">
        <v>120</v>
      </c>
      <c r="R4030" s="14">
        <v>0</v>
      </c>
      <c r="S4030" s="14">
        <v>0</v>
      </c>
      <c r="T4030" s="13">
        <v>0.37163271604938264</v>
      </c>
    </row>
    <row r="4031" spans="1:20" x14ac:dyDescent="0.3">
      <c r="A4031" t="str">
        <f t="shared" si="124"/>
        <v>BLISTERLACTALIS</v>
      </c>
      <c r="B4031" t="str">
        <f t="shared" si="125"/>
        <v>5326107BLISTERLACTALIS</v>
      </c>
      <c r="C4031" s="5" t="s">
        <v>174</v>
      </c>
      <c r="D4031" s="5" t="s">
        <v>681</v>
      </c>
      <c r="E4031" s="5" t="s">
        <v>1196</v>
      </c>
      <c r="F4031" s="5">
        <v>5326107</v>
      </c>
      <c r="G4031" s="5" t="s">
        <v>553</v>
      </c>
      <c r="H4031" s="5" t="s">
        <v>28</v>
      </c>
      <c r="I4031" s="5" t="s">
        <v>20</v>
      </c>
      <c r="J4031" s="5" t="s">
        <v>152</v>
      </c>
      <c r="K4031" s="6">
        <v>0</v>
      </c>
      <c r="L4031" s="14">
        <v>0</v>
      </c>
      <c r="M4031" s="14">
        <v>0</v>
      </c>
      <c r="N4031" s="14">
        <v>0</v>
      </c>
      <c r="O4031" s="14">
        <v>0</v>
      </c>
      <c r="P4031" s="14">
        <v>0</v>
      </c>
      <c r="Q4031" s="14">
        <v>1.92</v>
      </c>
      <c r="R4031" s="14">
        <v>0</v>
      </c>
      <c r="S4031" s="14">
        <v>0</v>
      </c>
      <c r="T4031" s="13">
        <v>2.5977269513574703</v>
      </c>
    </row>
    <row r="4032" spans="1:20" x14ac:dyDescent="0.3">
      <c r="A4032" t="str">
        <f t="shared" si="124"/>
        <v>CREME 35%LACTALIS</v>
      </c>
      <c r="B4032" t="str">
        <f t="shared" si="125"/>
        <v>5221085CREME 35%LACTALIS</v>
      </c>
      <c r="C4032" s="5" t="s">
        <v>174</v>
      </c>
      <c r="D4032" s="5" t="s">
        <v>681</v>
      </c>
      <c r="E4032" s="5" t="s">
        <v>1198</v>
      </c>
      <c r="F4032" s="5">
        <v>5221085</v>
      </c>
      <c r="G4032" s="5" t="s">
        <v>1803</v>
      </c>
      <c r="H4032" s="5" t="s">
        <v>28</v>
      </c>
      <c r="I4032" s="5" t="s">
        <v>20</v>
      </c>
      <c r="J4032" s="5" t="s">
        <v>74</v>
      </c>
      <c r="K4032" s="6">
        <v>0</v>
      </c>
      <c r="L4032" s="14">
        <v>0</v>
      </c>
      <c r="M4032" s="14">
        <v>0</v>
      </c>
      <c r="N4032" s="14">
        <v>0</v>
      </c>
      <c r="O4032" s="14">
        <v>0</v>
      </c>
      <c r="P4032" s="14">
        <v>0</v>
      </c>
      <c r="Q4032" s="14">
        <v>100</v>
      </c>
      <c r="R4032" s="14">
        <v>0</v>
      </c>
      <c r="S4032" s="14">
        <v>0</v>
      </c>
      <c r="T4032" s="13">
        <v>4.6069999999999993</v>
      </c>
    </row>
    <row r="4033" spans="1:20" x14ac:dyDescent="0.3">
      <c r="A4033" t="str">
        <f t="shared" si="124"/>
        <v>IOGURTESLACTALIS</v>
      </c>
      <c r="B4033" t="str">
        <f t="shared" si="125"/>
        <v>5358021IOGURTESLACTALIS</v>
      </c>
      <c r="C4033" s="5" t="s">
        <v>174</v>
      </c>
      <c r="D4033" s="5" t="s">
        <v>681</v>
      </c>
      <c r="E4033" s="5" t="s">
        <v>1205</v>
      </c>
      <c r="F4033" s="5">
        <v>5358021</v>
      </c>
      <c r="G4033" s="5" t="s">
        <v>1804</v>
      </c>
      <c r="H4033" s="5" t="s">
        <v>28</v>
      </c>
      <c r="I4033" s="5" t="s">
        <v>20</v>
      </c>
      <c r="J4033" s="5" t="s">
        <v>122</v>
      </c>
      <c r="K4033" s="6">
        <v>0</v>
      </c>
      <c r="L4033" s="14">
        <v>0</v>
      </c>
      <c r="M4033" s="14">
        <v>0</v>
      </c>
      <c r="N4033" s="14">
        <v>0</v>
      </c>
      <c r="O4033" s="14">
        <v>0</v>
      </c>
      <c r="P4033" s="14">
        <v>0</v>
      </c>
      <c r="Q4033" s="14">
        <v>18.36</v>
      </c>
      <c r="R4033" s="14">
        <v>0</v>
      </c>
      <c r="S4033" s="14">
        <v>0</v>
      </c>
      <c r="T4033" s="13">
        <v>11.440206068840578</v>
      </c>
    </row>
    <row r="4034" spans="1:20" x14ac:dyDescent="0.3">
      <c r="A4034" t="str">
        <f t="shared" si="124"/>
        <v>IOGURTESLACTALIS</v>
      </c>
      <c r="B4034" t="str">
        <f t="shared" si="125"/>
        <v>5362800IOGURTESLACTALIS</v>
      </c>
      <c r="C4034" s="5" t="s">
        <v>174</v>
      </c>
      <c r="D4034" s="5" t="s">
        <v>681</v>
      </c>
      <c r="E4034" s="5" t="s">
        <v>1205</v>
      </c>
      <c r="F4034" s="5">
        <v>5362800</v>
      </c>
      <c r="G4034" s="5" t="s">
        <v>1804</v>
      </c>
      <c r="H4034" s="5" t="s">
        <v>28</v>
      </c>
      <c r="I4034" s="5" t="s">
        <v>20</v>
      </c>
      <c r="J4034" s="5" t="s">
        <v>122</v>
      </c>
      <c r="K4034" s="6">
        <v>0</v>
      </c>
      <c r="L4034" s="14">
        <v>0</v>
      </c>
      <c r="M4034" s="14">
        <v>0</v>
      </c>
      <c r="N4034" s="14">
        <v>0</v>
      </c>
      <c r="O4034" s="14">
        <v>0</v>
      </c>
      <c r="P4034" s="14">
        <v>0</v>
      </c>
      <c r="Q4034" s="14">
        <v>18.36</v>
      </c>
      <c r="R4034" s="14">
        <v>0</v>
      </c>
      <c r="S4034" s="14">
        <v>0</v>
      </c>
      <c r="T4034" s="13">
        <v>11.440206068840578</v>
      </c>
    </row>
    <row r="4035" spans="1:20" x14ac:dyDescent="0.3">
      <c r="A4035" t="str">
        <f t="shared" ref="A4035:A4098" si="126">J4035&amp;I4035</f>
        <v>LEITE EM PÓLACTALIS</v>
      </c>
      <c r="B4035" t="str">
        <f t="shared" ref="B4035:B4098" si="127">F4035&amp;J4035&amp;I4035</f>
        <v>5316251LEITE EM PÓLACTALIS</v>
      </c>
      <c r="C4035" s="5" t="s">
        <v>174</v>
      </c>
      <c r="D4035" s="5" t="s">
        <v>681</v>
      </c>
      <c r="E4035" s="5" t="s">
        <v>1204</v>
      </c>
      <c r="F4035" s="5">
        <v>5316251</v>
      </c>
      <c r="G4035" s="5" t="s">
        <v>391</v>
      </c>
      <c r="H4035" s="5" t="s">
        <v>28</v>
      </c>
      <c r="I4035" s="5" t="s">
        <v>20</v>
      </c>
      <c r="J4035" s="5" t="s">
        <v>70</v>
      </c>
      <c r="K4035" s="6">
        <v>0</v>
      </c>
      <c r="L4035" s="14">
        <v>0</v>
      </c>
      <c r="M4035" s="14">
        <v>0</v>
      </c>
      <c r="N4035" s="14">
        <v>0</v>
      </c>
      <c r="O4035" s="14">
        <v>0</v>
      </c>
      <c r="P4035" s="14">
        <v>0</v>
      </c>
      <c r="Q4035" s="14">
        <v>9</v>
      </c>
      <c r="R4035" s="14">
        <v>0</v>
      </c>
      <c r="S4035" s="14">
        <v>0</v>
      </c>
      <c r="T4035" s="13">
        <v>-1.3575000000000006</v>
      </c>
    </row>
    <row r="4036" spans="1:20" x14ac:dyDescent="0.3">
      <c r="A4036" t="str">
        <f t="shared" si="126"/>
        <v>LEITE UHTLACTALIS</v>
      </c>
      <c r="B4036" t="str">
        <f t="shared" si="127"/>
        <v>5253958LEITE UHTLACTALIS</v>
      </c>
      <c r="C4036" s="5" t="s">
        <v>174</v>
      </c>
      <c r="D4036" s="5" t="s">
        <v>681</v>
      </c>
      <c r="E4036" s="5" t="s">
        <v>1196</v>
      </c>
      <c r="F4036" s="5">
        <v>5253958</v>
      </c>
      <c r="G4036" s="5" t="s">
        <v>487</v>
      </c>
      <c r="H4036" s="5" t="s">
        <v>28</v>
      </c>
      <c r="I4036" s="5" t="s">
        <v>20</v>
      </c>
      <c r="J4036" s="5" t="s">
        <v>125</v>
      </c>
      <c r="K4036" s="6">
        <v>0</v>
      </c>
      <c r="L4036" s="14">
        <v>0</v>
      </c>
      <c r="M4036" s="14">
        <v>0</v>
      </c>
      <c r="N4036" s="14">
        <v>0</v>
      </c>
      <c r="O4036" s="14">
        <v>0</v>
      </c>
      <c r="P4036" s="14">
        <v>0</v>
      </c>
      <c r="Q4036" s="14">
        <v>24</v>
      </c>
      <c r="R4036" s="14">
        <v>0</v>
      </c>
      <c r="S4036" s="14">
        <v>0</v>
      </c>
      <c r="T4036" s="13">
        <v>0.37163271604938264</v>
      </c>
    </row>
    <row r="4037" spans="1:20" x14ac:dyDescent="0.3">
      <c r="A4037" t="str">
        <f t="shared" si="126"/>
        <v>QUEIJOSLACTALIS</v>
      </c>
      <c r="B4037" t="str">
        <f t="shared" si="127"/>
        <v>5316966QUEIJOSLACTALIS</v>
      </c>
      <c r="C4037" s="5" t="s">
        <v>174</v>
      </c>
      <c r="D4037" s="5" t="s">
        <v>681</v>
      </c>
      <c r="E4037" s="5" t="s">
        <v>1217</v>
      </c>
      <c r="F4037" s="5">
        <v>5316966</v>
      </c>
      <c r="G4037" s="5" t="s">
        <v>1805</v>
      </c>
      <c r="H4037" s="5" t="s">
        <v>28</v>
      </c>
      <c r="I4037" s="5" t="s">
        <v>20</v>
      </c>
      <c r="J4037" s="5" t="s">
        <v>56</v>
      </c>
      <c r="K4037" s="6">
        <v>0</v>
      </c>
      <c r="L4037" s="14">
        <v>0</v>
      </c>
      <c r="M4037" s="14">
        <v>0</v>
      </c>
      <c r="N4037" s="14">
        <v>0</v>
      </c>
      <c r="O4037" s="14">
        <v>0</v>
      </c>
      <c r="P4037" s="14">
        <v>0</v>
      </c>
      <c r="Q4037" s="14">
        <v>14.8</v>
      </c>
      <c r="R4037" s="14">
        <v>0</v>
      </c>
      <c r="S4037" s="14">
        <v>0</v>
      </c>
      <c r="T4037" s="13">
        <v>15.573476190476198</v>
      </c>
    </row>
    <row r="4038" spans="1:20" x14ac:dyDescent="0.3">
      <c r="A4038" t="str">
        <f t="shared" si="126"/>
        <v>QUEIJOSLACTALIS</v>
      </c>
      <c r="B4038" t="str">
        <f t="shared" si="127"/>
        <v>5341970QUEIJOSLACTALIS</v>
      </c>
      <c r="C4038" s="5" t="s">
        <v>174</v>
      </c>
      <c r="D4038" s="5" t="s">
        <v>681</v>
      </c>
      <c r="E4038" s="5" t="s">
        <v>1201</v>
      </c>
      <c r="F4038" s="5">
        <v>5341970</v>
      </c>
      <c r="G4038" s="5" t="s">
        <v>987</v>
      </c>
      <c r="H4038" s="5" t="s">
        <v>28</v>
      </c>
      <c r="I4038" s="5" t="s">
        <v>20</v>
      </c>
      <c r="J4038" s="5" t="s">
        <v>56</v>
      </c>
      <c r="K4038" s="6">
        <v>0</v>
      </c>
      <c r="L4038" s="14">
        <v>0</v>
      </c>
      <c r="M4038" s="14">
        <v>0</v>
      </c>
      <c r="N4038" s="14">
        <v>0</v>
      </c>
      <c r="O4038" s="14">
        <v>0</v>
      </c>
      <c r="P4038" s="14">
        <v>0</v>
      </c>
      <c r="Q4038" s="14">
        <v>12</v>
      </c>
      <c r="R4038" s="14">
        <v>0</v>
      </c>
      <c r="S4038" s="14">
        <v>0</v>
      </c>
      <c r="T4038" s="13">
        <v>15.573476190476198</v>
      </c>
    </row>
    <row r="4039" spans="1:20" x14ac:dyDescent="0.3">
      <c r="A4039" t="str">
        <f t="shared" si="126"/>
        <v>SOROLACTALIS</v>
      </c>
      <c r="B4039" t="str">
        <f t="shared" si="127"/>
        <v>5368052SOROLACTALIS</v>
      </c>
      <c r="C4039" s="5" t="s">
        <v>14</v>
      </c>
      <c r="D4039" s="5" t="s">
        <v>15</v>
      </c>
      <c r="E4039" s="5" t="s">
        <v>58</v>
      </c>
      <c r="F4039" s="5">
        <v>5368052</v>
      </c>
      <c r="G4039" s="5" t="s">
        <v>1806</v>
      </c>
      <c r="H4039" s="5" t="s">
        <v>28</v>
      </c>
      <c r="I4039" s="5" t="s">
        <v>20</v>
      </c>
      <c r="J4039" s="5" t="s">
        <v>1416</v>
      </c>
      <c r="K4039" s="6">
        <v>0</v>
      </c>
      <c r="L4039" s="14">
        <v>0</v>
      </c>
      <c r="M4039" s="14">
        <v>0</v>
      </c>
      <c r="N4039" s="14">
        <v>0</v>
      </c>
      <c r="O4039" s="14">
        <v>0</v>
      </c>
      <c r="P4039" s="14">
        <v>0</v>
      </c>
      <c r="Q4039" s="14">
        <v>500</v>
      </c>
      <c r="R4039" s="14">
        <v>0</v>
      </c>
      <c r="S4039" s="14">
        <v>0</v>
      </c>
      <c r="T4039" s="13">
        <v>0</v>
      </c>
    </row>
    <row r="4040" spans="1:20" x14ac:dyDescent="0.3">
      <c r="A4040" t="str">
        <f t="shared" si="126"/>
        <v/>
      </c>
      <c r="B4040" t="str">
        <f t="shared" si="127"/>
        <v/>
      </c>
      <c r="C4040" s="5"/>
      <c r="D4040" s="5"/>
      <c r="E4040" s="5"/>
      <c r="F4040" s="5"/>
      <c r="G4040" s="5"/>
      <c r="H4040" s="5"/>
      <c r="I4040" s="5"/>
      <c r="J4040" s="5"/>
      <c r="K4040" s="6"/>
      <c r="L4040" s="14"/>
      <c r="M4040" s="14"/>
      <c r="N4040" s="14"/>
      <c r="O4040" s="14"/>
      <c r="P4040" s="14"/>
      <c r="Q4040" s="14"/>
      <c r="R4040" s="14"/>
      <c r="S4040" s="14"/>
      <c r="T4040" s="13"/>
    </row>
    <row r="4041" spans="1:20" x14ac:dyDescent="0.3">
      <c r="A4041" t="str">
        <f t="shared" si="126"/>
        <v/>
      </c>
      <c r="B4041" t="str">
        <f t="shared" si="127"/>
        <v/>
      </c>
      <c r="C4041" s="5"/>
      <c r="D4041" s="5"/>
      <c r="E4041" s="5"/>
      <c r="F4041" s="5"/>
      <c r="G4041" s="5"/>
      <c r="H4041" s="5"/>
      <c r="I4041" s="5"/>
      <c r="J4041" s="5"/>
      <c r="K4041" s="6"/>
      <c r="L4041" s="14"/>
      <c r="M4041" s="14"/>
      <c r="N4041" s="14"/>
      <c r="O4041" s="14"/>
      <c r="P4041" s="14"/>
      <c r="Q4041" s="14"/>
      <c r="R4041" s="14"/>
      <c r="S4041" s="14"/>
      <c r="T4041" s="13"/>
    </row>
    <row r="4042" spans="1:20" x14ac:dyDescent="0.3">
      <c r="A4042" t="str">
        <f t="shared" si="126"/>
        <v/>
      </c>
      <c r="B4042" t="str">
        <f t="shared" si="127"/>
        <v/>
      </c>
      <c r="C4042" s="5"/>
      <c r="D4042" s="5"/>
      <c r="E4042" s="5"/>
      <c r="F4042" s="5"/>
      <c r="G4042" s="5"/>
      <c r="H4042" s="5"/>
      <c r="I4042" s="5"/>
      <c r="J4042" s="5"/>
      <c r="K4042" s="6"/>
      <c r="L4042" s="14"/>
      <c r="M4042" s="14"/>
      <c r="N4042" s="14"/>
      <c r="O4042" s="14"/>
      <c r="P4042" s="14"/>
      <c r="Q4042" s="14"/>
      <c r="R4042" s="14"/>
      <c r="S4042" s="14"/>
      <c r="T4042" s="13"/>
    </row>
    <row r="4043" spans="1:20" x14ac:dyDescent="0.3">
      <c r="A4043" t="str">
        <f t="shared" si="126"/>
        <v/>
      </c>
      <c r="B4043" t="str">
        <f t="shared" si="127"/>
        <v/>
      </c>
      <c r="C4043" s="5"/>
      <c r="D4043" s="5"/>
      <c r="E4043" s="5"/>
      <c r="F4043" s="5"/>
      <c r="G4043" s="5"/>
      <c r="H4043" s="5"/>
      <c r="I4043" s="5"/>
      <c r="J4043" s="5"/>
      <c r="K4043" s="6"/>
      <c r="L4043" s="14"/>
      <c r="M4043" s="14"/>
      <c r="N4043" s="14"/>
      <c r="O4043" s="14"/>
      <c r="P4043" s="14"/>
      <c r="Q4043" s="14"/>
      <c r="R4043" s="14"/>
      <c r="S4043" s="14"/>
      <c r="T4043" s="13"/>
    </row>
    <row r="4044" spans="1:20" x14ac:dyDescent="0.3">
      <c r="A4044" t="str">
        <f t="shared" si="126"/>
        <v/>
      </c>
      <c r="B4044" t="str">
        <f t="shared" si="127"/>
        <v/>
      </c>
      <c r="C4044" s="5"/>
      <c r="D4044" s="5"/>
      <c r="E4044" s="5"/>
      <c r="F4044" s="5"/>
      <c r="G4044" s="5"/>
      <c r="H4044" s="5"/>
      <c r="I4044" s="5"/>
      <c r="J4044" s="5"/>
      <c r="K4044" s="6"/>
      <c r="L4044" s="14"/>
      <c r="M4044" s="14"/>
      <c r="N4044" s="14"/>
      <c r="O4044" s="14"/>
      <c r="P4044" s="14"/>
      <c r="Q4044" s="14"/>
      <c r="R4044" s="14"/>
      <c r="S4044" s="14"/>
      <c r="T4044" s="13"/>
    </row>
    <row r="4045" spans="1:20" x14ac:dyDescent="0.3">
      <c r="A4045" t="str">
        <f t="shared" si="126"/>
        <v/>
      </c>
      <c r="B4045" t="str">
        <f t="shared" si="127"/>
        <v/>
      </c>
      <c r="C4045" s="5"/>
      <c r="D4045" s="5"/>
      <c r="E4045" s="5"/>
      <c r="F4045" s="5"/>
      <c r="G4045" s="5"/>
      <c r="H4045" s="5"/>
      <c r="I4045" s="5"/>
      <c r="J4045" s="5"/>
      <c r="K4045" s="6"/>
      <c r="L4045" s="14"/>
      <c r="M4045" s="14"/>
      <c r="N4045" s="14"/>
      <c r="O4045" s="14"/>
      <c r="P4045" s="14"/>
      <c r="Q4045" s="14"/>
      <c r="R4045" s="14"/>
      <c r="S4045" s="14"/>
      <c r="T4045" s="13"/>
    </row>
    <row r="4046" spans="1:20" x14ac:dyDescent="0.3">
      <c r="A4046" t="str">
        <f t="shared" si="126"/>
        <v/>
      </c>
      <c r="B4046" t="str">
        <f t="shared" si="127"/>
        <v/>
      </c>
      <c r="C4046" s="5"/>
      <c r="D4046" s="5"/>
      <c r="E4046" s="5"/>
      <c r="F4046" s="5"/>
      <c r="G4046" s="5"/>
      <c r="H4046" s="5"/>
      <c r="I4046" s="5"/>
      <c r="J4046" s="5"/>
      <c r="K4046" s="6"/>
      <c r="L4046" s="14"/>
      <c r="M4046" s="14"/>
      <c r="N4046" s="14"/>
      <c r="O4046" s="14"/>
      <c r="P4046" s="14"/>
      <c r="Q4046" s="14"/>
      <c r="R4046" s="14"/>
      <c r="S4046" s="14"/>
      <c r="T4046" s="13"/>
    </row>
    <row r="4047" spans="1:20" x14ac:dyDescent="0.3">
      <c r="A4047" t="str">
        <f t="shared" si="126"/>
        <v/>
      </c>
      <c r="B4047" t="str">
        <f t="shared" si="127"/>
        <v/>
      </c>
      <c r="C4047" s="5"/>
      <c r="D4047" s="5"/>
      <c r="E4047" s="5"/>
      <c r="F4047" s="5"/>
      <c r="G4047" s="5"/>
      <c r="H4047" s="5"/>
      <c r="I4047" s="5"/>
      <c r="J4047" s="5"/>
      <c r="K4047" s="6"/>
      <c r="L4047" s="14"/>
      <c r="M4047" s="14"/>
      <c r="N4047" s="14"/>
      <c r="O4047" s="14"/>
      <c r="P4047" s="14"/>
      <c r="Q4047" s="14"/>
      <c r="R4047" s="14"/>
      <c r="S4047" s="14"/>
      <c r="T4047" s="13"/>
    </row>
    <row r="4048" spans="1:20" x14ac:dyDescent="0.3">
      <c r="A4048" t="str">
        <f t="shared" si="126"/>
        <v/>
      </c>
      <c r="B4048" t="str">
        <f t="shared" si="127"/>
        <v/>
      </c>
      <c r="C4048" s="5"/>
      <c r="D4048" s="5"/>
      <c r="E4048" s="5"/>
      <c r="F4048" s="5"/>
      <c r="G4048" s="5"/>
      <c r="H4048" s="5"/>
      <c r="I4048" s="5"/>
      <c r="J4048" s="5"/>
      <c r="K4048" s="6"/>
      <c r="L4048" s="14"/>
      <c r="M4048" s="14"/>
      <c r="N4048" s="14"/>
      <c r="O4048" s="14"/>
      <c r="P4048" s="14"/>
      <c r="Q4048" s="14"/>
      <c r="R4048" s="14"/>
      <c r="S4048" s="14"/>
      <c r="T4048" s="13"/>
    </row>
    <row r="4049" spans="1:20" x14ac:dyDescent="0.3">
      <c r="A4049" t="str">
        <f t="shared" si="126"/>
        <v/>
      </c>
      <c r="B4049" t="str">
        <f t="shared" si="127"/>
        <v/>
      </c>
      <c r="C4049" s="5"/>
      <c r="D4049" s="5"/>
      <c r="E4049" s="5"/>
      <c r="F4049" s="5"/>
      <c r="G4049" s="5"/>
      <c r="H4049" s="5"/>
      <c r="I4049" s="5"/>
      <c r="J4049" s="5"/>
      <c r="K4049" s="6"/>
      <c r="L4049" s="14"/>
      <c r="M4049" s="14"/>
      <c r="N4049" s="14"/>
      <c r="O4049" s="14"/>
      <c r="P4049" s="14"/>
      <c r="Q4049" s="14"/>
      <c r="R4049" s="14"/>
      <c r="S4049" s="14"/>
      <c r="T4049" s="13"/>
    </row>
    <row r="4050" spans="1:20" x14ac:dyDescent="0.3">
      <c r="A4050" t="str">
        <f t="shared" si="126"/>
        <v/>
      </c>
      <c r="B4050" t="str">
        <f t="shared" si="127"/>
        <v/>
      </c>
      <c r="C4050" s="5"/>
      <c r="D4050" s="5"/>
      <c r="E4050" s="5"/>
      <c r="F4050" s="5"/>
      <c r="G4050" s="5"/>
      <c r="H4050" s="5"/>
      <c r="I4050" s="5"/>
      <c r="J4050" s="5"/>
      <c r="K4050" s="6"/>
      <c r="L4050" s="14"/>
      <c r="M4050" s="14"/>
      <c r="N4050" s="14"/>
      <c r="O4050" s="14"/>
      <c r="P4050" s="14"/>
      <c r="Q4050" s="14"/>
      <c r="R4050" s="14"/>
      <c r="S4050" s="14"/>
      <c r="T4050" s="13"/>
    </row>
    <row r="4051" spans="1:20" x14ac:dyDescent="0.3">
      <c r="A4051" t="str">
        <f t="shared" si="126"/>
        <v/>
      </c>
      <c r="B4051" t="str">
        <f t="shared" si="127"/>
        <v/>
      </c>
      <c r="C4051" s="5"/>
      <c r="D4051" s="5"/>
      <c r="E4051" s="5"/>
      <c r="F4051" s="5"/>
      <c r="G4051" s="5"/>
      <c r="H4051" s="5"/>
      <c r="I4051" s="5"/>
      <c r="J4051" s="5"/>
      <c r="K4051" s="6"/>
      <c r="L4051" s="14"/>
      <c r="M4051" s="14"/>
      <c r="N4051" s="14"/>
      <c r="O4051" s="14"/>
      <c r="P4051" s="14"/>
      <c r="Q4051" s="14"/>
      <c r="R4051" s="14"/>
      <c r="S4051" s="14"/>
      <c r="T4051" s="13"/>
    </row>
    <row r="4052" spans="1:20" x14ac:dyDescent="0.3">
      <c r="A4052" t="str">
        <f t="shared" si="126"/>
        <v/>
      </c>
      <c r="B4052" t="str">
        <f t="shared" si="127"/>
        <v/>
      </c>
      <c r="C4052" s="5"/>
      <c r="D4052" s="5"/>
      <c r="E4052" s="5"/>
      <c r="F4052" s="5"/>
      <c r="G4052" s="5"/>
      <c r="H4052" s="5"/>
      <c r="I4052" s="5"/>
      <c r="J4052" s="5"/>
      <c r="K4052" s="6"/>
      <c r="L4052" s="14"/>
      <c r="M4052" s="14"/>
      <c r="N4052" s="14"/>
      <c r="O4052" s="14"/>
      <c r="P4052" s="14"/>
      <c r="Q4052" s="14"/>
      <c r="R4052" s="14"/>
      <c r="S4052" s="14"/>
      <c r="T4052" s="13"/>
    </row>
    <row r="4053" spans="1:20" x14ac:dyDescent="0.3">
      <c r="A4053" t="str">
        <f t="shared" si="126"/>
        <v/>
      </c>
      <c r="B4053" t="str">
        <f t="shared" si="127"/>
        <v/>
      </c>
      <c r="C4053" s="5"/>
      <c r="D4053" s="5"/>
      <c r="E4053" s="5"/>
      <c r="F4053" s="5"/>
      <c r="G4053" s="5"/>
      <c r="H4053" s="5"/>
      <c r="I4053" s="5"/>
      <c r="J4053" s="5"/>
      <c r="K4053" s="6"/>
      <c r="L4053" s="14"/>
      <c r="M4053" s="14"/>
      <c r="N4053" s="14"/>
      <c r="O4053" s="14"/>
      <c r="P4053" s="14"/>
      <c r="Q4053" s="14"/>
      <c r="R4053" s="14"/>
      <c r="S4053" s="14"/>
      <c r="T4053" s="13"/>
    </row>
    <row r="4054" spans="1:20" x14ac:dyDescent="0.3">
      <c r="A4054" t="str">
        <f t="shared" si="126"/>
        <v/>
      </c>
      <c r="B4054" t="str">
        <f t="shared" si="127"/>
        <v/>
      </c>
      <c r="C4054" s="5"/>
      <c r="D4054" s="5"/>
      <c r="E4054" s="5"/>
      <c r="F4054" s="5"/>
      <c r="G4054" s="5"/>
      <c r="H4054" s="5"/>
      <c r="I4054" s="5"/>
      <c r="J4054" s="5"/>
      <c r="K4054" s="6"/>
      <c r="L4054" s="14"/>
      <c r="M4054" s="14"/>
      <c r="N4054" s="14"/>
      <c r="O4054" s="14"/>
      <c r="P4054" s="14"/>
      <c r="Q4054" s="14"/>
      <c r="R4054" s="14"/>
      <c r="S4054" s="14"/>
      <c r="T4054" s="13"/>
    </row>
    <row r="4055" spans="1:20" x14ac:dyDescent="0.3">
      <c r="A4055" t="str">
        <f t="shared" si="126"/>
        <v/>
      </c>
      <c r="B4055" t="str">
        <f t="shared" si="127"/>
        <v/>
      </c>
      <c r="C4055" s="5"/>
      <c r="D4055" s="5"/>
      <c r="E4055" s="5"/>
      <c r="F4055" s="5"/>
      <c r="G4055" s="5"/>
      <c r="H4055" s="5"/>
      <c r="I4055" s="5"/>
      <c r="J4055" s="5"/>
      <c r="K4055" s="6"/>
      <c r="L4055" s="14"/>
      <c r="M4055" s="14"/>
      <c r="N4055" s="14"/>
      <c r="O4055" s="14"/>
      <c r="P4055" s="14"/>
      <c r="Q4055" s="14"/>
      <c r="R4055" s="14"/>
      <c r="S4055" s="14"/>
      <c r="T4055" s="13"/>
    </row>
    <row r="4056" spans="1:20" x14ac:dyDescent="0.3">
      <c r="A4056" t="str">
        <f t="shared" si="126"/>
        <v/>
      </c>
      <c r="B4056" t="str">
        <f t="shared" si="127"/>
        <v/>
      </c>
      <c r="C4056" s="5"/>
      <c r="D4056" s="5"/>
      <c r="E4056" s="5"/>
      <c r="F4056" s="5"/>
      <c r="G4056" s="5"/>
      <c r="H4056" s="5"/>
      <c r="I4056" s="5"/>
      <c r="J4056" s="5"/>
      <c r="K4056" s="6"/>
      <c r="L4056" s="14"/>
      <c r="M4056" s="14"/>
      <c r="N4056" s="14"/>
      <c r="O4056" s="14"/>
      <c r="P4056" s="14"/>
      <c r="Q4056" s="14"/>
      <c r="R4056" s="14"/>
      <c r="S4056" s="14"/>
      <c r="T4056" s="13"/>
    </row>
    <row r="4057" spans="1:20" x14ac:dyDescent="0.3">
      <c r="A4057" t="str">
        <f t="shared" si="126"/>
        <v/>
      </c>
      <c r="B4057" t="str">
        <f t="shared" si="127"/>
        <v/>
      </c>
      <c r="C4057" s="5"/>
      <c r="D4057" s="5"/>
      <c r="E4057" s="5"/>
      <c r="F4057" s="5"/>
      <c r="G4057" s="5"/>
      <c r="H4057" s="5"/>
      <c r="I4057" s="5"/>
      <c r="J4057" s="5"/>
      <c r="K4057" s="6"/>
      <c r="L4057" s="14"/>
      <c r="M4057" s="14"/>
      <c r="N4057" s="14"/>
      <c r="O4057" s="14"/>
      <c r="P4057" s="14"/>
      <c r="Q4057" s="14"/>
      <c r="R4057" s="14"/>
      <c r="S4057" s="14"/>
      <c r="T4057" s="13"/>
    </row>
    <row r="4058" spans="1:20" x14ac:dyDescent="0.3">
      <c r="A4058" t="str">
        <f t="shared" si="126"/>
        <v/>
      </c>
      <c r="B4058" t="str">
        <f t="shared" si="127"/>
        <v/>
      </c>
      <c r="C4058" s="5"/>
      <c r="D4058" s="5"/>
      <c r="E4058" s="5"/>
      <c r="F4058" s="5"/>
      <c r="G4058" s="5"/>
      <c r="H4058" s="5"/>
      <c r="I4058" s="5"/>
      <c r="J4058" s="5"/>
      <c r="K4058" s="6"/>
      <c r="L4058" s="14"/>
      <c r="M4058" s="14"/>
      <c r="N4058" s="14"/>
      <c r="O4058" s="14"/>
      <c r="P4058" s="14"/>
      <c r="Q4058" s="14"/>
      <c r="R4058" s="14"/>
      <c r="S4058" s="14"/>
      <c r="T4058" s="13"/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2026-10-23T12:20:02Z</dcterms:modified>
  <cp:category/>
  <cp:contentStatus/>
</cp:coreProperties>
</file>