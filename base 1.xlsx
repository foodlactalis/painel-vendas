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0B40810C-BF2C-4215-B991-C242752DF6AC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  <externalReference r:id="rId5"/>
  </externalReference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075" i="1" l="1"/>
  <c r="T4074" i="1"/>
  <c r="T4073" i="1"/>
  <c r="T4072" i="1"/>
  <c r="T4070" i="1"/>
  <c r="T4069" i="1"/>
  <c r="T4068" i="1"/>
  <c r="T4067" i="1"/>
  <c r="T4066" i="1"/>
  <c r="T4065" i="1"/>
  <c r="T4064" i="1"/>
  <c r="T4063" i="1"/>
  <c r="T4059" i="1"/>
  <c r="T4058" i="1"/>
  <c r="T4057" i="1"/>
  <c r="T4056" i="1"/>
  <c r="T4055" i="1"/>
  <c r="T4054" i="1"/>
  <c r="T4053" i="1"/>
  <c r="T4052" i="1"/>
  <c r="T4051" i="1"/>
  <c r="T4050" i="1"/>
  <c r="T4049" i="1"/>
  <c r="T4048" i="1"/>
  <c r="T4046" i="1"/>
  <c r="T4045" i="1"/>
  <c r="T4044" i="1"/>
  <c r="T4043" i="1"/>
  <c r="T4042" i="1"/>
  <c r="T4041" i="1"/>
  <c r="T4040" i="1"/>
  <c r="T4038" i="1"/>
  <c r="T4037" i="1"/>
  <c r="T4036" i="1"/>
  <c r="T4035" i="1"/>
  <c r="T4033" i="1"/>
  <c r="T4032" i="1"/>
  <c r="T4031" i="1"/>
  <c r="T4030" i="1"/>
  <c r="T4029" i="1"/>
  <c r="T4028" i="1"/>
  <c r="T4027" i="1"/>
  <c r="T4026" i="1"/>
  <c r="T4025" i="1"/>
  <c r="T4024" i="1"/>
  <c r="T4023" i="1"/>
  <c r="T4022" i="1"/>
  <c r="T4021" i="1"/>
  <c r="T4020" i="1"/>
  <c r="T4019" i="1"/>
  <c r="T4018" i="1"/>
  <c r="T4017" i="1"/>
  <c r="T4016" i="1"/>
  <c r="T4015" i="1"/>
  <c r="T4014" i="1"/>
  <c r="T4013" i="1"/>
  <c r="T4012" i="1"/>
  <c r="T4011" i="1"/>
  <c r="T4010" i="1"/>
  <c r="T4009" i="1"/>
  <c r="T4008" i="1"/>
  <c r="T4007" i="1"/>
  <c r="T4006" i="1"/>
  <c r="T4005" i="1"/>
  <c r="T4004" i="1"/>
  <c r="T4003" i="1"/>
  <c r="T4002" i="1"/>
  <c r="T4001" i="1"/>
  <c r="T4000" i="1"/>
  <c r="T3999" i="1"/>
  <c r="T3998" i="1"/>
  <c r="T3997" i="1"/>
  <c r="T3996" i="1"/>
  <c r="T3994" i="1"/>
  <c r="T3993" i="1"/>
  <c r="T3992" i="1"/>
  <c r="T3991" i="1"/>
  <c r="T3990" i="1"/>
  <c r="T3989" i="1"/>
  <c r="T3988" i="1"/>
  <c r="T3986" i="1"/>
  <c r="T3985" i="1"/>
  <c r="T3984" i="1"/>
  <c r="T3981" i="1"/>
  <c r="T3980" i="1"/>
  <c r="T3979" i="1"/>
  <c r="T3978" i="1"/>
  <c r="T3977" i="1"/>
  <c r="T3976" i="1"/>
  <c r="T3975" i="1"/>
  <c r="T3974" i="1"/>
  <c r="T3973" i="1"/>
  <c r="T3972" i="1"/>
  <c r="T3971" i="1"/>
  <c r="T3970" i="1"/>
  <c r="T3969" i="1"/>
  <c r="T3967" i="1"/>
  <c r="T3966" i="1"/>
  <c r="T3965" i="1"/>
  <c r="T3963" i="1"/>
  <c r="T3962" i="1"/>
  <c r="T3961" i="1"/>
  <c r="T3959" i="1"/>
  <c r="T3958" i="1"/>
  <c r="T3957" i="1"/>
  <c r="T3956" i="1"/>
  <c r="T3955" i="1"/>
  <c r="T3954" i="1"/>
  <c r="T3953" i="1"/>
  <c r="T3952" i="1"/>
  <c r="T3951" i="1"/>
  <c r="T3950" i="1"/>
  <c r="T3949" i="1"/>
  <c r="T3948" i="1"/>
  <c r="T3947" i="1"/>
  <c r="T3945" i="1"/>
  <c r="T3943" i="1"/>
  <c r="T3942" i="1"/>
  <c r="T3941" i="1"/>
  <c r="T3940" i="1"/>
  <c r="T3939" i="1"/>
  <c r="T3938" i="1"/>
  <c r="T3937" i="1"/>
  <c r="T3936" i="1"/>
  <c r="T3935" i="1"/>
  <c r="T3934" i="1"/>
  <c r="T3933" i="1"/>
  <c r="T3932" i="1"/>
  <c r="T3931" i="1"/>
  <c r="T3927" i="1"/>
  <c r="T3926" i="1"/>
  <c r="T3925" i="1"/>
  <c r="T3924" i="1"/>
  <c r="T3923" i="1"/>
  <c r="T3922" i="1"/>
  <c r="T3921" i="1"/>
  <c r="T3920" i="1"/>
  <c r="T3919" i="1"/>
  <c r="T3918" i="1"/>
  <c r="T3917" i="1"/>
  <c r="T3916" i="1"/>
  <c r="T3915" i="1"/>
  <c r="T3914" i="1"/>
  <c r="T3913" i="1"/>
  <c r="T3912" i="1"/>
  <c r="T3911" i="1"/>
  <c r="T3910" i="1"/>
  <c r="T3909" i="1"/>
  <c r="T3908" i="1"/>
  <c r="T3905" i="1"/>
  <c r="T3904" i="1"/>
  <c r="T3903" i="1"/>
  <c r="T3902" i="1"/>
  <c r="T3901" i="1"/>
  <c r="T3900" i="1"/>
  <c r="T3899" i="1"/>
  <c r="T3898" i="1"/>
  <c r="T3897" i="1"/>
  <c r="T3896" i="1"/>
  <c r="T3895" i="1"/>
  <c r="T3894" i="1"/>
  <c r="T3893" i="1"/>
  <c r="T3892" i="1"/>
  <c r="T3891" i="1"/>
  <c r="T3890" i="1"/>
  <c r="T3889" i="1"/>
  <c r="T3888" i="1"/>
  <c r="T3887" i="1"/>
  <c r="T3886" i="1"/>
  <c r="T3884" i="1"/>
  <c r="T3883" i="1"/>
  <c r="T3882" i="1"/>
  <c r="T3881" i="1"/>
  <c r="T3880" i="1"/>
  <c r="T3879" i="1"/>
  <c r="T3878" i="1"/>
  <c r="T3877" i="1"/>
  <c r="T3874" i="1"/>
  <c r="T3873" i="1"/>
  <c r="T3872" i="1"/>
  <c r="T3871" i="1"/>
  <c r="T3868" i="1"/>
  <c r="T3867" i="1"/>
  <c r="T3866" i="1"/>
  <c r="T3865" i="1"/>
  <c r="T3864" i="1"/>
  <c r="T3863" i="1"/>
  <c r="T3862" i="1"/>
  <c r="T3860" i="1"/>
  <c r="T3859" i="1"/>
  <c r="T3858" i="1"/>
  <c r="T3857" i="1"/>
  <c r="T3856" i="1"/>
  <c r="T3855" i="1"/>
  <c r="T3854" i="1"/>
  <c r="T3853" i="1"/>
  <c r="T3852" i="1"/>
  <c r="T3851" i="1"/>
  <c r="T3850" i="1"/>
  <c r="T3849" i="1"/>
  <c r="T3848" i="1"/>
  <c r="T3847" i="1"/>
  <c r="T3846" i="1"/>
  <c r="T3845" i="1"/>
  <c r="T3844" i="1"/>
  <c r="T3843" i="1"/>
  <c r="T3842" i="1"/>
  <c r="T3841" i="1"/>
  <c r="T3840" i="1"/>
  <c r="T3839" i="1"/>
  <c r="T3838" i="1"/>
  <c r="T3837" i="1"/>
  <c r="T3836" i="1"/>
  <c r="T3835" i="1"/>
  <c r="T3834" i="1"/>
  <c r="T3833" i="1"/>
  <c r="T3832" i="1"/>
  <c r="T3831" i="1"/>
  <c r="T3830" i="1"/>
  <c r="T3829" i="1"/>
  <c r="T3828" i="1"/>
  <c r="T3827" i="1"/>
  <c r="T3826" i="1"/>
  <c r="T3825" i="1"/>
  <c r="T3823" i="1"/>
  <c r="T3822" i="1"/>
  <c r="T3821" i="1"/>
  <c r="T3820" i="1"/>
  <c r="T3817" i="1"/>
  <c r="T3816" i="1"/>
  <c r="T3815" i="1"/>
  <c r="T3814" i="1"/>
  <c r="T3813" i="1"/>
  <c r="T3811" i="1"/>
  <c r="T3810" i="1"/>
  <c r="T3809" i="1"/>
  <c r="T3808" i="1"/>
  <c r="T3807" i="1"/>
  <c r="T3806" i="1"/>
  <c r="T3805" i="1"/>
  <c r="T3804" i="1"/>
  <c r="T3803" i="1"/>
  <c r="T3802" i="1"/>
  <c r="T3801" i="1"/>
  <c r="T3800" i="1"/>
  <c r="T3799" i="1"/>
  <c r="T3798" i="1"/>
  <c r="T3797" i="1"/>
  <c r="T3796" i="1"/>
  <c r="T3795" i="1"/>
  <c r="T3794" i="1"/>
  <c r="T3793" i="1"/>
  <c r="T3792" i="1"/>
  <c r="T3791" i="1"/>
  <c r="T3790" i="1"/>
  <c r="T3789" i="1"/>
  <c r="T3788" i="1"/>
  <c r="T3787" i="1"/>
  <c r="T3786" i="1"/>
  <c r="T3785" i="1"/>
  <c r="T3784" i="1"/>
  <c r="T3783" i="1"/>
  <c r="T3782" i="1"/>
  <c r="T3781" i="1"/>
  <c r="T3780" i="1"/>
  <c r="T3779" i="1"/>
  <c r="T3778" i="1"/>
  <c r="T3777" i="1"/>
  <c r="T3776" i="1"/>
  <c r="T3775" i="1"/>
  <c r="T3774" i="1"/>
  <c r="T3773" i="1"/>
  <c r="T3772" i="1"/>
  <c r="T3771" i="1"/>
  <c r="T3770" i="1"/>
  <c r="T3769" i="1"/>
  <c r="T3768" i="1"/>
  <c r="T3767" i="1"/>
  <c r="T3766" i="1"/>
  <c r="T3765" i="1"/>
  <c r="T3764" i="1"/>
  <c r="T3763" i="1"/>
  <c r="T3762" i="1"/>
  <c r="T3761" i="1"/>
  <c r="T3760" i="1"/>
  <c r="T3759" i="1"/>
  <c r="T3758" i="1"/>
  <c r="T3757" i="1"/>
  <c r="T3756" i="1"/>
  <c r="T3755" i="1"/>
  <c r="T3754" i="1"/>
  <c r="T3753" i="1"/>
  <c r="T3752" i="1"/>
  <c r="T3751" i="1"/>
  <c r="T3750" i="1"/>
  <c r="T3749" i="1"/>
  <c r="T3748" i="1"/>
  <c r="T3747" i="1"/>
  <c r="T3746" i="1"/>
  <c r="T3745" i="1"/>
  <c r="T3744" i="1"/>
  <c r="T3743" i="1"/>
  <c r="T3742" i="1"/>
  <c r="T3741" i="1"/>
  <c r="T3740" i="1"/>
  <c r="T3739" i="1"/>
  <c r="T3738" i="1"/>
  <c r="T3737" i="1"/>
  <c r="T3736" i="1"/>
  <c r="T3735" i="1"/>
  <c r="T3734" i="1"/>
  <c r="T3733" i="1"/>
  <c r="T3732" i="1"/>
  <c r="T3731" i="1"/>
  <c r="T3730" i="1"/>
  <c r="T3729" i="1"/>
  <c r="T3728" i="1"/>
  <c r="T3727" i="1"/>
  <c r="T3726" i="1"/>
  <c r="T3725" i="1"/>
  <c r="T3724" i="1"/>
  <c r="T3723" i="1"/>
  <c r="T3722" i="1"/>
  <c r="T3721" i="1"/>
  <c r="T3720" i="1"/>
  <c r="T3719" i="1"/>
  <c r="T3718" i="1"/>
  <c r="T3717" i="1"/>
  <c r="T3716" i="1"/>
  <c r="T3715" i="1"/>
  <c r="T3714" i="1"/>
  <c r="T3713" i="1"/>
  <c r="T3712" i="1"/>
  <c r="T3711" i="1"/>
  <c r="T3710" i="1"/>
  <c r="T3709" i="1"/>
  <c r="T3708" i="1"/>
  <c r="T3707" i="1"/>
  <c r="T3706" i="1"/>
  <c r="T3705" i="1"/>
  <c r="T3704" i="1"/>
  <c r="T3703" i="1"/>
  <c r="T3702" i="1"/>
  <c r="T3701" i="1"/>
  <c r="T3700" i="1"/>
  <c r="T3699" i="1"/>
  <c r="T3698" i="1"/>
  <c r="T3697" i="1"/>
  <c r="T3696" i="1"/>
  <c r="T3695" i="1"/>
  <c r="T3694" i="1"/>
  <c r="T3693" i="1"/>
  <c r="T3691" i="1"/>
  <c r="T3690" i="1"/>
  <c r="T3689" i="1"/>
  <c r="T3688" i="1"/>
  <c r="T3687" i="1"/>
  <c r="T3685" i="1"/>
  <c r="T3684" i="1"/>
  <c r="T3683" i="1"/>
  <c r="T3682" i="1"/>
  <c r="T3681" i="1"/>
  <c r="T3680" i="1"/>
  <c r="T3679" i="1"/>
  <c r="T3677" i="1"/>
  <c r="T3676" i="1"/>
  <c r="T3675" i="1"/>
  <c r="T3673" i="1"/>
  <c r="T3672" i="1"/>
  <c r="T3671" i="1"/>
  <c r="T3670" i="1"/>
  <c r="T3669" i="1"/>
  <c r="T3668" i="1"/>
  <c r="T3667" i="1"/>
  <c r="T3666" i="1"/>
  <c r="T3665" i="1"/>
  <c r="T3664" i="1"/>
  <c r="T3663" i="1"/>
  <c r="T3662" i="1"/>
  <c r="T3661" i="1"/>
  <c r="T3660" i="1"/>
  <c r="T3659" i="1"/>
  <c r="T3658" i="1"/>
  <c r="T3657" i="1"/>
  <c r="T3656" i="1"/>
  <c r="T3655" i="1"/>
  <c r="T3654" i="1"/>
  <c r="T3653" i="1"/>
  <c r="T3651" i="1"/>
  <c r="T3650" i="1"/>
  <c r="T3649" i="1"/>
  <c r="T3648" i="1"/>
  <c r="T3647" i="1"/>
  <c r="T3646" i="1"/>
  <c r="T3645" i="1"/>
  <c r="T3643" i="1"/>
  <c r="T3642" i="1"/>
  <c r="T3641" i="1"/>
  <c r="T3639" i="1"/>
  <c r="T3637" i="1"/>
  <c r="T3636" i="1"/>
  <c r="T3634" i="1"/>
  <c r="T3633" i="1"/>
  <c r="T3631" i="1"/>
  <c r="T3630" i="1"/>
  <c r="T3629" i="1"/>
  <c r="T3628" i="1"/>
  <c r="T3627" i="1"/>
  <c r="T3624" i="1"/>
  <c r="T3622" i="1"/>
  <c r="T3621" i="1"/>
  <c r="T3620" i="1"/>
  <c r="T3619" i="1"/>
  <c r="T3616" i="1"/>
  <c r="T3615" i="1"/>
  <c r="T3614" i="1"/>
  <c r="T3613" i="1"/>
  <c r="T3612" i="1"/>
  <c r="T3611" i="1"/>
  <c r="T3610" i="1"/>
  <c r="T3609" i="1"/>
  <c r="T3608" i="1"/>
  <c r="T3607" i="1"/>
  <c r="T3606" i="1"/>
  <c r="T3605" i="1"/>
  <c r="T3604" i="1"/>
  <c r="T3602" i="1"/>
  <c r="T3601" i="1"/>
  <c r="T3600" i="1"/>
  <c r="T3597" i="1"/>
  <c r="T3596" i="1"/>
  <c r="T3595" i="1"/>
  <c r="T3594" i="1"/>
  <c r="T3593" i="1"/>
  <c r="T3592" i="1"/>
  <c r="T3591" i="1"/>
  <c r="T3589" i="1"/>
  <c r="T3567" i="1"/>
  <c r="T3497" i="1"/>
  <c r="T3464" i="1"/>
  <c r="T3451" i="1"/>
  <c r="T3417" i="1"/>
  <c r="T3405" i="1"/>
  <c r="T3366" i="1"/>
  <c r="T3363" i="1"/>
  <c r="T3354" i="1"/>
  <c r="T3344" i="1"/>
  <c r="T3335" i="1"/>
  <c r="T3327" i="1"/>
  <c r="T3321" i="1"/>
  <c r="T3307" i="1"/>
  <c r="T3293" i="1"/>
  <c r="T3292" i="1"/>
  <c r="T3291" i="1"/>
  <c r="T3290" i="1"/>
  <c r="T3274" i="1"/>
  <c r="T3273" i="1"/>
  <c r="T3251" i="1"/>
  <c r="T3250" i="1"/>
  <c r="T3249" i="1"/>
  <c r="T3182" i="1"/>
  <c r="T3172" i="1"/>
  <c r="T3171" i="1"/>
  <c r="T3170" i="1"/>
  <c r="T3149" i="1"/>
  <c r="T3143" i="1"/>
  <c r="T3115" i="1"/>
  <c r="T3114" i="1"/>
  <c r="T3068" i="1"/>
  <c r="T3067" i="1"/>
  <c r="T3063" i="1"/>
  <c r="T3055" i="1"/>
  <c r="T3051" i="1"/>
  <c r="T3045" i="1"/>
  <c r="T3038" i="1"/>
  <c r="T3011" i="1"/>
  <c r="T2991" i="1"/>
  <c r="T2987" i="1"/>
  <c r="T2981" i="1"/>
  <c r="T2932" i="1"/>
  <c r="T2931" i="1"/>
  <c r="T2925" i="1"/>
  <c r="T2913" i="1"/>
  <c r="T2889" i="1"/>
  <c r="T2872" i="1"/>
  <c r="T2866" i="1"/>
  <c r="T2865" i="1"/>
  <c r="T2825" i="1"/>
  <c r="T2795" i="1"/>
  <c r="T2794" i="1"/>
  <c r="T2783" i="1"/>
  <c r="T2779" i="1"/>
  <c r="T2761" i="1"/>
  <c r="T2720" i="1"/>
  <c r="T2701" i="1"/>
  <c r="T2671" i="1"/>
  <c r="T2652" i="1"/>
  <c r="T2651" i="1"/>
  <c r="T2597" i="1"/>
  <c r="T2579" i="1"/>
  <c r="T2562" i="1"/>
  <c r="T2561" i="1"/>
  <c r="T2511" i="1"/>
  <c r="T2497" i="1"/>
  <c r="T2485" i="1"/>
  <c r="T2475" i="1"/>
  <c r="T2472" i="1"/>
  <c r="T2463" i="1"/>
  <c r="T2395" i="1"/>
  <c r="T2394" i="1"/>
  <c r="T2366" i="1"/>
  <c r="T2360" i="1"/>
  <c r="T2352" i="1"/>
  <c r="T2338" i="1"/>
  <c r="T2302" i="1"/>
  <c r="T2295" i="1"/>
  <c r="T2288" i="1"/>
  <c r="T2286" i="1"/>
  <c r="T2285" i="1"/>
  <c r="T2284" i="1"/>
  <c r="T2245" i="1"/>
  <c r="T2244" i="1"/>
  <c r="T2243" i="1"/>
  <c r="T2242" i="1"/>
  <c r="T2241" i="1"/>
  <c r="T2176" i="1"/>
  <c r="T2173" i="1"/>
  <c r="T2169" i="1"/>
  <c r="T2168" i="1"/>
  <c r="T2167" i="1"/>
  <c r="T2166" i="1"/>
  <c r="T2165" i="1"/>
  <c r="T2164" i="1"/>
  <c r="T2163" i="1"/>
  <c r="T2162" i="1"/>
  <c r="T2161" i="1"/>
  <c r="T2160" i="1"/>
  <c r="T2159" i="1"/>
  <c r="T2158" i="1"/>
  <c r="T2121" i="1"/>
  <c r="T2107" i="1"/>
  <c r="T2087" i="1"/>
  <c r="T2072" i="1"/>
  <c r="T2064" i="1"/>
  <c r="T2054" i="1"/>
  <c r="T2049" i="1"/>
  <c r="T2040" i="1"/>
  <c r="T2028" i="1"/>
  <c r="T2027" i="1"/>
  <c r="T2026" i="1"/>
  <c r="T2025" i="1"/>
  <c r="T2023" i="1"/>
  <c r="T2022" i="1"/>
  <c r="T2019" i="1"/>
  <c r="T2016" i="1"/>
  <c r="T2015" i="1"/>
  <c r="T2014" i="1"/>
  <c r="T2012" i="1"/>
  <c r="T2008" i="1"/>
  <c r="T2007" i="1"/>
  <c r="T2006" i="1"/>
  <c r="T2005" i="1"/>
  <c r="T2000" i="1"/>
  <c r="T1998" i="1"/>
  <c r="T1994" i="1"/>
  <c r="T1993" i="1"/>
  <c r="T1992" i="1"/>
  <c r="T1991" i="1"/>
  <c r="T1966" i="1"/>
  <c r="T1963" i="1"/>
  <c r="T1962" i="1"/>
  <c r="T1960" i="1"/>
  <c r="T1953" i="1"/>
  <c r="T1943" i="1"/>
  <c r="T1942" i="1"/>
  <c r="T1940" i="1"/>
  <c r="T1939" i="1"/>
  <c r="T1938" i="1"/>
  <c r="T1937" i="1"/>
  <c r="T1936" i="1"/>
  <c r="T1934" i="1"/>
  <c r="T1921" i="1"/>
  <c r="T1919" i="1"/>
  <c r="T1918" i="1"/>
  <c r="T1917" i="1"/>
  <c r="T1916" i="1"/>
  <c r="T1900" i="1"/>
  <c r="T1899" i="1"/>
  <c r="T1898" i="1"/>
  <c r="T1897" i="1"/>
  <c r="T1896" i="1"/>
  <c r="T1884" i="1"/>
  <c r="T1883" i="1"/>
  <c r="T1882" i="1"/>
  <c r="T1879" i="1"/>
  <c r="T1878" i="1"/>
  <c r="T1877" i="1"/>
  <c r="T1865" i="1"/>
  <c r="T1864" i="1"/>
  <c r="T1863" i="1"/>
  <c r="T1862" i="1"/>
  <c r="T1861" i="1"/>
  <c r="T1845" i="1"/>
  <c r="T1844" i="1"/>
  <c r="T1842" i="1"/>
  <c r="T1840" i="1"/>
  <c r="T1830" i="1"/>
  <c r="T1829" i="1"/>
  <c r="T1827" i="1"/>
  <c r="T1821" i="1"/>
  <c r="T1820" i="1"/>
  <c r="T1819" i="1"/>
  <c r="T1818" i="1"/>
  <c r="T1817" i="1"/>
  <c r="T1810" i="1"/>
  <c r="T1808" i="1"/>
  <c r="T1806" i="1"/>
  <c r="T1798" i="1"/>
  <c r="T1796" i="1"/>
  <c r="T1795" i="1"/>
  <c r="T1789" i="1"/>
  <c r="T1788" i="1"/>
  <c r="T1781" i="1"/>
  <c r="T1780" i="1"/>
  <c r="T1779" i="1"/>
  <c r="T1778" i="1"/>
  <c r="T1762" i="1"/>
  <c r="T1761" i="1"/>
  <c r="T1759" i="1"/>
  <c r="T1747" i="1"/>
  <c r="T1746" i="1"/>
  <c r="T1742" i="1"/>
  <c r="T1730" i="1"/>
  <c r="T1729" i="1"/>
  <c r="T1724" i="1"/>
  <c r="T1723" i="1"/>
  <c r="T1713" i="1"/>
  <c r="T1710" i="1"/>
  <c r="T1690" i="1"/>
  <c r="T1689" i="1"/>
  <c r="T1686" i="1"/>
  <c r="T1672" i="1"/>
  <c r="T1671" i="1"/>
  <c r="T1670" i="1"/>
  <c r="T1669" i="1"/>
  <c r="T1666" i="1"/>
  <c r="T1662" i="1"/>
  <c r="T1657" i="1"/>
  <c r="T1650" i="1"/>
  <c r="T1646" i="1"/>
  <c r="T1645" i="1"/>
  <c r="T1636" i="1"/>
  <c r="T1634" i="1"/>
  <c r="T1633" i="1"/>
  <c r="T1632" i="1"/>
  <c r="T1630" i="1"/>
  <c r="T1629" i="1"/>
  <c r="T1617" i="1"/>
  <c r="T1596" i="1"/>
  <c r="T1588" i="1"/>
  <c r="T1587" i="1"/>
  <c r="T1578" i="1"/>
  <c r="T1562" i="1"/>
  <c r="T1542" i="1"/>
  <c r="T1508" i="1"/>
  <c r="T1485" i="1"/>
  <c r="T1443" i="1"/>
  <c r="T1404" i="1"/>
  <c r="T1400" i="1"/>
  <c r="T1391" i="1"/>
  <c r="T1388" i="1"/>
  <c r="T1387" i="1"/>
  <c r="T1365" i="1"/>
  <c r="T1361" i="1"/>
  <c r="T1352" i="1"/>
  <c r="T1347" i="1"/>
  <c r="T1298" i="1"/>
  <c r="T1277" i="1"/>
  <c r="T1238" i="1"/>
  <c r="T1235" i="1"/>
  <c r="T1230" i="1"/>
  <c r="T1211" i="1"/>
  <c r="T1200" i="1"/>
  <c r="T1184" i="1"/>
  <c r="T1175" i="1"/>
  <c r="T1168" i="1"/>
  <c r="T1131" i="1"/>
  <c r="T1126" i="1"/>
  <c r="T1111" i="1"/>
  <c r="T919" i="1"/>
  <c r="T915" i="1"/>
  <c r="T913" i="1"/>
  <c r="T910" i="1"/>
  <c r="T906" i="1"/>
  <c r="T904" i="1"/>
  <c r="T903" i="1"/>
  <c r="T900" i="1"/>
  <c r="T899" i="1"/>
  <c r="T891" i="1"/>
  <c r="T886" i="1"/>
  <c r="T885" i="1"/>
  <c r="T843" i="1"/>
  <c r="T840" i="1"/>
  <c r="T838" i="1"/>
  <c r="T834" i="1"/>
  <c r="T832" i="1"/>
  <c r="T830" i="1"/>
  <c r="T820" i="1"/>
  <c r="T818" i="1"/>
  <c r="T815" i="1"/>
  <c r="T813" i="1"/>
  <c r="T812" i="1"/>
  <c r="T810" i="1"/>
  <c r="T808" i="1"/>
  <c r="T807" i="1"/>
  <c r="T806" i="1"/>
  <c r="T802" i="1"/>
  <c r="T797" i="1"/>
  <c r="T795" i="1"/>
  <c r="T749" i="1"/>
  <c r="T748" i="1"/>
  <c r="T744" i="1"/>
  <c r="T743" i="1"/>
  <c r="T742" i="1"/>
  <c r="T740" i="1"/>
  <c r="T738" i="1"/>
  <c r="T736" i="1"/>
  <c r="T717" i="1"/>
  <c r="T707" i="1"/>
  <c r="T706" i="1"/>
  <c r="T705" i="1"/>
  <c r="T700" i="1"/>
  <c r="T698" i="1"/>
  <c r="T692" i="1"/>
  <c r="T690" i="1"/>
  <c r="T689" i="1"/>
  <c r="T686" i="1"/>
  <c r="T667" i="1"/>
  <c r="T665" i="1"/>
  <c r="T664" i="1"/>
  <c r="T658" i="1"/>
  <c r="T656" i="1"/>
  <c r="T615" i="1"/>
  <c r="T612" i="1"/>
  <c r="T610" i="1"/>
  <c r="T609" i="1"/>
  <c r="T608" i="1"/>
  <c r="T607" i="1"/>
  <c r="T606" i="1"/>
  <c r="T605" i="1"/>
  <c r="T604" i="1"/>
  <c r="T598" i="1"/>
  <c r="T589" i="1"/>
  <c r="T587" i="1"/>
  <c r="T582" i="1"/>
  <c r="T580" i="1"/>
  <c r="T578" i="1"/>
  <c r="T576" i="1"/>
  <c r="T574" i="1"/>
  <c r="T564" i="1"/>
  <c r="T560" i="1"/>
  <c r="T559" i="1"/>
  <c r="T556" i="1"/>
  <c r="T553" i="1"/>
  <c r="T540" i="1"/>
  <c r="T538" i="1"/>
  <c r="T535" i="1"/>
  <c r="T534" i="1"/>
  <c r="T524" i="1"/>
  <c r="T519" i="1"/>
  <c r="T510" i="1"/>
  <c r="T508" i="1"/>
  <c r="T504" i="1"/>
  <c r="T501" i="1"/>
  <c r="T482" i="1"/>
  <c r="T467" i="1"/>
  <c r="T448" i="1"/>
  <c r="T445" i="1"/>
  <c r="T434" i="1"/>
  <c r="T399" i="1"/>
  <c r="T397" i="1"/>
  <c r="T380" i="1"/>
  <c r="T345" i="1"/>
  <c r="T341" i="1"/>
  <c r="T335" i="1"/>
  <c r="T316" i="1"/>
  <c r="T307" i="1"/>
  <c r="T290" i="1"/>
  <c r="T289" i="1"/>
  <c r="T288" i="1"/>
  <c r="T283" i="1"/>
  <c r="T282" i="1"/>
  <c r="T281" i="1"/>
  <c r="T280" i="1"/>
  <c r="T279" i="1"/>
  <c r="T278" i="1"/>
  <c r="T277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57" i="1"/>
  <c r="T256" i="1"/>
  <c r="T254" i="1"/>
  <c r="T240" i="1"/>
  <c r="T232" i="1"/>
  <c r="T231" i="1"/>
  <c r="T219" i="1"/>
  <c r="T201" i="1"/>
  <c r="T195" i="1"/>
  <c r="T175" i="1"/>
  <c r="T165" i="1"/>
  <c r="T155" i="1"/>
  <c r="T145" i="1"/>
  <c r="T92" i="1"/>
  <c r="T83" i="1"/>
  <c r="T48" i="1"/>
  <c r="T47" i="1"/>
  <c r="T33" i="1"/>
  <c r="T28" i="1"/>
  <c r="T20" i="1"/>
  <c r="E3851" i="1"/>
  <c r="E3850" i="1"/>
  <c r="E3849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<sst xmlns="http://schemas.openxmlformats.org/spreadsheetml/2006/main" count="28636" uniqueCount="1812">
  <si>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</si>
  <si>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</si>
  <si>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</si>
  <si>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</si>
  <si>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</si>
  <si>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</si>
  <si>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</si>
  <si>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</si>
  <si>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</si>
  <si>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</si>
  <si>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</si>
  <si>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</si>
  <si>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</si>
  <si>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</si>
  <si>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</si>
  <si>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</si>
  <si>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</si>
  <si>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</si>
  <si>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</si>
  <si>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</si>
  <si>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</si>
  <si>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</si>
  <si>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</si>
  <si>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</si>
  <si>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</si>
  <si>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</si>
  <si>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</si>
  <si>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</si>
  <si>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</si>
  <si>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</si>
  <si>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</si>
  <si>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</si>
  <si>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</si>
  <si>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</si>
  <si>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</si>
  <si>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</si>
  <si>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</si>
  <si>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</si>
  <si>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</si>
  <si>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</si>
  <si>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</si>
  <si>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</si>
  <si>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</si>
  <si>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</si>
  <si>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</si>
  <si>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</si>
  <si>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</si>
  <si>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</si>
  <si>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</si>
  <si>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</si>
  <si>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</si>
  <si>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</si>
  <si>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</si>
  <si>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</si>
  <si>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</si>
  <si>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</si>
  <si>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</si>
  <si>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</si>
  <si>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</si>
  <si>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</si>
  <si>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</si>
  <si>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</si>
  <si>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</si>
  <si>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</si>
  <si>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</si>
  <si>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</si>
  <si>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</si>
  <si>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</si>
  <si>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</si>
  <si>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</si>
  <si>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</si>
  <si>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</si>
  <si>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</si>
  <si>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</si>
  <si>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</si>
  <si>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</si>
  <si>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</si>
  <si>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</si>
  <si>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</si>
  <si>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</si>
  <si>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</si>
  <si>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</si>
  <si>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</si>
  <si>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</si>
  <si>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</si>
  <si>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</si>
  <si>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</si>
  <si>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</si>
  <si>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</si>
  <si>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</si>
  <si>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</si>
  <si>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</si>
  <si>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</si>
  <si>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</si>
  <si>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</si>
  <si>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</si>
  <si>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</si>
  <si>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</si>
  <si>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</si>
  <si>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</si>
  <si>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</si>
  <si>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</si>
  <si>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</si>
  <si>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</si>
  <si>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</si>
  <si>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</si>
  <si>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</si>
  <si>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</si>
  <si>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</si>
  <si>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</si>
  <si>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</si>
  <si>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</si>
  <si>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</si>
  <si>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</si>
  <si>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</si>
  <si>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</si>
  <si>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</si>
  <si>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</si>
  <si>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</si>
  <si>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</si>
  <si>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</si>
  <si>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</si>
  <si>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</si>
  <si>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</si>
  <si>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</si>
  <si>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</si>
  <si>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</si>
  <si>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</si>
  <si>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</si>
  <si>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</si>
  <si>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</si>
  <si>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</si>
  <si>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</si>
  <si>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</si>
  <si>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</si>
  <si>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</si>
  <si>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</si>
  <si>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</si>
  <si>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</si>
  <si>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</si>
  <si>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</si>
  <si>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</si>
  <si>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</si>
  <si>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</si>
  <si>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</si>
  <si>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</si>
  <si>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</si>
  <si>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</si>
  <si>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</si>
  <si>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</si>
  <si>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</si>
  <si>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</si>
  <si>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</si>
  <si>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</si>
  <si>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</si>
  <si>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</si>
  <si>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</si>
  <si>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</si>
  <si>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</si>
  <si>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</si>
  <si>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</si>
  <si>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</si>
  <si>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</si>
  <si>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</si>
  <si>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</si>
  <si>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</si>
  <si>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</si>
  <si>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</si>
  <si>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</si>
  <si>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</si>
  <si>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</si>
  <si>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</si>
  <si>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</si>
  <si>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</si>
  <si>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</si>
  <si>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</si>
  <si>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</si>
  <si>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</si>
  <si>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</si>
  <si>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</si>
  <si>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</si>
  <si>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</si>
  <si>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</si>
  <si>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</si>
  <si>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</si>
  <si>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</si>
  <si>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</si>
  <si>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</si>
  <si>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</si>
  <si>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</si>
  <si>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</si>
  <si>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</si>
  <si>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</si>
  <si>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</si>
  <si>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</si>
  <si>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</si>
  <si>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</si>
  <si>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</si>
  <si>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</si>
  <si>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</si>
  <si>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</si>
  <si>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</si>
  <si>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</si>
  <si>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</si>
  <si>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</si>
  <si>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</si>
  <si>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</si>
  <si>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</si>
  <si>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</si>
  <si>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</si>
  <si>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</si>
  <si>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</si>
  <si>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</si>
  <si>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</si>
  <si>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</si>
  <si>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</si>
  <si>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</si>
  <si>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</si>
  <si>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</si>
  <si>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</si>
  <si>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</si>
  <si>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</si>
  <si>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</si>
  <si>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</si>
  <si>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</si>
  <si>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</si>
  <si>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</si>
  <si>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</si>
  <si>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</si>
  <si>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</si>
  <si>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</si>
  <si>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</si>
  <si>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</si>
  <si>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</si>
  <si>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</si>
  <si>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</si>
  <si>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</si>
  <si>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</si>
  <si>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</si>
  <si>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</si>
  <si>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</si>
  <si>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</si>
  <si>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</si>
  <si>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</si>
  <si>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</si>
  <si>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</si>
  <si>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</si>
  <si>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</si>
  <si>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</si>
  <si>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</si>
  <si>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</si>
  <si>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</si>
  <si>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</si>
  <si>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</si>
  <si>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</si>
  <si>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</si>
  <si>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</si>
  <si>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</si>
  <si>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</si>
  <si>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</si>
  <si>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</si>
  <si>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</si>
  <si>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</si>
  <si>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</si>
  <si>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</si>
  <si>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</si>
  <si>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</si>
  <si>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</si>
  <si>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</si>
  <si>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</si>
  <si>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</si>
  <si>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</si>
  <si>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</si>
  <si>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</si>
  <si>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</si>
  <si>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</si>
  <si>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</si>
  <si>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</si>
  <si>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</si>
  <si>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</si>
  <si>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</si>
  <si>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</si>
  <si>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</si>
  <si>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</si>
  <si>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</si>
  <si>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</si>
  <si>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</si>
  <si>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</si>
  <si>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</si>
  <si>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</si>
  <si>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</si>
  <si>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</si>
  <si>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</si>
  <si>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</si>
  <si>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</si>
  <si>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</si>
  <si>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</si>
  <si>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</si>
  <si>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</si>
  <si>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</si>
  <si>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</si>
  <si>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</si>
  <si>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</si>
  <si>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</si>
  <si>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</si>
  <si>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</si>
  <si>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</si>
  <si>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</si>
  <si>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</si>
  <si>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</si>
  <si>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</si>
  <si>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</si>
  <si>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</si>
  <si>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</si>
  <si>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</si>
  <si>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</si>
  <si>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</si>
  <si>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</si>
  <si>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</si>
  <si>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</si>
  <si>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</si>
  <si>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</si>
  <si>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</si>
  <si>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</si>
  <si>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</si>
  <si>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</si>
  <si>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</si>
  <si>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</si>
  <si>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</si>
  <si>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</si>
  <si>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</si>
  <si>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</si>
  <si>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</si>
  <si>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</si>
  <si>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</si>
  <si>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</si>
  <si>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</si>
  <si>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</si>
  <si>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</si>
  <si>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</si>
  <si>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</si>
  <si>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</si>
  <si>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</si>
  <si>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</si>
  <si>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</si>
  <si>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</si>
  <si>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</si>
  <si>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</si>
  <si>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</si>
  <si>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</si>
  <si>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</si>
  <si>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</si>
  <si>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</si>
  <si>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</si>
  <si>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</si>
  <si>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</si>
  <si>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</si>
  <si>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</si>
  <si>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</si>
  <si>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</si>
  <si>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</si>
  <si>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</si>
  <si>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</si>
  <si>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</si>
  <si>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</si>
  <si>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</si>
  <si>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</si>
  <si>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</si>
  <si>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</si>
  <si>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</si>
  <si>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</si>
  <si>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</si>
  <si>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</si>
  <si>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</si>
  <si>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</si>
  <si>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</si>
  <si>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</si>
  <si>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</si>
  <si>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</si>
  <si>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</si>
  <si>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</si>
  <si>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</si>
  <si>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</si>
  <si>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</si>
  <si>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</si>
  <si>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</si>
  <si>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</si>
  <si>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</si>
  <si>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</si>
  <si>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</si>
  <si>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</si>
  <si>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</si>
  <si>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</si>
  <si>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</si>
  <si>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</si>
  <si>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</si>
  <si>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</si>
  <si>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</si>
  <si>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</si>
  <si>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</si>
  <si>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</si>
  <si>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</si>
  <si>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</si>
  <si>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</si>
  <si>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</si>
  <si>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</si>
  <si>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</si>
  <si>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</si>
  <si>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</si>
  <si>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</si>
  <si>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</si>
  <si>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</si>
  <si>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</si>
  <si>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</si>
  <si>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</si>
  <si>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</si>
  <si>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</si>
  <si>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</si>
  <si>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</si>
  <si>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</si>
  <si>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</si>
  <si>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</si>
  <si>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</si>
  <si>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</si>
  <si>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</si>
  <si>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</si>
  <si>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</si>
  <si>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</si>
  <si>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</si>
  <si>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</si>
  <si>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</si>
  <si>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</si>
  <si>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</si>
  <si>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</si>
  <si>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</si>
  <si>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</si>
  <si>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</si>
  <si>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</si>
  <si>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</si>
  <si>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</si>
  <si>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</si>
  <si>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</si>
  <si>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</si>
  <si>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</si>
  <si>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</si>
  <si>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</si>
  <si>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</si>
  <si>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</si>
  <si>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</si>
  <si>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</si>
  <si>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</si>
  <si>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</si>
  <si>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</si>
  <si>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</si>
  <si>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</si>
  <si>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</si>
  <si>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</si>
  <si>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</si>
  <si>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</si>
  <si>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</si>
  <si>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</si>
  <si>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</si>
  <si>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</si>
  <si>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</si>
  <si>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</si>
  <si>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</si>
  <si>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</si>
  <si>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</si>
  <si>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</si>
  <si>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</si>
  <si>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</si>
  <si>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</si>
  <si>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</si>
  <si>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</si>
  <si>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</si>
  <si>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</si>
  <si>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</si>
  <si>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</si>
  <si>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</si>
  <si>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</si>
  <si>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</si>
  <si>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</si>
  <si>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</si>
  <si>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</si>
  <si>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</si>
  <si>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</si>
  <si>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</si>
  <si>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</si>
  <si>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</si>
  <si>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</si>
  <si>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</si>
  <si>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</si>
  <si>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</si>
  <si>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</si>
  <si>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</si>
  <si>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</si>
  <si>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</si>
  <si>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</si>
  <si>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</si>
  <si>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</si>
  <si>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</si>
  <si>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</si>
  <si>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</si>
  <si>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</si>
  <si>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</si>
  <si>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</si>
  <si>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</si>
  <si>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</si>
  <si>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</si>
  <si>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</si>
  <si>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</si>
  <si>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</si>
  <si>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</si>
  <si>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</si>
  <si>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</si>
  <si>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</si>
  <si>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</si>
  <si>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</si>
  <si>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</si>
  <si>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</si>
  <si>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</si>
  <si>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</si>
  <si>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</si>
  <si>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</si>
  <si>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</si>
  <si>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</si>
  <si>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</si>
  <si>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</si>
  <si>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</si>
  <si>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</si>
  <si>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</si>
  <si>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</si>
  <si>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</si>
  <si>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</si>
  <si>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</si>
  <si>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</si>
  <si>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</si>
  <si>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</si>
  <si>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</si>
  <si>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</si>
  <si>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</si>
  <si>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</si>
  <si>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</si>
  <si>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</si>
  <si>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</si>
  <si>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</si>
  <si>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</si>
  <si>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</si>
  <si>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</si>
  <si>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</si>
  <si>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</si>
  <si>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</si>
  <si>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</si>
  <si>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</si>
  <si>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</si>
  <si>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</si>
  <si>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</si>
  <si>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</si>
  <si>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</si>
  <si>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</si>
  <si>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</si>
  <si>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</si>
  <si>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</si>
  <si>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</si>
  <si>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</si>
  <si>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</si>
  <si>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</si>
  <si>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</si>
  <si>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</si>
  <si>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</si>
  <si>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</si>
  <si>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</si>
  <si>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</si>
  <si>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</si>
  <si>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</si>
  <si>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</si>
  <si>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</si>
  <si>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</si>
  <si>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</si>
  <si>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</si>
  <si>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</si>
  <si>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</si>
  <si>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</si>
  <si>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</si>
  <si>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</si>
  <si>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</si>
  <si>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</si>
  <si>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</si>
  <si>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</si>
  <si>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</si>
  <si>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</si>
  <si>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</si>
  <si>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</si>
  <si>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</si>
  <si>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</si>
  <si>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</si>
  <si>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</si>
  <si>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</si>
  <si>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</si>
  <si>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</si>
  <si>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</si>
  <si>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</si>
  <si>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</si>
  <si>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</si>
  <si>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</si>
  <si>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</si>
  <si>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</si>
  <si>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</si>
  <si>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</si>
  <si>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</si>
  <si>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</si>
  <si>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</si>
  <si>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</si>
  <si>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</si>
  <si>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</si>
  <si>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</si>
  <si>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</si>
  <si>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</si>
  <si>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</si>
  <si>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</si>
  <si>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</si>
  <si>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</si>
  <si>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</si>
  <si>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</si>
  <si>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</si>
  <si>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</si>
  <si>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</si>
  <si>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</si>
  <si>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</si>
  <si>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</si>
  <si>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</si>
  <si>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</si>
  <si>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</si>
  <si>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</si>
  <si>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</si>
  <si>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</si>
  <si>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</si>
  <si>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</si>
  <si>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</si>
  <si>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</si>
  <si>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</si>
  <si>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</si>
  <si>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</si>
  <si>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</si>
  <si>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</si>
  <si>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</si>
  <si>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</si>
  <si>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</si>
  <si>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</si>
  <si>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</si>
  <si>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</si>
  <si>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</si>
  <si>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</si>
  <si>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</si>
  <si>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</si>
  <si>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</si>
  <si>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</si>
  <si>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</si>
  <si>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</si>
  <si>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</si>
  <si>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</si>
  <si>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</si>
  <si>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</si>
  <si>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</si>
  <si>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</si>
  <si>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</si>
  <si>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</si>
  <si>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</si>
  <si>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</si>
  <si>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</si>
  <si>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</si>
  <si>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</si>
  <si>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</si>
  <si>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</si>
  <si>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</si>
  <si>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</si>
  <si>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</si>
  <si>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</si>
  <si>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</si>
  <si>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</si>
  <si>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</si>
  <si>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</si>
  <si>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</si>
  <si>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</si>
  <si>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</si>
  <si>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</si>
  <si>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</si>
  <si>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</si>
  <si>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</si>
  <si>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</si>
  <si>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</si>
  <si>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</si>
  <si>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</si>
  <si>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</si>
  <si>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</si>
  <si>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</si>
  <si>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</si>
  <si>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</si>
  <si>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</si>
  <si>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</si>
  <si>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</si>
  <si>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</si>
  <si>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</si>
  <si>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</si>
  <si>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</si>
  <si>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</si>
  <si>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</si>
  <si>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</si>
  <si>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</si>
  <si>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</si>
  <si>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</si>
  <si>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</si>
  <si>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</si>
  <si>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</si>
  <si>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</si>
  <si>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</si>
  <si>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</si>
  <si>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</si>
  <si>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</si>
  <si>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</si>
  <si>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</si>
  <si>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</si>
  <si>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</si>
  <si>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</si>
  <si>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</si>
  <si>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</si>
  <si>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</si>
  <si>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</si>
  <si>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</si>
  <si>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</si>
  <si>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</si>
  <si>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</si>
  <si>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</si>
  <si>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</si>
  <si>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</si>
  <si>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</si>
  <si>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</si>
  <si>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</si>
  <si>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</si>
  <si>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</si>
  <si>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</si>
  <si>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</si>
  <si>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</si>
  <si>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</si>
  <si>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</si>
  <si>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</si>
  <si>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</si>
  <si>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</si>
  <si>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</si>
  <si>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</si>
  <si>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</si>
  <si>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</si>
  <si>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</si>
  <si>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</si>
  <si>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</si>
  <si>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</si>
  <si>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</si>
  <si>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</si>
  <si>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</si>
  <si>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</si>
  <si>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</si>
  <si>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</si>
  <si>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</si>
  <si>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</si>
  <si>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</si>
  <si>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</si>
  <si>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</si>
  <si>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</si>
  <si>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</si>
  <si>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</si>
  <si>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</si>
  <si>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</si>
  <si>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</si>
  <si>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</si>
  <si>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</si>
  <si>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</si>
  <si>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</si>
  <si>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</si>
  <si>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</si>
  <si>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</si>
  <si>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</si>
  <si>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</si>
  <si>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</si>
  <si>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</si>
  <si>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</si>
  <si>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</si>
  <si>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</si>
  <si>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</si>
  <si>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</si>
  <si>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</si>
  <si>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</si>
  <si>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</si>
  <si>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</si>
  <si>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</si>
  <si>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</si>
  <si>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</si>
  <si>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</si>
  <si>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</si>
  <si>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</si>
  <si>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</si>
  <si>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</si>
  <si>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</si>
  <si>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</si>
  <si>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</si>
  <si>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</si>
  <si>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</si>
  <si>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</si>
  <si>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</si>
  <si>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</si>
  <si>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</si>
  <si>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</si>
  <si>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</si>
  <si>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</si>
  <si>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</si>
  <si>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</si>
  <si>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</si>
  <si>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</si>
  <si>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</si>
  <si>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</si>
  <si>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</si>
  <si>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</si>
  <si>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</si>
  <si>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</si>
  <si>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</si>
  <si>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</si>
  <si>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</si>
  <si>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</si>
  <si>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</si>
  <si>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</si>
  <si>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</si>
  <si>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</si>
  <si>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</si>
  <si>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</si>
  <si>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</si>
  <si>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</si>
  <si>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</si>
  <si>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</si>
  <si>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</si>
  <si>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</si>
  <si>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</si>
  <si>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</si>
  <si>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</si>
  <si>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</si>
  <si>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</si>
  <si>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</si>
  <si>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</si>
  <si>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</si>
  <si>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</si>
  <si>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</si>
  <si>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</si>
  <si>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</si>
  <si>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</si>
  <si>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</si>
  <si>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</si>
  <si>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</si>
  <si>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</si>
  <si>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</si>
  <si>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</si>
  <si>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</si>
  <si>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</si>
  <si>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</si>
  <si>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</si>
  <si>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</si>
  <si>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</si>
  <si>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</si>
  <si>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</si>
  <si>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</si>
  <si>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</si>
  <si>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</si>
  <si>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</si>
  <si>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</si>
  <si>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</si>
  <si>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</si>
  <si>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</si>
  <si>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</si>
  <si>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</si>
  <si>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</si>
  <si>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</si>
  <si>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</si>
  <si>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</si>
  <si>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</si>
  <si>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</si>
  <si>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</si>
  <si>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</si>
  <si>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</si>
  <si>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</si>
  <si>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</si>
  <si>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</si>
  <si>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</si>
  <si>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</si>
  <si>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</si>
  <si>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</si>
  <si>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</si>
  <si>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</si>
  <si>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</si>
  <si>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</si>
  <si>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</si>
  <si>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</si>
  <si>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</si>
  <si>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</si>
  <si>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</si>
  <si>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</si>
  <si>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</si>
  <si>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</si>
  <si>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</si>
  <si>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</si>
  <si>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</si>
  <si>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</si>
  <si>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</si>
  <si>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</si>
  <si>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</si>
  <si>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</si>
  <si>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</si>
  <si>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</si>
  <si>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</si>
  <si>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</si>
  <si>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</si>
  <si>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</si>
  <si>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</si>
  <si>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</si>
  <si>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</si>
  <si>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</si>
  <si>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</si>
  <si>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</si>
  <si>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</si>
  <si>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</si>
  <si>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</si>
  <si>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</si>
  <si>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</si>
  <si>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</si>
  <si>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</si>
  <si>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</si>
  <si>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</si>
  <si>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</si>
  <si>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</si>
  <si>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</si>
  <si>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</si>
  <si>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</si>
  <si>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</si>
  <si>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</si>
  <si>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</si>
  <si>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</si>
  <si>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</si>
  <si>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</si>
  <si>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</si>
  <si>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</si>
  <si>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</si>
  <si>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</si>
  <si>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</si>
  <si>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</si>
  <si>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</si>
  <si>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</si>
  <si>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</si>
  <si>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</si>
  <si>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</si>
  <si>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</si>
  <si>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</si>
  <si>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</si>
  <si>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</si>
  <si>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</si>
  <si>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</si>
  <si>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</si>
  <si>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</si>
  <si>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</si>
  <si>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</si>
  <si>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</si>
  <si>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</si>
  <si>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</si>
  <si>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</si>
  <si>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</si>
  <si>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</si>
  <si>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</si>
  <si>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</si>
  <si>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</si>
  <si>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</si>
  <si>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</si>
  <si>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</si>
  <si>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</si>
  <si>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</si>
  <si>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</si>
  <si>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</si>
  <si>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</si>
  <si>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</si>
  <si>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</si>
  <si>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</si>
  <si>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</si>
  <si>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</si>
  <si>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</si>
  <si>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</si>
  <si>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</si>
  <si>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</si>
  <si>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</si>
  <si>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</si>
  <si>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</si>
  <si>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</si>
  <si>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</si>
  <si>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</si>
  <si>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</si>
  <si>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</si>
  <si>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</si>
  <si>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</si>
  <si>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</si>
  <si>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</si>
  <si>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</si>
  <si>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</si>
  <si>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</si>
  <si>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</si>
  <si>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</si>
  <si>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</si>
  <si>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</si>
  <si>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</si>
  <si>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</si>
  <si>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</si>
  <si>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</si>
  <si>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</si>
  <si>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</si>
  <si>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</si>
  <si>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</si>
  <si>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</si>
  <si>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</si>
  <si>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</si>
  <si>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</si>
  <si>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</si>
  <si>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</si>
  <si>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</si>
  <si>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</si>
  <si>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</si>
  <si>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</si>
  <si>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</si>
  <si>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</si>
  <si>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</si>
  <si>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</si>
  <si>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</si>
  <si>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</si>
  <si>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</si>
  <si>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</si>
  <si>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</si>
  <si>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</si>
  <si>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</si>
  <si>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</si>
  <si>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</si>
  <si>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</si>
  <si>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</si>
  <si>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</si>
  <si>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</si>
  <si>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</si>
  <si>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</si>
  <si>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</si>
  <si>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</si>
  <si>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</si>
  <si>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</si>
  <si>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</si>
  <si>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</si>
  <si>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</si>
  <si>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</si>
  <si>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</si>
  <si>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</si>
  <si>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</si>
  <si>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</si>
  <si>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</si>
  <si>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</si>
  <si>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</si>
  <si>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</si>
  <si>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</si>
  <si>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</si>
  <si>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</si>
  <si>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</si>
  <si>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</si>
  <si>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</si>
  <si>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</si>
  <si>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</si>
  <si>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</si>
  <si>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</si>
  <si>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</si>
  <si>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</si>
  <si>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</si>
  <si>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</si>
  <si>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</si>
  <si>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</si>
  <si>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</si>
  <si>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</si>
  <si>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</si>
  <si>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</si>
  <si>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</si>
  <si>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</si>
  <si>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</si>
  <si>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</si>
  <si>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</si>
  <si>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</si>
  <si>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</si>
  <si>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</si>
  <si>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</si>
  <si>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</si>
  <si>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</si>
  <si>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</si>
  <si>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</si>
  <si>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</si>
  <si>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</si>
  <si>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</si>
  <si>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</si>
  <si>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</si>
  <si>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</si>
  <si>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</si>
  <si>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</si>
  <si>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</si>
  <si>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</si>
  <si>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</si>
  <si>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</si>
  <si>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</si>
  <si>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</si>
  <si>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</si>
  <si>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</si>
  <si>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</si>
  <si>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</si>
  <si>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</si>
  <si>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</si>
  <si>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</si>
  <si>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</si>
  <si>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</si>
  <si>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</si>
  <si>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</si>
  <si>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</si>
  <si>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</si>
  <si>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</si>
  <si>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</si>
  <si>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</si>
  <si>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</si>
  <si>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</si>
  <si>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</si>
  <si>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</si>
  <si>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</si>
  <si>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</si>
  <si>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</si>
  <si>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</si>
  <si>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</si>
  <si>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</si>
  <si>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</si>
  <si>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</si>
  <si>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</si>
  <si>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</si>
  <si>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</si>
  <si>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</si>
  <si>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</si>
  <si>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</si>
  <si>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</si>
  <si>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</si>
  <si>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</si>
  <si>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</si>
  <si>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</si>
  <si>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</si>
  <si>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</si>
  <si>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</si>
  <si>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</si>
  <si>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</si>
  <si>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</si>
  <si>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</si>
  <si>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</si>
  <si>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</si>
  <si>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</si>
  <si>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</si>
  <si>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</si>
  <si>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</si>
  <si>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</si>
  <si>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</si>
  <si>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</si>
  <si>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</si>
  <si>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</si>
  <si>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</si>
  <si>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</si>
  <si>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</si>
  <si>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</si>
  <si>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</si>
  <si>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</si>
  <si>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</si>
  <si>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</si>
  <si>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</si>
  <si>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</si>
  <si>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</si>
  <si>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</si>
  <si>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</si>
  <si>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</si>
  <si>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</si>
  <si>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</si>
  <si>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</si>
  <si>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</si>
  <si>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</si>
  <si>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</si>
  <si>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</si>
  <si>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</si>
  <si>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</si>
  <si>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</si>
  <si>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</si>
  <si>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</si>
  <si>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</si>
  <si>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</si>
  <si>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</si>
  <si>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</si>
  <si>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</si>
  <si>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</si>
  <si>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</si>
  <si>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</si>
  <si>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</si>
  <si>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</si>
  <si>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</si>
  <si>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</si>
  <si>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</si>
  <si>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</si>
  <si>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</si>
  <si>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</si>
  <si>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</si>
  <si>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</si>
  <si>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</si>
  <si>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</si>
  <si>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</si>
  <si>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</si>
  <si>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</si>
  <si>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</si>
  <si>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</si>
  <si>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</si>
  <si>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</si>
  <si>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</si>
  <si>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</si>
  <si>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</si>
  <si>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</si>
  <si>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</si>
  <si>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</si>
  <si>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</si>
  <si>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</si>
  <si>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</si>
  <si>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</si>
  <si>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</si>
  <si>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</si>
  <si>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</si>
  <si>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</si>
  <si>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</si>
  <si>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</si>
  <si>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</si>
  <si>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</si>
  <si>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</si>
  <si>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</si>
  <si>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</si>
  <si>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</si>
  <si>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</si>
  <si>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</si>
  <si>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</si>
  <si>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</si>
  <si>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</si>
  <si>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</si>
  <si>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</si>
  <si>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</si>
  <si>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</si>
  <si>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</si>
  <si>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</si>
  <si>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</si>
  <si>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</si>
  <si>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</si>
  <si>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</si>
  <si>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</si>
  <si>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</si>
  <si>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</si>
  <si>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</si>
  <si>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</si>
  <si>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</si>
  <si>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</si>
  <si>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</si>
  <si>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</si>
  <si>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</si>
  <si>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</si>
  <si>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</si>
  <si>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</si>
  <si>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</si>
  <si>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</si>
  <si>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</si>
  <si>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</si>
  <si>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</si>
  <si>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</si>
  <si>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</si>
  <si>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</si>
  <si>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</si>
  <si>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</si>
  <si>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</si>
  <si>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</si>
  <si>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</si>
  <si>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</si>
  <si>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</si>
  <si>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</si>
  <si>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</si>
  <si>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</si>
  <si>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</si>
  <si>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</si>
  <si>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</si>
  <si>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</si>
  <si>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</si>
  <si>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</si>
  <si>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</si>
  <si>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</si>
  <si>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</si>
  <si>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</si>
  <si>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</si>
  <si>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</si>
  <si>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</si>
  <si>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</si>
  <si>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</si>
  <si>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</si>
  <si>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</si>
  <si>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</si>
  <si>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</si>
  <si>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</si>
  <si>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</si>
  <si>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</si>
  <si>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</si>
  <si>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</si>
  <si>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</si>
  <si>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</si>
  <si>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</si>
  <si>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</si>
  <si>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</si>
  <si>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</si>
  <si>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</si>
  <si>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</si>
  <si>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</si>
  <si>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</si>
  <si>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</si>
  <si>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</si>
  <si>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</si>
  <si>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</si>
  <si>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</si>
  <si>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</si>
  <si>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</si>
  <si>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</si>
  <si>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</si>
  <si>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</si>
  <si>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</si>
  <si>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</si>
  <si>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</si>
  <si>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</si>
  <si>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</si>
  <si>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</si>
  <si>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</si>
  <si>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</si>
  <si>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</si>
  <si>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</si>
  <si>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</si>
  <si>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</si>
  <si>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</si>
  <si>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</si>
  <si>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</si>
  <si>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</si>
  <si>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</si>
  <si>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</si>
  <si>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</si>
  <si>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</si>
  <si>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</si>
  <si>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</si>
  <si>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</si>
  <si>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</si>
  <si>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</si>
  <si>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</si>
  <si>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</si>
  <si>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</si>
  <si>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</si>
  <si>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</si>
  <si>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</si>
  <si>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</si>
  <si>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</si>
  <si>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</si>
  <si>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</si>
  <si>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</si>
  <si>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</si>
  <si>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</si>
  <si>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</si>
  <si>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</si>
  <si>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</si>
  <si>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</si>
  <si>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</si>
  <si>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</si>
  <si>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</si>
  <si>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</si>
  <si>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</si>
  <si>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</si>
  <si>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</si>
  <si>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</si>
  <si>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</si>
  <si>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</si>
  <si>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</si>
  <si>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</si>
  <si>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</si>
  <si>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</si>
  <si>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</si>
  <si>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</si>
  <si>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</si>
  <si>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</si>
  <si>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</si>
  <si>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</si>
  <si>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</si>
  <si>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</si>
  <si>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</si>
  <si>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</si>
  <si>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</si>
  <si>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</si>
  <si>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</si>
  <si>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</si>
  <si>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</si>
  <si>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</si>
  <si>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</si>
  <si>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</si>
  <si>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</si>
  <si>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</si>
  <si>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</si>
  <si>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</si>
  <si>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</si>
  <si>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</si>
  <si>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</si>
  <si>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</si>
  <si>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</si>
  <si>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</si>
  <si>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</si>
  <si>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</si>
  <si>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</si>
  <si>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</si>
  <si>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</si>
  <si>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</si>
  <si>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</si>
  <si>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</si>
  <si>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</si>
  <si>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</si>
  <si>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</si>
  <si>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</si>
  <si>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</si>
  <si>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</si>
  <si>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</si>
  <si>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</si>
  <si>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</si>
  <si>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</si>
  <si>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</si>
  <si>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</si>
  <si>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</si>
  <si>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</si>
  <si>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</si>
  <si>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</si>
  <si>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</si>
  <si>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</si>
  <si>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</si>
  <si>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</si>
  <si>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</si>
  <si>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</si>
  <si>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</si>
  <si>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</si>
  <si>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</si>
  <si>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</si>
  <si>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</si>
  <si>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</si>
  <si>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</si>
  <si>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</si>
  <si>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</si>
  <si>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</si>
  <si>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</si>
  <si>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</si>
  <si>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</si>
  <si>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</si>
  <si>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</si>
  <si>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</si>
  <si>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</si>
  <si>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</si>
  <si>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</si>
  <si>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</si>
  <si>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</si>
  <si>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</si>
  <si>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</si>
  <si>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</si>
  <si>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</si>
  <si>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</si>
  <si>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</si>
  <si>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</si>
  <si>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</si>
  <si>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</si>
  <si>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</si>
  <si>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</si>
  <si>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</si>
  <si>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</si>
  <si>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</si>
  <si>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</si>
  <si>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</si>
  <si>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</si>
  <si>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</si>
  <si>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</si>
  <si>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</si>
  <si>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</si>
  <si>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</si>
  <si>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</si>
  <si>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</si>
  <si>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</si>
  <si>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</si>
  <si>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</si>
  <si>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</si>
  <si>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</si>
  <si>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</si>
  <si>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</si>
  <si>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</si>
  <si>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</si>
  <si>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</si>
  <si>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</si>
  <si>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</si>
  <si>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</si>
  <si>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</si>
  <si>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</si>
  <si>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</si>
  <si>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</si>
  <si>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</si>
  <si>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</si>
  <si>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</si>
  <si>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</si>
  <si>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</si>
  <si>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</si>
  <si>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</si>
  <si>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</si>
  <si>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</si>
  <si>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</si>
  <si>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</si>
  <si>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</si>
  <si>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</si>
  <si>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</si>
  <si>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</si>
  <si>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</si>
  <si>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</si>
  <si>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</si>
  <si>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</si>
  <si>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</si>
  <si>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</si>
  <si>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</si>
  <si>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</si>
  <si>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</si>
  <si>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</si>
  <si>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</si>
  <si>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</si>
  <si>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</si>
  <si>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</si>
  <si>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</si>
  <si>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</si>
  <si>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</si>
  <si>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</si>
  <si>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</si>
  <si>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</si>
  <si>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</si>
  <si>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</si>
  <si>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</si>
  <si>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</si>
  <si>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</si>
  <si>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</si>
  <si>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</si>
  <si>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</si>
  <si>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</si>
  <si>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</si>
  <si>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</si>
  <si>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</si>
  <si>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</si>
  <si>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</si>
  <si>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</si>
  <si>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</si>
  <si>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</si>
  <si>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</si>
  <si>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</si>
  <si>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</si>
  <si>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</si>
  <si>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</si>
  <si>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</si>
  <si>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</si>
  <si>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</si>
  <si>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</si>
  <si>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</si>
  <si>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</si>
  <si>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</si>
  <si>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</si>
  <si>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</si>
  <si>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</si>
  <si>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</si>
  <si>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</si>
  <si>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</si>
  <si>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</si>
  <si>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</si>
  <si>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</si>
  <si>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</si>
  <si>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</si>
  <si>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</si>
  <si>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</si>
  <si>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</si>
  <si>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</si>
  <si>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</si>
  <si>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</si>
  <si>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</si>
  <si>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</si>
  <si>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</si>
  <si>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</si>
  <si>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</si>
  <si>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</si>
  <si>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</si>
  <si>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</si>
  <si>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</si>
  <si>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</si>
  <si>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</si>
  <si>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</si>
  <si>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</si>
  <si>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</si>
  <si>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</si>
  <si>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</si>
  <si>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</si>
  <si>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</si>
  <si>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</si>
  <si>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</si>
  <si>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</si>
  <si>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</si>
  <si>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</si>
  <si>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</si>
  <si>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</si>
  <si>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</si>
  <si>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</si>
  <si>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</si>
  <si>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</si>
  <si>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</si>
  <si>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</si>
  <si>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</si>
  <si>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</si>
  <si>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</si>
  <si>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</si>
  <si>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</si>
  <si>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</si>
  <si>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</si>
  <si>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</si>
  <si>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</si>
  <si>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</si>
  <si>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</si>
  <si>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</si>
  <si>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</si>
  <si>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</si>
  <si>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</si>
  <si>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</si>
  <si>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</si>
  <si>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</si>
  <si>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</si>
  <si>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</si>
  <si>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</si>
  <si>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</si>
  <si>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</si>
  <si>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</si>
  <si>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</si>
  <si>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</si>
  <si>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</si>
  <si>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</si>
  <si>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</si>
  <si>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</si>
  <si>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</si>
  <si>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</si>
  <si>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</si>
  <si>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</si>
  <si>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</si>
  <si>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</si>
  <si>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</si>
  <si>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</si>
  <si>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</si>
  <si>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</si>
  <si>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</si>
  <si>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</si>
  <si>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</si>
  <si>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</si>
  <si>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</si>
  <si>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</si>
  <si>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</si>
  <si>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</si>
  <si>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</si>
  <si>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</si>
  <si>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</si>
  <si>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</si>
  <si>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</si>
  <si>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</si>
  <si>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</si>
  <si>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</si>
  <si>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</si>
  <si>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</si>
  <si>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</si>
  <si>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</si>
  <si>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</si>
  <si>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</si>
  <si>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</si>
  <si>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</si>
  <si>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</si>
  <si>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</si>
  <si>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</si>
  <si>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</si>
  <si>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</si>
  <si>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</si>
  <si>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</si>
  <si>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</si>
  <si>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</si>
  <si>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</si>
  <si>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</si>
  <si>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</si>
  <si>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</si>
  <si>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</si>
  <si>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</si>
  <si>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</si>
  <si>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</si>
  <si>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</si>
  <si>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</si>
  <si>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</si>
  <si>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</si>
  <si>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</si>
  <si>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</si>
  <si>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</si>
  <si>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</si>
  <si>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</si>
  <si>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</si>
  <si>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</si>
  <si>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</si>
  <si>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</si>
  <si>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</si>
  <si>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</si>
  <si>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</si>
  <si>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</si>
  <si>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</si>
  <si>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</si>
  <si>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</si>
  <si>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</si>
  <si>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</si>
  <si>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</si>
  <si>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</si>
  <si>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</si>
  <si>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</si>
  <si>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</si>
  <si>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</si>
  <si>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</si>
  <si>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</si>
  <si>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</si>
  <si>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</si>
  <si>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</si>
  <si>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</si>
  <si>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</si>
  <si>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</si>
  <si>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</si>
  <si>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</si>
  <si>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</si>
  <si>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</si>
  <si>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</si>
  <si>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</si>
  <si>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</si>
  <si>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</si>
  <si>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</si>
  <si>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</si>
  <si>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</si>
  <si>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</si>
  <si>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</si>
  <si>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</si>
  <si>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</si>
  <si>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</si>
  <si>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</si>
  <si>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</si>
  <si>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</si>
  <si>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</si>
  <si>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</si>
  <si>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</si>
  <si>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</si>
  <si>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</si>
  <si>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</si>
  <si>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</si>
  <si>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</si>
  <si>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</si>
  <si>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</si>
  <si>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</si>
  <si>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</si>
  <si>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</si>
  <si>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</si>
  <si>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</si>
  <si>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</si>
  <si>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</si>
  <si>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</si>
  <si>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</si>
  <si>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</si>
  <si>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</si>
  <si>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</si>
  <si>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</si>
  <si>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</si>
  <si>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</si>
  <si>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</si>
  <si>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</si>
  <si>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</si>
  <si>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</si>
  <si>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</si>
  <si>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</si>
  <si>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</si>
  <si>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</si>
  <si>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</si>
  <si>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</si>
  <si>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</si>
  <si>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</si>
  <si>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</si>
  <si>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</si>
  <si>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</si>
  <si>
    <t>COMERCIAL ATACADISTA NECHIO LTD</t>
  </si>
  <si>
    <t>IBAC INDUSTRIA BRASILEIRA DE ALIM C</t>
  </si>
  <si>
    <t>GABHELO GASTRONOMIA ARTEIRA LTDA</t>
  </si>
  <si>
    <t>CVS COM ALIMENTOS E SERV CARTOES EI</t>
  </si>
  <si>
    <t>PREMIER ALIMENTOS LTDA</t>
  </si>
  <si>
    <t>FAST NUTRI CON COM DE PROD NAT S A</t>
  </si>
  <si>
    <t>AUGURI SORVETES EIRELI</t>
  </si>
  <si>
    <t>VAM REFEICOES E EVENTOS LTDA</t>
  </si>
  <si>
    <t>CARMEN CARNEIRO RESTAURANTE LTDA</t>
  </si>
  <si>
    <t>SL CEREAIS E ALIMENTOS LTDA</t>
  </si>
  <si>
    <t>CENTER COMERCIO DE EMBALAGENS LTDA</t>
  </si>
  <si>
    <t>ROMEU E JULIETARCEARIA LTDA</t>
  </si>
  <si>
    <t>FELICITA COM DE ALIMENTOS E BEBIDAS LTDA</t>
  </si>
  <si>
    <t>ALEGRO ALIMENTOS LTDA EPP</t>
  </si>
  <si>
    <t>D P DOS SANTOS CAFETERIA</t>
  </si>
  <si>
    <t>DANBO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</si>
</sst>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Relationship Id="rId1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061585585\AppData\Local\Microsoft\Olk\Attachments\ooa-0547cff6-cc88-49e3-a1c4-1385f4f5f33f\3103bfb37255177c70aaf57c3c9a934db8fd62c1fb910de4ef71a87111087fc3\bebab4461e390c42e308d121f760f72fd5db7b6f492560c3f309f2a7e40.xlsb?C87DDE52?C87DDE52" TargetMode="External"/><Relationship Id="rId1" Type="http://schemas.openxmlformats.org/officeDocument/2006/relationships/externalLinkPath" Target="file:///\\C87DDE52\bebab4461e390c42e308d121f760f72fd5db7b6f492560c3f309f2a7e40.xlsb%3fC87DDE52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061585585\Downloads\FORECAST%2030.10.2026.xlsx" TargetMode="External"/><Relationship Id="rId1" Type="http://schemas.openxmlformats.org/officeDocument/2006/relationships/externalLinkPath" Target="file:///C:\Users\061585585\Downloads\FORECAST%2030.10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CLIENTES"/>
    </sheetNames>
    <sheetDataSet>
      <sheetData sheetId="0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ARA FOOD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RENTE"/>
      <sheetName val="COORDENAÇÃO"/>
      <sheetName val="FORECAST + PREVISÃO MARGEM"/>
      <sheetName val="FORECAST"/>
      <sheetName val="BASE MC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G1" zoomScaleNormal="100" workbookViewId="0">
      <selection activeCell="T2" sqref="T2:T4075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384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504</v>
      </c>
      <c r="R6" s="14">
        <v>0</v>
      </c>
      <c r="S6" s="14">
        <v>504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22913.52</v>
      </c>
      <c r="R8" s="14">
        <v>0</v>
      </c>
      <c r="S8" s="14">
        <v>22913.52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-166.4</v>
      </c>
      <c r="R14" s="14">
        <v>0</v>
      </c>
      <c r="S14" s="14">
        <v>-166.4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200</v>
      </c>
      <c r="R16" s="14">
        <v>0</v>
      </c>
      <c r="S16" s="14">
        <v>200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200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 t="e">
        <f>VLOOKUP(H20,'[3]BASE MC'!J:P,7,0)</f>
        <v>#N/A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2355</v>
      </c>
      <c r="R28" s="14">
        <v>0</v>
      </c>
      <c r="S28" s="14">
        <v>2355</v>
      </c>
      <c r="T28" s="13" t="e">
        <f>VLOOKUP(H28,'[3]BASE MC'!J:P,7,0)</f>
        <v>#N/A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0</v>
      </c>
      <c r="R32" s="14">
        <v>0</v>
      </c>
      <c r="S32" s="14">
        <v>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4000</v>
      </c>
      <c r="R33" s="14">
        <v>0</v>
      </c>
      <c r="S33" s="14">
        <v>4000</v>
      </c>
      <c r="T33" s="13" t="e">
        <f>VLOOKUP(H33,'[3]BASE MC'!J:P,7,0)</f>
        <v>#N/A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25</v>
      </c>
      <c r="R40" s="14">
        <v>0</v>
      </c>
      <c r="S40" s="14">
        <v>25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500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 t="e">
        <f>VLOOKUP(H47,'[3]BASE MC'!J:P,7,0)</f>
        <v>#N/A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1025</v>
      </c>
      <c r="R48" s="14">
        <v>0</v>
      </c>
      <c r="S48" s="14">
        <v>2875</v>
      </c>
      <c r="T48" s="13" t="e">
        <f>VLOOKUP(H48,'[3]BASE MC'!J:P,7,0)</f>
        <v>#N/A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43.2</v>
      </c>
      <c r="R50" s="14">
        <v>0</v>
      </c>
      <c r="S50" s="14">
        <v>43.2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209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400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2175</v>
      </c>
      <c r="R61" s="14">
        <v>0</v>
      </c>
      <c r="S61" s="14">
        <v>4000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24000</v>
      </c>
      <c r="R62" s="14">
        <v>0</v>
      </c>
      <c r="S62" s="14">
        <v>48000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363.6</v>
      </c>
      <c r="R64" s="14">
        <v>0</v>
      </c>
      <c r="S64" s="14">
        <v>363.6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22000</v>
      </c>
      <c r="R65" s="14">
        <v>0</v>
      </c>
      <c r="S65" s="14">
        <v>24000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47903.345000000001</v>
      </c>
      <c r="R66" s="14">
        <v>0</v>
      </c>
      <c r="S66" s="14">
        <v>47903.345000000001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1720</v>
      </c>
      <c r="R67" s="14">
        <v>0</v>
      </c>
      <c r="S67" s="14">
        <v>1720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 t="e">
        <f>VLOOKUP(H83,'[3]BASE MC'!J:P,7,0)</f>
        <v>#N/A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50000</v>
      </c>
      <c r="R92" s="14">
        <v>0</v>
      </c>
      <c r="S92" s="14">
        <v>50000</v>
      </c>
      <c r="T92" s="13" t="e">
        <f>VLOOKUP(H92,'[3]BASE MC'!J:P,7,0)</f>
        <v>#N/A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980</v>
      </c>
      <c r="R94" s="14">
        <v>0</v>
      </c>
      <c r="S94" s="14">
        <v>980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71000</v>
      </c>
      <c r="R121" s="14">
        <v>0</v>
      </c>
      <c r="S121" s="14">
        <v>71000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12000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1100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46975</v>
      </c>
      <c r="R135" s="14">
        <v>0</v>
      </c>
      <c r="S135" s="14">
        <v>46975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73440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988800</v>
      </c>
      <c r="R137" s="14">
        <v>0</v>
      </c>
      <c r="S137" s="14">
        <v>988800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1680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388800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1530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 t="e">
        <f>VLOOKUP(H145,'[3]BASE MC'!J:P,7,0)</f>
        <v>#N/A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2650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3000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0</v>
      </c>
      <c r="T155" s="13" t="e">
        <f>VLOOKUP(H155,'[3]BASE MC'!J:P,7,0)</f>
        <v>#N/A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2175</v>
      </c>
      <c r="R156" s="14">
        <v>0</v>
      </c>
      <c r="S156" s="14">
        <v>2175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250</v>
      </c>
      <c r="R158" s="14">
        <v>0</v>
      </c>
      <c r="S158" s="14">
        <v>250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200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2500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 t="e">
        <f>VLOOKUP(H165,'[3]BASE MC'!J:P,7,0)</f>
        <v>#N/A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406.08</v>
      </c>
      <c r="R167" s="14">
        <v>0</v>
      </c>
      <c r="S167" s="14">
        <v>406.08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2000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 t="e">
        <f>VLOOKUP(H175,'[3]BASE MC'!J:P,7,0)</f>
        <v>#N/A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1008</v>
      </c>
      <c r="R182" s="14">
        <v>0</v>
      </c>
      <c r="S182" s="14">
        <v>1008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204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835.2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1313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1620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554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 t="e">
        <f>VLOOKUP(H195,'[3]BASE MC'!J:P,7,0)</f>
        <v>#N/A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263.16000000000003</v>
      </c>
      <c r="R200" s="14">
        <v>0</v>
      </c>
      <c r="S200" s="14">
        <v>1263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150</v>
      </c>
      <c r="T201" s="13" t="e">
        <f>VLOOKUP(H201,'[3]BASE MC'!J:P,7,0)</f>
        <v>#N/A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220</v>
      </c>
      <c r="R208" s="14">
        <v>0</v>
      </c>
      <c r="S208" s="14">
        <v>220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3440</v>
      </c>
      <c r="R211" s="14">
        <v>0</v>
      </c>
      <c r="S211" s="14">
        <v>7080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1551.36</v>
      </c>
      <c r="R213" s="14">
        <v>0</v>
      </c>
      <c r="S213" s="14">
        <v>1551.36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 t="e">
        <f>VLOOKUP(H219,'[3]BASE MC'!J:P,7,0)</f>
        <v>#N/A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500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242.4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300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 t="e">
        <f>VLOOKUP(H231,'[3]BASE MC'!J:P,7,0)</f>
        <v>#N/A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 t="e">
        <f>VLOOKUP(H232,'[3]BASE MC'!J:P,7,0)</f>
        <v>#N/A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100</v>
      </c>
      <c r="T240" s="13" t="e">
        <f>VLOOKUP(H240,'[3]BASE MC'!J:P,7,0)</f>
        <v>#N/A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396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12</v>
      </c>
      <c r="R247" s="14">
        <v>0</v>
      </c>
      <c r="S247" s="14">
        <v>12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28.44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9</v>
      </c>
      <c r="R249" s="14">
        <v>0</v>
      </c>
      <c r="S249" s="14">
        <v>9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240</v>
      </c>
      <c r="R250" s="14">
        <v>0</v>
      </c>
      <c r="S250" s="14">
        <v>240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28.8</v>
      </c>
      <c r="R251" s="14">
        <v>0</v>
      </c>
      <c r="S251" s="14">
        <v>28.8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150</v>
      </c>
      <c r="R254" s="14">
        <v>0</v>
      </c>
      <c r="S254" s="14">
        <v>150</v>
      </c>
      <c r="T254" s="13" t="e">
        <f>VLOOKUP(H254,'[3]BASE MC'!J:P,7,0)</f>
        <v>#N/A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1162.8</v>
      </c>
      <c r="R255" s="14">
        <v>0</v>
      </c>
      <c r="S255" s="14">
        <v>1162.8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 t="e">
        <f>VLOOKUP(H256,'[3]BASE MC'!J:P,7,0)</f>
        <v>#N/A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 t="e">
        <f>VLOOKUP(H257,'[3]BASE MC'!J:P,7,0)</f>
        <v>#N/A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461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318000</v>
      </c>
      <c r="R260" s="14">
        <v>0</v>
      </c>
      <c r="S260" s="14">
        <v>397560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1152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30</v>
      </c>
      <c r="R263" s="14">
        <v>0</v>
      </c>
      <c r="S263" s="14">
        <v>30</v>
      </c>
      <c r="T263" s="13" t="e">
        <f>VLOOKUP(H263,'[3]BASE MC'!J:P,7,0)</f>
        <v>#N/A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 t="e">
        <f>VLOOKUP(H264,'[3]BASE MC'!J:P,7,0)</f>
        <v>#N/A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 t="e">
        <f>VLOOKUP(H265,'[3]BASE MC'!J:P,7,0)</f>
        <v>#N/A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60</v>
      </c>
      <c r="T266" s="13" t="e">
        <f>VLOOKUP(H266,'[3]BASE MC'!J:P,7,0)</f>
        <v>#N/A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140</v>
      </c>
      <c r="T267" s="13" t="e">
        <f>VLOOKUP(H267,'[3]BASE MC'!J:P,7,0)</f>
        <v>#N/A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 t="e">
        <f>VLOOKUP(H268,'[3]BASE MC'!J:P,7,0)</f>
        <v>#N/A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 t="e">
        <f>VLOOKUP(H269,'[3]BASE MC'!J:P,7,0)</f>
        <v>#N/A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 t="e">
        <f>VLOOKUP(H270,'[3]BASE MC'!J:P,7,0)</f>
        <v>#N/A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 t="e">
        <f>VLOOKUP(H271,'[3]BASE MC'!J:P,7,0)</f>
        <v>#N/A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 t="e">
        <f>VLOOKUP(H272,'[3]BASE MC'!J:P,7,0)</f>
        <v>#N/A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110</v>
      </c>
      <c r="T273" s="13" t="e">
        <f>VLOOKUP(H273,'[3]BASE MC'!J:P,7,0)</f>
        <v>#N/A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 t="e">
        <f>VLOOKUP(H274,'[3]BASE MC'!J:P,7,0)</f>
        <v>#N/A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70</v>
      </c>
      <c r="T275" s="13" t="e">
        <f>VLOOKUP(H275,'[3]BASE MC'!J:P,7,0)</f>
        <v>#N/A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 t="e">
        <f>VLOOKUP(H277,'[3]BASE MC'!J:P,7,0)</f>
        <v>#N/A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 t="e">
        <f>VLOOKUP(H278,'[3]BASE MC'!J:P,7,0)</f>
        <v>#N/A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 t="e">
        <f>VLOOKUP(H279,'[3]BASE MC'!J:P,7,0)</f>
        <v>#N/A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 t="e">
        <f>VLOOKUP(H280,'[3]BASE MC'!J:P,7,0)</f>
        <v>#N/A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 t="e">
        <f>VLOOKUP(H281,'[3]BASE MC'!J:P,7,0)</f>
        <v>#N/A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 t="e">
        <f>VLOOKUP(H282,'[3]BASE MC'!J:P,7,0)</f>
        <v>#N/A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 t="e">
        <f>VLOOKUP(H283,'[3]BASE MC'!J:P,7,0)</f>
        <v>#N/A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 t="e">
        <f>VLOOKUP(H288,'[3]BASE MC'!J:P,7,0)</f>
        <v>#N/A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 t="e">
        <f>VLOOKUP(H289,'[3]BASE MC'!J:P,7,0)</f>
        <v>#N/A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 t="e">
        <f>VLOOKUP(H290,'[3]BASE MC'!J:P,7,0)</f>
        <v>#N/A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17.28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241.92</v>
      </c>
      <c r="R301" s="14">
        <v>0</v>
      </c>
      <c r="S301" s="14">
        <v>363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825.59999999999991</v>
      </c>
      <c r="R302" s="14">
        <v>0</v>
      </c>
      <c r="S302" s="14">
        <v>1200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1700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2937.6</v>
      </c>
      <c r="R304" s="14">
        <v>0</v>
      </c>
      <c r="S304" s="14">
        <v>3400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1135.2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1850</v>
      </c>
      <c r="R306" s="14">
        <v>0</v>
      </c>
      <c r="S306" s="14">
        <v>1850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 t="e">
        <f>VLOOKUP(H307,'[3]BASE MC'!J:P,7,0)</f>
        <v>#N/A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426.24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1400</v>
      </c>
      <c r="R310" s="14">
        <v>0</v>
      </c>
      <c r="S310" s="14">
        <v>1400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2316</v>
      </c>
      <c r="R311" s="14">
        <v>0</v>
      </c>
      <c r="S311" s="14">
        <v>2800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1760</v>
      </c>
      <c r="R313" s="14">
        <v>0</v>
      </c>
      <c r="S313" s="14">
        <v>1760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4326.84</v>
      </c>
      <c r="R314" s="14">
        <v>0</v>
      </c>
      <c r="S314" s="14">
        <v>4327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 t="e">
        <f>VLOOKUP(H316,'[3]BASE MC'!J:P,7,0)</f>
        <v>#N/A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5880</v>
      </c>
      <c r="R317" s="14">
        <v>0</v>
      </c>
      <c r="S317" s="14">
        <v>5880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387.84000000000003</v>
      </c>
      <c r="R323" s="14">
        <v>0</v>
      </c>
      <c r="S323" s="14">
        <v>582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912.6</v>
      </c>
      <c r="R324" s="14">
        <v>0</v>
      </c>
      <c r="S324" s="14">
        <v>1080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280.8</v>
      </c>
      <c r="R325" s="14">
        <v>0</v>
      </c>
      <c r="S325" s="14">
        <v>280.8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4.5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24480</v>
      </c>
      <c r="R327" s="14">
        <v>0</v>
      </c>
      <c r="S327" s="14">
        <v>48960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691.2</v>
      </c>
      <c r="R328" s="14">
        <v>0</v>
      </c>
      <c r="S328" s="14">
        <v>800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479.88</v>
      </c>
      <c r="R329" s="14">
        <v>0</v>
      </c>
      <c r="S329" s="14">
        <v>479.88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3100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12240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 t="e">
        <f>VLOOKUP(H335,'[3]BASE MC'!J:P,7,0)</f>
        <v>#N/A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24121.344000000001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 t="e">
        <f>VLOOKUP(H341,'[3]BASE MC'!J:P,7,0)</f>
        <v>#N/A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14256</v>
      </c>
      <c r="R344" s="14">
        <v>0</v>
      </c>
      <c r="S344" s="14">
        <v>14256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 t="e">
        <f>VLOOKUP(H345,'[3]BASE MC'!J:P,7,0)</f>
        <v>#N/A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4409.88</v>
      </c>
      <c r="R346" s="14">
        <v>0</v>
      </c>
      <c r="S346" s="14">
        <v>4409.88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53220</v>
      </c>
      <c r="R347" s="14">
        <v>0</v>
      </c>
      <c r="S347" s="14">
        <v>53220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50.36</v>
      </c>
      <c r="R348" s="14">
        <v>0</v>
      </c>
      <c r="S348" s="14">
        <v>50.36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26880</v>
      </c>
      <c r="R349" s="14">
        <v>0</v>
      </c>
      <c r="S349" s="14">
        <v>26880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83270</v>
      </c>
      <c r="R350" s="14">
        <v>0</v>
      </c>
      <c r="S350" s="14">
        <v>83270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48160.3</v>
      </c>
      <c r="R351" s="14">
        <v>0</v>
      </c>
      <c r="S351" s="14">
        <v>48160.3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1700</v>
      </c>
      <c r="R352" s="14">
        <v>0</v>
      </c>
      <c r="S352" s="14">
        <v>1700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10140</v>
      </c>
      <c r="R353" s="14">
        <v>0</v>
      </c>
      <c r="S353" s="14">
        <v>17690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0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15521.36</v>
      </c>
      <c r="R356" s="14">
        <v>0</v>
      </c>
      <c r="S356" s="14">
        <v>15521.36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3649.2</v>
      </c>
      <c r="R357" s="14">
        <v>0</v>
      </c>
      <c r="S357" s="14">
        <v>3773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840</v>
      </c>
      <c r="R359" s="14">
        <v>0</v>
      </c>
      <c r="S359" s="14">
        <v>840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0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8362.7999999999993</v>
      </c>
      <c r="R361" s="14">
        <v>0</v>
      </c>
      <c r="S361" s="14">
        <v>11452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675</v>
      </c>
      <c r="R364" s="14">
        <v>0</v>
      </c>
      <c r="S364" s="14">
        <v>2000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1808.3999999999999</v>
      </c>
      <c r="R365" s="14">
        <v>0</v>
      </c>
      <c r="S365" s="14">
        <v>11323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972</v>
      </c>
      <c r="R366" s="14">
        <v>0</v>
      </c>
      <c r="S366" s="14">
        <v>1760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385.79999999999995</v>
      </c>
      <c r="R367" s="14">
        <v>0</v>
      </c>
      <c r="S367" s="14">
        <v>8908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1225</v>
      </c>
      <c r="R368" s="14">
        <v>0</v>
      </c>
      <c r="S368" s="14">
        <v>2000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690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8908.880000000001</v>
      </c>
      <c r="R370" s="14">
        <v>0</v>
      </c>
      <c r="S370" s="14">
        <v>15000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1440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12</v>
      </c>
      <c r="R374" s="14">
        <v>0</v>
      </c>
      <c r="S374" s="14">
        <v>12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9.4</v>
      </c>
      <c r="R376" s="14">
        <v>0</v>
      </c>
      <c r="S376" s="14">
        <v>9.4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2750</v>
      </c>
      <c r="R380" s="14">
        <v>0</v>
      </c>
      <c r="S380" s="14">
        <v>2750</v>
      </c>
      <c r="T380" s="13" t="e">
        <f>VLOOKUP(H380,'[3]BASE MC'!J:P,7,0)</f>
        <v>#N/A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0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2500</v>
      </c>
      <c r="R383" s="14">
        <v>0</v>
      </c>
      <c r="S383" s="14">
        <v>2500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0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804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0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1551.36</v>
      </c>
      <c r="R389" s="14">
        <v>0</v>
      </c>
      <c r="S389" s="14">
        <v>1551.36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25480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348</v>
      </c>
      <c r="R391" s="14">
        <v>0</v>
      </c>
      <c r="S391" s="14">
        <v>348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1272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0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1700</v>
      </c>
      <c r="R397" s="14">
        <v>0</v>
      </c>
      <c r="S397" s="14">
        <v>1700</v>
      </c>
      <c r="T397" s="13" t="e">
        <f>VLOOKUP(H397,'[3]BASE MC'!J:P,7,0)</f>
        <v>#N/A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24</v>
      </c>
      <c r="R398" s="14">
        <v>0</v>
      </c>
      <c r="S398" s="14">
        <v>24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1530</v>
      </c>
      <c r="T399" s="13" t="e">
        <f>VLOOKUP(H399,'[3]BASE MC'!J:P,7,0)</f>
        <v>#N/A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1138.2</v>
      </c>
      <c r="R400" s="14">
        <v>0</v>
      </c>
      <c r="S400" s="14">
        <v>1138.2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89.6</v>
      </c>
      <c r="R401" s="14">
        <v>0</v>
      </c>
      <c r="S401" s="14">
        <v>89.6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240</v>
      </c>
      <c r="R403" s="14">
        <v>0</v>
      </c>
      <c r="S403" s="14">
        <v>240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3</v>
      </c>
      <c r="R404" s="14">
        <v>0</v>
      </c>
      <c r="S404" s="14">
        <v>3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2000</v>
      </c>
      <c r="R405" s="14">
        <v>0</v>
      </c>
      <c r="S405" s="14">
        <v>2000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54.2</v>
      </c>
      <c r="R406" s="14">
        <v>0</v>
      </c>
      <c r="S406" s="14">
        <v>54.2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885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569.64</v>
      </c>
      <c r="R408" s="14">
        <v>0</v>
      </c>
      <c r="S408" s="14">
        <v>569.64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2470</v>
      </c>
      <c r="R409" s="14">
        <v>0</v>
      </c>
      <c r="S409" s="14">
        <v>5309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950</v>
      </c>
      <c r="R412" s="14">
        <v>0</v>
      </c>
      <c r="S412" s="14">
        <v>1500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1073.2800000000002</v>
      </c>
      <c r="R413" s="14">
        <v>0</v>
      </c>
      <c r="S413" s="14">
        <v>1112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0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0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0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4782.3999999999996</v>
      </c>
      <c r="R417" s="14">
        <v>0</v>
      </c>
      <c r="S417" s="14">
        <v>4782.3999999999996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741</v>
      </c>
      <c r="R419" s="14">
        <v>0</v>
      </c>
      <c r="S419" s="14">
        <v>741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400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4096.5600000000004</v>
      </c>
      <c r="R423" s="14">
        <v>0</v>
      </c>
      <c r="S423" s="14">
        <v>4097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700</v>
      </c>
      <c r="R424" s="14">
        <v>0</v>
      </c>
      <c r="S424" s="14">
        <v>700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2570</v>
      </c>
      <c r="R426" s="14">
        <v>0</v>
      </c>
      <c r="S426" s="14">
        <v>3440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38.4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0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0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691.2</v>
      </c>
      <c r="R433" s="14">
        <v>0</v>
      </c>
      <c r="S433" s="14">
        <v>691.2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 t="e">
        <f>VLOOKUP(H434,'[3]BASE MC'!J:P,7,0)</f>
        <v>#N/A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47.34</v>
      </c>
      <c r="R435" s="14">
        <v>0</v>
      </c>
      <c r="S435" s="14">
        <v>47.34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602.88</v>
      </c>
      <c r="R436" s="14">
        <v>0</v>
      </c>
      <c r="S436" s="14">
        <v>602.88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75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53.4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953.32500000000005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209.28</v>
      </c>
      <c r="R442" s="14">
        <v>0</v>
      </c>
      <c r="S442" s="14">
        <v>209.28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500</v>
      </c>
      <c r="T445" s="13" t="e">
        <f>VLOOKUP(H445,'[3]BASE MC'!J:P,7,0)</f>
        <v>#N/A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1080</v>
      </c>
      <c r="R446" s="14">
        <v>0</v>
      </c>
      <c r="S446" s="14">
        <v>1080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1820</v>
      </c>
      <c r="R448" s="14">
        <v>0</v>
      </c>
      <c r="S448" s="14">
        <v>1825</v>
      </c>
      <c r="T448" s="13" t="e">
        <f>VLOOKUP(H448,'[3]BASE MC'!J:P,7,0)</f>
        <v>#N/A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500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48</v>
      </c>
      <c r="R450" s="14">
        <v>0</v>
      </c>
      <c r="S450" s="14">
        <v>48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260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0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0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0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0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0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180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192</v>
      </c>
      <c r="R461" s="14">
        <v>0</v>
      </c>
      <c r="S461" s="14">
        <v>192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910</v>
      </c>
      <c r="R462" s="14">
        <v>0</v>
      </c>
      <c r="S462" s="14">
        <v>910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318.11500000000001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6472.8</v>
      </c>
      <c r="R465" s="14">
        <v>0</v>
      </c>
      <c r="S465" s="14">
        <v>6472.8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1800</v>
      </c>
      <c r="R467" s="14">
        <v>0</v>
      </c>
      <c r="S467" s="14">
        <v>2000</v>
      </c>
      <c r="T467" s="13" t="e">
        <f>VLOOKUP(H467,'[3]BASE MC'!J:P,7,0)</f>
        <v>#N/A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0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26.88</v>
      </c>
      <c r="R469" s="14">
        <v>0</v>
      </c>
      <c r="S469" s="14">
        <v>26.88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72</v>
      </c>
      <c r="R470" s="14">
        <v>0</v>
      </c>
      <c r="S470" s="14">
        <v>72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0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0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0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32</v>
      </c>
      <c r="R475" s="14">
        <v>0</v>
      </c>
      <c r="S475" s="14">
        <v>32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100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0</v>
      </c>
      <c r="T482" s="13" t="e">
        <f>VLOOKUP(H482,'[3]BASE MC'!J:P,7,0)</f>
        <v>#N/A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1032.04</v>
      </c>
      <c r="R484" s="14">
        <v>0</v>
      </c>
      <c r="S484" s="14">
        <v>1032.04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864</v>
      </c>
      <c r="R485" s="14">
        <v>0</v>
      </c>
      <c r="S485" s="14">
        <v>864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180</v>
      </c>
      <c r="R487" s="14">
        <v>0</v>
      </c>
      <c r="S487" s="14">
        <v>180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18</v>
      </c>
      <c r="R489" s="14">
        <v>0</v>
      </c>
      <c r="S489" s="14">
        <v>18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0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120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0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336</v>
      </c>
      <c r="R495" s="14">
        <v>0</v>
      </c>
      <c r="S495" s="14">
        <v>336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540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105.08000000000001</v>
      </c>
      <c r="R499" s="14">
        <v>0</v>
      </c>
      <c r="S499" s="14">
        <v>105.08000000000001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360</v>
      </c>
      <c r="R500" s="14">
        <v>0</v>
      </c>
      <c r="S500" s="14">
        <v>360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160</v>
      </c>
      <c r="T501" s="13" t="e">
        <f>VLOOKUP(H501,'[3]BASE MC'!J:P,7,0)</f>
        <v>#N/A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150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400</v>
      </c>
      <c r="T504" s="13" t="e">
        <f>VLOOKUP(H504,'[3]BASE MC'!J:P,7,0)</f>
        <v>#N/A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0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0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0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275</v>
      </c>
      <c r="R508" s="14">
        <v>0</v>
      </c>
      <c r="S508" s="14">
        <v>275</v>
      </c>
      <c r="T508" s="13" t="e">
        <f>VLOOKUP(H508,'[3]BASE MC'!J:P,7,0)</f>
        <v>#N/A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53.76</v>
      </c>
      <c r="R509" s="14">
        <v>0</v>
      </c>
      <c r="S509" s="14">
        <v>53.76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520</v>
      </c>
      <c r="R510" s="14">
        <v>0</v>
      </c>
      <c r="S510" s="14">
        <v>520</v>
      </c>
      <c r="T510" s="13" t="e">
        <f>VLOOKUP(H510,'[3]BASE MC'!J:P,7,0)</f>
        <v>#N/A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498.48</v>
      </c>
      <c r="R512" s="14">
        <v>0</v>
      </c>
      <c r="S512" s="14">
        <v>498.48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0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0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0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 t="e">
        <f>VLOOKUP(H519,'[3]BASE MC'!J:P,7,0)</f>
        <v>#N/A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0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140</v>
      </c>
      <c r="R522" s="14">
        <v>0</v>
      </c>
      <c r="S522" s="14">
        <v>140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0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 t="e">
        <f>VLOOKUP(H524,'[3]BASE MC'!J:P,7,0)</f>
        <v>#N/A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0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19.2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0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0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0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192</v>
      </c>
      <c r="R531" s="14">
        <v>0</v>
      </c>
      <c r="S531" s="14">
        <v>192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122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220.8</v>
      </c>
      <c r="R533" s="14">
        <v>0</v>
      </c>
      <c r="S533" s="14">
        <v>221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75</v>
      </c>
      <c r="R534" s="14">
        <v>0</v>
      </c>
      <c r="S534" s="14">
        <v>75</v>
      </c>
      <c r="T534" s="13" t="e">
        <f>VLOOKUP(H534,'[3]BASE MC'!J:P,7,0)</f>
        <v>#N/A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0</v>
      </c>
      <c r="T535" s="13" t="e">
        <f>VLOOKUP(H535,'[3]BASE MC'!J:P,7,0)</f>
        <v>#N/A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0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100</v>
      </c>
      <c r="T538" s="13" t="e">
        <f>VLOOKUP(H538,'[3]BASE MC'!J:P,7,0)</f>
        <v>#N/A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 t="e">
        <f>VLOOKUP(H540,'[3]BASE MC'!J:P,7,0)</f>
        <v>#N/A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0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200</v>
      </c>
      <c r="R543" s="14">
        <v>0</v>
      </c>
      <c r="S543" s="14">
        <v>200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303</v>
      </c>
      <c r="R544" s="14">
        <v>0</v>
      </c>
      <c r="S544" s="14">
        <v>303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0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240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0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0</v>
      </c>
      <c r="T553" s="13" t="e">
        <f>VLOOKUP(H553,'[3]BASE MC'!J:P,7,0)</f>
        <v>#N/A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0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0</v>
      </c>
      <c r="T556" s="13" t="e">
        <f>VLOOKUP(H556,'[3]BASE MC'!J:P,7,0)</f>
        <v>#N/A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0</v>
      </c>
      <c r="T559" s="13" t="e">
        <f>VLOOKUP(H559,'[3]BASE MC'!J:P,7,0)</f>
        <v>#N/A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 t="e">
        <f>VLOOKUP(H560,'[3]BASE MC'!J:P,7,0)</f>
        <v>#N/A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0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30</v>
      </c>
      <c r="T564" s="13" t="e">
        <f>VLOOKUP(H564,'[3]BASE MC'!J:P,7,0)</f>
        <v>#N/A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0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214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100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228.49799999999999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360</v>
      </c>
      <c r="R569" s="14">
        <v>0</v>
      </c>
      <c r="S569" s="14">
        <v>360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120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22.5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 t="e">
        <f>VLOOKUP(H574,'[3]BASE MC'!J:P,7,0)</f>
        <v>#N/A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108</v>
      </c>
      <c r="R575" s="14">
        <v>0</v>
      </c>
      <c r="S575" s="14">
        <v>108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0</v>
      </c>
      <c r="T576" s="13" t="e">
        <f>VLOOKUP(H576,'[3]BASE MC'!J:P,7,0)</f>
        <v>#N/A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180.76</v>
      </c>
      <c r="R577" s="14">
        <v>0</v>
      </c>
      <c r="S577" s="14">
        <v>180.76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300</v>
      </c>
      <c r="R578" s="14">
        <v>0</v>
      </c>
      <c r="S578" s="14">
        <v>300</v>
      </c>
      <c r="T578" s="13" t="e">
        <f>VLOOKUP(H578,'[3]BASE MC'!J:P,7,0)</f>
        <v>#N/A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144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70</v>
      </c>
      <c r="R580" s="14">
        <v>0</v>
      </c>
      <c r="S580" s="14">
        <v>70</v>
      </c>
      <c r="T580" s="13" t="e">
        <f>VLOOKUP(H580,'[3]BASE MC'!J:P,7,0)</f>
        <v>#N/A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0</v>
      </c>
      <c r="T582" s="13" t="e">
        <f>VLOOKUP(H582,'[3]BASE MC'!J:P,7,0)</f>
        <v>#N/A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94.8</v>
      </c>
      <c r="R583" s="14">
        <v>0</v>
      </c>
      <c r="S583" s="14">
        <v>95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0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0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0</v>
      </c>
      <c r="T587" s="13" t="e">
        <f>VLOOKUP(H587,'[3]BASE MC'!J:P,7,0)</f>
        <v>#N/A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0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40</v>
      </c>
      <c r="T589" s="13" t="e">
        <f>VLOOKUP(H589,'[3]BASE MC'!J:P,7,0)</f>
        <v>#N/A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0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0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0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0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0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0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52.680000000000007</v>
      </c>
      <c r="R597" s="14">
        <v>0</v>
      </c>
      <c r="S597" s="14">
        <v>52.680000000000007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135</v>
      </c>
      <c r="R598" s="14">
        <v>0</v>
      </c>
      <c r="S598" s="14">
        <v>135</v>
      </c>
      <c r="T598" s="13" t="e">
        <f>VLOOKUP(H598,'[3]BASE MC'!J:P,7,0)</f>
        <v>#N/A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94.8</v>
      </c>
      <c r="R599" s="14">
        <v>0</v>
      </c>
      <c r="S599" s="14">
        <v>94.8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60.6</v>
      </c>
      <c r="R600" s="14">
        <v>0</v>
      </c>
      <c r="S600" s="14">
        <v>121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50</v>
      </c>
      <c r="R604" s="14">
        <v>0</v>
      </c>
      <c r="S604" s="14">
        <v>50</v>
      </c>
      <c r="T604" s="13" t="e">
        <f>VLOOKUP(H604,'[3]BASE MC'!J:P,7,0)</f>
        <v>#N/A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0</v>
      </c>
      <c r="T605" s="13" t="e">
        <f>VLOOKUP(H605,'[3]BASE MC'!J:P,7,0)</f>
        <v>#N/A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90</v>
      </c>
      <c r="R606" s="14">
        <v>0</v>
      </c>
      <c r="S606" s="14">
        <v>90</v>
      </c>
      <c r="T606" s="13" t="e">
        <f>VLOOKUP(H606,'[3]BASE MC'!J:P,7,0)</f>
        <v>#N/A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90</v>
      </c>
      <c r="R607" s="14">
        <v>0</v>
      </c>
      <c r="S607" s="14">
        <v>90</v>
      </c>
      <c r="T607" s="13" t="e">
        <f>VLOOKUP(H607,'[3]BASE MC'!J:P,7,0)</f>
        <v>#N/A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 t="e">
        <f>VLOOKUP(H608,'[3]BASE MC'!J:P,7,0)</f>
        <v>#N/A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 t="e">
        <f>VLOOKUP(H609,'[3]BASE MC'!J:P,7,0)</f>
        <v>#N/A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0</v>
      </c>
      <c r="T610" s="13" t="e">
        <f>VLOOKUP(H610,'[3]BASE MC'!J:P,7,0)</f>
        <v>#N/A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60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160</v>
      </c>
      <c r="R612" s="14">
        <v>0</v>
      </c>
      <c r="S612" s="14">
        <v>160</v>
      </c>
      <c r="T612" s="13" t="e">
        <f>VLOOKUP(H612,'[3]BASE MC'!J:P,7,0)</f>
        <v>#N/A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61.449999999999996</v>
      </c>
      <c r="R614" s="14">
        <v>0</v>
      </c>
      <c r="S614" s="14">
        <v>61.449999999999996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110</v>
      </c>
      <c r="T615" s="13" t="e">
        <f>VLOOKUP(H615,'[3]BASE MC'!J:P,7,0)</f>
        <v>#N/A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0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132.56</v>
      </c>
      <c r="R618" s="14">
        <v>0</v>
      </c>
      <c r="S618" s="14">
        <v>132.56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144</v>
      </c>
      <c r="R619" s="14">
        <v>0</v>
      </c>
      <c r="S619" s="14">
        <v>144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0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23.04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99.84</v>
      </c>
      <c r="R625" s="14">
        <v>0</v>
      </c>
      <c r="S625" s="14">
        <v>99.84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84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0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27.599999999999998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8.9600000000000009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6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119.4</v>
      </c>
      <c r="R634" s="14">
        <v>0</v>
      </c>
      <c r="S634" s="14">
        <v>119.4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0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208.07999999999998</v>
      </c>
      <c r="R636" s="14">
        <v>0</v>
      </c>
      <c r="S636" s="14">
        <v>208.07999999999998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0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120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23.21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11.59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324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0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55.2</v>
      </c>
      <c r="R644" s="14">
        <v>0</v>
      </c>
      <c r="S644" s="14">
        <v>55.2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108</v>
      </c>
      <c r="R645" s="14">
        <v>0</v>
      </c>
      <c r="S645" s="14">
        <v>108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27</v>
      </c>
      <c r="R646" s="14">
        <v>0</v>
      </c>
      <c r="S646" s="14">
        <v>27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42</v>
      </c>
      <c r="R647" s="14">
        <v>0</v>
      </c>
      <c r="S647" s="14">
        <v>42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18.16</v>
      </c>
      <c r="R648" s="14">
        <v>0</v>
      </c>
      <c r="S648" s="14">
        <v>18.16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204</v>
      </c>
      <c r="R649" s="14">
        <v>0</v>
      </c>
      <c r="S649" s="14">
        <v>204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0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0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540</v>
      </c>
      <c r="R652" s="14">
        <v>0</v>
      </c>
      <c r="S652" s="14">
        <v>540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0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0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0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0</v>
      </c>
      <c r="T656" s="13" t="e">
        <f>VLOOKUP(H656,'[3]BASE MC'!J:P,7,0)</f>
        <v>#N/A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0</v>
      </c>
      <c r="T658" s="13" t="e">
        <f>VLOOKUP(H658,'[3]BASE MC'!J:P,7,0)</f>
        <v>#N/A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96</v>
      </c>
      <c r="R659" s="14">
        <v>0</v>
      </c>
      <c r="S659" s="14">
        <v>96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0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0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0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60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75</v>
      </c>
      <c r="R664" s="14">
        <v>0</v>
      </c>
      <c r="S664" s="14">
        <v>75</v>
      </c>
      <c r="T664" s="13" t="e">
        <f>VLOOKUP(H664,'[3]BASE MC'!J:P,7,0)</f>
        <v>#N/A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30</v>
      </c>
      <c r="T665" s="13" t="e">
        <f>VLOOKUP(H665,'[3]BASE MC'!J:P,7,0)</f>
        <v>#N/A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31.92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20</v>
      </c>
      <c r="R667" s="14">
        <v>0</v>
      </c>
      <c r="S667" s="14">
        <v>20</v>
      </c>
      <c r="T667" s="13" t="e">
        <f>VLOOKUP(H667,'[3]BASE MC'!J:P,7,0)</f>
        <v>#N/A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120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0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0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84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0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23.54</v>
      </c>
      <c r="R674" s="14">
        <v>0</v>
      </c>
      <c r="S674" s="14">
        <v>23.54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0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0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123</v>
      </c>
      <c r="R677" s="14">
        <v>0</v>
      </c>
      <c r="S677" s="14">
        <v>123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0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23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125.44</v>
      </c>
      <c r="R680" s="14">
        <v>0</v>
      </c>
      <c r="S680" s="14">
        <v>125.44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0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0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96</v>
      </c>
      <c r="R683" s="14">
        <v>0</v>
      </c>
      <c r="S683" s="14">
        <v>96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0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504</v>
      </c>
      <c r="R685" s="14">
        <v>0</v>
      </c>
      <c r="S685" s="14">
        <v>504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75</v>
      </c>
      <c r="R686" s="14">
        <v>0</v>
      </c>
      <c r="S686" s="14">
        <v>75</v>
      </c>
      <c r="T686" s="13" t="e">
        <f>VLOOKUP(H686,'[3]BASE MC'!J:P,7,0)</f>
        <v>#N/A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15.576000000000001</v>
      </c>
      <c r="R687" s="14">
        <v>0</v>
      </c>
      <c r="S687" s="14">
        <v>15.576000000000001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36</v>
      </c>
      <c r="R688" s="14">
        <v>0</v>
      </c>
      <c r="S688" s="14">
        <v>36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85</v>
      </c>
      <c r="R689" s="14">
        <v>0</v>
      </c>
      <c r="S689" s="14">
        <v>85</v>
      </c>
      <c r="T689" s="13" t="e">
        <f>VLOOKUP(H689,'[3]BASE MC'!J:P,7,0)</f>
        <v>#N/A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0</v>
      </c>
      <c r="T690" s="13" t="e">
        <f>VLOOKUP(H690,'[3]BASE MC'!J:P,7,0)</f>
        <v>#N/A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0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15</v>
      </c>
      <c r="R692" s="14">
        <v>0</v>
      </c>
      <c r="S692" s="14">
        <v>15</v>
      </c>
      <c r="T692" s="13" t="e">
        <f>VLOOKUP(H692,'[3]BASE MC'!J:P,7,0)</f>
        <v>#N/A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0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0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0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0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45</v>
      </c>
      <c r="R698" s="14">
        <v>0</v>
      </c>
      <c r="S698" s="14">
        <v>45</v>
      </c>
      <c r="T698" s="13" t="e">
        <f>VLOOKUP(H698,'[3]BASE MC'!J:P,7,0)</f>
        <v>#N/A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20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75</v>
      </c>
      <c r="R700" s="14">
        <v>0</v>
      </c>
      <c r="S700" s="14">
        <v>75</v>
      </c>
      <c r="T700" s="13" t="e">
        <f>VLOOKUP(H700,'[3]BASE MC'!J:P,7,0)</f>
        <v>#N/A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18.399999999999999</v>
      </c>
      <c r="R703" s="14">
        <v>0</v>
      </c>
      <c r="S703" s="14">
        <v>18.399999999999999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72</v>
      </c>
      <c r="R704" s="14">
        <v>0</v>
      </c>
      <c r="S704" s="14">
        <v>72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0</v>
      </c>
      <c r="T705" s="13" t="e">
        <f>VLOOKUP(H705,'[3]BASE MC'!J:P,7,0)</f>
        <v>#N/A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15</v>
      </c>
      <c r="T706" s="13" t="e">
        <f>VLOOKUP(H706,'[3]BASE MC'!J:P,7,0)</f>
        <v>#N/A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0</v>
      </c>
      <c r="T707" s="13" t="e">
        <f>VLOOKUP(H707,'[3]BASE MC'!J:P,7,0)</f>
        <v>#N/A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0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160.63999999999999</v>
      </c>
      <c r="R710" s="14">
        <v>0</v>
      </c>
      <c r="S710" s="14">
        <v>160.63999999999999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26.88</v>
      </c>
      <c r="R712" s="14">
        <v>0</v>
      </c>
      <c r="S712" s="14">
        <v>26.88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360</v>
      </c>
      <c r="R713" s="14">
        <v>0</v>
      </c>
      <c r="S713" s="14">
        <v>360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0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0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0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0</v>
      </c>
      <c r="T717" s="13" t="e">
        <f>VLOOKUP(H717,'[3]BASE MC'!J:P,7,0)</f>
        <v>#N/A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57.6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0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0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0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9.48</v>
      </c>
      <c r="R722" s="14">
        <v>0</v>
      </c>
      <c r="S722" s="14">
        <v>9.48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8.9600000000000009</v>
      </c>
      <c r="R723" s="14">
        <v>0</v>
      </c>
      <c r="S723" s="14">
        <v>8.9600000000000009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96</v>
      </c>
      <c r="R724" s="14">
        <v>0</v>
      </c>
      <c r="S724" s="14">
        <v>96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0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0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28.16</v>
      </c>
      <c r="R728" s="14">
        <v>0</v>
      </c>
      <c r="S728" s="14">
        <v>28.16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7.68</v>
      </c>
      <c r="R729" s="14">
        <v>0</v>
      </c>
      <c r="S729" s="14">
        <v>7.68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48</v>
      </c>
      <c r="R730" s="14">
        <v>0</v>
      </c>
      <c r="S730" s="14">
        <v>48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0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9.6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0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0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75</v>
      </c>
      <c r="R736" s="14">
        <v>0</v>
      </c>
      <c r="S736" s="14">
        <v>75</v>
      </c>
      <c r="T736" s="13" t="e">
        <f>VLOOKUP(H736,'[3]BASE MC'!J:P,7,0)</f>
        <v>#N/A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144</v>
      </c>
      <c r="R737" s="14">
        <v>0</v>
      </c>
      <c r="S737" s="14">
        <v>144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75</v>
      </c>
      <c r="R738" s="14">
        <v>0</v>
      </c>
      <c r="S738" s="14">
        <v>75</v>
      </c>
      <c r="T738" s="13" t="e">
        <f>VLOOKUP(H738,'[3]BASE MC'!J:P,7,0)</f>
        <v>#N/A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45</v>
      </c>
      <c r="R740" s="14">
        <v>0</v>
      </c>
      <c r="S740" s="14">
        <v>45</v>
      </c>
      <c r="T740" s="13" t="e">
        <f>VLOOKUP(H740,'[3]BASE MC'!J:P,7,0)</f>
        <v>#N/A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0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 t="e">
        <f>VLOOKUP(H742,'[3]BASE MC'!J:P,7,0)</f>
        <v>#N/A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30</v>
      </c>
      <c r="R743" s="14">
        <v>0</v>
      </c>
      <c r="S743" s="14">
        <v>30</v>
      </c>
      <c r="T743" s="13" t="e">
        <f>VLOOKUP(H743,'[3]BASE MC'!J:P,7,0)</f>
        <v>#N/A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45</v>
      </c>
      <c r="R744" s="14">
        <v>0</v>
      </c>
      <c r="S744" s="14">
        <v>45</v>
      </c>
      <c r="T744" s="13" t="e">
        <f>VLOOKUP(H744,'[3]BASE MC'!J:P,7,0)</f>
        <v>#N/A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28.8</v>
      </c>
      <c r="R745" s="14">
        <v>0</v>
      </c>
      <c r="S745" s="14">
        <v>28.8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183.92</v>
      </c>
      <c r="R746" s="14">
        <v>0</v>
      </c>
      <c r="S746" s="14">
        <v>183.92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0</v>
      </c>
      <c r="T748" s="13" t="e">
        <f>VLOOKUP(H748,'[3]BASE MC'!J:P,7,0)</f>
        <v>#N/A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45</v>
      </c>
      <c r="R749" s="14">
        <v>0</v>
      </c>
      <c r="S749" s="14">
        <v>45</v>
      </c>
      <c r="T749" s="13" t="e">
        <f>VLOOKUP(H749,'[3]BASE MC'!J:P,7,0)</f>
        <v>#N/A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43.67</v>
      </c>
      <c r="R750" s="14">
        <v>0</v>
      </c>
      <c r="S750" s="14">
        <v>43.67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0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0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34.97</v>
      </c>
      <c r="R754" s="14">
        <v>0</v>
      </c>
      <c r="S754" s="14">
        <v>34.97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0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0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14</v>
      </c>
      <c r="R757" s="14">
        <v>0</v>
      </c>
      <c r="S757" s="14">
        <v>14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60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0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120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0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0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0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61.08</v>
      </c>
      <c r="R765" s="14">
        <v>0</v>
      </c>
      <c r="S765" s="14">
        <v>61.08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19.2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7.68</v>
      </c>
      <c r="R768" s="14">
        <v>0</v>
      </c>
      <c r="S768" s="14">
        <v>7.68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242.4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2400</v>
      </c>
      <c r="R770" s="14">
        <v>0</v>
      </c>
      <c r="S770" s="14">
        <v>2400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0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0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0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0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0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13.44</v>
      </c>
      <c r="R776" s="14">
        <v>0</v>
      </c>
      <c r="S776" s="14">
        <v>13.44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48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36.36</v>
      </c>
      <c r="R778" s="14">
        <v>0</v>
      </c>
      <c r="S778" s="14">
        <v>36.36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11.68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0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180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0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0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0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36</v>
      </c>
      <c r="R787" s="14">
        <v>0</v>
      </c>
      <c r="S787" s="14">
        <v>36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4.8</v>
      </c>
      <c r="R788" s="14">
        <v>0</v>
      </c>
      <c r="S788" s="14">
        <v>4.8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0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96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0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140</v>
      </c>
      <c r="R793" s="14">
        <v>0</v>
      </c>
      <c r="S793" s="14">
        <v>140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0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20</v>
      </c>
      <c r="R795" s="14">
        <v>0</v>
      </c>
      <c r="S795" s="14">
        <v>20</v>
      </c>
      <c r="T795" s="13" t="e">
        <f>VLOOKUP(H795,'[3]BASE MC'!J:P,7,0)</f>
        <v>#N/A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240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40</v>
      </c>
      <c r="R797" s="14">
        <v>0</v>
      </c>
      <c r="S797" s="14">
        <v>40</v>
      </c>
      <c r="T797" s="13" t="e">
        <f>VLOOKUP(H797,'[3]BASE MC'!J:P,7,0)</f>
        <v>#N/A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82.35</v>
      </c>
      <c r="R798" s="14">
        <v>0</v>
      </c>
      <c r="S798" s="14">
        <v>82.35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120</v>
      </c>
      <c r="R799" s="14">
        <v>0</v>
      </c>
      <c r="S799" s="14">
        <v>120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4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120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0</v>
      </c>
      <c r="T802" s="13" t="e">
        <f>VLOOKUP(H802,'[3]BASE MC'!J:P,7,0)</f>
        <v>#N/A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24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0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0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45</v>
      </c>
      <c r="R806" s="14">
        <v>0</v>
      </c>
      <c r="S806" s="14">
        <v>45</v>
      </c>
      <c r="T806" s="13" t="e">
        <f>VLOOKUP(H806,'[3]BASE MC'!J:P,7,0)</f>
        <v>#N/A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30</v>
      </c>
      <c r="R807" s="14">
        <v>0</v>
      </c>
      <c r="S807" s="14">
        <v>30</v>
      </c>
      <c r="T807" s="13" t="e">
        <f>VLOOKUP(H807,'[3]BASE MC'!J:P,7,0)</f>
        <v>#N/A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10</v>
      </c>
      <c r="T808" s="13" t="e">
        <f>VLOOKUP(H808,'[3]BASE MC'!J:P,7,0)</f>
        <v>#N/A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72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15</v>
      </c>
      <c r="R810" s="14">
        <v>0</v>
      </c>
      <c r="S810" s="14">
        <v>15</v>
      </c>
      <c r="T810" s="13" t="e">
        <f>VLOOKUP(H810,'[3]BASE MC'!J:P,7,0)</f>
        <v>#N/A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0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40</v>
      </c>
      <c r="R812" s="14">
        <v>0</v>
      </c>
      <c r="S812" s="14">
        <v>40</v>
      </c>
      <c r="T812" s="13" t="e">
        <f>VLOOKUP(H812,'[3]BASE MC'!J:P,7,0)</f>
        <v>#N/A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0</v>
      </c>
      <c r="T813" s="13" t="e">
        <f>VLOOKUP(H813,'[3]BASE MC'!J:P,7,0)</f>
        <v>#N/A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0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25</v>
      </c>
      <c r="R815" s="14">
        <v>0</v>
      </c>
      <c r="S815" s="14">
        <v>25</v>
      </c>
      <c r="T815" s="13" t="e">
        <f>VLOOKUP(H815,'[3]BASE MC'!J:P,7,0)</f>
        <v>#N/A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46.55</v>
      </c>
      <c r="R816" s="14">
        <v>0</v>
      </c>
      <c r="S816" s="14">
        <v>46.55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10</v>
      </c>
      <c r="T818" s="13" t="e">
        <f>VLOOKUP(H818,'[3]BASE MC'!J:P,7,0)</f>
        <v>#N/A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360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20</v>
      </c>
      <c r="T820" s="13" t="e">
        <f>VLOOKUP(H820,'[3]BASE MC'!J:P,7,0)</f>
        <v>#N/A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0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0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211</v>
      </c>
      <c r="R824" s="14">
        <v>0</v>
      </c>
      <c r="S824" s="14">
        <v>211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900</v>
      </c>
      <c r="R825" s="14">
        <v>0</v>
      </c>
      <c r="S825" s="14">
        <v>900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20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8.9600000000000009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720</v>
      </c>
      <c r="R829" s="14">
        <v>0</v>
      </c>
      <c r="S829" s="14">
        <v>720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30</v>
      </c>
      <c r="T830" s="13" t="e">
        <f>VLOOKUP(H830,'[3]BASE MC'!J:P,7,0)</f>
        <v>#N/A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6.72</v>
      </c>
      <c r="R831" s="14">
        <v>0</v>
      </c>
      <c r="S831" s="14">
        <v>6.72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40</v>
      </c>
      <c r="R832" s="14">
        <v>0</v>
      </c>
      <c r="S832" s="14">
        <v>40</v>
      </c>
      <c r="T832" s="13" t="e">
        <f>VLOOKUP(H832,'[3]BASE MC'!J:P,7,0)</f>
        <v>#N/A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0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</v>
      </c>
      <c r="T834" s="13" t="e">
        <f>VLOOKUP(H834,'[3]BASE MC'!J:P,7,0)</f>
        <v>#N/A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144</v>
      </c>
      <c r="R835" s="14">
        <v>0</v>
      </c>
      <c r="S835" s="14">
        <v>144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45</v>
      </c>
      <c r="T838" s="13" t="e">
        <f>VLOOKUP(H838,'[3]BASE MC'!J:P,7,0)</f>
        <v>#N/A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0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0</v>
      </c>
      <c r="T840" s="13" t="e">
        <f>VLOOKUP(H840,'[3]BASE MC'!J:P,7,0)</f>
        <v>#N/A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0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120</v>
      </c>
      <c r="R842" s="14">
        <v>0</v>
      </c>
      <c r="S842" s="14">
        <v>120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20</v>
      </c>
      <c r="R843" s="14">
        <v>0</v>
      </c>
      <c r="S843" s="14">
        <v>20</v>
      </c>
      <c r="T843" s="13" t="e">
        <f>VLOOKUP(H843,'[3]BASE MC'!J:P,7,0)</f>
        <v>#N/A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360</v>
      </c>
      <c r="R845" s="14">
        <v>0</v>
      </c>
      <c r="S845" s="14">
        <v>360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60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78.399999999999991</v>
      </c>
      <c r="R847" s="14">
        <v>0</v>
      </c>
      <c r="S847" s="14">
        <v>78.399999999999991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0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0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154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0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120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0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36.56</v>
      </c>
      <c r="R855" s="14">
        <v>0</v>
      </c>
      <c r="S855" s="14">
        <v>36.56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240</v>
      </c>
      <c r="R857" s="14">
        <v>0</v>
      </c>
      <c r="S857" s="14">
        <v>240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4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0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0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28.44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0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0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8.9600000000000009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12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0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120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11.52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293.76</v>
      </c>
      <c r="R873" s="14">
        <v>0</v>
      </c>
      <c r="S873" s="14">
        <v>293.76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11.52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60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9.6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0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0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20</v>
      </c>
      <c r="T885" s="13" t="e">
        <f>VLOOKUP(H885,'[3]BASE MC'!J:P,7,0)</f>
        <v>#N/A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0</v>
      </c>
      <c r="T886" s="13" t="e">
        <f>VLOOKUP(H886,'[3]BASE MC'!J:P,7,0)</f>
        <v>#N/A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360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30</v>
      </c>
      <c r="R891" s="14">
        <v>0</v>
      </c>
      <c r="S891" s="14">
        <v>30</v>
      </c>
      <c r="T891" s="13" t="e">
        <f>VLOOKUP(H891,'[3]BASE MC'!J:P,7,0)</f>
        <v>#N/A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0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0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0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72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4.8</v>
      </c>
      <c r="R897" s="14">
        <v>0</v>
      </c>
      <c r="S897" s="14">
        <v>4.8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0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0</v>
      </c>
      <c r="T899" s="13" t="e">
        <f>VLOOKUP(H899,'[3]BASE MC'!J:P,7,0)</f>
        <v>#N/A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10</v>
      </c>
      <c r="T900" s="13" t="e">
        <f>VLOOKUP(H900,'[3]BASE MC'!J:P,7,0)</f>
        <v>#N/A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300</v>
      </c>
      <c r="R901" s="14">
        <v>0</v>
      </c>
      <c r="S901" s="14">
        <v>300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0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0</v>
      </c>
      <c r="T903" s="13" t="e">
        <f>VLOOKUP(H903,'[3]BASE MC'!J:P,7,0)</f>
        <v>#N/A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0</v>
      </c>
      <c r="T904" s="13" t="e">
        <f>VLOOKUP(H904,'[3]BASE MC'!J:P,7,0)</f>
        <v>#N/A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0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10</v>
      </c>
      <c r="R906" s="14">
        <v>0</v>
      </c>
      <c r="S906" s="14">
        <v>10</v>
      </c>
      <c r="T906" s="13" t="e">
        <f>VLOOKUP(H906,'[3]BASE MC'!J:P,7,0)</f>
        <v>#N/A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0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136.47999999999999</v>
      </c>
      <c r="R908" s="14">
        <v>0</v>
      </c>
      <c r="S908" s="14">
        <v>136.47999999999999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0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</v>
      </c>
      <c r="T910" s="13" t="e">
        <f>VLOOKUP(H910,'[3]BASE MC'!J:P,7,0)</f>
        <v>#N/A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0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</v>
      </c>
      <c r="T913" s="13" t="e">
        <f>VLOOKUP(H913,'[3]BASE MC'!J:P,7,0)</f>
        <v>#N/A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288</v>
      </c>
      <c r="R914" s="14">
        <v>0</v>
      </c>
      <c r="S914" s="14">
        <v>288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20</v>
      </c>
      <c r="R915" s="14">
        <v>0</v>
      </c>
      <c r="S915" s="14">
        <v>20</v>
      </c>
      <c r="T915" s="13" t="e">
        <f>VLOOKUP(H915,'[3]BASE MC'!J:P,7,0)</f>
        <v>#N/A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6</v>
      </c>
      <c r="R916" s="14">
        <v>0</v>
      </c>
      <c r="S916" s="14">
        <v>6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60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0</v>
      </c>
      <c r="T919" s="13" t="e">
        <f>VLOOKUP(H919,'[3]BASE MC'!J:P,7,0)</f>
        <v>#N/A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0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0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0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0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120</v>
      </c>
      <c r="R925" s="14">
        <v>0</v>
      </c>
      <c r="S925" s="14">
        <v>120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82.8</v>
      </c>
      <c r="R926" s="14">
        <v>0</v>
      </c>
      <c r="S926" s="14">
        <v>82.8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0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7.68</v>
      </c>
      <c r="R928" s="14">
        <v>0</v>
      </c>
      <c r="S928" s="14">
        <v>7.68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0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0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12</v>
      </c>
      <c r="R931" s="14">
        <v>0</v>
      </c>
      <c r="S931" s="14">
        <v>12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1.92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26.88</v>
      </c>
      <c r="R934" s="14">
        <v>0</v>
      </c>
      <c r="S934" s="14">
        <v>26.88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36</v>
      </c>
      <c r="R935" s="14">
        <v>0</v>
      </c>
      <c r="S935" s="14">
        <v>36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3.84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19.2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0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0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0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0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0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1464</v>
      </c>
      <c r="R949" s="14">
        <v>0</v>
      </c>
      <c r="S949" s="14">
        <v>1464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157.38</v>
      </c>
      <c r="R950" s="14">
        <v>0</v>
      </c>
      <c r="S950" s="14">
        <v>157.38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5.4</v>
      </c>
      <c r="R951" s="14">
        <v>0</v>
      </c>
      <c r="S951" s="14">
        <v>5.4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8334.7800000000007</v>
      </c>
      <c r="R952" s="14">
        <v>0</v>
      </c>
      <c r="S952" s="14">
        <v>46565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37.44</v>
      </c>
      <c r="R953" s="14">
        <v>0</v>
      </c>
      <c r="S953" s="14">
        <v>37.44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0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1080</v>
      </c>
      <c r="R956" s="14">
        <v>0</v>
      </c>
      <c r="S956" s="14">
        <v>1080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25326.400000000001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30.160000000000004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48.959999999999994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744</v>
      </c>
      <c r="R962" s="14">
        <v>0</v>
      </c>
      <c r="S962" s="14">
        <v>744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0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25480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0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0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0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0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27.84</v>
      </c>
      <c r="R971" s="14">
        <v>0</v>
      </c>
      <c r="S971" s="14">
        <v>27.84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0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11441.36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0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120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20020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67.319999999999993</v>
      </c>
      <c r="R979" s="14">
        <v>0</v>
      </c>
      <c r="S979" s="14">
        <v>67.319999999999993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6360</v>
      </c>
      <c r="R982" s="14">
        <v>0</v>
      </c>
      <c r="S982" s="14">
        <v>6360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0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276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0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15915.6</v>
      </c>
      <c r="R987" s="14">
        <v>0</v>
      </c>
      <c r="S987" s="14">
        <v>15915.6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168</v>
      </c>
      <c r="R989" s="14">
        <v>0</v>
      </c>
      <c r="S989" s="14">
        <v>168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120</v>
      </c>
      <c r="R991" s="14">
        <v>0</v>
      </c>
      <c r="S991" s="14">
        <v>120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60</v>
      </c>
      <c r="R992" s="14">
        <v>0</v>
      </c>
      <c r="S992" s="14">
        <v>60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17.3</v>
      </c>
      <c r="R993" s="14">
        <v>0</v>
      </c>
      <c r="S993" s="14">
        <v>17.3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0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0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0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58721.399999999994</v>
      </c>
      <c r="R998" s="14">
        <v>0</v>
      </c>
      <c r="S998" s="14">
        <v>58721.399999999994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180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2026.35</v>
      </c>
      <c r="R1000" s="14">
        <v>0</v>
      </c>
      <c r="S1000" s="14">
        <v>13546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27.6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5970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0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120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14450</v>
      </c>
      <c r="R1005" s="14">
        <v>0</v>
      </c>
      <c r="S1005" s="14">
        <v>14450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0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0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147.19999999999999</v>
      </c>
      <c r="R1009" s="14">
        <v>0</v>
      </c>
      <c r="S1009" s="14">
        <v>147.19999999999999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26864</v>
      </c>
      <c r="R1012" s="14">
        <v>0</v>
      </c>
      <c r="S1012" s="14">
        <v>26880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0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0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480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0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342.6</v>
      </c>
      <c r="R1017" s="14">
        <v>0</v>
      </c>
      <c r="S1017" s="14">
        <v>343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100</v>
      </c>
      <c r="R1018" s="14">
        <v>0</v>
      </c>
      <c r="S1018" s="14">
        <v>100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11460</v>
      </c>
      <c r="R1019" s="14">
        <v>0</v>
      </c>
      <c r="S1019" s="14">
        <v>11460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14157.04</v>
      </c>
      <c r="R1020" s="14">
        <v>0</v>
      </c>
      <c r="S1020" s="14">
        <v>14157.04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60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180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720</v>
      </c>
      <c r="R1025" s="14">
        <v>0</v>
      </c>
      <c r="S1025" s="14">
        <v>720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300</v>
      </c>
      <c r="R1026" s="14">
        <v>0</v>
      </c>
      <c r="S1026" s="14">
        <v>300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379.2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5.8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0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12529.2</v>
      </c>
      <c r="R1031" s="14">
        <v>0</v>
      </c>
      <c r="S1031" s="14">
        <v>13135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7270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168</v>
      </c>
      <c r="R1034" s="14">
        <v>0</v>
      </c>
      <c r="S1034" s="14">
        <v>168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5871.6</v>
      </c>
      <c r="R1035" s="14">
        <v>0</v>
      </c>
      <c r="S1035" s="14">
        <v>8142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37.619999999999997</v>
      </c>
      <c r="R1036" s="14">
        <v>0</v>
      </c>
      <c r="S1036" s="14">
        <v>37.619999999999997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12414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120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40</v>
      </c>
      <c r="R1040" s="14">
        <v>0</v>
      </c>
      <c r="S1040" s="14">
        <v>40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0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0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4.8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96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80</v>
      </c>
      <c r="R1047" s="14">
        <v>0</v>
      </c>
      <c r="S1047" s="14">
        <v>80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4640</v>
      </c>
      <c r="R1048" s="14">
        <v>0</v>
      </c>
      <c r="S1048" s="14">
        <v>10800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240</v>
      </c>
      <c r="R1049" s="14">
        <v>0</v>
      </c>
      <c r="S1049" s="14">
        <v>240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1810</v>
      </c>
      <c r="R1050" s="14">
        <v>0</v>
      </c>
      <c r="S1050" s="14">
        <v>6130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10000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3000</v>
      </c>
      <c r="R1054" s="14">
        <v>0</v>
      </c>
      <c r="S1054" s="14">
        <v>3000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0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7001.36</v>
      </c>
      <c r="R1056" s="14">
        <v>0</v>
      </c>
      <c r="S1056" s="14">
        <v>7001.36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6181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0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5260</v>
      </c>
      <c r="R1059" s="14">
        <v>0</v>
      </c>
      <c r="S1059" s="14">
        <v>5260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0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6181.2</v>
      </c>
      <c r="R1061" s="14">
        <v>0</v>
      </c>
      <c r="S1061" s="14">
        <v>6181.2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0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0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144</v>
      </c>
      <c r="R1064" s="14">
        <v>0</v>
      </c>
      <c r="S1064" s="14">
        <v>144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3</v>
      </c>
      <c r="R1065" s="14">
        <v>0</v>
      </c>
      <c r="S1065" s="14">
        <v>3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0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192</v>
      </c>
      <c r="R1068" s="14">
        <v>0</v>
      </c>
      <c r="S1068" s="14">
        <v>192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588</v>
      </c>
      <c r="R1070" s="14">
        <v>0</v>
      </c>
      <c r="S1070" s="14">
        <v>588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3288</v>
      </c>
      <c r="R1072" s="14">
        <v>0</v>
      </c>
      <c r="S1072" s="14">
        <v>3288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0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564.48</v>
      </c>
      <c r="R1074" s="14">
        <v>0</v>
      </c>
      <c r="S1074" s="14">
        <v>2000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6370</v>
      </c>
      <c r="R1075" s="14">
        <v>0</v>
      </c>
      <c r="S1075" s="14">
        <v>6370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0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2710</v>
      </c>
      <c r="R1079" s="14">
        <v>0</v>
      </c>
      <c r="S1079" s="14">
        <v>2710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0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0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0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0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8.16</v>
      </c>
      <c r="R1084" s="14">
        <v>0</v>
      </c>
      <c r="S1084" s="14">
        <v>8.16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108</v>
      </c>
      <c r="R1085" s="14">
        <v>0</v>
      </c>
      <c r="S1085" s="14">
        <v>108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10.8</v>
      </c>
      <c r="R1086" s="14">
        <v>0</v>
      </c>
      <c r="S1086" s="14">
        <v>10.8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13545.53</v>
      </c>
      <c r="R1087" s="14">
        <v>0</v>
      </c>
      <c r="S1087" s="14">
        <v>13546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8181</v>
      </c>
      <c r="R1089" s="14">
        <v>0</v>
      </c>
      <c r="S1089" s="14">
        <v>8181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0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129.92000000000002</v>
      </c>
      <c r="R1092" s="14">
        <v>0</v>
      </c>
      <c r="S1092" s="14">
        <v>129.92000000000002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969.6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0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3540</v>
      </c>
      <c r="R1101" s="14">
        <v>0</v>
      </c>
      <c r="S1101" s="14">
        <v>3540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0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0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0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264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0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96</v>
      </c>
      <c r="R1108" s="14">
        <v>0</v>
      </c>
      <c r="S1108" s="14">
        <v>96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2257.92</v>
      </c>
      <c r="R1110" s="14">
        <v>0</v>
      </c>
      <c r="S1110" s="14">
        <v>2257.92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2070</v>
      </c>
      <c r="R1111" s="14">
        <v>0</v>
      </c>
      <c r="S1111" s="14">
        <v>5000</v>
      </c>
      <c r="T1111" s="13" t="e">
        <f>VLOOKUP(H1111,'[3]BASE MC'!J:P,7,0)</f>
        <v>#N/A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158.12</v>
      </c>
      <c r="R1112" s="14">
        <v>0</v>
      </c>
      <c r="S1112" s="14">
        <v>158.12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120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9.6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168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-10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3000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0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1080</v>
      </c>
      <c r="R1122" s="14">
        <v>0</v>
      </c>
      <c r="S1122" s="14">
        <v>1080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0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775.68</v>
      </c>
      <c r="R1125" s="14">
        <v>0</v>
      </c>
      <c r="S1125" s="14">
        <v>775.68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 t="e">
        <f>VLOOKUP(H1126,'[3]BASE MC'!J:P,7,0)</f>
        <v>#N/A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9271.7999999999993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910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180</v>
      </c>
      <c r="R1131" s="14">
        <v>0</v>
      </c>
      <c r="S1131" s="14">
        <v>180</v>
      </c>
      <c r="T1131" s="13" t="e">
        <f>VLOOKUP(H1131,'[3]BASE MC'!J:P,7,0)</f>
        <v>#N/A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0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1128</v>
      </c>
      <c r="R1133" s="14">
        <v>0</v>
      </c>
      <c r="S1133" s="14">
        <v>1128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0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2000</v>
      </c>
      <c r="R1140" s="14">
        <v>0</v>
      </c>
      <c r="S1140" s="14">
        <v>2000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1321.357</v>
      </c>
      <c r="R1144" s="14">
        <v>0</v>
      </c>
      <c r="S1144" s="14">
        <v>1321.357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0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0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144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4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0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2242</v>
      </c>
      <c r="R1155" s="14">
        <v>0</v>
      </c>
      <c r="S1155" s="14">
        <v>2242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84</v>
      </c>
      <c r="R1156" s="14">
        <v>0</v>
      </c>
      <c r="S1156" s="14">
        <v>84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0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0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4120.8</v>
      </c>
      <c r="R1161" s="14">
        <v>0</v>
      </c>
      <c r="S1161" s="14">
        <v>4120.8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10.1</v>
      </c>
      <c r="R1162" s="14">
        <v>0</v>
      </c>
      <c r="S1162" s="14">
        <v>10.1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1810</v>
      </c>
      <c r="R1164" s="14">
        <v>0</v>
      </c>
      <c r="S1164" s="14">
        <v>1810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5898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0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10940</v>
      </c>
      <c r="R1168" s="14">
        <v>0</v>
      </c>
      <c r="S1168" s="14">
        <v>10940</v>
      </c>
      <c r="T1168" s="13" t="e">
        <f>VLOOKUP(H1168,'[3]BASE MC'!J:P,7,0)</f>
        <v>#N/A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0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120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0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3603.2</v>
      </c>
      <c r="R1174" s="14">
        <v>0</v>
      </c>
      <c r="S1174" s="14">
        <v>3664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 t="e">
        <f>VLOOKUP(H1175,'[3]BASE MC'!J:P,7,0)</f>
        <v>#N/A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60</v>
      </c>
      <c r="R1176" s="14">
        <v>0</v>
      </c>
      <c r="S1176" s="14">
        <v>60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6</v>
      </c>
      <c r="R1177" s="14">
        <v>0</v>
      </c>
      <c r="S1177" s="14">
        <v>6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9.1999999999999993</v>
      </c>
      <c r="R1178" s="14">
        <v>0</v>
      </c>
      <c r="S1178" s="14">
        <v>9.1999999999999993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30.6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0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303.37</v>
      </c>
      <c r="R1181" s="14">
        <v>0</v>
      </c>
      <c r="S1181" s="14">
        <v>303.37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12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3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 t="e">
        <f>VLOOKUP(H1184,'[3]BASE MC'!J:P,7,0)</f>
        <v>#N/A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0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180</v>
      </c>
      <c r="R1186" s="14">
        <v>0</v>
      </c>
      <c r="S1186" s="14">
        <v>180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0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2100</v>
      </c>
      <c r="R1190" s="14">
        <v>0</v>
      </c>
      <c r="S1190" s="14">
        <v>2100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4424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3982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0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9.6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 t="e">
        <f>VLOOKUP(H1200,'[3]BASE MC'!J:P,7,0)</f>
        <v>#N/A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3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13.440000000000001</v>
      </c>
      <c r="R1204" s="14">
        <v>0</v>
      </c>
      <c r="S1204" s="14">
        <v>13.440000000000001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540</v>
      </c>
      <c r="R1205" s="14">
        <v>0</v>
      </c>
      <c r="S1205" s="14">
        <v>540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15.96</v>
      </c>
      <c r="R1207" s="14">
        <v>0</v>
      </c>
      <c r="S1207" s="14">
        <v>15.96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0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10</v>
      </c>
      <c r="R1209" s="14">
        <v>0</v>
      </c>
      <c r="S1209" s="14">
        <v>10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 t="e">
        <f>VLOOKUP(H1211,'[3]BASE MC'!J:P,7,0)</f>
        <v>#N/A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48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0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0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-10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108.39999999999999</v>
      </c>
      <c r="R1218" s="14">
        <v>0</v>
      </c>
      <c r="S1218" s="14">
        <v>108.39999999999999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28.880000000000003</v>
      </c>
      <c r="R1220" s="14">
        <v>0</v>
      </c>
      <c r="S1220" s="14">
        <v>28.880000000000003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96.6</v>
      </c>
      <c r="R1221" s="14">
        <v>0</v>
      </c>
      <c r="S1221" s="14">
        <v>96.6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79.88</v>
      </c>
      <c r="R1222" s="14">
        <v>0</v>
      </c>
      <c r="S1222" s="14">
        <v>79.88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180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0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240</v>
      </c>
      <c r="R1226" s="14">
        <v>0</v>
      </c>
      <c r="S1226" s="14">
        <v>240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0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95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64.400000000000006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1125</v>
      </c>
      <c r="R1230" s="14">
        <v>0</v>
      </c>
      <c r="S1230" s="14">
        <v>1125</v>
      </c>
      <c r="T1230" s="13" t="e">
        <f>VLOOKUP(H1230,'[3]BASE MC'!J:P,7,0)</f>
        <v>#N/A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0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192</v>
      </c>
      <c r="R1232" s="14">
        <v>0</v>
      </c>
      <c r="S1232" s="14">
        <v>192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0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0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3920</v>
      </c>
      <c r="R1235" s="14">
        <v>0</v>
      </c>
      <c r="S1235" s="14">
        <v>3920</v>
      </c>
      <c r="T1235" s="13" t="e">
        <f>VLOOKUP(H1235,'[3]BASE MC'!J:P,7,0)</f>
        <v>#N/A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3558.26</v>
      </c>
      <c r="R1237" s="14">
        <v>0</v>
      </c>
      <c r="S1237" s="14">
        <v>3575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600</v>
      </c>
      <c r="R1238" s="14">
        <v>0</v>
      </c>
      <c r="S1238" s="14">
        <v>600</v>
      </c>
      <c r="T1238" s="13" t="e">
        <f>VLOOKUP(H1238,'[3]BASE MC'!J:P,7,0)</f>
        <v>#N/A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1032</v>
      </c>
      <c r="R1242" s="14">
        <v>0</v>
      </c>
      <c r="S1242" s="14">
        <v>1032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727.2</v>
      </c>
      <c r="R1243" s="14">
        <v>0</v>
      </c>
      <c r="S1243" s="14">
        <v>727.2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3600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0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141.74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0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64.400000000000006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204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1810</v>
      </c>
      <c r="R1254" s="14">
        <v>0</v>
      </c>
      <c r="S1254" s="14">
        <v>1810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156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13.22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0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9.6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0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1210</v>
      </c>
      <c r="R1262" s="14">
        <v>0</v>
      </c>
      <c r="S1262" s="14">
        <v>1210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300</v>
      </c>
      <c r="R1265" s="14">
        <v>0</v>
      </c>
      <c r="S1265" s="14">
        <v>300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0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0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0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252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0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0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0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0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2940</v>
      </c>
      <c r="R1277" s="14">
        <v>0</v>
      </c>
      <c r="S1277" s="14">
        <v>2940</v>
      </c>
      <c r="T1277" s="13" t="e">
        <f>VLOOKUP(H1277,'[3]BASE MC'!J:P,7,0)</f>
        <v>#N/A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1304.28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60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3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0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0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1000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0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108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14.615</v>
      </c>
      <c r="R1288" s="14">
        <v>0</v>
      </c>
      <c r="S1288" s="14">
        <v>344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0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727.2</v>
      </c>
      <c r="R1291" s="14">
        <v>0</v>
      </c>
      <c r="S1291" s="14">
        <v>727.2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600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0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0</v>
      </c>
      <c r="T1298" s="13" t="e">
        <f>VLOOKUP(H1298,'[3]BASE MC'!J:P,7,0)</f>
        <v>#N/A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0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0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200.44</v>
      </c>
      <c r="R1302" s="14">
        <v>0</v>
      </c>
      <c r="S1302" s="14">
        <v>200.44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1800</v>
      </c>
      <c r="R1306" s="14">
        <v>0</v>
      </c>
      <c r="S1306" s="14">
        <v>1800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500</v>
      </c>
      <c r="R1309" s="14">
        <v>0</v>
      </c>
      <c r="S1309" s="14">
        <v>1000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620.16000000000008</v>
      </c>
      <c r="R1313" s="14">
        <v>0</v>
      </c>
      <c r="S1313" s="14">
        <v>708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3992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1047.4000000000001</v>
      </c>
      <c r="R1315" s="14">
        <v>0</v>
      </c>
      <c r="S1315" s="14">
        <v>1100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0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0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47.4</v>
      </c>
      <c r="R1320" s="14">
        <v>0</v>
      </c>
      <c r="S1320" s="14">
        <v>47.4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900</v>
      </c>
      <c r="R1321" s="14">
        <v>0</v>
      </c>
      <c r="S1321" s="14">
        <v>900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0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1000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700</v>
      </c>
      <c r="R1324" s="14">
        <v>0</v>
      </c>
      <c r="S1324" s="14">
        <v>700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80</v>
      </c>
      <c r="R1325" s="14">
        <v>0</v>
      </c>
      <c r="S1325" s="14">
        <v>80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1400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0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0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900</v>
      </c>
      <c r="R1334" s="14">
        <v>0</v>
      </c>
      <c r="S1334" s="14">
        <v>900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1018.08</v>
      </c>
      <c r="R1336" s="14">
        <v>0</v>
      </c>
      <c r="S1336" s="14">
        <v>1030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0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108</v>
      </c>
      <c r="R1338" s="14">
        <v>0</v>
      </c>
      <c r="S1338" s="14">
        <v>108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0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804.48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928.2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60</v>
      </c>
      <c r="R1346" s="14">
        <v>0</v>
      </c>
      <c r="S1346" s="14">
        <v>60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0</v>
      </c>
      <c r="T1347" s="13" t="e">
        <f>VLOOKUP(H1347,'[3]BASE MC'!J:P,7,0)</f>
        <v>#N/A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1920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0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14.399999999999999</v>
      </c>
      <c r="R1350" s="14">
        <v>0</v>
      </c>
      <c r="S1350" s="14">
        <v>14.399999999999999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0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 t="e">
        <f>VLOOKUP(H1352,'[3]BASE MC'!J:P,7,0)</f>
        <v>#N/A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0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0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0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108.96000000000001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288</v>
      </c>
      <c r="R1357" s="14">
        <v>0</v>
      </c>
      <c r="S1357" s="14">
        <v>688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300</v>
      </c>
      <c r="R1359" s="14">
        <v>0</v>
      </c>
      <c r="S1359" s="14">
        <v>300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0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1960</v>
      </c>
      <c r="T1361" s="13" t="e">
        <f>VLOOKUP(H1361,'[3]BASE MC'!J:P,7,0)</f>
        <v>#N/A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700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484.8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2080</v>
      </c>
      <c r="R1365" s="14">
        <v>0</v>
      </c>
      <c r="S1365" s="14">
        <v>2080</v>
      </c>
      <c r="T1365" s="13" t="e">
        <f>VLOOKUP(H1365,'[3]BASE MC'!J:P,7,0)</f>
        <v>#N/A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3386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120</v>
      </c>
      <c r="R1367" s="14">
        <v>0</v>
      </c>
      <c r="S1367" s="14">
        <v>120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960</v>
      </c>
      <c r="R1368" s="14">
        <v>0</v>
      </c>
      <c r="S1368" s="14">
        <v>960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25.490000000000002</v>
      </c>
      <c r="R1369" s="14">
        <v>0</v>
      </c>
      <c r="S1369" s="14">
        <v>25.490000000000002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337</v>
      </c>
      <c r="R1370" s="14">
        <v>0</v>
      </c>
      <c r="S1370" s="14">
        <v>337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379.2</v>
      </c>
      <c r="R1373" s="14">
        <v>0</v>
      </c>
      <c r="S1373" s="14">
        <v>379.2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17.600000000000001</v>
      </c>
      <c r="R1374" s="14">
        <v>0</v>
      </c>
      <c r="S1374" s="14">
        <v>17.600000000000001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360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0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76.8</v>
      </c>
      <c r="R1377" s="14">
        <v>0</v>
      </c>
      <c r="S1377" s="14">
        <v>76.8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910</v>
      </c>
      <c r="R1378" s="14">
        <v>0</v>
      </c>
      <c r="S1378" s="14">
        <v>910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775</v>
      </c>
      <c r="R1379" s="14">
        <v>0</v>
      </c>
      <c r="S1379" s="14">
        <v>775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0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72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5</v>
      </c>
      <c r="R1386" s="14">
        <v>0</v>
      </c>
      <c r="S1386" s="14">
        <v>5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 t="e">
        <f>VLOOKUP(H1387,'[3]BASE MC'!J:P,7,0)</f>
        <v>#N/A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5220</v>
      </c>
      <c r="R1388" s="14">
        <v>0</v>
      </c>
      <c r="S1388" s="14">
        <v>5220</v>
      </c>
      <c r="T1388" s="13" t="e">
        <f>VLOOKUP(H1388,'[3]BASE MC'!J:P,7,0)</f>
        <v>#N/A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4550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108</v>
      </c>
      <c r="R1390" s="14">
        <v>0</v>
      </c>
      <c r="S1390" s="14">
        <v>108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2070</v>
      </c>
      <c r="R1391" s="14">
        <v>0</v>
      </c>
      <c r="S1391" s="14">
        <v>2070</v>
      </c>
      <c r="T1391" s="13" t="e">
        <f>VLOOKUP(H1391,'[3]BASE MC'!J:P,7,0)</f>
        <v>#N/A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258.96000000000004</v>
      </c>
      <c r="R1392" s="14">
        <v>0</v>
      </c>
      <c r="S1392" s="14">
        <v>258.96000000000004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117.44</v>
      </c>
      <c r="R1394" s="14">
        <v>0</v>
      </c>
      <c r="S1394" s="14">
        <v>117.44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1030.2</v>
      </c>
      <c r="R1397" s="14">
        <v>0</v>
      </c>
      <c r="S1397" s="14">
        <v>1030.2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600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180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 t="e">
        <f>VLOOKUP(H1400,'[3]BASE MC'!J:P,7,0)</f>
        <v>#N/A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120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0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 t="e">
        <f>VLOOKUP(H1404,'[3]BASE MC'!J:P,7,0)</f>
        <v>#N/A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140.16</v>
      </c>
      <c r="R1405" s="14">
        <v>0</v>
      </c>
      <c r="S1405" s="14">
        <v>140.16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20</v>
      </c>
      <c r="R1407" s="14">
        <v>0</v>
      </c>
      <c r="S1407" s="14">
        <v>20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0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268.8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0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40</v>
      </c>
      <c r="R1413" s="14">
        <v>0</v>
      </c>
      <c r="S1413" s="14">
        <v>40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1008</v>
      </c>
      <c r="R1414" s="14">
        <v>0</v>
      </c>
      <c r="S1414" s="14">
        <v>1008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8983.6799999999985</v>
      </c>
      <c r="R1416" s="14">
        <v>0</v>
      </c>
      <c r="S1416" s="14">
        <v>8983.6799999999985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781.44</v>
      </c>
      <c r="R1417" s="14">
        <v>0</v>
      </c>
      <c r="S1417" s="14">
        <v>781.44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144</v>
      </c>
      <c r="R1420" s="14">
        <v>0</v>
      </c>
      <c r="S1420" s="14">
        <v>144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10.8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32.4</v>
      </c>
      <c r="R1422" s="14">
        <v>0</v>
      </c>
      <c r="S1422" s="14">
        <v>32.4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240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0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10.8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10.8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27</v>
      </c>
      <c r="R1430" s="14">
        <v>0</v>
      </c>
      <c r="S1430" s="14">
        <v>27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60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1192.32</v>
      </c>
      <c r="R1432" s="14">
        <v>0</v>
      </c>
      <c r="S1432" s="14">
        <v>1192.32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0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912</v>
      </c>
      <c r="R1434" s="14">
        <v>0</v>
      </c>
      <c r="S1434" s="14">
        <v>912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16</v>
      </c>
      <c r="R1435" s="14">
        <v>0</v>
      </c>
      <c r="S1435" s="14">
        <v>16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0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0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1680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48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0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 t="e">
        <f>VLOOKUP(H1443,'[3]BASE MC'!J:P,7,0)</f>
        <v>#N/A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0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24.24</v>
      </c>
      <c r="R1445" s="14">
        <v>0</v>
      </c>
      <c r="S1445" s="14">
        <v>24.24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12</v>
      </c>
      <c r="R1448" s="14">
        <v>0</v>
      </c>
      <c r="S1448" s="14">
        <v>12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365.375</v>
      </c>
      <c r="R1449" s="14">
        <v>0</v>
      </c>
      <c r="S1449" s="14">
        <v>365.375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0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0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1084.9849999999999</v>
      </c>
      <c r="R1454" s="14">
        <v>0</v>
      </c>
      <c r="S1454" s="14">
        <v>1900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0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0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0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510</v>
      </c>
      <c r="R1459" s="14">
        <v>0</v>
      </c>
      <c r="S1459" s="14">
        <v>510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525</v>
      </c>
      <c r="R1461" s="14">
        <v>0</v>
      </c>
      <c r="S1461" s="14">
        <v>525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14.8</v>
      </c>
      <c r="R1464" s="14">
        <v>0</v>
      </c>
      <c r="S1464" s="14">
        <v>14.8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0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240</v>
      </c>
      <c r="R1467" s="14">
        <v>0</v>
      </c>
      <c r="S1467" s="14">
        <v>240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120</v>
      </c>
      <c r="R1470" s="14">
        <v>0</v>
      </c>
      <c r="S1470" s="14">
        <v>120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0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5.4</v>
      </c>
      <c r="R1474" s="14">
        <v>0</v>
      </c>
      <c r="S1474" s="14">
        <v>5.4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28.8</v>
      </c>
      <c r="R1476" s="14">
        <v>0</v>
      </c>
      <c r="S1476" s="14">
        <v>28.8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48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48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0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248.16000000000003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300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1627.9849999999999</v>
      </c>
      <c r="R1483" s="14">
        <v>0</v>
      </c>
      <c r="S1483" s="14">
        <v>2500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1501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800</v>
      </c>
      <c r="T1485" s="13" t="e">
        <f>VLOOKUP(H1485,'[3]BASE MC'!J:P,7,0)</f>
        <v>#N/A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950.04000000000008</v>
      </c>
      <c r="R1486" s="14">
        <v>0</v>
      </c>
      <c r="S1486" s="14">
        <v>950.04000000000008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0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19.8</v>
      </c>
      <c r="R1488" s="14">
        <v>0</v>
      </c>
      <c r="S1488" s="14">
        <v>19.8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0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19.2</v>
      </c>
      <c r="R1490" s="14">
        <v>0</v>
      </c>
      <c r="S1490" s="14">
        <v>19.2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0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0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0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144</v>
      </c>
      <c r="R1496" s="14">
        <v>0</v>
      </c>
      <c r="S1496" s="14">
        <v>144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2930</v>
      </c>
      <c r="R1499" s="14">
        <v>0</v>
      </c>
      <c r="S1499" s="14">
        <v>2930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0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0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900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0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20.399999999999999</v>
      </c>
      <c r="R1504" s="14">
        <v>0</v>
      </c>
      <c r="S1504" s="14">
        <v>20.399999999999999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0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0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 t="e">
        <f>VLOOKUP(H1508,'[3]BASE MC'!J:P,7,0)</f>
        <v>#N/A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73.25</v>
      </c>
      <c r="R1509" s="14">
        <v>0</v>
      </c>
      <c r="S1509" s="14">
        <v>75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47.4</v>
      </c>
      <c r="R1510" s="14">
        <v>0</v>
      </c>
      <c r="S1510" s="14">
        <v>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0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0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1199.2090000000001</v>
      </c>
      <c r="R1515" s="14">
        <v>0</v>
      </c>
      <c r="S1515" s="14">
        <v>1200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60</v>
      </c>
      <c r="R1517" s="14">
        <v>0</v>
      </c>
      <c r="S1517" s="14">
        <v>60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0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18.399999999999999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240</v>
      </c>
      <c r="R1520" s="14">
        <v>0</v>
      </c>
      <c r="S1520" s="14">
        <v>240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1040</v>
      </c>
      <c r="R1521" s="14">
        <v>0</v>
      </c>
      <c r="S1521" s="14">
        <v>1040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0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308.10000000000002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69.84</v>
      </c>
      <c r="R1527" s="14">
        <v>0</v>
      </c>
      <c r="S1527" s="14">
        <v>69.84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0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727.2</v>
      </c>
      <c r="R1530" s="14">
        <v>0</v>
      </c>
      <c r="S1530" s="14">
        <v>727.2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144</v>
      </c>
      <c r="R1531" s="14">
        <v>0</v>
      </c>
      <c r="S1531" s="14">
        <v>144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150</v>
      </c>
      <c r="R1541" s="14">
        <v>0</v>
      </c>
      <c r="S1541" s="14">
        <v>150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 t="e">
        <f>VLOOKUP(H1542,'[3]BASE MC'!J:P,7,0)</f>
        <v>#N/A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133.19999999999999</v>
      </c>
      <c r="R1543" s="14">
        <v>0</v>
      </c>
      <c r="S1543" s="14">
        <v>133.19999999999999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2988</v>
      </c>
      <c r="R1544" s="14">
        <v>0</v>
      </c>
      <c r="S1544" s="14">
        <v>2988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180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32.4</v>
      </c>
      <c r="R1551" s="14">
        <v>0</v>
      </c>
      <c r="S1551" s="14">
        <v>32.4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1020.8</v>
      </c>
      <c r="R1553" s="14">
        <v>0</v>
      </c>
      <c r="S1553" s="14">
        <v>1020.8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459.86000000000007</v>
      </c>
      <c r="R1557" s="14">
        <v>0</v>
      </c>
      <c r="S1557" s="14">
        <v>459.86000000000007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228.8</v>
      </c>
      <c r="R1560" s="14">
        <v>0</v>
      </c>
      <c r="S1560" s="14">
        <v>228.8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 t="e">
        <f>VLOOKUP(H1562,'[3]BASE MC'!J:P,7,0)</f>
        <v>#N/A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1154.8799999999999</v>
      </c>
      <c r="R1563" s="14">
        <v>0</v>
      </c>
      <c r="S1563" s="14">
        <v>1154.8799999999999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9.6</v>
      </c>
      <c r="R1564" s="14">
        <v>0</v>
      </c>
      <c r="S1564" s="14">
        <v>9.6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516</v>
      </c>
      <c r="R1565" s="14">
        <v>0</v>
      </c>
      <c r="S1565" s="14">
        <v>516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24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0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400</v>
      </c>
      <c r="R1568" s="14">
        <v>0</v>
      </c>
      <c r="S1568" s="14">
        <v>400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2011.92</v>
      </c>
      <c r="R1569" s="14">
        <v>0</v>
      </c>
      <c r="S1569" s="14">
        <v>2060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396</v>
      </c>
      <c r="R1571" s="14">
        <v>0</v>
      </c>
      <c r="S1571" s="14">
        <v>396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606</v>
      </c>
      <c r="R1572" s="14">
        <v>0</v>
      </c>
      <c r="S1572" s="14">
        <v>606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157.44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40</v>
      </c>
      <c r="R1574" s="14">
        <v>0</v>
      </c>
      <c r="S1574" s="14">
        <v>40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0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16.200000000000003</v>
      </c>
      <c r="R1577" s="14">
        <v>0</v>
      </c>
      <c r="S1577" s="14">
        <v>16.200000000000003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0</v>
      </c>
      <c r="T1578" s="13" t="e">
        <f>VLOOKUP(H1578,'[3]BASE MC'!J:P,7,0)</f>
        <v>#N/A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96</v>
      </c>
      <c r="R1579" s="14">
        <v>0</v>
      </c>
      <c r="S1579" s="14">
        <v>96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81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1500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1788</v>
      </c>
      <c r="R1582" s="14">
        <v>0</v>
      </c>
      <c r="S1582" s="14">
        <v>1788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200</v>
      </c>
      <c r="R1583" s="14">
        <v>0</v>
      </c>
      <c r="S1583" s="14">
        <v>200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359</v>
      </c>
      <c r="R1585" s="14">
        <v>0</v>
      </c>
      <c r="S1585" s="14">
        <v>359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150</v>
      </c>
      <c r="R1587" s="14">
        <v>0</v>
      </c>
      <c r="S1587" s="14">
        <v>150</v>
      </c>
      <c r="T1587" s="13" t="e">
        <f>VLOOKUP(H1587,'[3]BASE MC'!J:P,7,0)</f>
        <v>#N/A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 t="e">
        <f>VLOOKUP(H1588,'[3]BASE MC'!J:P,7,0)</f>
        <v>#N/A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0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3.6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2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0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0</v>
      </c>
      <c r="T1596" s="13" t="e">
        <f>VLOOKUP(H1596,'[3]BASE MC'!J:P,7,0)</f>
        <v>#N/A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777.6</v>
      </c>
      <c r="R1597" s="14">
        <v>0</v>
      </c>
      <c r="S1597" s="14">
        <v>777.6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140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0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300</v>
      </c>
      <c r="R1603" s="14">
        <v>0</v>
      </c>
      <c r="S1603" s="14">
        <v>600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9.48</v>
      </c>
      <c r="R1604" s="14">
        <v>0</v>
      </c>
      <c r="S1604" s="14">
        <v>9.48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1571.2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2040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177.6</v>
      </c>
      <c r="R1610" s="14">
        <v>0</v>
      </c>
      <c r="S1610" s="14">
        <v>238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200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564.48</v>
      </c>
      <c r="R1612" s="14">
        <v>0</v>
      </c>
      <c r="S1612" s="14">
        <v>564.48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168.6</v>
      </c>
      <c r="R1613" s="14">
        <v>0</v>
      </c>
      <c r="S1613" s="14">
        <v>168.6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36</v>
      </c>
      <c r="R1616" s="14">
        <v>0</v>
      </c>
      <c r="S1616" s="14">
        <v>50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5000</v>
      </c>
      <c r="T1617" s="13" t="e">
        <f>VLOOKUP(H1617,'[3]BASE MC'!J:P,7,0)</f>
        <v>#N/A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0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2170</v>
      </c>
      <c r="R1621" s="14">
        <v>0</v>
      </c>
      <c r="S1621" s="14">
        <v>2170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14400</v>
      </c>
      <c r="R1623" s="14">
        <v>0</v>
      </c>
      <c r="S1623" s="14">
        <v>14400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2657.1390000000001</v>
      </c>
      <c r="R1626" s="14">
        <v>0</v>
      </c>
      <c r="S1626" s="14">
        <v>2717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160</v>
      </c>
      <c r="R1627" s="14">
        <v>0</v>
      </c>
      <c r="S1627" s="14">
        <v>160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606</v>
      </c>
      <c r="R1628" s="14">
        <v>0</v>
      </c>
      <c r="S1628" s="14">
        <v>606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0</v>
      </c>
      <c r="T1629" s="13" t="e">
        <f>VLOOKUP(H1629,'[3]BASE MC'!J:P,7,0)</f>
        <v>#N/A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0</v>
      </c>
      <c r="T1630" s="13" t="e">
        <f>VLOOKUP(H1630,'[3]BASE MC'!J:P,7,0)</f>
        <v>#N/A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264</v>
      </c>
      <c r="R1631" s="14">
        <v>0</v>
      </c>
      <c r="S1631" s="14">
        <v>264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</v>
      </c>
      <c r="T1632" s="13" t="e">
        <f>VLOOKUP(H1632,'[3]BASE MC'!J:P,7,0)</f>
        <v>#N/A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0</v>
      </c>
      <c r="T1633" s="13" t="e">
        <f>VLOOKUP(H1633,'[3]BASE MC'!J:P,7,0)</f>
        <v>#N/A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 t="e">
        <f>VLOOKUP(H1634,'[3]BASE MC'!J:P,7,0)</f>
        <v>#N/A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121.2</v>
      </c>
      <c r="R1635" s="14">
        <v>0</v>
      </c>
      <c r="S1635" s="14">
        <v>121.2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0</v>
      </c>
      <c r="T1636" s="13" t="e">
        <f>VLOOKUP(H1636,'[3]BASE MC'!J:P,7,0)</f>
        <v>#N/A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6125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38880</v>
      </c>
      <c r="R1640" s="14">
        <v>0</v>
      </c>
      <c r="S1640" s="14">
        <v>38880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63</v>
      </c>
      <c r="R1642" s="14">
        <v>0</v>
      </c>
      <c r="S1642" s="14">
        <v>63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780</v>
      </c>
      <c r="R1643" s="14">
        <v>0</v>
      </c>
      <c r="S1643" s="14">
        <v>780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995</v>
      </c>
      <c r="R1645" s="14">
        <v>0</v>
      </c>
      <c r="S1645" s="14">
        <v>995</v>
      </c>
      <c r="T1645" s="13" t="e">
        <f>VLOOKUP(H1645,'[3]BASE MC'!J:P,7,0)</f>
        <v>#N/A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25</v>
      </c>
      <c r="R1646" s="14">
        <v>0</v>
      </c>
      <c r="S1646" s="14">
        <v>25</v>
      </c>
      <c r="T1646" s="13" t="e">
        <f>VLOOKUP(H1646,'[3]BASE MC'!J:P,7,0)</f>
        <v>#N/A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121.2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18.96</v>
      </c>
      <c r="R1649" s="14">
        <v>0</v>
      </c>
      <c r="S1649" s="14">
        <v>18.96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75</v>
      </c>
      <c r="T1650" s="13" t="e">
        <f>VLOOKUP(H1650,'[3]BASE MC'!J:P,7,0)</f>
        <v>#N/A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0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0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0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0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0</v>
      </c>
      <c r="T1657" s="13" t="e">
        <f>VLOOKUP(H1657,'[3]BASE MC'!J:P,7,0)</f>
        <v>#N/A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233.28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223.2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0</v>
      </c>
      <c r="T1662" s="13" t="e">
        <f>VLOOKUP(H1662,'[3]BASE MC'!J:P,7,0)</f>
        <v>#N/A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121.2</v>
      </c>
      <c r="R1664" s="14">
        <v>0</v>
      </c>
      <c r="S1664" s="14">
        <v>121.2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140</v>
      </c>
      <c r="R1665" s="14">
        <v>0</v>
      </c>
      <c r="S1665" s="14">
        <v>140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185</v>
      </c>
      <c r="R1666" s="14">
        <v>0</v>
      </c>
      <c r="S1666" s="14">
        <v>185</v>
      </c>
      <c r="T1666" s="13" t="e">
        <f>VLOOKUP(H1666,'[3]BASE MC'!J:P,7,0)</f>
        <v>#N/A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137.19</v>
      </c>
      <c r="R1668" s="14">
        <v>0</v>
      </c>
      <c r="S1668" s="14">
        <v>137.19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50</v>
      </c>
      <c r="R1669" s="14">
        <v>0</v>
      </c>
      <c r="S1669" s="14">
        <v>50</v>
      </c>
      <c r="T1669" s="13" t="e">
        <f>VLOOKUP(H1669,'[3]BASE MC'!J:P,7,0)</f>
        <v>#N/A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 t="e">
        <f>VLOOKUP(H1670,'[3]BASE MC'!J:P,7,0)</f>
        <v>#N/A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 t="e">
        <f>VLOOKUP(H1671,'[3]BASE MC'!J:P,7,0)</f>
        <v>#N/A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 t="e">
        <f>VLOOKUP(H1672,'[3]BASE MC'!J:P,7,0)</f>
        <v>#N/A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1400</v>
      </c>
      <c r="R1673" s="14">
        <v>0</v>
      </c>
      <c r="S1673" s="14">
        <v>1400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0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40</v>
      </c>
      <c r="R1686" s="14">
        <v>0</v>
      </c>
      <c r="S1686" s="14">
        <v>40</v>
      </c>
      <c r="T1686" s="13" t="e">
        <f>VLOOKUP(H1686,'[3]BASE MC'!J:P,7,0)</f>
        <v>#N/A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0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94.8</v>
      </c>
      <c r="R1688" s="14">
        <v>0</v>
      </c>
      <c r="S1688" s="14">
        <v>94.8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60</v>
      </c>
      <c r="T1689" s="13" t="e">
        <f>VLOOKUP(H1689,'[3]BASE MC'!J:P,7,0)</f>
        <v>#N/A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</v>
      </c>
      <c r="T1690" s="13" t="e">
        <f>VLOOKUP(H1690,'[3]BASE MC'!J:P,7,0)</f>
        <v>#N/A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48.48</v>
      </c>
      <c r="R1692" s="14">
        <v>0</v>
      </c>
      <c r="S1692" s="14">
        <v>48.48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43.449999999999996</v>
      </c>
      <c r="R1693" s="14">
        <v>0</v>
      </c>
      <c r="S1693" s="14">
        <v>43.449999999999996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86.4</v>
      </c>
      <c r="R1694" s="14">
        <v>0</v>
      </c>
      <c r="S1694" s="14">
        <v>86.4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1599.75</v>
      </c>
      <c r="R1698" s="14">
        <v>0</v>
      </c>
      <c r="S1698" s="14">
        <v>1599.75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680.40000000000009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14.399999999999999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1030.2</v>
      </c>
      <c r="R1703" s="14">
        <v>0</v>
      </c>
      <c r="S1703" s="14">
        <v>1151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0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0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37.92</v>
      </c>
      <c r="R1706" s="14">
        <v>0</v>
      </c>
      <c r="S1706" s="14">
        <v>37.92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0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0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0</v>
      </c>
      <c r="T1710" s="13" t="e">
        <f>VLOOKUP(H1710,'[3]BASE MC'!J:P,7,0)</f>
        <v>#N/A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0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0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 t="e">
        <f>VLOOKUP(H1713,'[3]BASE MC'!J:P,7,0)</f>
        <v>#N/A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100</v>
      </c>
      <c r="R1715" s="14">
        <v>0</v>
      </c>
      <c r="S1715" s="14">
        <v>100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48</v>
      </c>
      <c r="R1716" s="14">
        <v>0</v>
      </c>
      <c r="S1716" s="14">
        <v>48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92.594999999999999</v>
      </c>
      <c r="R1717" s="14">
        <v>0</v>
      </c>
      <c r="S1717" s="14">
        <v>92.594999999999999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0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448.48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153.24</v>
      </c>
      <c r="R1722" s="14">
        <v>0</v>
      </c>
      <c r="S1722" s="14">
        <v>153.24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75</v>
      </c>
      <c r="R1723" s="14">
        <v>0</v>
      </c>
      <c r="S1723" s="14">
        <v>75</v>
      </c>
      <c r="T1723" s="13" t="e">
        <f>VLOOKUP(H1723,'[3]BASE MC'!J:P,7,0)</f>
        <v>#N/A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25</v>
      </c>
      <c r="T1724" s="13" t="e">
        <f>VLOOKUP(H1724,'[3]BASE MC'!J:P,7,0)</f>
        <v>#N/A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96</v>
      </c>
      <c r="R1725" s="14">
        <v>0</v>
      </c>
      <c r="S1725" s="14">
        <v>96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24.240000000000002</v>
      </c>
      <c r="R1726" s="14">
        <v>0</v>
      </c>
      <c r="S1726" s="14">
        <v>36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0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9.48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 t="e">
        <f>VLOOKUP(H1729,'[3]BASE MC'!J:P,7,0)</f>
        <v>#N/A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75</v>
      </c>
      <c r="T1730" s="13" t="e">
        <f>VLOOKUP(H1730,'[3]BASE MC'!J:P,7,0)</f>
        <v>#N/A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428.8</v>
      </c>
      <c r="R1732" s="14">
        <v>0</v>
      </c>
      <c r="S1732" s="14">
        <v>429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9.6</v>
      </c>
      <c r="R1735" s="14">
        <v>0</v>
      </c>
      <c r="S1735" s="14">
        <v>9.6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30</v>
      </c>
      <c r="R1736" s="14">
        <v>0</v>
      </c>
      <c r="S1736" s="14">
        <v>30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86.399999999999991</v>
      </c>
      <c r="R1738" s="14">
        <v>0</v>
      </c>
      <c r="S1738" s="14">
        <v>86.399999999999991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 t="e">
        <f>VLOOKUP(H1742,'[3]BASE MC'!J:P,7,0)</f>
        <v>#N/A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0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65</v>
      </c>
      <c r="R1746" s="14">
        <v>0</v>
      </c>
      <c r="S1746" s="14">
        <v>65</v>
      </c>
      <c r="T1746" s="13" t="e">
        <f>VLOOKUP(H1746,'[3]BASE MC'!J:P,7,0)</f>
        <v>#N/A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45</v>
      </c>
      <c r="T1747" s="13" t="e">
        <f>VLOOKUP(H1747,'[3]BASE MC'!J:P,7,0)</f>
        <v>#N/A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94.8</v>
      </c>
      <c r="R1748" s="14">
        <v>0</v>
      </c>
      <c r="S1748" s="14">
        <v>94.8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0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15.36</v>
      </c>
      <c r="R1753" s="14">
        <v>0</v>
      </c>
      <c r="S1753" s="14">
        <v>15.36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2100</v>
      </c>
      <c r="R1754" s="14">
        <v>0</v>
      </c>
      <c r="S1754" s="14">
        <v>2100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37.200000000000003</v>
      </c>
      <c r="R1755" s="14">
        <v>0</v>
      </c>
      <c r="S1755" s="14">
        <v>37.200000000000003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21.12</v>
      </c>
      <c r="R1756" s="14">
        <v>0</v>
      </c>
      <c r="S1756" s="14">
        <v>21.12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90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0</v>
      </c>
      <c r="T1759" s="13" t="e">
        <f>VLOOKUP(H1759,'[3]BASE MC'!J:P,7,0)</f>
        <v>#N/A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695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50</v>
      </c>
      <c r="T1761" s="13" t="e">
        <f>VLOOKUP(H1761,'[3]BASE MC'!J:P,7,0)</f>
        <v>#N/A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60</v>
      </c>
      <c r="R1762" s="14">
        <v>0</v>
      </c>
      <c r="S1762" s="14">
        <v>60</v>
      </c>
      <c r="T1762" s="13" t="e">
        <f>VLOOKUP(H1762,'[3]BASE MC'!J:P,7,0)</f>
        <v>#N/A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240</v>
      </c>
      <c r="R1764" s="14">
        <v>0</v>
      </c>
      <c r="S1764" s="14">
        <v>240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16.2</v>
      </c>
      <c r="R1767" s="14">
        <v>0</v>
      </c>
      <c r="S1767" s="14">
        <v>16.2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9.6</v>
      </c>
      <c r="R1771" s="14">
        <v>0</v>
      </c>
      <c r="S1771" s="14">
        <v>9.6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0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490</v>
      </c>
      <c r="R1774" s="14">
        <v>0</v>
      </c>
      <c r="S1774" s="14">
        <v>490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85.32</v>
      </c>
      <c r="R1775" s="14">
        <v>0</v>
      </c>
      <c r="S1775" s="14">
        <v>85.32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0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0</v>
      </c>
      <c r="T1778" s="13" t="e">
        <f>VLOOKUP(H1778,'[3]BASE MC'!J:P,7,0)</f>
        <v>#N/A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0</v>
      </c>
      <c r="T1779" s="13" t="e">
        <f>VLOOKUP(H1779,'[3]BASE MC'!J:P,7,0)</f>
        <v>#N/A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 t="e">
        <f>VLOOKUP(H1780,'[3]BASE MC'!J:P,7,0)</f>
        <v>#N/A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0</v>
      </c>
      <c r="T1781" s="13" t="e">
        <f>VLOOKUP(H1781,'[3]BASE MC'!J:P,7,0)</f>
        <v>#N/A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21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100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24</v>
      </c>
      <c r="R1787" s="14">
        <v>0</v>
      </c>
      <c r="S1787" s="14">
        <v>24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 t="e">
        <f>VLOOKUP(H1788,'[3]BASE MC'!J:P,7,0)</f>
        <v>#N/A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15</v>
      </c>
      <c r="T1789" s="13" t="e">
        <f>VLOOKUP(H1789,'[3]BASE MC'!J:P,7,0)</f>
        <v>#N/A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18.600000000000001</v>
      </c>
      <c r="R1793" s="14">
        <v>0</v>
      </c>
      <c r="S1793" s="14">
        <v>18.600000000000001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 t="e">
        <f>VLOOKUP(H1795,'[3]BASE MC'!J:P,7,0)</f>
        <v>#N/A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55</v>
      </c>
      <c r="R1796" s="14">
        <v>0</v>
      </c>
      <c r="S1796" s="14">
        <v>55</v>
      </c>
      <c r="T1796" s="13" t="e">
        <f>VLOOKUP(H1796,'[3]BASE MC'!J:P,7,0)</f>
        <v>#N/A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6322.4000000000005</v>
      </c>
      <c r="R1797" s="14">
        <v>0</v>
      </c>
      <c r="S1797" s="14">
        <v>6322.4000000000005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60</v>
      </c>
      <c r="T1798" s="13" t="e">
        <f>VLOOKUP(H1798,'[3]BASE MC'!J:P,7,0)</f>
        <v>#N/A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1200</v>
      </c>
      <c r="R1799" s="14">
        <v>0</v>
      </c>
      <c r="S1799" s="14">
        <v>1200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1066.5</v>
      </c>
      <c r="R1800" s="14">
        <v>0</v>
      </c>
      <c r="S1800" s="14">
        <v>1066.5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2153</v>
      </c>
      <c r="R1801" s="14">
        <v>0</v>
      </c>
      <c r="S1801" s="14">
        <v>2153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30</v>
      </c>
      <c r="R1802" s="14">
        <v>0</v>
      </c>
      <c r="S1802" s="14">
        <v>30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80</v>
      </c>
      <c r="R1803" s="14">
        <v>0</v>
      </c>
      <c r="S1803" s="14">
        <v>80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0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960</v>
      </c>
      <c r="R1805" s="14">
        <v>0</v>
      </c>
      <c r="S1805" s="14">
        <v>960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0</v>
      </c>
      <c r="T1806" s="13" t="e">
        <f>VLOOKUP(H1806,'[3]BASE MC'!J:P,7,0)</f>
        <v>#N/A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50.4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75</v>
      </c>
      <c r="T1808" s="13" t="e">
        <f>VLOOKUP(H1808,'[3]BASE MC'!J:P,7,0)</f>
        <v>#N/A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0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 t="e">
        <f>VLOOKUP(H1810,'[3]BASE MC'!J:P,7,0)</f>
        <v>#N/A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28.799999999999997</v>
      </c>
      <c r="R1812" s="14">
        <v>0</v>
      </c>
      <c r="S1812" s="14">
        <v>28.799999999999997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0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 t="e">
        <f>VLOOKUP(H1817,'[3]BASE MC'!J:P,7,0)</f>
        <v>#N/A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 t="e">
        <f>VLOOKUP(H1818,'[3]BASE MC'!J:P,7,0)</f>
        <v>#N/A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10</v>
      </c>
      <c r="T1819" s="13" t="e">
        <f>VLOOKUP(H1819,'[3]BASE MC'!J:P,7,0)</f>
        <v>#N/A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 t="e">
        <f>VLOOKUP(H1820,'[3]BASE MC'!J:P,7,0)</f>
        <v>#N/A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 t="e">
        <f>VLOOKUP(H1821,'[3]BASE MC'!J:P,7,0)</f>
        <v>#N/A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24.72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115.80000000000001</v>
      </c>
      <c r="R1824" s="14">
        <v>0</v>
      </c>
      <c r="S1824" s="14">
        <v>115.80000000000001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 t="e">
        <f>VLOOKUP(H1827,'[3]BASE MC'!J:P,7,0)</f>
        <v>#N/A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292.762</v>
      </c>
      <c r="R1828" s="14">
        <v>0</v>
      </c>
      <c r="S1828" s="14">
        <v>292.762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 t="e">
        <f>VLOOKUP(H1829,'[3]BASE MC'!J:P,7,0)</f>
        <v>#N/A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15</v>
      </c>
      <c r="R1830" s="14">
        <v>0</v>
      </c>
      <c r="S1830" s="14">
        <v>15</v>
      </c>
      <c r="T1830" s="13" t="e">
        <f>VLOOKUP(H1830,'[3]BASE MC'!J:P,7,0)</f>
        <v>#N/A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32.880000000000003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0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0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0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0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310</v>
      </c>
      <c r="R1839" s="14">
        <v>0</v>
      </c>
      <c r="S1839" s="14">
        <v>310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0</v>
      </c>
      <c r="T1840" s="13" t="e">
        <f>VLOOKUP(H1840,'[3]BASE MC'!J:P,7,0)</f>
        <v>#N/A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0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 t="e">
        <f>VLOOKUP(H1842,'[3]BASE MC'!J:P,7,0)</f>
        <v>#N/A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0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 t="e">
        <f>VLOOKUP(H1844,'[3]BASE MC'!J:P,7,0)</f>
        <v>#N/A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0</v>
      </c>
      <c r="T1845" s="13" t="e">
        <f>VLOOKUP(H1845,'[3]BASE MC'!J:P,7,0)</f>
        <v>#N/A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51.839999999999996</v>
      </c>
      <c r="R1846" s="14">
        <v>0</v>
      </c>
      <c r="S1846" s="14">
        <v>52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19.2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0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48</v>
      </c>
      <c r="R1850" s="14">
        <v>0</v>
      </c>
      <c r="S1850" s="14">
        <v>48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0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72</v>
      </c>
      <c r="R1852" s="14">
        <v>0</v>
      </c>
      <c r="S1852" s="14">
        <v>72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0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0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0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400</v>
      </c>
      <c r="R1857" s="14">
        <v>0</v>
      </c>
      <c r="S1857" s="14">
        <v>400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 t="e">
        <f>VLOOKUP(H1861,'[3]BASE MC'!J:P,7,0)</f>
        <v>#N/A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25</v>
      </c>
      <c r="T1862" s="13" t="e">
        <f>VLOOKUP(H1862,'[3]BASE MC'!J:P,7,0)</f>
        <v>#N/A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</v>
      </c>
      <c r="T1863" s="13" t="e">
        <f>VLOOKUP(H1863,'[3]BASE MC'!J:P,7,0)</f>
        <v>#N/A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0</v>
      </c>
      <c r="T1864" s="13" t="e">
        <f>VLOOKUP(H1864,'[3]BASE MC'!J:P,7,0)</f>
        <v>#N/A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</v>
      </c>
      <c r="T1865" s="13" t="e">
        <f>VLOOKUP(H1865,'[3]BASE MC'!J:P,7,0)</f>
        <v>#N/A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0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0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8.4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50.664999999999999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0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10</v>
      </c>
      <c r="R1877" s="14">
        <v>0</v>
      </c>
      <c r="S1877" s="14">
        <v>10</v>
      </c>
      <c r="T1877" s="13" t="e">
        <f>VLOOKUP(H1877,'[3]BASE MC'!J:P,7,0)</f>
        <v>#N/A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 t="e">
        <f>VLOOKUP(H1878,'[3]BASE MC'!J:P,7,0)</f>
        <v>#N/A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 t="e">
        <f>VLOOKUP(H1879,'[3]BASE MC'!J:P,7,0)</f>
        <v>#N/A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540</v>
      </c>
      <c r="R1880" s="14">
        <v>0</v>
      </c>
      <c r="S1880" s="14">
        <v>540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0</v>
      </c>
      <c r="T1882" s="13" t="e">
        <f>VLOOKUP(H1882,'[3]BASE MC'!J:P,7,0)</f>
        <v>#N/A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0</v>
      </c>
      <c r="T1883" s="13" t="e">
        <f>VLOOKUP(H1883,'[3]BASE MC'!J:P,7,0)</f>
        <v>#N/A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40</v>
      </c>
      <c r="R1884" s="14">
        <v>0</v>
      </c>
      <c r="S1884" s="14">
        <v>40</v>
      </c>
      <c r="T1884" s="13" t="e">
        <f>VLOOKUP(H1884,'[3]BASE MC'!J:P,7,0)</f>
        <v>#N/A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6615.33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0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0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35.04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0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0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 t="e">
        <f>VLOOKUP(H1896,'[3]BASE MC'!J:P,7,0)</f>
        <v>#N/A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</v>
      </c>
      <c r="T1897" s="13" t="e">
        <f>VLOOKUP(H1897,'[3]BASE MC'!J:P,7,0)</f>
        <v>#N/A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5</v>
      </c>
      <c r="R1898" s="14">
        <v>0</v>
      </c>
      <c r="S1898" s="14">
        <v>5</v>
      </c>
      <c r="T1898" s="13" t="e">
        <f>VLOOKUP(H1898,'[3]BASE MC'!J:P,7,0)</f>
        <v>#N/A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0</v>
      </c>
      <c r="T1899" s="13" t="e">
        <f>VLOOKUP(H1899,'[3]BASE MC'!J:P,7,0)</f>
        <v>#N/A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0</v>
      </c>
      <c r="T1900" s="13" t="e">
        <f>VLOOKUP(H1900,'[3]BASE MC'!J:P,7,0)</f>
        <v>#N/A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107.2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6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0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0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0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10</v>
      </c>
      <c r="R1916" s="14">
        <v>0</v>
      </c>
      <c r="S1916" s="14">
        <v>10</v>
      </c>
      <c r="T1916" s="13" t="e">
        <f>VLOOKUP(H1916,'[3]BASE MC'!J:P,7,0)</f>
        <v>#N/A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 t="e">
        <f>VLOOKUP(H1917,'[3]BASE MC'!J:P,7,0)</f>
        <v>#N/A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0</v>
      </c>
      <c r="T1918" s="13" t="e">
        <f>VLOOKUP(H1918,'[3]BASE MC'!J:P,7,0)</f>
        <v>#N/A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0</v>
      </c>
      <c r="T1919" s="13" t="e">
        <f>VLOOKUP(H1919,'[3]BASE MC'!J:P,7,0)</f>
        <v>#N/A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10</v>
      </c>
      <c r="R1921" s="14">
        <v>0</v>
      </c>
      <c r="S1921" s="14">
        <v>10</v>
      </c>
      <c r="T1921" s="13" t="e">
        <f>VLOOKUP(H1921,'[3]BASE MC'!J:P,7,0)</f>
        <v>#N/A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1500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0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0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9.6</v>
      </c>
      <c r="R1927" s="14">
        <v>0</v>
      </c>
      <c r="S1927" s="14">
        <v>9.6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0</v>
      </c>
      <c r="T1934" s="13" t="e">
        <f>VLOOKUP(H1934,'[3]BASE MC'!J:P,7,0)</f>
        <v>#N/A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10</v>
      </c>
      <c r="T1936" s="13" t="e">
        <f>VLOOKUP(H1936,'[3]BASE MC'!J:P,7,0)</f>
        <v>#N/A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</v>
      </c>
      <c r="T1937" s="13" t="e">
        <f>VLOOKUP(H1937,'[3]BASE MC'!J:P,7,0)</f>
        <v>#N/A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0</v>
      </c>
      <c r="T1938" s="13" t="e">
        <f>VLOOKUP(H1938,'[3]BASE MC'!J:P,7,0)</f>
        <v>#N/A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</v>
      </c>
      <c r="T1939" s="13" t="e">
        <f>VLOOKUP(H1939,'[3]BASE MC'!J:P,7,0)</f>
        <v>#N/A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0</v>
      </c>
      <c r="T1940" s="13" t="e">
        <f>VLOOKUP(H1940,'[3]BASE MC'!J:P,7,0)</f>
        <v>#N/A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 t="e">
        <f>VLOOKUP(H1942,'[3]BASE MC'!J:P,7,0)</f>
        <v>#N/A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25</v>
      </c>
      <c r="T1943" s="13" t="e">
        <f>VLOOKUP(H1943,'[3]BASE MC'!J:P,7,0)</f>
        <v>#N/A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122.4</v>
      </c>
      <c r="R1944" s="14">
        <v>0</v>
      </c>
      <c r="S1944" s="14">
        <v>122.4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4450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1.92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0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0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0</v>
      </c>
      <c r="T1953" s="13" t="e">
        <f>VLOOKUP(H1953,'[3]BASE MC'!J:P,7,0)</f>
        <v>#N/A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0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0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0</v>
      </c>
      <c r="T1960" s="13" t="e">
        <f>VLOOKUP(H1960,'[3]BASE MC'!J:P,7,0)</f>
        <v>#N/A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100</v>
      </c>
      <c r="T1962" s="13" t="e">
        <f>VLOOKUP(H1962,'[3]BASE MC'!J:P,7,0)</f>
        <v>#N/A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0</v>
      </c>
      <c r="T1963" s="13" t="e">
        <f>VLOOKUP(H1963,'[3]BASE MC'!J:P,7,0)</f>
        <v>#N/A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0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0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135</v>
      </c>
      <c r="R1966" s="14">
        <v>0</v>
      </c>
      <c r="S1966" s="14">
        <v>135</v>
      </c>
      <c r="T1966" s="13" t="e">
        <f>VLOOKUP(H1966,'[3]BASE MC'!J:P,7,0)</f>
        <v>#N/A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0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0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0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0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9.6</v>
      </c>
      <c r="R1973" s="14">
        <v>0</v>
      </c>
      <c r="S1973" s="14">
        <v>9.6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18.96</v>
      </c>
      <c r="R1974" s="14">
        <v>0</v>
      </c>
      <c r="S1974" s="14">
        <v>18.96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38.4</v>
      </c>
      <c r="R1975" s="14">
        <v>0</v>
      </c>
      <c r="S1975" s="14">
        <v>38.4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0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0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0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0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4990</v>
      </c>
      <c r="R1982" s="14">
        <v>0</v>
      </c>
      <c r="S1982" s="14">
        <v>4990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0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300</v>
      </c>
      <c r="R1986" s="14">
        <v>0</v>
      </c>
      <c r="S1986" s="14">
        <v>300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0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0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0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0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 t="e">
        <f>VLOOKUP(H1991,'[3]BASE MC'!J:P,7,0)</f>
        <v>#N/A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0</v>
      </c>
      <c r="T1992" s="13" t="e">
        <f>VLOOKUP(H1992,'[3]BASE MC'!J:P,7,0)</f>
        <v>#N/A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0</v>
      </c>
      <c r="T1993" s="13" t="e">
        <f>VLOOKUP(H1993,'[3]BASE MC'!J:P,7,0)</f>
        <v>#N/A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</v>
      </c>
      <c r="T1994" s="13" t="e">
        <f>VLOOKUP(H1994,'[3]BASE MC'!J:P,7,0)</f>
        <v>#N/A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9.6</v>
      </c>
      <c r="R1995" s="14">
        <v>0</v>
      </c>
      <c r="S1995" s="14">
        <v>9.6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18.96</v>
      </c>
      <c r="R1996" s="14">
        <v>0</v>
      </c>
      <c r="S1996" s="14">
        <v>18.96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0</v>
      </c>
      <c r="T1998" s="13" t="e">
        <f>VLOOKUP(H1998,'[3]BASE MC'!J:P,7,0)</f>
        <v>#N/A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5</v>
      </c>
      <c r="R2000" s="14">
        <v>0</v>
      </c>
      <c r="S2000" s="14">
        <v>5</v>
      </c>
      <c r="T2000" s="13" t="e">
        <f>VLOOKUP(H2000,'[3]BASE MC'!J:P,7,0)</f>
        <v>#N/A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0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0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9.6</v>
      </c>
      <c r="R2003" s="14">
        <v>0</v>
      </c>
      <c r="S2003" s="14">
        <v>9.6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18.96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60</v>
      </c>
      <c r="R2005" s="14">
        <v>0</v>
      </c>
      <c r="S2005" s="14">
        <v>60</v>
      </c>
      <c r="T2005" s="13" t="e">
        <f>VLOOKUP(H2005,'[3]BASE MC'!J:P,7,0)</f>
        <v>#N/A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0</v>
      </c>
      <c r="T2006" s="13" t="e">
        <f>VLOOKUP(H2006,'[3]BASE MC'!J:P,7,0)</f>
        <v>#N/A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 t="e">
        <f>VLOOKUP(H2007,'[3]BASE MC'!J:P,7,0)</f>
        <v>#N/A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 t="e">
        <f>VLOOKUP(H2008,'[3]BASE MC'!J:P,7,0)</f>
        <v>#N/A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9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 t="e">
        <f>VLOOKUP(H2012,'[3]BASE MC'!J:P,7,0)</f>
        <v>#N/A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11.52</v>
      </c>
      <c r="R2013" s="14">
        <v>0</v>
      </c>
      <c r="S2013" s="14">
        <v>11.52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0</v>
      </c>
      <c r="T2014" s="13" t="e">
        <f>VLOOKUP(H2014,'[3]BASE MC'!J:P,7,0)</f>
        <v>#N/A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10</v>
      </c>
      <c r="T2015" s="13" t="e">
        <f>VLOOKUP(H2015,'[3]BASE MC'!J:P,7,0)</f>
        <v>#N/A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0</v>
      </c>
      <c r="T2016" s="13" t="e">
        <f>VLOOKUP(H2016,'[3]BASE MC'!J:P,7,0)</f>
        <v>#N/A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577.20000000000005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20</v>
      </c>
      <c r="R2018" s="14">
        <v>0</v>
      </c>
      <c r="S2018" s="14">
        <v>52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5</v>
      </c>
      <c r="R2019" s="14">
        <v>0</v>
      </c>
      <c r="S2019" s="14">
        <v>5</v>
      </c>
      <c r="T2019" s="13" t="e">
        <f>VLOOKUP(H2019,'[3]BASE MC'!J:P,7,0)</f>
        <v>#N/A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0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15</v>
      </c>
      <c r="T2022" s="13" t="e">
        <f>VLOOKUP(H2022,'[3]BASE MC'!J:P,7,0)</f>
        <v>#N/A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40</v>
      </c>
      <c r="R2023" s="14">
        <v>0</v>
      </c>
      <c r="S2023" s="14">
        <v>40</v>
      </c>
      <c r="T2023" s="13" t="e">
        <f>VLOOKUP(H2023,'[3]BASE MC'!J:P,7,0)</f>
        <v>#N/A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13.44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0</v>
      </c>
      <c r="T2025" s="13" t="e">
        <f>VLOOKUP(H2025,'[3]BASE MC'!J:P,7,0)</f>
        <v>#N/A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0</v>
      </c>
      <c r="T2026" s="13" t="e">
        <f>VLOOKUP(H2026,'[3]BASE MC'!J:P,7,0)</f>
        <v>#N/A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</v>
      </c>
      <c r="T2027" s="13" t="e">
        <f>VLOOKUP(H2027,'[3]BASE MC'!J:P,7,0)</f>
        <v>#N/A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0</v>
      </c>
      <c r="T2028" s="13" t="e">
        <f>VLOOKUP(H2028,'[3]BASE MC'!J:P,7,0)</f>
        <v>#N/A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125</v>
      </c>
      <c r="R2030" s="14">
        <v>0</v>
      </c>
      <c r="S2030" s="14">
        <v>125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310</v>
      </c>
      <c r="R2032" s="14">
        <v>0</v>
      </c>
      <c r="S2032" s="14">
        <v>310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600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480</v>
      </c>
      <c r="R2036" s="14">
        <v>0</v>
      </c>
      <c r="S2036" s="14">
        <v>480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40</v>
      </c>
      <c r="R2038" s="14">
        <v>0</v>
      </c>
      <c r="S2038" s="14">
        <v>40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 t="e">
        <f>VLOOKUP(H2040,'[3]BASE MC'!J:P,7,0)</f>
        <v>#N/A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1050</v>
      </c>
      <c r="R2043" s="14">
        <v>0</v>
      </c>
      <c r="S2043" s="14">
        <v>1050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48.48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9100</v>
      </c>
      <c r="R2046" s="14">
        <v>0</v>
      </c>
      <c r="S2046" s="14">
        <v>9100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 t="e">
        <f>VLOOKUP(H2049,'[3]BASE MC'!J:P,7,0)</f>
        <v>#N/A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-3</v>
      </c>
      <c r="R2052" s="14">
        <v>0</v>
      </c>
      <c r="S2052" s="14">
        <v>288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 t="e">
        <f>VLOOKUP(H2054,'[3]BASE MC'!J:P,7,0)</f>
        <v>#N/A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72</v>
      </c>
      <c r="R2055" s="14">
        <v>0</v>
      </c>
      <c r="S2055" s="14">
        <v>72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480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 t="e">
        <f>VLOOKUP(H2064,'[3]BASE MC'!J:P,7,0)</f>
        <v>#N/A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0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4000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75</v>
      </c>
      <c r="R2072" s="14">
        <v>0</v>
      </c>
      <c r="S2072" s="14">
        <v>75</v>
      </c>
      <c r="T2072" s="13" t="e">
        <f>VLOOKUP(H2072,'[3]BASE MC'!J:P,7,0)</f>
        <v>#N/A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1800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0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528</v>
      </c>
      <c r="R2077" s="14">
        <v>0</v>
      </c>
      <c r="S2077" s="14">
        <v>528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624</v>
      </c>
      <c r="R2078" s="14">
        <v>0</v>
      </c>
      <c r="S2078" s="14">
        <v>624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257.76</v>
      </c>
      <c r="R2081" s="14">
        <v>0</v>
      </c>
      <c r="S2081" s="14">
        <v>257.76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0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500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 t="e">
        <f>VLOOKUP(H2087,'[3]BASE MC'!J:P,7,0)</f>
        <v>#N/A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156.12</v>
      </c>
      <c r="R2088" s="14">
        <v>0</v>
      </c>
      <c r="S2088" s="14">
        <v>156.12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20604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910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4550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0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540</v>
      </c>
      <c r="R2098" s="14">
        <v>0</v>
      </c>
      <c r="S2098" s="14">
        <v>540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14.4</v>
      </c>
      <c r="R2099" s="14">
        <v>0</v>
      </c>
      <c r="S2099" s="14">
        <v>14.4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72</v>
      </c>
      <c r="R2100" s="14">
        <v>0</v>
      </c>
      <c r="S2100" s="14">
        <v>72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0</v>
      </c>
      <c r="T2107" s="13" t="e">
        <f>VLOOKUP(H2107,'[3]BASE MC'!J:P,7,0)</f>
        <v>#N/A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300</v>
      </c>
      <c r="R2108" s="14">
        <v>0</v>
      </c>
      <c r="S2108" s="14">
        <v>300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67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0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7.2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400</v>
      </c>
      <c r="R2120" s="14">
        <v>0</v>
      </c>
      <c r="S2120" s="14">
        <v>400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250</v>
      </c>
      <c r="R2121" s="14">
        <v>0</v>
      </c>
      <c r="S2121" s="14">
        <v>250</v>
      </c>
      <c r="T2121" s="13" t="e">
        <f>VLOOKUP(H2121,'[3]BASE MC'!J:P,7,0)</f>
        <v>#N/A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7.2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0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25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384.84000000000003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727.2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 t="e">
        <f>VLOOKUP(H2158,'[3]BASE MC'!J:P,7,0)</f>
        <v>#N/A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 t="e">
        <f>VLOOKUP(H2159,'[3]BASE MC'!J:P,7,0)</f>
        <v>#N/A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 t="e">
        <f>VLOOKUP(H2160,'[3]BASE MC'!J:P,7,0)</f>
        <v>#N/A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 t="e">
        <f>VLOOKUP(H2161,'[3]BASE MC'!J:P,7,0)</f>
        <v>#N/A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 t="e">
        <f>VLOOKUP(H2162,'[3]BASE MC'!J:P,7,0)</f>
        <v>#N/A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 t="e">
        <f>VLOOKUP(H2163,'[3]BASE MC'!J:P,7,0)</f>
        <v>#N/A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 t="e">
        <f>VLOOKUP(H2164,'[3]BASE MC'!J:P,7,0)</f>
        <v>#N/A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 t="e">
        <f>VLOOKUP(H2165,'[3]BASE MC'!J:P,7,0)</f>
        <v>#N/A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 t="e">
        <f>VLOOKUP(H2166,'[3]BASE MC'!J:P,7,0)</f>
        <v>#N/A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 t="e">
        <f>VLOOKUP(H2167,'[3]BASE MC'!J:P,7,0)</f>
        <v>#N/A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 t="e">
        <f>VLOOKUP(H2168,'[3]BASE MC'!J:P,7,0)</f>
        <v>#N/A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 t="e">
        <f>VLOOKUP(H2169,'[3]BASE MC'!J:P,7,0)</f>
        <v>#N/A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 t="e">
        <f>VLOOKUP(H2173,'[3]BASE MC'!J:P,7,0)</f>
        <v>#N/A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14.4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0</v>
      </c>
      <c r="T2176" s="13" t="e">
        <f>VLOOKUP(H2176,'[3]BASE MC'!J:P,7,0)</f>
        <v>#N/A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0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57.6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0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0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0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113.76</v>
      </c>
      <c r="R2197" s="14">
        <v>0</v>
      </c>
      <c r="S2197" s="14">
        <v>113.76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0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97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0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0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6289.4800000000005</v>
      </c>
      <c r="R2206" s="14">
        <v>0</v>
      </c>
      <c r="S2206" s="14">
        <v>6289.4800000000005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2631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0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0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0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1212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0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96</v>
      </c>
      <c r="R2235" s="14">
        <v>0</v>
      </c>
      <c r="S2235" s="14">
        <v>96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0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104.4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107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20</v>
      </c>
      <c r="T2241" s="13" t="e">
        <f>VLOOKUP(H2241,'[3]BASE MC'!J:P,7,0)</f>
        <v>#N/A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 t="e">
        <f>VLOOKUP(H2242,'[3]BASE MC'!J:P,7,0)</f>
        <v>#N/A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 t="e">
        <f>VLOOKUP(H2243,'[3]BASE MC'!J:P,7,0)</f>
        <v>#N/A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</v>
      </c>
      <c r="T2244" s="13" t="e">
        <f>VLOOKUP(H2244,'[3]BASE MC'!J:P,7,0)</f>
        <v>#N/A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70</v>
      </c>
      <c r="R2245" s="14">
        <v>0</v>
      </c>
      <c r="S2245" s="14">
        <v>70</v>
      </c>
      <c r="T2245" s="13" t="e">
        <f>VLOOKUP(H2245,'[3]BASE MC'!J:P,7,0)</f>
        <v>#N/A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0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0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360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0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0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36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24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0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0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72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60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0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0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36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36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0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444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60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0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96</v>
      </c>
      <c r="R2274" s="14">
        <v>0</v>
      </c>
      <c r="S2274" s="14">
        <v>96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302.54000000000002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10.8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4.08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4.08</v>
      </c>
      <c r="R2283" s="14">
        <v>0</v>
      </c>
      <c r="S2283" s="14">
        <v>4.08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 t="e">
        <f>VLOOKUP(H2284,'[3]BASE MC'!J:P,7,0)</f>
        <v>#N/A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5</v>
      </c>
      <c r="T2285" s="13" t="e">
        <f>VLOOKUP(H2285,'[3]BASE MC'!J:P,7,0)</f>
        <v>#N/A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0</v>
      </c>
      <c r="T2286" s="13" t="e">
        <f>VLOOKUP(H2286,'[3]BASE MC'!J:P,7,0)</f>
        <v>#N/A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0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 t="e">
        <f>VLOOKUP(H2288,'[3]BASE MC'!J:P,7,0)</f>
        <v>#N/A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400</v>
      </c>
      <c r="R2290" s="14">
        <v>0</v>
      </c>
      <c r="S2290" s="14">
        <v>400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0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83200</v>
      </c>
      <c r="R2294" s="14">
        <v>0</v>
      </c>
      <c r="S2294" s="14">
        <v>83200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 t="e">
        <f>VLOOKUP(H2295,'[3]BASE MC'!J:P,7,0)</f>
        <v>#N/A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0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174</v>
      </c>
      <c r="R2298" s="14">
        <v>0</v>
      </c>
      <c r="S2298" s="14">
        <v>174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9.8000000000000007</v>
      </c>
      <c r="R2299" s="14">
        <v>0</v>
      </c>
      <c r="S2299" s="14">
        <v>9.8000000000000007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1035</v>
      </c>
      <c r="R2301" s="14">
        <v>0</v>
      </c>
      <c r="S2301" s="14">
        <v>1035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0</v>
      </c>
      <c r="T2302" s="13" t="e">
        <f>VLOOKUP(H2302,'[3]BASE MC'!J:P,7,0)</f>
        <v>#N/A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0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3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105.12</v>
      </c>
      <c r="R2305" s="14">
        <v>0</v>
      </c>
      <c r="S2305" s="14">
        <v>105.12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0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30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0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19.600000000000001</v>
      </c>
      <c r="R2314" s="14">
        <v>0</v>
      </c>
      <c r="S2314" s="14">
        <v>19.600000000000001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14.994999999999999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0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0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49.2</v>
      </c>
      <c r="R2324" s="14">
        <v>0</v>
      </c>
      <c r="S2324" s="14">
        <v>49.2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0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0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12</v>
      </c>
      <c r="R2329" s="14">
        <v>0</v>
      </c>
      <c r="S2329" s="14">
        <v>12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0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0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 t="e">
        <f>VLOOKUP(H2338,'[3]BASE MC'!J:P,7,0)</f>
        <v>#N/A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6</v>
      </c>
      <c r="R2339" s="14">
        <v>0</v>
      </c>
      <c r="S2339" s="14">
        <v>6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180</v>
      </c>
      <c r="R2340" s="14">
        <v>0</v>
      </c>
      <c r="S2340" s="14">
        <v>180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0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6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0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0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0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8.64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0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0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0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0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 t="e">
        <f>VLOOKUP(H2352,'[3]BASE MC'!J:P,7,0)</f>
        <v>#N/A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216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120</v>
      </c>
      <c r="R2356" s="14">
        <v>0</v>
      </c>
      <c r="S2356" s="14">
        <v>120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0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0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 t="e">
        <f>VLOOKUP(H2360,'[3]BASE MC'!J:P,7,0)</f>
        <v>#N/A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100</v>
      </c>
      <c r="R2363" s="14">
        <v>0</v>
      </c>
      <c r="S2363" s="14">
        <v>100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84</v>
      </c>
      <c r="R2364" s="14">
        <v>0</v>
      </c>
      <c r="S2364" s="14">
        <v>84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0</v>
      </c>
      <c r="T2366" s="13" t="e">
        <f>VLOOKUP(H2366,'[3]BASE MC'!J:P,7,0)</f>
        <v>#N/A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54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0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4.4800000000000004</v>
      </c>
      <c r="R2372" s="14">
        <v>0</v>
      </c>
      <c r="S2372" s="14">
        <v>4.4800000000000004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0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144</v>
      </c>
      <c r="R2379" s="14">
        <v>0</v>
      </c>
      <c r="S2379" s="14">
        <v>144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108</v>
      </c>
      <c r="R2380" s="14">
        <v>0</v>
      </c>
      <c r="S2380" s="14">
        <v>108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3</v>
      </c>
      <c r="R2384" s="14">
        <v>0</v>
      </c>
      <c r="S2384" s="14">
        <v>3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12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5</v>
      </c>
      <c r="R2393" s="14">
        <v>0</v>
      </c>
      <c r="S2393" s="14">
        <v>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 t="e">
        <f>VLOOKUP(H2394,'[3]BASE MC'!J:P,7,0)</f>
        <v>#N/A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0</v>
      </c>
      <c r="T2395" s="13" t="e">
        <f>VLOOKUP(H2395,'[3]BASE MC'!J:P,7,0)</f>
        <v>#N/A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0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0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0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13.44</v>
      </c>
      <c r="R2402" s="14">
        <v>0</v>
      </c>
      <c r="S2402" s="14">
        <v>13.44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14.4</v>
      </c>
      <c r="R2405" s="14">
        <v>0</v>
      </c>
      <c r="S2405" s="14">
        <v>14.4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60</v>
      </c>
      <c r="R2406" s="14">
        <v>0</v>
      </c>
      <c r="S2406" s="14">
        <v>60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5.73</v>
      </c>
      <c r="R2411" s="14">
        <v>0</v>
      </c>
      <c r="S2411" s="14">
        <v>5.73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0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132</v>
      </c>
      <c r="R2415" s="14">
        <v>0</v>
      </c>
      <c r="S2415" s="14">
        <v>132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0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0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18.96</v>
      </c>
      <c r="R2419" s="14">
        <v>0</v>
      </c>
      <c r="S2419" s="14">
        <v>18.96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120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0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0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48</v>
      </c>
      <c r="R2429" s="14">
        <v>0</v>
      </c>
      <c r="S2429" s="14">
        <v>48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0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0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0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0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10.8</v>
      </c>
      <c r="R2456" s="14">
        <v>0</v>
      </c>
      <c r="S2456" s="14">
        <v>10.8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0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612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-55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</v>
      </c>
      <c r="T2463" s="13" t="e">
        <f>VLOOKUP(H2463,'[3]BASE MC'!J:P,7,0)</f>
        <v>#N/A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0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21.6</v>
      </c>
      <c r="R2467" s="14">
        <v>0</v>
      </c>
      <c r="S2467" s="14">
        <v>21.6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4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0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9.6</v>
      </c>
      <c r="R2470" s="14">
        <v>0</v>
      </c>
      <c r="S2470" s="14">
        <v>9.6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0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</v>
      </c>
      <c r="T2472" s="13" t="e">
        <f>VLOOKUP(H2472,'[3]BASE MC'!J:P,7,0)</f>
        <v>#N/A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100</v>
      </c>
      <c r="R2475" s="14">
        <v>0</v>
      </c>
      <c r="S2475" s="14">
        <v>100</v>
      </c>
      <c r="T2475" s="13" t="e">
        <f>VLOOKUP(H2475,'[3]BASE MC'!J:P,7,0)</f>
        <v>#N/A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200</v>
      </c>
      <c r="R2478" s="14">
        <v>0</v>
      </c>
      <c r="S2478" s="14">
        <v>200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20</v>
      </c>
      <c r="R2480" s="14">
        <v>0</v>
      </c>
      <c r="S2480" s="14">
        <v>20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0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0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0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0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20</v>
      </c>
      <c r="T2485" s="13" t="e">
        <f>VLOOKUP(H2485,'[3]BASE MC'!J:P,7,0)</f>
        <v>#N/A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0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0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0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0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0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224.4</v>
      </c>
      <c r="R2494" s="14">
        <v>0</v>
      </c>
      <c r="S2494" s="14">
        <v>600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5759.1</v>
      </c>
      <c r="R2495" s="14">
        <v>0</v>
      </c>
      <c r="S2495" s="14">
        <v>5759.1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 t="e">
        <f>VLOOKUP(H2497,'[3]BASE MC'!J:P,7,0)</f>
        <v>#N/A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0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10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48</v>
      </c>
      <c r="R2507" s="14">
        <v>0</v>
      </c>
      <c r="S2507" s="14">
        <v>48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0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0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25</v>
      </c>
      <c r="R2511" s="14">
        <v>0</v>
      </c>
      <c r="S2511" s="14">
        <v>25</v>
      </c>
      <c r="T2511" s="13" t="e">
        <f>VLOOKUP(H2511,'[3]BASE MC'!J:P,7,0)</f>
        <v>#N/A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0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0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0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0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0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0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0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72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0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0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0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0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156</v>
      </c>
      <c r="R2532" s="14">
        <v>0</v>
      </c>
      <c r="S2532" s="14">
        <v>156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0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0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0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0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0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11.298999999999999</v>
      </c>
      <c r="R2538" s="14">
        <v>0</v>
      </c>
      <c r="S2538" s="14">
        <v>11.298999999999999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0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0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0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0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0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0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2.4</v>
      </c>
      <c r="R2554" s="14">
        <v>0</v>
      </c>
      <c r="S2554" s="14">
        <v>2.4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0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12500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 t="e">
        <f>VLOOKUP(H2561,'[3]BASE MC'!J:P,7,0)</f>
        <v>#N/A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 t="e">
        <f>VLOOKUP(H2562,'[3]BASE MC'!J:P,7,0)</f>
        <v>#N/A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10</v>
      </c>
      <c r="R2564" s="14">
        <v>0</v>
      </c>
      <c r="S2564" s="14">
        <v>10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7902.72</v>
      </c>
      <c r="R2565" s="14">
        <v>0</v>
      </c>
      <c r="S2565" s="14">
        <v>8286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11.71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0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12.96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 t="e">
        <f>VLOOKUP(H2579,'[3]BASE MC'!J:P,7,0)</f>
        <v>#N/A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0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7692</v>
      </c>
      <c r="R2582" s="14">
        <v>0</v>
      </c>
      <c r="S2582" s="14">
        <v>7692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5.8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0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17708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7136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1.92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125</v>
      </c>
      <c r="R2597" s="14">
        <v>0</v>
      </c>
      <c r="S2597" s="14">
        <v>125</v>
      </c>
      <c r="T2597" s="13" t="e">
        <f>VLOOKUP(H2597,'[3]BASE MC'!J:P,7,0)</f>
        <v>#N/A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540</v>
      </c>
      <c r="R2598" s="14">
        <v>0</v>
      </c>
      <c r="S2598" s="14">
        <v>540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0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180</v>
      </c>
      <c r="R2601" s="14">
        <v>0</v>
      </c>
      <c r="S2601" s="14">
        <v>180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50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0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-1.6</v>
      </c>
      <c r="R2608" s="14">
        <v>0</v>
      </c>
      <c r="S2608" s="14">
        <v>575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0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168</v>
      </c>
      <c r="R2613" s="14">
        <v>0</v>
      </c>
      <c r="S2613" s="14">
        <v>168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0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0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19.2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0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0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0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0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0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0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96</v>
      </c>
      <c r="R2645" s="14">
        <v>0</v>
      </c>
      <c r="S2645" s="14">
        <v>96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0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0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24</v>
      </c>
      <c r="R2649" s="14">
        <v>0</v>
      </c>
      <c r="S2649" s="14">
        <v>24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0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10</v>
      </c>
      <c r="R2651" s="14">
        <v>0</v>
      </c>
      <c r="S2651" s="14">
        <v>10</v>
      </c>
      <c r="T2651" s="13" t="e">
        <f>VLOOKUP(H2651,'[3]BASE MC'!J:P,7,0)</f>
        <v>#N/A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0</v>
      </c>
      <c r="T2652" s="13" t="e">
        <f>VLOOKUP(H2652,'[3]BASE MC'!J:P,7,0)</f>
        <v>#N/A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48</v>
      </c>
      <c r="R2653" s="14">
        <v>0</v>
      </c>
      <c r="S2653" s="14">
        <v>48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0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0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0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0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21.6</v>
      </c>
      <c r="R2661" s="14">
        <v>0</v>
      </c>
      <c r="S2661" s="14">
        <v>21.6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0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0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0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0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120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46900</v>
      </c>
      <c r="R2670" s="14">
        <v>0</v>
      </c>
      <c r="S2670" s="14">
        <v>46900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 t="e">
        <f>VLOOKUP(H2671,'[3]BASE MC'!J:P,7,0)</f>
        <v>#N/A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0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0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0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120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0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0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0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0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0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35.230000000000004</v>
      </c>
      <c r="R2690" s="14">
        <v>0</v>
      </c>
      <c r="S2690" s="14">
        <v>35.230000000000004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0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3000</v>
      </c>
      <c r="R2696" s="14">
        <v>0</v>
      </c>
      <c r="S2696" s="14">
        <v>3000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0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</v>
      </c>
      <c r="T2701" s="13" t="e">
        <f>VLOOKUP(H2701,'[3]BASE MC'!J:P,7,0)</f>
        <v>#N/A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0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0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0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7.68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60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9</v>
      </c>
      <c r="R2715" s="14">
        <v>0</v>
      </c>
      <c r="S2715" s="14">
        <v>9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18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0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</v>
      </c>
      <c r="T2720" s="13" t="e">
        <f>VLOOKUP(H2720,'[3]BASE MC'!J:P,7,0)</f>
        <v>#N/A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0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0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0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0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700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100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0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0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0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1168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0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0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0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0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 t="e">
        <f>VLOOKUP(H2761,'[3]BASE MC'!J:P,7,0)</f>
        <v>#N/A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0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0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0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0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614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8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0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125000</v>
      </c>
      <c r="R2779" s="14">
        <v>0</v>
      </c>
      <c r="S2779" s="14">
        <v>125000</v>
      </c>
      <c r="T2779" s="13" t="e">
        <f>VLOOKUP(H2779,'[3]BASE MC'!J:P,7,0)</f>
        <v>#N/A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0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 t="e">
        <f>VLOOKUP(H2783,'[3]BASE MC'!J:P,7,0)</f>
        <v>#N/A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0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0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0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0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0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0</v>
      </c>
      <c r="T2794" s="13" t="e">
        <f>VLOOKUP(H2794,'[3]BASE MC'!J:P,7,0)</f>
        <v>#N/A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0</v>
      </c>
      <c r="T2795" s="13" t="e">
        <f>VLOOKUP(H2795,'[3]BASE MC'!J:P,7,0)</f>
        <v>#N/A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0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4.5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0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0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0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0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0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</v>
      </c>
      <c r="T2825" s="13" t="e">
        <f>VLOOKUP(H2825,'[3]BASE MC'!J:P,7,0)</f>
        <v>#N/A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0</v>
      </c>
      <c r="R2827" s="14">
        <v>0</v>
      </c>
      <c r="S2827" s="14">
        <v>3000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0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53.760000000000005</v>
      </c>
      <c r="R2835" s="14">
        <v>0</v>
      </c>
      <c r="S2835" s="14">
        <v>53.760000000000005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0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0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8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0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0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26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500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0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 t="e">
        <f>VLOOKUP(H2865,'[3]BASE MC'!J:P,7,0)</f>
        <v>#N/A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0</v>
      </c>
      <c r="T2866" s="13" t="e">
        <f>VLOOKUP(H2866,'[3]BASE MC'!J:P,7,0)</f>
        <v>#N/A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0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170</v>
      </c>
      <c r="R2869" s="14">
        <v>0</v>
      </c>
      <c r="S2869" s="14">
        <v>170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0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1710</v>
      </c>
      <c r="R2872" s="14">
        <v>0</v>
      </c>
      <c r="S2872" s="14">
        <v>1710</v>
      </c>
      <c r="T2872" s="13" t="e">
        <f>VLOOKUP(H2872,'[3]BASE MC'!J:P,7,0)</f>
        <v>#N/A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0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36.799999999999997</v>
      </c>
      <c r="R2874" s="14">
        <v>0</v>
      </c>
      <c r="S2874" s="14">
        <v>36.799999999999997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0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7.8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349.92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40.5</v>
      </c>
      <c r="R2882" s="14">
        <v>0</v>
      </c>
      <c r="S2882" s="14">
        <v>40.5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</v>
      </c>
      <c r="R2883" s="14">
        <v>0</v>
      </c>
      <c r="S2883" s="14">
        <v>27.9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36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0</v>
      </c>
      <c r="T2889" s="13" t="e">
        <f>VLOOKUP(H2889,'[3]BASE MC'!J:P,7,0)</f>
        <v>#N/A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0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0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0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0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0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755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72</v>
      </c>
      <c r="R2904" s="14">
        <v>0</v>
      </c>
      <c r="S2904" s="14">
        <v>72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237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12</v>
      </c>
      <c r="R2906" s="14">
        <v>0</v>
      </c>
      <c r="S2906" s="14">
        <v>12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0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0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25</v>
      </c>
      <c r="R2913" s="14">
        <v>0</v>
      </c>
      <c r="S2913" s="14">
        <v>25</v>
      </c>
      <c r="T2913" s="13" t="e">
        <f>VLOOKUP(H2913,'[3]BASE MC'!J:P,7,0)</f>
        <v>#N/A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197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26.12</v>
      </c>
      <c r="R2917" s="14">
        <v>0</v>
      </c>
      <c r="S2917" s="14">
        <v>26.12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0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0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0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0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0</v>
      </c>
      <c r="T2925" s="13" t="e">
        <f>VLOOKUP(H2925,'[3]BASE MC'!J:P,7,0)</f>
        <v>#N/A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6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0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0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 t="e">
        <f>VLOOKUP(H2931,'[3]BASE MC'!J:P,7,0)</f>
        <v>#N/A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0</v>
      </c>
      <c r="T2932" s="13" t="e">
        <f>VLOOKUP(H2932,'[3]BASE MC'!J:P,7,0)</f>
        <v>#N/A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970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0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0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312</v>
      </c>
      <c r="R2954" s="14">
        <v>0</v>
      </c>
      <c r="S2954" s="14">
        <v>312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0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174.8</v>
      </c>
      <c r="R2966" s="14">
        <v>0</v>
      </c>
      <c r="S2966" s="14">
        <v>174.8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138</v>
      </c>
      <c r="R2967" s="14">
        <v>0</v>
      </c>
      <c r="S2967" s="14">
        <v>138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0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0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0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0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 t="e">
        <f>VLOOKUP(H2981,'[3]BASE MC'!J:P,7,0)</f>
        <v>#N/A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0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0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19.2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60</v>
      </c>
      <c r="T2987" s="13" t="e">
        <f>VLOOKUP(H2987,'[3]BASE MC'!J:P,7,0)</f>
        <v>#N/A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55.2</v>
      </c>
      <c r="R2988" s="14">
        <v>0</v>
      </c>
      <c r="S2988" s="14">
        <v>55.2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14.4</v>
      </c>
      <c r="R2989" s="14">
        <v>0</v>
      </c>
      <c r="S2989" s="14">
        <v>14.4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14.4</v>
      </c>
      <c r="R2990" s="14">
        <v>0</v>
      </c>
      <c r="S2990" s="14">
        <v>14.4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0</v>
      </c>
      <c r="T2991" s="13" t="e">
        <f>VLOOKUP(H2991,'[3]BASE MC'!J:P,7,0)</f>
        <v>#N/A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125</v>
      </c>
      <c r="R2993" s="14">
        <v>0</v>
      </c>
      <c r="S2993" s="14">
        <v>125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9.6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0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600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24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0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0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0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0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 t="e">
        <f>VLOOKUP(H3011,'[3]BASE MC'!J:P,7,0)</f>
        <v>#N/A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204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tr">
        <f>VLOOKUP(F3020,'[1]BASE DE CLIENTES'!$B:$G,6,0)</f>
        <v>RS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tr">
        <f>VLOOKUP(F3021,'[1]BASE DE CLIENTES'!$B:$G,6,0)</f>
        <v>PR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tr">
        <f>VLOOKUP(F3022,'[1]BASE DE CLIENTES'!$B:$G,6,0)</f>
        <v>BA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tr">
        <f>VLOOKUP(F3023,'[1]BASE DE CLIENTES'!$B:$G,6,0)</f>
        <v>GO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tr">
        <f>VLOOKUP(F3024,'[1]BASE DE CLIENTES'!$B:$G,6,0)</f>
        <v>SP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tr">
        <f>VLOOKUP(F3025,'[1]BASE DE CLIENTES'!$B:$G,6,0)</f>
        <v>BA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tr">
        <f>VLOOKUP(F3026,'[1]BASE DE CLIENTES'!$B:$G,6,0)</f>
        <v>GO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tr">
        <f>VLOOKUP(F3027,'[1]BASE DE CLIENTES'!$B:$G,6,0)</f>
        <v>BA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tr">
        <f>VLOOKUP(F3028,'[1]BASE DE CLIENTES'!$B:$G,6,0)</f>
        <v>PR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tr">
        <f>VLOOKUP(F3029,'[1]BASE DE CLIENTES'!$B:$G,6,0)</f>
        <v>PR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tr">
        <f>VLOOKUP(F3030,'[1]BASE DE CLIENTES'!$B:$G,6,0)</f>
        <v>SP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tr">
        <f>VLOOKUP(F3031,'[1]BASE DE CLIENTES'!$B:$G,6,0)</f>
        <v>SP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0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tr">
        <f>VLOOKUP(F3032,'[1]BASE DE CLIENTES'!$B:$G,6,0)</f>
        <v>SP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0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0</v>
      </c>
      <c r="T3038" s="13" t="e">
        <f>VLOOKUP(H3038,'[3]BASE MC'!J:P,7,0)</f>
        <v>#N/A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0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11.52</v>
      </c>
      <c r="R3041" s="14">
        <v>0</v>
      </c>
      <c r="S3041" s="14">
        <v>11.52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144</v>
      </c>
      <c r="R3043" s="14">
        <v>0</v>
      </c>
      <c r="S3043" s="14">
        <v>144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0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0</v>
      </c>
      <c r="T3045" s="13" t="e">
        <f>VLOOKUP(H3045,'[3]BASE MC'!J:P,7,0)</f>
        <v>#N/A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0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10.8</v>
      </c>
      <c r="R3050" s="14">
        <v>0</v>
      </c>
      <c r="S3050" s="14">
        <v>10.8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70</v>
      </c>
      <c r="R3051" s="14">
        <v>0</v>
      </c>
      <c r="S3051" s="14">
        <v>70</v>
      </c>
      <c r="T3051" s="13" t="e">
        <f>VLOOKUP(H3051,'[3]BASE MC'!J:P,7,0)</f>
        <v>#N/A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600</v>
      </c>
      <c r="R3053" s="14">
        <v>0</v>
      </c>
      <c r="S3053" s="14">
        <v>600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 t="e">
        <f>VLOOKUP(H3055,'[3]BASE MC'!J:P,7,0)</f>
        <v>#N/A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0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0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115.2</v>
      </c>
      <c r="R3061" s="14">
        <v>0</v>
      </c>
      <c r="S3061" s="14">
        <v>115.2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0</v>
      </c>
      <c r="T3063" s="13" t="e">
        <f>VLOOKUP(H3063,'[3]BASE MC'!J:P,7,0)</f>
        <v>#N/A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0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0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 t="e">
        <f>VLOOKUP(H3067,'[3]BASE MC'!J:P,7,0)</f>
        <v>#N/A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 t="e">
        <f>VLOOKUP(H3068,'[3]BASE MC'!J:P,7,0)</f>
        <v>#N/A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40</v>
      </c>
      <c r="R3075" s="14">
        <v>0</v>
      </c>
      <c r="S3075" s="14">
        <v>40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242.4</v>
      </c>
      <c r="R3076" s="14">
        <v>0</v>
      </c>
      <c r="S3076" s="14">
        <v>242.4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900</v>
      </c>
      <c r="R3077" s="14">
        <v>0</v>
      </c>
      <c r="S3077" s="14">
        <v>900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0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0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0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120</v>
      </c>
      <c r="R3082" s="14">
        <v>0</v>
      </c>
      <c r="S3082" s="14">
        <v>120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48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0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252.9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0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0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3</v>
      </c>
      <c r="R3089" s="14">
        <v>0</v>
      </c>
      <c r="S3089" s="14">
        <v>3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19.68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0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117.15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0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0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0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11518.2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0</v>
      </c>
      <c r="T3114" s="13" t="e">
        <f>VLOOKUP(H3114,'[3]BASE MC'!J:P,7,0)</f>
        <v>#N/A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10905</v>
      </c>
      <c r="R3115" s="14">
        <v>0</v>
      </c>
      <c r="S3115" s="14">
        <v>15000</v>
      </c>
      <c r="T3115" s="13" t="e">
        <f>VLOOKUP(H3115,'[3]BASE MC'!J:P,7,0)</f>
        <v>#N/A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0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57.040000000000006</v>
      </c>
      <c r="R3119" s="14">
        <v>0</v>
      </c>
      <c r="S3119" s="14">
        <v>57.040000000000006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53.76</v>
      </c>
      <c r="R3120" s="14">
        <v>0</v>
      </c>
      <c r="S3120" s="14">
        <v>53.76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0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0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0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204</v>
      </c>
      <c r="R3140" s="14">
        <v>0</v>
      </c>
      <c r="S3140" s="14">
        <v>204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 t="e">
        <f>VLOOKUP(H3143,'[3]BASE MC'!J:P,7,0)</f>
        <v>#N/A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250</v>
      </c>
      <c r="R3149" s="14">
        <v>0</v>
      </c>
      <c r="S3149" s="14">
        <v>625</v>
      </c>
      <c r="T3149" s="13" t="e">
        <f>VLOOKUP(H3149,'[3]BASE MC'!J:P,7,0)</f>
        <v>#N/A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0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15.000000000000002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61488</v>
      </c>
      <c r="R3154" s="14">
        <v>0</v>
      </c>
      <c r="S3154" s="14">
        <v>61488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120</v>
      </c>
      <c r="R3155" s="14">
        <v>0</v>
      </c>
      <c r="S3155" s="14">
        <v>120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144000</v>
      </c>
      <c r="R3158" s="14">
        <v>0</v>
      </c>
      <c r="S3158" s="14">
        <v>144000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0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0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 t="e">
        <f>VLOOKUP(H3170,'[3]BASE MC'!J:P,7,0)</f>
        <v>#N/A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15</v>
      </c>
      <c r="T3171" s="13" t="e">
        <f>VLOOKUP(H3171,'[3]BASE MC'!J:P,7,0)</f>
        <v>#N/A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0</v>
      </c>
      <c r="T3172" s="13" t="e">
        <f>VLOOKUP(H3172,'[3]BASE MC'!J:P,7,0)</f>
        <v>#N/A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0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0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925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24.24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150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0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0</v>
      </c>
      <c r="T3182" s="13" t="e">
        <f>VLOOKUP(H3182,'[3]BASE MC'!J:P,7,0)</f>
        <v>#N/A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0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200</v>
      </c>
      <c r="R3192" s="14">
        <v>0</v>
      </c>
      <c r="S3192" s="14">
        <v>200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20</v>
      </c>
      <c r="R3194" s="14">
        <v>0</v>
      </c>
      <c r="S3194" s="14">
        <v>20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150</v>
      </c>
      <c r="R3199" s="14">
        <v>0</v>
      </c>
      <c r="S3199" s="14">
        <v>150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10524</v>
      </c>
      <c r="R3210" s="14">
        <v>0</v>
      </c>
      <c r="S3210" s="14">
        <v>10524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0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0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0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78.240000000000009</v>
      </c>
      <c r="R3222" s="14">
        <v>0</v>
      </c>
      <c r="S3222" s="14">
        <v>78.240000000000009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0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0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32.4</v>
      </c>
      <c r="R3227" s="14">
        <v>0</v>
      </c>
      <c r="S3227" s="14">
        <v>32.4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0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180</v>
      </c>
      <c r="R3229" s="14">
        <v>0</v>
      </c>
      <c r="S3229" s="14">
        <v>180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36</v>
      </c>
      <c r="R3230" s="14">
        <v>0</v>
      </c>
      <c r="S3230" s="14">
        <v>36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120</v>
      </c>
      <c r="R3231" s="14">
        <v>0</v>
      </c>
      <c r="S3231" s="14">
        <v>120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72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0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0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0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0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0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0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204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36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0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0</v>
      </c>
      <c r="T3249" s="13" t="e">
        <f>VLOOKUP(H3249,'[3]BASE MC'!J:P,7,0)</f>
        <v>#N/A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 t="e">
        <f>VLOOKUP(H3250,'[3]BASE MC'!J:P,7,0)</f>
        <v>#N/A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5</v>
      </c>
      <c r="R3251" s="14">
        <v>0</v>
      </c>
      <c r="S3251" s="14">
        <v>5</v>
      </c>
      <c r="T3251" s="13" t="e">
        <f>VLOOKUP(H3251,'[3]BASE MC'!J:P,7,0)</f>
        <v>#N/A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0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0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13.5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0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0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0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316.05</v>
      </c>
      <c r="R3259" s="14">
        <v>0</v>
      </c>
      <c r="S3259" s="14">
        <v>316.05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0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0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4.8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0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0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0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0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0</v>
      </c>
      <c r="T3273" s="13" t="e">
        <f>VLOOKUP(H3273,'[3]BASE MC'!J:P,7,0)</f>
        <v>#N/A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0</v>
      </c>
      <c r="T3274" s="13" t="e">
        <f>VLOOKUP(H3274,'[3]BASE MC'!J:P,7,0)</f>
        <v>#N/A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0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0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111.36</v>
      </c>
      <c r="R3280" s="14">
        <v>0</v>
      </c>
      <c r="S3280" s="14">
        <v>111.36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0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0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204</v>
      </c>
      <c r="R3283" s="14">
        <v>0</v>
      </c>
      <c r="S3283" s="14">
        <v>204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96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60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0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0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60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 t="e">
        <f>VLOOKUP(H3290,'[3]BASE MC'!J:P,7,0)</f>
        <v>#N/A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 t="e">
        <f>VLOOKUP(H3291,'[3]BASE MC'!J:P,7,0)</f>
        <v>#N/A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3895</v>
      </c>
      <c r="R3292" s="14">
        <v>0</v>
      </c>
      <c r="S3292" s="14">
        <v>3895</v>
      </c>
      <c r="T3292" s="13" t="e">
        <f>VLOOKUP(H3292,'[3]BASE MC'!J:P,7,0)</f>
        <v>#N/A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0</v>
      </c>
      <c r="T3293" s="13" t="e">
        <f>VLOOKUP(H3293,'[3]BASE MC'!J:P,7,0)</f>
        <v>#N/A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12.847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80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540</v>
      </c>
      <c r="R3297" s="14">
        <v>0</v>
      </c>
      <c r="S3297" s="14">
        <v>540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3.84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27</v>
      </c>
      <c r="R3300" s="14">
        <v>0</v>
      </c>
      <c r="S3300" s="14">
        <v>27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0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0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0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144</v>
      </c>
      <c r="R3304" s="14">
        <v>0</v>
      </c>
      <c r="S3304" s="14">
        <v>144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36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0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25000</v>
      </c>
      <c r="T3307" s="13" t="e">
        <f>VLOOKUP(H3307,'[3]BASE MC'!J:P,7,0)</f>
        <v>#N/A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0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0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0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 t="e">
        <f>VLOOKUP(H3321,'[3]BASE MC'!J:P,7,0)</f>
        <v>#N/A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 t="e">
        <f>VLOOKUP(H3327,'[3]BASE MC'!J:P,7,0)</f>
        <v>#N/A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 t="e">
        <f>VLOOKUP(H3335,'[3]BASE MC'!J:P,7,0)</f>
        <v>#N/A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 t="e">
        <f>VLOOKUP(H3344,'[3]BASE MC'!J:P,7,0)</f>
        <v>#N/A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0</v>
      </c>
      <c r="R3348" s="14">
        <v>0</v>
      </c>
      <c r="S3348" s="14">
        <v>242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96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12</v>
      </c>
      <c r="R3352" s="14">
        <v>0</v>
      </c>
      <c r="S3352" s="14">
        <v>12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0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80</v>
      </c>
      <c r="T3354" s="13" t="e">
        <f>VLOOKUP(H3354,'[3]BASE MC'!J:P,7,0)</f>
        <v>#N/A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108</v>
      </c>
      <c r="R3355" s="14">
        <v>0</v>
      </c>
      <c r="S3355" s="14">
        <v>108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120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36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60</v>
      </c>
      <c r="R3359" s="14">
        <v>0</v>
      </c>
      <c r="S3359" s="14">
        <v>60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240</v>
      </c>
      <c r="R3360" s="14">
        <v>0</v>
      </c>
      <c r="S3360" s="14">
        <v>240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0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 t="e">
        <f>VLOOKUP(H3363,'[3]BASE MC'!J:P,7,0)</f>
        <v>#N/A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0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 t="e">
        <f>VLOOKUP(H3366,'[3]BASE MC'!J:P,7,0)</f>
        <v>#N/A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0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400</v>
      </c>
      <c r="R3371" s="14">
        <v>0</v>
      </c>
      <c r="S3371" s="14">
        <v>400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0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0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43650</v>
      </c>
      <c r="R3390" s="14">
        <v>0</v>
      </c>
      <c r="S3390" s="14">
        <v>43650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1.92</v>
      </c>
      <c r="R3392" s="14">
        <v>0</v>
      </c>
      <c r="S3392" s="14">
        <v>1.92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8.16</v>
      </c>
      <c r="R3393" s="14">
        <v>0</v>
      </c>
      <c r="S3393" s="14">
        <v>8.16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0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27</v>
      </c>
      <c r="R3395" s="14">
        <v>0</v>
      </c>
      <c r="S3395" s="14">
        <v>27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0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0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-36</v>
      </c>
      <c r="R3400" s="14">
        <v>0</v>
      </c>
      <c r="S3400" s="14">
        <v>0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36</v>
      </c>
      <c r="R3401" s="14">
        <v>0</v>
      </c>
      <c r="S3401" s="14">
        <v>36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0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48</v>
      </c>
      <c r="R3403" s="14">
        <v>0</v>
      </c>
      <c r="S3403" s="14">
        <v>48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0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30</v>
      </c>
      <c r="R3405" s="14">
        <v>0</v>
      </c>
      <c r="S3405" s="14">
        <v>30</v>
      </c>
      <c r="T3405" s="13" t="e">
        <f>VLOOKUP(H3405,'[3]BASE MC'!J:P,7,0)</f>
        <v>#N/A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0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0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0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147.19999999999999</v>
      </c>
      <c r="R3412" s="14">
        <v>0</v>
      </c>
      <c r="S3412" s="14">
        <v>147.19999999999999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0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0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0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240</v>
      </c>
      <c r="R3416" s="14">
        <v>0</v>
      </c>
      <c r="S3416" s="14">
        <v>240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0</v>
      </c>
      <c r="T3417" s="13" t="e">
        <f>VLOOKUP(H3417,'[3]BASE MC'!J:P,7,0)</f>
        <v>#N/A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71.400000000000006</v>
      </c>
      <c r="R3418" s="14">
        <v>0</v>
      </c>
      <c r="S3418" s="14">
        <v>71.400000000000006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33.6</v>
      </c>
      <c r="R3419" s="14">
        <v>0</v>
      </c>
      <c r="S3419" s="14">
        <v>33.6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36.36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1.92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0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0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72000</v>
      </c>
      <c r="R3430" s="14">
        <v>0</v>
      </c>
      <c r="S3430" s="14">
        <v>72000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0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11.59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24823.099000000002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4.8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0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24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6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15.36</v>
      </c>
      <c r="R3445" s="14">
        <v>0</v>
      </c>
      <c r="S3445" s="14">
        <v>15.36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0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0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36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0</v>
      </c>
      <c r="T3451" s="13" t="e">
        <f>VLOOKUP(H3451,'[3]BASE MC'!J:P,7,0)</f>
        <v>#N/A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18.399999999999999</v>
      </c>
      <c r="R3455" s="14">
        <v>0</v>
      </c>
      <c r="S3455" s="14">
        <v>18.399999999999999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0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312</v>
      </c>
      <c r="R3462" s="14">
        <v>0</v>
      </c>
      <c r="S3462" s="14">
        <v>312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0</v>
      </c>
      <c r="T3464" s="13" t="e">
        <f>VLOOKUP(H3464,'[3]BASE MC'!J:P,7,0)</f>
        <v>#N/A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0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0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76515.840000000011</v>
      </c>
      <c r="R3476" s="14">
        <v>0</v>
      </c>
      <c r="S3476" s="14">
        <v>76515.840000000011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0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0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0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0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84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96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120</v>
      </c>
      <c r="R3496" s="14">
        <v>0</v>
      </c>
      <c r="S3496" s="14">
        <v>120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0</v>
      </c>
      <c r="T3497" s="13" t="e">
        <f>VLOOKUP(H3497,'[3]BASE MC'!J:P,7,0)</f>
        <v>#N/A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250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0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0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0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48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10.8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0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100</v>
      </c>
      <c r="R3513" s="14">
        <v>0</v>
      </c>
      <c r="S3513" s="14">
        <v>100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1300</v>
      </c>
      <c r="R3516" s="14">
        <v>0</v>
      </c>
      <c r="S3516" s="14">
        <v>1300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24.48</v>
      </c>
      <c r="R3518" s="14">
        <v>0</v>
      </c>
      <c r="S3518" s="14">
        <v>24.48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0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0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1038.9749999999999</v>
      </c>
      <c r="R3521" s="14">
        <v>0</v>
      </c>
      <c r="S3521" s="14">
        <v>1038.9749999999999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0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430.45</v>
      </c>
      <c r="R3524" s="14">
        <v>0</v>
      </c>
      <c r="S3524" s="14">
        <v>430.45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0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0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0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0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0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200</v>
      </c>
      <c r="R3538" s="14">
        <v>0</v>
      </c>
      <c r="S3538" s="14">
        <v>200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55.2</v>
      </c>
      <c r="R3539" s="14">
        <v>0</v>
      </c>
      <c r="S3539" s="14">
        <v>55.2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0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0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0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0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0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0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0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0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0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2120</v>
      </c>
      <c r="R3561" s="14">
        <v>0</v>
      </c>
      <c r="S3561" s="14">
        <v>2120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0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0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0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0</v>
      </c>
      <c r="T3567" s="13" t="e">
        <f>VLOOKUP(H3567,'[3]BASE MC'!J:P,7,0)</f>
        <v>#N/A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44.545000000000002</v>
      </c>
      <c r="R3569" s="14">
        <v>0</v>
      </c>
      <c r="S3569" s="14">
        <v>44.545000000000002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0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0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0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0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0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0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36.799999999999997</v>
      </c>
      <c r="R3586" s="14">
        <v>0</v>
      </c>
      <c r="S3586" s="14">
        <v>36.799999999999997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0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10</v>
      </c>
      <c r="R3589" s="14">
        <v>0</v>
      </c>
      <c r="S3589" s="14">
        <v>10</v>
      </c>
      <c r="T3589" s="13" t="e">
        <f>VLOOKUP(H3589,'[3]BASE MC'!J:P,7,0)</f>
        <v>#N/A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0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 t="e">
        <f>VLOOKUP(H3591,'[3]BASE MC'!J:P,7,0)</f>
        <v>#N/A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 t="e">
        <f>VLOOKUP(H3592,'[3]BASE MC'!J:P,7,0)</f>
        <v>#N/A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 t="e">
        <f>VLOOKUP(H3593,'[3]BASE MC'!J:P,7,0)</f>
        <v>#N/A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 t="e">
        <f>VLOOKUP(H3594,'[3]BASE MC'!J:P,7,0)</f>
        <v>#N/A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 t="e">
        <f>VLOOKUP(H3595,'[3]BASE MC'!J:P,7,0)</f>
        <v>#N/A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 t="e">
        <f>VLOOKUP(H3596,'[3]BASE MC'!J:P,7,0)</f>
        <v>#N/A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 t="e">
        <f>VLOOKUP(H3597,'[3]BASE MC'!J:P,7,0)</f>
        <v>#N/A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 t="e">
        <f>VLOOKUP(H3600,'[3]BASE MC'!J:P,7,0)</f>
        <v>#N/A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 t="e">
        <f>VLOOKUP(H3601,'[3]BASE MC'!J:P,7,0)</f>
        <v>#N/A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 t="e">
        <f>VLOOKUP(H3602,'[3]BASE MC'!J:P,7,0)</f>
        <v>#N/A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 t="e">
        <f>VLOOKUP(H3604,'[3]BASE MC'!J:P,7,0)</f>
        <v>#N/A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 t="e">
        <f>VLOOKUP(H3605,'[3]BASE MC'!J:P,7,0)</f>
        <v>#N/A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 t="e">
        <f>VLOOKUP(H3606,'[3]BASE MC'!J:P,7,0)</f>
        <v>#N/A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 t="e">
        <f>VLOOKUP(H3607,'[3]BASE MC'!J:P,7,0)</f>
        <v>#N/A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 t="e">
        <f>VLOOKUP(H3608,'[3]BASE MC'!J:P,7,0)</f>
        <v>#N/A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 t="e">
        <f>VLOOKUP(H3609,'[3]BASE MC'!J:P,7,0)</f>
        <v>#N/A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 t="e">
        <f>VLOOKUP(H3610,'[3]BASE MC'!J:P,7,0)</f>
        <v>#N/A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 t="e">
        <f>VLOOKUP(H3611,'[3]BASE MC'!J:P,7,0)</f>
        <v>#N/A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 t="e">
        <f>VLOOKUP(H3612,'[3]BASE MC'!J:P,7,0)</f>
        <v>#N/A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0</v>
      </c>
      <c r="T3613" s="13" t="e">
        <f>VLOOKUP(H3613,'[3]BASE MC'!J:P,7,0)</f>
        <v>#N/A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 t="e">
        <f>VLOOKUP(H3614,'[3]BASE MC'!J:P,7,0)</f>
        <v>#N/A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0</v>
      </c>
      <c r="T3615" s="13" t="e">
        <f>VLOOKUP(H3615,'[3]BASE MC'!J:P,7,0)</f>
        <v>#N/A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 t="e">
        <f>VLOOKUP(H3616,'[3]BASE MC'!J:P,7,0)</f>
        <v>#N/A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0</v>
      </c>
      <c r="T3619" s="13" t="e">
        <f>VLOOKUP(H3619,'[3]BASE MC'!J:P,7,0)</f>
        <v>#N/A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 t="e">
        <f>VLOOKUP(H3620,'[3]BASE MC'!J:P,7,0)</f>
        <v>#N/A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 t="e">
        <f>VLOOKUP(H3621,'[3]BASE MC'!J:P,7,0)</f>
        <v>#N/A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 t="e">
        <f>VLOOKUP(H3622,'[3]BASE MC'!J:P,7,0)</f>
        <v>#N/A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 t="e">
        <f>VLOOKUP(H3624,'[3]BASE MC'!J:P,7,0)</f>
        <v>#N/A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 t="e">
        <f>VLOOKUP(H3627,'[3]BASE MC'!J:P,7,0)</f>
        <v>#N/A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 t="e">
        <f>VLOOKUP(H3628,'[3]BASE MC'!J:P,7,0)</f>
        <v>#N/A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 t="e">
        <f>VLOOKUP(H3629,'[3]BASE MC'!J:P,7,0)</f>
        <v>#N/A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 t="e">
        <f>VLOOKUP(H3630,'[3]BASE MC'!J:P,7,0)</f>
        <v>#N/A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 t="e">
        <f>VLOOKUP(H3631,'[3]BASE MC'!J:P,7,0)</f>
        <v>#N/A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 t="e">
        <f>VLOOKUP(H3633,'[3]BASE MC'!J:P,7,0)</f>
        <v>#N/A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 t="e">
        <f>VLOOKUP(H3634,'[3]BASE MC'!J:P,7,0)</f>
        <v>#N/A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 t="e">
        <f>VLOOKUP(H3636,'[3]BASE MC'!J:P,7,0)</f>
        <v>#N/A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 t="e">
        <f>VLOOKUP(H3637,'[3]BASE MC'!J:P,7,0)</f>
        <v>#N/A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 t="e">
        <f>VLOOKUP(H3639,'[3]BASE MC'!J:P,7,0)</f>
        <v>#N/A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 t="e">
        <f>VLOOKUP(H3641,'[3]BASE MC'!J:P,7,0)</f>
        <v>#N/A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 t="e">
        <f>VLOOKUP(H3642,'[3]BASE MC'!J:P,7,0)</f>
        <v>#N/A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 t="e">
        <f>VLOOKUP(H3643,'[3]BASE MC'!J:P,7,0)</f>
        <v>#N/A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 t="e">
        <f>VLOOKUP(H3645,'[3]BASE MC'!J:P,7,0)</f>
        <v>#N/A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 t="e">
        <f>VLOOKUP(H3646,'[3]BASE MC'!J:P,7,0)</f>
        <v>#N/A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 t="e">
        <f>VLOOKUP(H3647,'[3]BASE MC'!J:P,7,0)</f>
        <v>#N/A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 t="e">
        <f>VLOOKUP(H3648,'[3]BASE MC'!J:P,7,0)</f>
        <v>#N/A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 t="e">
        <f>VLOOKUP(H3649,'[3]BASE MC'!J:P,7,0)</f>
        <v>#N/A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 t="e">
        <f>VLOOKUP(H3650,'[3]BASE MC'!J:P,7,0)</f>
        <v>#N/A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 t="e">
        <f>VLOOKUP(H3651,'[3]BASE MC'!J:P,7,0)</f>
        <v>#N/A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384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 t="e">
        <f>VLOOKUP(H3653,'[3]BASE MC'!J:P,7,0)</f>
        <v>#N/A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 t="e">
        <f>VLOOKUP(H3654,'[3]BASE MC'!J:P,7,0)</f>
        <v>#N/A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 t="e">
        <f>VLOOKUP(H3655,'[3]BASE MC'!J:P,7,0)</f>
        <v>#N/A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 t="e">
        <f>VLOOKUP(H3656,'[3]BASE MC'!J:P,7,0)</f>
        <v>#N/A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 t="e">
        <f>VLOOKUP(H3657,'[3]BASE MC'!J:P,7,0)</f>
        <v>#N/A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 t="e">
        <f>VLOOKUP(H3658,'[3]BASE MC'!J:P,7,0)</f>
        <v>#N/A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 t="e">
        <f>VLOOKUP(H3659,'[3]BASE MC'!J:P,7,0)</f>
        <v>#N/A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 t="e">
        <f>VLOOKUP(H3660,'[3]BASE MC'!J:P,7,0)</f>
        <v>#N/A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 t="e">
        <f>VLOOKUP(H3661,'[3]BASE MC'!J:P,7,0)</f>
        <v>#N/A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 t="e">
        <f>VLOOKUP(H3662,'[3]BASE MC'!J:P,7,0)</f>
        <v>#N/A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 t="e">
        <f>VLOOKUP(H3663,'[3]BASE MC'!J:P,7,0)</f>
        <v>#N/A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 t="e">
        <f>VLOOKUP(H3664,'[3]BASE MC'!J:P,7,0)</f>
        <v>#N/A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 t="e">
        <f>VLOOKUP(H3665,'[3]BASE MC'!J:P,7,0)</f>
        <v>#N/A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432</v>
      </c>
      <c r="T3666" s="13" t="e">
        <f>VLOOKUP(H3666,'[3]BASE MC'!J:P,7,0)</f>
        <v>#N/A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 t="e">
        <f>VLOOKUP(H3667,'[3]BASE MC'!J:P,7,0)</f>
        <v>#N/A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 t="e">
        <f>VLOOKUP(H3668,'[3]BASE MC'!J:P,7,0)</f>
        <v>#N/A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 t="e">
        <f>VLOOKUP(H3669,'[3]BASE MC'!J:P,7,0)</f>
        <v>#N/A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383.4</v>
      </c>
      <c r="T3670" s="13" t="e">
        <f>VLOOKUP(H3670,'[3]BASE MC'!J:P,7,0)</f>
        <v>#N/A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 t="e">
        <f>VLOOKUP(H3671,'[3]BASE MC'!J:P,7,0)</f>
        <v>#N/A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 t="e">
        <f>VLOOKUP(H3672,'[3]BASE MC'!J:P,7,0)</f>
        <v>#N/A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 t="e">
        <f>VLOOKUP(H3673,'[3]BASE MC'!J:P,7,0)</f>
        <v>#N/A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 t="e">
        <f>VLOOKUP(H3675,'[3]BASE MC'!J:P,7,0)</f>
        <v>#N/A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 t="e">
        <f>VLOOKUP(H3676,'[3]BASE MC'!J:P,7,0)</f>
        <v>#N/A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 t="e">
        <f>VLOOKUP(H3677,'[3]BASE MC'!J:P,7,0)</f>
        <v>#N/A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 t="e">
        <f>VLOOKUP(H3679,'[3]BASE MC'!J:P,7,0)</f>
        <v>#N/A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 t="e">
        <f>VLOOKUP(H3680,'[3]BASE MC'!J:P,7,0)</f>
        <v>#N/A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 t="e">
        <f>VLOOKUP(H3681,'[3]BASE MC'!J:P,7,0)</f>
        <v>#N/A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 t="e">
        <f>VLOOKUP(H3682,'[3]BASE MC'!J:P,7,0)</f>
        <v>#N/A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 t="e">
        <f>VLOOKUP(H3683,'[3]BASE MC'!J:P,7,0)</f>
        <v>#N/A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 t="e">
        <f>VLOOKUP(H3684,'[3]BASE MC'!J:P,7,0)</f>
        <v>#N/A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 t="e">
        <f>VLOOKUP(H3685,'[3]BASE MC'!J:P,7,0)</f>
        <v>#N/A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 t="e">
        <f>VLOOKUP(H3687,'[3]BASE MC'!J:P,7,0)</f>
        <v>#N/A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 t="e">
        <f>VLOOKUP(H3688,'[3]BASE MC'!J:P,7,0)</f>
        <v>#N/A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 t="e">
        <f>VLOOKUP(H3689,'[3]BASE MC'!J:P,7,0)</f>
        <v>#N/A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 t="e">
        <f>VLOOKUP(H3690,'[3]BASE MC'!J:P,7,0)</f>
        <v>#N/A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 t="e">
        <f>VLOOKUP(H3691,'[3]BASE MC'!J:P,7,0)</f>
        <v>#N/A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 t="e">
        <f>VLOOKUP(H3693,'[3]BASE MC'!J:P,7,0)</f>
        <v>#N/A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 t="e">
        <f>VLOOKUP(H3694,'[3]BASE MC'!J:P,7,0)</f>
        <v>#N/A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 t="e">
        <f>VLOOKUP(H3695,'[3]BASE MC'!J:P,7,0)</f>
        <v>#N/A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 t="e">
        <f>VLOOKUP(H3696,'[3]BASE MC'!J:P,7,0)</f>
        <v>#N/A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 t="e">
        <f>VLOOKUP(H3697,'[3]BASE MC'!J:P,7,0)</f>
        <v>#N/A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 t="e">
        <f>VLOOKUP(H3698,'[3]BASE MC'!J:P,7,0)</f>
        <v>#N/A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 t="e">
        <f>VLOOKUP(H3699,'[3]BASE MC'!J:P,7,0)</f>
        <v>#N/A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 t="e">
        <f>VLOOKUP(H3700,'[3]BASE MC'!J:P,7,0)</f>
        <v>#N/A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 t="e">
        <f>VLOOKUP(H3701,'[3]BASE MC'!J:P,7,0)</f>
        <v>#N/A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 t="e">
        <f>VLOOKUP(H3702,'[3]BASE MC'!J:P,7,0)</f>
        <v>#N/A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67.2</v>
      </c>
      <c r="T3703" s="13" t="e">
        <f>VLOOKUP(H3703,'[3]BASE MC'!J:P,7,0)</f>
        <v>#N/A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 t="e">
        <f>VLOOKUP(H3704,'[3]BASE MC'!J:P,7,0)</f>
        <v>#N/A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 t="e">
        <f>VLOOKUP(H3705,'[3]BASE MC'!J:P,7,0)</f>
        <v>#N/A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 t="e">
        <f>VLOOKUP(H3706,'[3]BASE MC'!J:P,7,0)</f>
        <v>#N/A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 t="e">
        <f>VLOOKUP(H3707,'[3]BASE MC'!J:P,7,0)</f>
        <v>#N/A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 t="e">
        <f>VLOOKUP(H3708,'[3]BASE MC'!J:P,7,0)</f>
        <v>#N/A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 t="e">
        <f>VLOOKUP(H3709,'[3]BASE MC'!J:P,7,0)</f>
        <v>#N/A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 t="e">
        <f>VLOOKUP(H3710,'[3]BASE MC'!J:P,7,0)</f>
        <v>#N/A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 t="e">
        <f>VLOOKUP(H3711,'[3]BASE MC'!J:P,7,0)</f>
        <v>#N/A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 t="e">
        <f>VLOOKUP(H3712,'[3]BASE MC'!J:P,7,0)</f>
        <v>#N/A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 t="e">
        <f>VLOOKUP(H3713,'[3]BASE MC'!J:P,7,0)</f>
        <v>#N/A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 t="e">
        <f>VLOOKUP(H3714,'[3]BASE MC'!J:P,7,0)</f>
        <v>#N/A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 t="e">
        <f>VLOOKUP(H3715,'[3]BASE MC'!J:P,7,0)</f>
        <v>#N/A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 t="e">
        <f>VLOOKUP(H3716,'[3]BASE MC'!J:P,7,0)</f>
        <v>#N/A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 t="e">
        <f>VLOOKUP(H3717,'[3]BASE MC'!J:P,7,0)</f>
        <v>#N/A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 t="e">
        <f>VLOOKUP(H3718,'[3]BASE MC'!J:P,7,0)</f>
        <v>#N/A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648</v>
      </c>
      <c r="R3719" s="14">
        <v>0</v>
      </c>
      <c r="S3719" s="14">
        <v>648</v>
      </c>
      <c r="T3719" s="13" t="e">
        <f>VLOOKUP(H3719,'[3]BASE MC'!J:P,7,0)</f>
        <v>#N/A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 t="e">
        <f>VLOOKUP(H3720,'[3]BASE MC'!J:P,7,0)</f>
        <v>#N/A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 t="e">
        <f>VLOOKUP(H3721,'[3]BASE MC'!J:P,7,0)</f>
        <v>#N/A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 t="e">
        <f>VLOOKUP(H3722,'[3]BASE MC'!J:P,7,0)</f>
        <v>#N/A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 t="e">
        <f>VLOOKUP(H3723,'[3]BASE MC'!J:P,7,0)</f>
        <v>#N/A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 t="e">
        <f>VLOOKUP(H3724,'[3]BASE MC'!J:P,7,0)</f>
        <v>#N/A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 t="e">
        <f>VLOOKUP(H3725,'[3]BASE MC'!J:P,7,0)</f>
        <v>#N/A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 t="e">
        <f>VLOOKUP(H3726,'[3]BASE MC'!J:P,7,0)</f>
        <v>#N/A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 t="e">
        <f>VLOOKUP(H3727,'[3]BASE MC'!J:P,7,0)</f>
        <v>#N/A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 t="e">
        <f>VLOOKUP(H3728,'[3]BASE MC'!J:P,7,0)</f>
        <v>#N/A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 t="e">
        <f>VLOOKUP(H3729,'[3]BASE MC'!J:P,7,0)</f>
        <v>#N/A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 t="e">
        <f>VLOOKUP(H3730,'[3]BASE MC'!J:P,7,0)</f>
        <v>#N/A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 t="e">
        <f>VLOOKUP(H3731,'[3]BASE MC'!J:P,7,0)</f>
        <v>#N/A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 t="e">
        <f>VLOOKUP(H3732,'[3]BASE MC'!J:P,7,0)</f>
        <v>#N/A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 t="e">
        <f>VLOOKUP(H3733,'[3]BASE MC'!J:P,7,0)</f>
        <v>#N/A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 t="e">
        <f>VLOOKUP(H3734,'[3]BASE MC'!J:P,7,0)</f>
        <v>#N/A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 t="e">
        <f>VLOOKUP(H3735,'[3]BASE MC'!J:P,7,0)</f>
        <v>#N/A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 t="e">
        <f>VLOOKUP(H3736,'[3]BASE MC'!J:P,7,0)</f>
        <v>#N/A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0</v>
      </c>
      <c r="T3737" s="13" t="e">
        <f>VLOOKUP(H3737,'[3]BASE MC'!J:P,7,0)</f>
        <v>#N/A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 t="e">
        <f>VLOOKUP(H3738,'[3]BASE MC'!J:P,7,0)</f>
        <v>#N/A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 t="e">
        <f>VLOOKUP(H3739,'[3]BASE MC'!J:P,7,0)</f>
        <v>#N/A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 t="e">
        <f>VLOOKUP(H3740,'[3]BASE MC'!J:P,7,0)</f>
        <v>#N/A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 t="e">
        <f>VLOOKUP(H3741,'[3]BASE MC'!J:P,7,0)</f>
        <v>#N/A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 t="e">
        <f>VLOOKUP(H3742,'[3]BASE MC'!J:P,7,0)</f>
        <v>#N/A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 t="e">
        <f>VLOOKUP(H3743,'[3]BASE MC'!J:P,7,0)</f>
        <v>#N/A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 t="e">
        <f>VLOOKUP(H3744,'[3]BASE MC'!J:P,7,0)</f>
        <v>#N/A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 t="e">
        <f>VLOOKUP(H3745,'[3]BASE MC'!J:P,7,0)</f>
        <v>#N/A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 t="e">
        <f>VLOOKUP(H3746,'[3]BASE MC'!J:P,7,0)</f>
        <v>#N/A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 t="e">
        <f>VLOOKUP(H3747,'[3]BASE MC'!J:P,7,0)</f>
        <v>#N/A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 t="e">
        <f>VLOOKUP(H3748,'[3]BASE MC'!J:P,7,0)</f>
        <v>#N/A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 t="e">
        <f>VLOOKUP(H3749,'[3]BASE MC'!J:P,7,0)</f>
        <v>#N/A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 t="e">
        <f>VLOOKUP(H3750,'[3]BASE MC'!J:P,7,0)</f>
        <v>#N/A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 t="e">
        <f>VLOOKUP(H3751,'[3]BASE MC'!J:P,7,0)</f>
        <v>#N/A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 t="e">
        <f>VLOOKUP(H3752,'[3]BASE MC'!J:P,7,0)</f>
        <v>#N/A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 t="e">
        <f>VLOOKUP(H3753,'[3]BASE MC'!J:P,7,0)</f>
        <v>#N/A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 t="e">
        <f>VLOOKUP(H3754,'[3]BASE MC'!J:P,7,0)</f>
        <v>#N/A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1</v>
      </c>
      <c r="T3755" s="13" t="e">
        <f>VLOOKUP(H3755,'[3]BASE MC'!J:P,7,0)</f>
        <v>#N/A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 t="e">
        <f>VLOOKUP(H3756,'[3]BASE MC'!J:P,7,0)</f>
        <v>#N/A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 t="e">
        <f>VLOOKUP(H3757,'[3]BASE MC'!J:P,7,0)</f>
        <v>#N/A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 t="e">
        <f>VLOOKUP(H3758,'[3]BASE MC'!J:P,7,0)</f>
        <v>#N/A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 t="e">
        <f>VLOOKUP(H3759,'[3]BASE MC'!J:P,7,0)</f>
        <v>#N/A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 t="e">
        <f>VLOOKUP(H3760,'[3]BASE MC'!J:P,7,0)</f>
        <v>#N/A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 t="e">
        <f>VLOOKUP(H3761,'[3]BASE MC'!J:P,7,0)</f>
        <v>#N/A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 t="e">
        <f>VLOOKUP(H3762,'[3]BASE MC'!J:P,7,0)</f>
        <v>#N/A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 t="e">
        <f>VLOOKUP(H3763,'[3]BASE MC'!J:P,7,0)</f>
        <v>#N/A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 t="e">
        <f>VLOOKUP(H3764,'[3]BASE MC'!J:P,7,0)</f>
        <v>#N/A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 t="e">
        <f>VLOOKUP(H3765,'[3]BASE MC'!J:P,7,0)</f>
        <v>#N/A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 t="e">
        <f>VLOOKUP(H3766,'[3]BASE MC'!J:P,7,0)</f>
        <v>#N/A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 t="e">
        <f>VLOOKUP(H3767,'[3]BASE MC'!J:P,7,0)</f>
        <v>#N/A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 t="e">
        <f>VLOOKUP(H3768,'[3]BASE MC'!J:P,7,0)</f>
        <v>#N/A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 t="e">
        <f>VLOOKUP(H3769,'[3]BASE MC'!J:P,7,0)</f>
        <v>#N/A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 t="e">
        <f>VLOOKUP(H3770,'[3]BASE MC'!J:P,7,0)</f>
        <v>#N/A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 t="e">
        <f>VLOOKUP(H3771,'[3]BASE MC'!J:P,7,0)</f>
        <v>#N/A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 t="e">
        <f>VLOOKUP(H3772,'[3]BASE MC'!J:P,7,0)</f>
        <v>#N/A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 t="e">
        <f>VLOOKUP(H3773,'[3]BASE MC'!J:P,7,0)</f>
        <v>#N/A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 t="e">
        <f>VLOOKUP(H3774,'[3]BASE MC'!J:P,7,0)</f>
        <v>#N/A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 t="e">
        <f>VLOOKUP(H3775,'[3]BASE MC'!J:P,7,0)</f>
        <v>#N/A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 t="e">
        <f>VLOOKUP(H3776,'[3]BASE MC'!J:P,7,0)</f>
        <v>#N/A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 t="e">
        <f>VLOOKUP(H3777,'[3]BASE MC'!J:P,7,0)</f>
        <v>#N/A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 t="e">
        <f>VLOOKUP(H3778,'[3]BASE MC'!J:P,7,0)</f>
        <v>#N/A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 t="e">
        <f>VLOOKUP(H3779,'[3]BASE MC'!J:P,7,0)</f>
        <v>#N/A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 t="e">
        <f>VLOOKUP(H3780,'[3]BASE MC'!J:P,7,0)</f>
        <v>#N/A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 t="e">
        <f>VLOOKUP(H3781,'[3]BASE MC'!J:P,7,0)</f>
        <v>#N/A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 t="e">
        <f>VLOOKUP(H3782,'[3]BASE MC'!J:P,7,0)</f>
        <v>#N/A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 t="e">
        <f>VLOOKUP(H3783,'[3]BASE MC'!J:P,7,0)</f>
        <v>#N/A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 t="e">
        <f>VLOOKUP(H3784,'[3]BASE MC'!J:P,7,0)</f>
        <v>#N/A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 t="e">
        <f>VLOOKUP(H3785,'[3]BASE MC'!J:P,7,0)</f>
        <v>#N/A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 t="e">
        <f>VLOOKUP(H3786,'[3]BASE MC'!J:P,7,0)</f>
        <v>#N/A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 t="e">
        <f>VLOOKUP(H3787,'[3]BASE MC'!J:P,7,0)</f>
        <v>#N/A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 t="e">
        <f>VLOOKUP(H3788,'[3]BASE MC'!J:P,7,0)</f>
        <v>#N/A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 t="e">
        <f>VLOOKUP(H3789,'[3]BASE MC'!J:P,7,0)</f>
        <v>#N/A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 t="e">
        <f>VLOOKUP(H3790,'[3]BASE MC'!J:P,7,0)</f>
        <v>#N/A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 t="e">
        <f>VLOOKUP(H3791,'[3]BASE MC'!J:P,7,0)</f>
        <v>#N/A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 t="e">
        <f>VLOOKUP(H3792,'[3]BASE MC'!J:P,7,0)</f>
        <v>#N/A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 t="e">
        <f>VLOOKUP(H3793,'[3]BASE MC'!J:P,7,0)</f>
        <v>#N/A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 t="e">
        <f>VLOOKUP(H3794,'[3]BASE MC'!J:P,7,0)</f>
        <v>#N/A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 t="e">
        <f>VLOOKUP(H3795,'[3]BASE MC'!J:P,7,0)</f>
        <v>#N/A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 t="e">
        <f>VLOOKUP(H3796,'[3]BASE MC'!J:P,7,0)</f>
        <v>#N/A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 t="e">
        <f>VLOOKUP(H3797,'[3]BASE MC'!J:P,7,0)</f>
        <v>#N/A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 t="e">
        <f>VLOOKUP(H3798,'[3]BASE MC'!J:P,7,0)</f>
        <v>#N/A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 t="e">
        <f>VLOOKUP(H3799,'[3]BASE MC'!J:P,7,0)</f>
        <v>#N/A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 t="e">
        <f>VLOOKUP(H3800,'[3]BASE MC'!J:P,7,0)</f>
        <v>#N/A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 t="e">
        <f>VLOOKUP(H3801,'[3]BASE MC'!J:P,7,0)</f>
        <v>#N/A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 t="e">
        <f>VLOOKUP(H3802,'[3]BASE MC'!J:P,7,0)</f>
        <v>#N/A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 t="e">
        <f>VLOOKUP(H3803,'[3]BASE MC'!J:P,7,0)</f>
        <v>#N/A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 t="e">
        <f>VLOOKUP(H3804,'[3]BASE MC'!J:P,7,0)</f>
        <v>#N/A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 t="e">
        <f>VLOOKUP(H3805,'[3]BASE MC'!J:P,7,0)</f>
        <v>#N/A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 t="e">
        <f>VLOOKUP(H3806,'[3]BASE MC'!J:P,7,0)</f>
        <v>#N/A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 t="e">
        <f>VLOOKUP(H3807,'[3]BASE MC'!J:P,7,0)</f>
        <v>#N/A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 t="e">
        <f>VLOOKUP(H3808,'[3]BASE MC'!J:P,7,0)</f>
        <v>#N/A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 t="e">
        <f>VLOOKUP(H3809,'[3]BASE MC'!J:P,7,0)</f>
        <v>#N/A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 t="e">
        <f>VLOOKUP(H3810,'[3]BASE MC'!J:P,7,0)</f>
        <v>#N/A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 t="e">
        <f>VLOOKUP(H3811,'[3]BASE MC'!J:P,7,0)</f>
        <v>#N/A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 t="e">
        <f>VLOOKUP(H3813,'[3]BASE MC'!J:P,7,0)</f>
        <v>#N/A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-30.81</v>
      </c>
      <c r="R3814" s="14">
        <v>0</v>
      </c>
      <c r="S3814" s="14">
        <v>0</v>
      </c>
      <c r="T3814" s="13" t="e">
        <f>VLOOKUP(H3814,'[3]BASE MC'!J:P,7,0)</f>
        <v>#N/A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0</v>
      </c>
      <c r="R3815" s="14">
        <v>0</v>
      </c>
      <c r="S3815" s="14">
        <v>140557.08100000001</v>
      </c>
      <c r="T3815" s="13" t="e">
        <f>VLOOKUP(H3815,'[3]BASE MC'!J:P,7,0)</f>
        <v>#N/A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5.4</v>
      </c>
      <c r="T3816" s="13" t="e">
        <f>VLOOKUP(H3816,'[3]BASE MC'!J:P,7,0)</f>
        <v>#N/A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3" t="e">
        <f>VLOOKUP(H3817,'[3]BASE MC'!J:P,7,0)</f>
        <v>#N/A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1325</v>
      </c>
      <c r="R3819" s="14">
        <v>0</v>
      </c>
      <c r="S3819" s="14">
        <v>1325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0</v>
      </c>
      <c r="T3820" s="13" t="e">
        <f>VLOOKUP(H3820,'[3]BASE MC'!J:P,7,0)</f>
        <v>#N/A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468.48</v>
      </c>
      <c r="R3821" s="14">
        <v>0</v>
      </c>
      <c r="S3821" s="14">
        <v>468.48</v>
      </c>
      <c r="T3821" s="13" t="e">
        <f>VLOOKUP(H3821,'[3]BASE MC'!J:P,7,0)</f>
        <v>#N/A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3" t="e">
        <f>VLOOKUP(H3822,'[3]BASE MC'!J:P,7,0)</f>
        <v>#N/A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 t="e">
        <f>VLOOKUP(H3823,'[3]BASE MC'!J:P,7,0)</f>
        <v>#N/A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3" t="e">
        <f>VLOOKUP(H3825,'[3]BASE MC'!J:P,7,0)</f>
        <v>#N/A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 t="e">
        <f>VLOOKUP(H3826,'[3]BASE MC'!J:P,7,0)</f>
        <v>#N/A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 t="e">
        <f>VLOOKUP(H3827,'[3]BASE MC'!J:P,7,0)</f>
        <v>#N/A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0</v>
      </c>
      <c r="R3828" s="14">
        <v>0</v>
      </c>
      <c r="S3828" s="14">
        <v>48433.595000000001</v>
      </c>
      <c r="T3828" s="13" t="e">
        <f>VLOOKUP(H3828,'[3]BASE MC'!J:P,7,0)</f>
        <v>#N/A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 t="e">
        <f>VLOOKUP(H3829,'[3]BASE MC'!J:P,7,0)</f>
        <v>#N/A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 t="e">
        <f>VLOOKUP(H3830,'[3]BASE MC'!J:P,7,0)</f>
        <v>#N/A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 t="e">
        <f>VLOOKUP(H3831,'[3]BASE MC'!J:P,7,0)</f>
        <v>#N/A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 t="e">
        <f>VLOOKUP(H3832,'[3]BASE MC'!J:P,7,0)</f>
        <v>#N/A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 t="e">
        <f>VLOOKUP(H3833,'[3]BASE MC'!J:P,7,0)</f>
        <v>#N/A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 t="e">
        <f>VLOOKUP(H3834,'[3]BASE MC'!J:P,7,0)</f>
        <v>#N/A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 t="e">
        <f>VLOOKUP(H3835,'[3]BASE MC'!J:P,7,0)</f>
        <v>#N/A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 t="e">
        <f>VLOOKUP(H3836,'[3]BASE MC'!J:P,7,0)</f>
        <v>#N/A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 t="e">
        <f>VLOOKUP(H3837,'[3]BASE MC'!J:P,7,0)</f>
        <v>#N/A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 t="e">
        <f>VLOOKUP(H3838,'[3]BASE MC'!J:P,7,0)</f>
        <v>#N/A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 t="e">
        <f>VLOOKUP(H3839,'[3]BASE MC'!J:P,7,0)</f>
        <v>#N/A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 t="e">
        <f>VLOOKUP(H3840,'[3]BASE MC'!J:P,7,0)</f>
        <v>#N/A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 t="e">
        <f>VLOOKUP(H3841,'[3]BASE MC'!J:P,7,0)</f>
        <v>#N/A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 t="e">
        <f>VLOOKUP(H3842,'[3]BASE MC'!J:P,7,0)</f>
        <v>#N/A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 t="e">
        <f>VLOOKUP(H3843,'[3]BASE MC'!J:P,7,0)</f>
        <v>#N/A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 t="e">
        <f>VLOOKUP(H3844,'[3]BASE MC'!J:P,7,0)</f>
        <v>#N/A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 t="e">
        <f>VLOOKUP(H3845,'[3]BASE MC'!J:P,7,0)</f>
        <v>#N/A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1</v>
      </c>
      <c r="R3846" s="14">
        <v>0</v>
      </c>
      <c r="S3846" s="14">
        <v>1</v>
      </c>
      <c r="T3846" s="13" t="e">
        <f>VLOOKUP(H3846,'[3]BASE MC'!J:P,7,0)</f>
        <v>#N/A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 t="e">
        <f>VLOOKUP(H3847,'[3]BASE MC'!J:P,7,0)</f>
        <v>#N/A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 t="e">
        <f>VLOOKUP(H3848,'[3]BASE MC'!J:P,7,0)</f>
        <v>#N/A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e">
        <f>VLOOKUP(F3849,'[2]DEPARA FOOD'!$B:$M,9,0)</f>
        <v>#N/A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 t="e">
        <f>VLOOKUP(H3849,'[3]BASE MC'!J:P,7,0)</f>
        <v>#N/A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e">
        <f>VLOOKUP(F3850,'[2]DEPARA FOOD'!$B:$M,9,0)</f>
        <v>#N/A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 t="e">
        <f>VLOOKUP(H3850,'[3]BASE MC'!J:P,7,0)</f>
        <v>#N/A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e">
        <f>VLOOKUP(F3851,'[2]DEPARA FOOD'!$B:$M,9,0)</f>
        <v>#N/A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24</v>
      </c>
      <c r="R3851" s="14">
        <v>0</v>
      </c>
      <c r="S3851" s="14">
        <v>24</v>
      </c>
      <c r="T3851" s="13" t="e">
        <f>VLOOKUP(H3851,'[3]BASE MC'!J:P,7,0)</f>
        <v>#N/A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 t="e">
        <f>VLOOKUP(H3852,'[3]BASE MC'!J:P,7,0)</f>
        <v>#N/A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 t="e">
        <f>VLOOKUP(H3853,'[3]BASE MC'!J:P,7,0)</f>
        <v>#N/A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 t="e">
        <f>VLOOKUP(H3854,'[3]BASE MC'!J:P,7,0)</f>
        <v>#N/A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 t="e">
        <f>VLOOKUP(H3855,'[3]BASE MC'!J:P,7,0)</f>
        <v>#N/A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 t="e">
        <f>VLOOKUP(H3856,'[3]BASE MC'!J:P,7,0)</f>
        <v>#N/A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20</v>
      </c>
      <c r="T3857" s="13" t="e">
        <f>VLOOKUP(H3857,'[3]BASE MC'!J:P,7,0)</f>
        <v>#N/A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 t="e">
        <f>VLOOKUP(H3858,'[3]BASE MC'!J:P,7,0)</f>
        <v>#N/A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2521.9960000000001</v>
      </c>
      <c r="R3859" s="14">
        <v>0</v>
      </c>
      <c r="S3859" s="14">
        <v>2522</v>
      </c>
      <c r="T3859" s="13" t="e">
        <f>VLOOKUP(H3859,'[3]BASE MC'!J:P,7,0)</f>
        <v>#N/A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 t="e">
        <f>VLOOKUP(H3860,'[3]BASE MC'!J:P,7,0)</f>
        <v>#N/A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90</v>
      </c>
      <c r="R3862" s="14">
        <v>0</v>
      </c>
      <c r="S3862" s="14">
        <v>90</v>
      </c>
      <c r="T3862" s="13" t="e">
        <f>VLOOKUP(H3862,'[3]BASE MC'!J:P,7,0)</f>
        <v>#N/A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 t="e">
        <f>VLOOKUP(H3863,'[3]BASE MC'!J:P,7,0)</f>
        <v>#N/A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869.76</v>
      </c>
      <c r="R3864" s="14">
        <v>0</v>
      </c>
      <c r="S3864" s="14">
        <v>870</v>
      </c>
      <c r="T3864" s="13" t="e">
        <f>VLOOKUP(H3864,'[3]BASE MC'!J:P,7,0)</f>
        <v>#N/A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0</v>
      </c>
      <c r="T3865" s="13" t="e">
        <f>VLOOKUP(H3865,'[3]BASE MC'!J:P,7,0)</f>
        <v>#N/A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3" t="e">
        <f>VLOOKUP(H3866,'[3]BASE MC'!J:P,7,0)</f>
        <v>#N/A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3" t="e">
        <f>VLOOKUP(H3867,'[3]BASE MC'!J:P,7,0)</f>
        <v>#N/A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24</v>
      </c>
      <c r="T3868" s="13" t="e">
        <f>VLOOKUP(H3868,'[3]BASE MC'!J:P,7,0)</f>
        <v>#N/A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 t="e">
        <f>VLOOKUP(H3871,'[3]BASE MC'!J:P,7,0)</f>
        <v>#N/A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10</v>
      </c>
      <c r="R3872" s="14">
        <v>0</v>
      </c>
      <c r="S3872" s="14">
        <v>10</v>
      </c>
      <c r="T3872" s="13" t="e">
        <f>VLOOKUP(H3872,'[3]BASE MC'!J:P,7,0)</f>
        <v>#N/A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12</v>
      </c>
      <c r="T3873" s="13" t="e">
        <f>VLOOKUP(H3873,'[3]BASE MC'!J:P,7,0)</f>
        <v>#N/A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 t="e">
        <f>VLOOKUP(H3874,'[3]BASE MC'!J:P,7,0)</f>
        <v>#N/A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 t="e">
        <f>VLOOKUP(H3877,'[3]BASE MC'!J:P,7,0)</f>
        <v>#N/A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 t="e">
        <f>VLOOKUP(H3878,'[3]BASE MC'!J:P,7,0)</f>
        <v>#N/A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21.6</v>
      </c>
      <c r="T3879" s="13" t="e">
        <f>VLOOKUP(H3879,'[3]BASE MC'!J:P,7,0)</f>
        <v>#N/A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 t="e">
        <f>VLOOKUP(H3880,'[3]BASE MC'!J:P,7,0)</f>
        <v>#N/A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 t="e">
        <f>VLOOKUP(H3881,'[3]BASE MC'!J:P,7,0)</f>
        <v>#N/A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6.48</v>
      </c>
      <c r="R3882" s="14">
        <v>0</v>
      </c>
      <c r="S3882" s="14">
        <v>6.48</v>
      </c>
      <c r="T3882" s="13" t="e">
        <f>VLOOKUP(H3882,'[3]BASE MC'!J:P,7,0)</f>
        <v>#N/A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53.76</v>
      </c>
      <c r="R3883" s="14">
        <v>0</v>
      </c>
      <c r="S3883" s="14">
        <v>53.76</v>
      </c>
      <c r="T3883" s="13" t="e">
        <f>VLOOKUP(H3883,'[3]BASE MC'!J:P,7,0)</f>
        <v>#N/A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 t="e">
        <f>VLOOKUP(H3884,'[3]BASE MC'!J:P,7,0)</f>
        <v>#N/A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3" t="e">
        <f>VLOOKUP(H3886,'[3]BASE MC'!J:P,7,0)</f>
        <v>#N/A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 t="e">
        <f>VLOOKUP(H3887,'[3]BASE MC'!J:P,7,0)</f>
        <v>#N/A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 t="e">
        <f>VLOOKUP(H3888,'[3]BASE MC'!J:P,7,0)</f>
        <v>#N/A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 t="e">
        <f>VLOOKUP(H3889,'[3]BASE MC'!J:P,7,0)</f>
        <v>#N/A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27.04</v>
      </c>
      <c r="T3890" s="13" t="e">
        <f>VLOOKUP(H3890,'[3]BASE MC'!J:P,7,0)</f>
        <v>#N/A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 t="e">
        <f>VLOOKUP(H3891,'[3]BASE MC'!J:P,7,0)</f>
        <v>#N/A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 t="e">
        <f>VLOOKUP(H3892,'[3]BASE MC'!J:P,7,0)</f>
        <v>#N/A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 t="e">
        <f>VLOOKUP(H3893,'[3]BASE MC'!J:P,7,0)</f>
        <v>#N/A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 t="e">
        <f>VLOOKUP(H3894,'[3]BASE MC'!J:P,7,0)</f>
        <v>#N/A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 t="e">
        <f>VLOOKUP(H3895,'[3]BASE MC'!J:P,7,0)</f>
        <v>#N/A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144</v>
      </c>
      <c r="R3896" s="14">
        <v>0</v>
      </c>
      <c r="S3896" s="14">
        <v>144</v>
      </c>
      <c r="T3896" s="13" t="e">
        <f>VLOOKUP(H3896,'[3]BASE MC'!J:P,7,0)</f>
        <v>#N/A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9</v>
      </c>
      <c r="T3897" s="13" t="e">
        <f>VLOOKUP(H3897,'[3]BASE MC'!J:P,7,0)</f>
        <v>#N/A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729</v>
      </c>
      <c r="R3898" s="14">
        <v>0</v>
      </c>
      <c r="S3898" s="14">
        <v>729</v>
      </c>
      <c r="T3898" s="13" t="e">
        <f>VLOOKUP(H3898,'[3]BASE MC'!J:P,7,0)</f>
        <v>#N/A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207.83999999999997</v>
      </c>
      <c r="R3899" s="14">
        <v>0</v>
      </c>
      <c r="S3899" s="14">
        <v>207.83999999999997</v>
      </c>
      <c r="T3899" s="13" t="e">
        <f>VLOOKUP(H3899,'[3]BASE MC'!J:P,7,0)</f>
        <v>#N/A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17.920000000000002</v>
      </c>
      <c r="T3900" s="13" t="e">
        <f>VLOOKUP(H3900,'[3]BASE MC'!J:P,7,0)</f>
        <v>#N/A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42.66</v>
      </c>
      <c r="R3901" s="14">
        <v>0</v>
      </c>
      <c r="S3901" s="14">
        <v>42.66</v>
      </c>
      <c r="T3901" s="13" t="e">
        <f>VLOOKUP(H3901,'[3]BASE MC'!J:P,7,0)</f>
        <v>#N/A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 t="e">
        <f>VLOOKUP(H3902,'[3]BASE MC'!J:P,7,0)</f>
        <v>#N/A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10.8</v>
      </c>
      <c r="R3903" s="14">
        <v>0</v>
      </c>
      <c r="S3903" s="14">
        <v>10.8</v>
      </c>
      <c r="T3903" s="13" t="e">
        <f>VLOOKUP(H3903,'[3]BASE MC'!J:P,7,0)</f>
        <v>#N/A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30</v>
      </c>
      <c r="T3904" s="13" t="e">
        <f>VLOOKUP(H3904,'[3]BASE MC'!J:P,7,0)</f>
        <v>#N/A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 t="e">
        <f>VLOOKUP(H3905,'[3]BASE MC'!J:P,7,0)</f>
        <v>#N/A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25000</v>
      </c>
      <c r="R3906" s="14">
        <v>0</v>
      </c>
      <c r="S3906" s="14">
        <v>50000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 t="e">
        <f>VLOOKUP(H3908,'[3]BASE MC'!J:P,7,0)</f>
        <v>#N/A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 t="e">
        <f>VLOOKUP(H3909,'[3]BASE MC'!J:P,7,0)</f>
        <v>#N/A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 t="e">
        <f>VLOOKUP(H3910,'[3]BASE MC'!J:P,7,0)</f>
        <v>#N/A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 t="e">
        <f>VLOOKUP(H3911,'[3]BASE MC'!J:P,7,0)</f>
        <v>#N/A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100</v>
      </c>
      <c r="R3912" s="14">
        <v>0</v>
      </c>
      <c r="S3912" s="14">
        <v>100</v>
      </c>
      <c r="T3912" s="13" t="e">
        <f>VLOOKUP(H3912,'[3]BASE MC'!J:P,7,0)</f>
        <v>#N/A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 t="e">
        <f>VLOOKUP(H3913,'[3]BASE MC'!J:P,7,0)</f>
        <v>#N/A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 t="e">
        <f>VLOOKUP(H3914,'[3]BASE MC'!J:P,7,0)</f>
        <v>#N/A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12786</v>
      </c>
      <c r="R3915" s="14">
        <v>0</v>
      </c>
      <c r="S3915" s="14">
        <v>12786</v>
      </c>
      <c r="T3915" s="13" t="e">
        <f>VLOOKUP(H3915,'[3]BASE MC'!J:P,7,0)</f>
        <v>#N/A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 t="e">
        <f>VLOOKUP(H3916,'[3]BASE MC'!J:P,7,0)</f>
        <v>#N/A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 t="e">
        <f>VLOOKUP(H3917,'[3]BASE MC'!J:P,7,0)</f>
        <v>#N/A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3" t="e">
        <f>VLOOKUP(H3918,'[3]BASE MC'!J:P,7,0)</f>
        <v>#N/A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76</v>
      </c>
      <c r="T3919" s="13" t="e">
        <f>VLOOKUP(H3919,'[3]BASE MC'!J:P,7,0)</f>
        <v>#N/A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 t="e">
        <f>VLOOKUP(H3920,'[3]BASE MC'!J:P,7,0)</f>
        <v>#N/A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 t="e">
        <f>VLOOKUP(H3921,'[3]BASE MC'!J:P,7,0)</f>
        <v>#N/A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 t="e">
        <f>VLOOKUP(H3922,'[3]BASE MC'!J:P,7,0)</f>
        <v>#N/A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0</v>
      </c>
      <c r="T3923" s="13" t="e">
        <f>VLOOKUP(H3923,'[3]BASE MC'!J:P,7,0)</f>
        <v>#N/A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 t="e">
        <f>VLOOKUP(H3924,'[3]BASE MC'!J:P,7,0)</f>
        <v>#N/A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 t="e">
        <f>VLOOKUP(H3925,'[3]BASE MC'!J:P,7,0)</f>
        <v>#N/A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 t="e">
        <f>VLOOKUP(H3926,'[3]BASE MC'!J:P,7,0)</f>
        <v>#N/A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 t="e">
        <f>VLOOKUP(H3927,'[3]BASE MC'!J:P,7,0)</f>
        <v>#N/A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 t="e">
        <f>VLOOKUP(H3931,'[3]BASE MC'!J:P,7,0)</f>
        <v>#N/A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 t="e">
        <f>VLOOKUP(H3932,'[3]BASE MC'!J:P,7,0)</f>
        <v>#N/A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 t="e">
        <f>VLOOKUP(H3933,'[3]BASE MC'!J:P,7,0)</f>
        <v>#N/A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0</v>
      </c>
      <c r="T3934" s="13" t="e">
        <f>VLOOKUP(H3934,'[3]BASE MC'!J:P,7,0)</f>
        <v>#N/A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1.92</v>
      </c>
      <c r="T3935" s="13" t="e">
        <f>VLOOKUP(H3935,'[3]BASE MC'!J:P,7,0)</f>
        <v>#N/A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 t="e">
        <f>VLOOKUP(H3936,'[3]BASE MC'!J:P,7,0)</f>
        <v>#N/A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174</v>
      </c>
      <c r="D3937" s="5" t="s">
        <v>1439</v>
      </c>
      <c r="E3937" s="5" t="s">
        <v>1439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1031.21</v>
      </c>
      <c r="R3937" s="14">
        <v>0</v>
      </c>
      <c r="S3937" s="14">
        <v>1031.21</v>
      </c>
      <c r="T3937" s="13" t="e">
        <f>VLOOKUP(H3937,'[3]BASE MC'!J:P,7,0)</f>
        <v>#N/A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 t="e">
        <f>VLOOKUP(H3938,'[3]BASE MC'!J:P,7,0)</f>
        <v>#N/A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78.959999999999994</v>
      </c>
      <c r="R3939" s="14">
        <v>0</v>
      </c>
      <c r="S3939" s="14">
        <v>78.959999999999994</v>
      </c>
      <c r="T3939" s="13" t="e">
        <f>VLOOKUP(H3939,'[3]BASE MC'!J:P,7,0)</f>
        <v>#N/A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174</v>
      </c>
      <c r="D3940" s="5" t="s">
        <v>1439</v>
      </c>
      <c r="E3940" s="5" t="s">
        <v>1439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900</v>
      </c>
      <c r="T3940" s="13" t="e">
        <f>VLOOKUP(H3940,'[3]BASE MC'!J:P,7,0)</f>
        <v>#N/A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 t="e">
        <f>VLOOKUP(H3941,'[3]BASE MC'!J:P,7,0)</f>
        <v>#N/A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264</v>
      </c>
      <c r="R3942" s="14">
        <v>0</v>
      </c>
      <c r="S3942" s="14">
        <v>264</v>
      </c>
      <c r="T3942" s="13" t="e">
        <f>VLOOKUP(H3942,'[3]BASE MC'!J:P,7,0)</f>
        <v>#N/A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48</v>
      </c>
      <c r="T3943" s="13" t="e">
        <f>VLOOKUP(H3943,'[3]BASE MC'!J:P,7,0)</f>
        <v>#N/A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 t="e">
        <f>VLOOKUP(H3945,'[3]BASE MC'!J:P,7,0)</f>
        <v>#N/A</v>
      </c>
    </row>
    <row r="3946" spans="1:20" x14ac:dyDescent="0.3">
      <c r="A3946" t="str">
        <f t="shared" si="122"/>
        <v>DOCE DE LEITELACTALIS</v>
      </c>
      <c r="B3946" t="str">
        <f t="shared" si="123"/>
        <v>5340656DOCE DE LEITELACTALIS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42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6</v>
      </c>
      <c r="R3946" s="14">
        <v>0</v>
      </c>
      <c r="S3946" s="14">
        <v>6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67.2</v>
      </c>
      <c r="T3947" s="13" t="e">
        <f>VLOOKUP(H3947,'[3]BASE MC'!J:P,7,0)</f>
        <v>#N/A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201.6</v>
      </c>
      <c r="R3948" s="14">
        <v>0</v>
      </c>
      <c r="S3948" s="14">
        <v>201.6</v>
      </c>
      <c r="T3948" s="13" t="e">
        <f>VLOOKUP(H3948,'[3]BASE MC'!J:P,7,0)</f>
        <v>#N/A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48</v>
      </c>
      <c r="R3949" s="14">
        <v>0</v>
      </c>
      <c r="S3949" s="14">
        <v>48</v>
      </c>
      <c r="T3949" s="13" t="e">
        <f>VLOOKUP(H3949,'[3]BASE MC'!J:P,7,0)</f>
        <v>#N/A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60</v>
      </c>
      <c r="R3950" s="14">
        <v>0</v>
      </c>
      <c r="S3950" s="14">
        <v>60</v>
      </c>
      <c r="T3950" s="13" t="e">
        <f>VLOOKUP(H3950,'[3]BASE MC'!J:P,7,0)</f>
        <v>#N/A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18.96</v>
      </c>
      <c r="R3951" s="14">
        <v>0</v>
      </c>
      <c r="S3951" s="14">
        <v>18.96</v>
      </c>
      <c r="T3951" s="13" t="e">
        <f>VLOOKUP(H3951,'[3]BASE MC'!J:P,7,0)</f>
        <v>#N/A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 t="e">
        <f>VLOOKUP(H3952,'[3]BASE MC'!J:P,7,0)</f>
        <v>#N/A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 t="e">
        <f>VLOOKUP(H3953,'[3]BASE MC'!J:P,7,0)</f>
        <v>#N/A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0</v>
      </c>
      <c r="T3954" s="13" t="e">
        <f>VLOOKUP(H3954,'[3]BASE MC'!J:P,7,0)</f>
        <v>#N/A</v>
      </c>
    </row>
    <row r="3955" spans="1:20" x14ac:dyDescent="0.3">
      <c r="A3955" t="str">
        <f t="shared" si="122"/>
        <v>IOGURTESLACTALIS</v>
      </c>
      <c r="B3955" t="str">
        <f t="shared" si="123"/>
        <v>5371456IOGURTESLACTALIS</v>
      </c>
      <c r="C3955" s="5" t="s">
        <v>174</v>
      </c>
      <c r="D3955" s="5" t="s">
        <v>681</v>
      </c>
      <c r="E3955" s="5" t="s">
        <v>1204</v>
      </c>
      <c r="F3955" s="5">
        <v>5371456</v>
      </c>
      <c r="G3955" s="5" t="s">
        <v>1776</v>
      </c>
      <c r="H3955" s="5" t="s">
        <v>28</v>
      </c>
      <c r="I3955" s="5" t="s">
        <v>20</v>
      </c>
      <c r="J3955" s="5" t="s">
        <v>122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9.1999999999999993</v>
      </c>
      <c r="R3955" s="14">
        <v>0</v>
      </c>
      <c r="S3955" s="14">
        <v>9.1999999999999993</v>
      </c>
      <c r="T3955" s="13" t="e">
        <f>VLOOKUP(H3955,'[3]BASE MC'!J:P,7,0)</f>
        <v>#N/A</v>
      </c>
    </row>
    <row r="3956" spans="1:20" x14ac:dyDescent="0.3">
      <c r="A3956" t="str">
        <f t="shared" si="122"/>
        <v>LEITE CONDENSADOLACTALIS</v>
      </c>
      <c r="B3956" t="str">
        <f t="shared" si="123"/>
        <v>5367655LEITE CONDENSADOLACTALIS</v>
      </c>
      <c r="C3956" s="5" t="s">
        <v>174</v>
      </c>
      <c r="D3956" s="5" t="s">
        <v>681</v>
      </c>
      <c r="E3956" s="5" t="s">
        <v>1202</v>
      </c>
      <c r="F3956" s="5">
        <v>5367655</v>
      </c>
      <c r="G3956" s="5" t="s">
        <v>1777</v>
      </c>
      <c r="H3956" s="5" t="s">
        <v>28</v>
      </c>
      <c r="I3956" s="5" t="s">
        <v>20</v>
      </c>
      <c r="J3956" s="5" t="s">
        <v>31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3" t="e">
        <f>VLOOKUP(H3956,'[3]BASE MC'!J:P,7,0)</f>
        <v>#N/A</v>
      </c>
    </row>
    <row r="3957" spans="1:20" x14ac:dyDescent="0.3">
      <c r="A3957" t="str">
        <f t="shared" si="122"/>
        <v>LEITE EM PÓLACTALIS</v>
      </c>
      <c r="B3957" t="str">
        <f t="shared" si="123"/>
        <v>5034562LEITE EM PÓLACTALIS</v>
      </c>
      <c r="C3957" s="5" t="s">
        <v>174</v>
      </c>
      <c r="D3957" s="5" t="s">
        <v>681</v>
      </c>
      <c r="E3957" s="5" t="s">
        <v>1204</v>
      </c>
      <c r="F3957" s="5">
        <v>5034562</v>
      </c>
      <c r="G3957" s="5" t="s">
        <v>1709</v>
      </c>
      <c r="H3957" s="5" t="s">
        <v>28</v>
      </c>
      <c r="I3957" s="5" t="s">
        <v>20</v>
      </c>
      <c r="J3957" s="5" t="s">
        <v>70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9</v>
      </c>
      <c r="R3957" s="14">
        <v>0</v>
      </c>
      <c r="S3957" s="14">
        <v>9</v>
      </c>
      <c r="T3957" s="13" t="e">
        <f>VLOOKUP(H3957,'[3]BASE MC'!J:P,7,0)</f>
        <v>#N/A</v>
      </c>
    </row>
    <row r="3958" spans="1:20" x14ac:dyDescent="0.3">
      <c r="A3958" t="str">
        <f t="shared" si="122"/>
        <v>LEITE EM PÓLACTALIS</v>
      </c>
      <c r="B3958" t="str">
        <f t="shared" si="123"/>
        <v>5175205LEITE EM PÓLACTALIS</v>
      </c>
      <c r="C3958" s="5" t="s">
        <v>174</v>
      </c>
      <c r="D3958" s="5" t="s">
        <v>633</v>
      </c>
      <c r="E3958" s="5" t="s">
        <v>649</v>
      </c>
      <c r="F3958" s="5">
        <v>5175205</v>
      </c>
      <c r="G3958" s="5" t="s">
        <v>659</v>
      </c>
      <c r="H3958" s="5" t="s">
        <v>30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50</v>
      </c>
      <c r="R3958" s="14">
        <v>0</v>
      </c>
      <c r="S3958" s="14">
        <v>50</v>
      </c>
      <c r="T3958" s="13" t="e">
        <f>VLOOKUP(H3958,'[3]BASE MC'!J:P,7,0)</f>
        <v>#N/A</v>
      </c>
    </row>
    <row r="3959" spans="1:20" x14ac:dyDescent="0.3">
      <c r="A3959" t="str">
        <f t="shared" si="122"/>
        <v>LEITE UHTLACTALIS</v>
      </c>
      <c r="B3959" t="str">
        <f t="shared" si="123"/>
        <v>5371404LEITE UHTLACTALIS</v>
      </c>
      <c r="C3959" s="5" t="s">
        <v>174</v>
      </c>
      <c r="D3959" s="5" t="s">
        <v>681</v>
      </c>
      <c r="E3959" s="5" t="s">
        <v>1196</v>
      </c>
      <c r="F3959" s="5">
        <v>5371404</v>
      </c>
      <c r="G3959" s="5" t="s">
        <v>1778</v>
      </c>
      <c r="H3959" s="5" t="s">
        <v>28</v>
      </c>
      <c r="I3959" s="5" t="s">
        <v>20</v>
      </c>
      <c r="J3959" s="5" t="s">
        <v>125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60</v>
      </c>
      <c r="R3959" s="14">
        <v>0</v>
      </c>
      <c r="S3959" s="14">
        <v>60</v>
      </c>
      <c r="T3959" s="13" t="e">
        <f>VLOOKUP(H3959,'[3]BASE MC'!J:P,7,0)</f>
        <v>#N/A</v>
      </c>
    </row>
    <row r="3960" spans="1:20" x14ac:dyDescent="0.3">
      <c r="A3960" t="str">
        <f t="shared" si="122"/>
        <v>LPI 25KGITAMBÉ</v>
      </c>
      <c r="B3960" t="str">
        <f t="shared" si="123"/>
        <v>5373854LPI 25KGITAMBÉ</v>
      </c>
      <c r="C3960" s="5" t="s">
        <v>14</v>
      </c>
      <c r="D3960" s="5" t="s">
        <v>15</v>
      </c>
      <c r="E3960" s="5" t="s">
        <v>1303</v>
      </c>
      <c r="F3960" s="5">
        <v>5373854</v>
      </c>
      <c r="G3960" s="5" t="s">
        <v>1779</v>
      </c>
      <c r="H3960" s="5" t="s">
        <v>85</v>
      </c>
      <c r="I3960" s="5" t="s">
        <v>25</v>
      </c>
      <c r="J3960" s="5" t="s">
        <v>19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500</v>
      </c>
      <c r="R3960" s="14">
        <v>0</v>
      </c>
      <c r="S3960" s="14">
        <v>500</v>
      </c>
      <c r="T3960" s="13">
        <v>0</v>
      </c>
    </row>
    <row r="3961" spans="1:20" x14ac:dyDescent="0.3">
      <c r="A3961" t="str">
        <f t="shared" si="122"/>
        <v>MANTEIGA 5KGLACTALIS</v>
      </c>
      <c r="B3961" t="str">
        <f t="shared" si="123"/>
        <v>5367655MANTEIGA 5KGLACTALIS</v>
      </c>
      <c r="C3961" s="5" t="s">
        <v>174</v>
      </c>
      <c r="D3961" s="5" t="s">
        <v>681</v>
      </c>
      <c r="E3961" s="5" t="s">
        <v>1202</v>
      </c>
      <c r="F3961" s="5">
        <v>5367655</v>
      </c>
      <c r="G3961" s="5" t="s">
        <v>1777</v>
      </c>
      <c r="H3961" s="5" t="s">
        <v>28</v>
      </c>
      <c r="I3961" s="5" t="s">
        <v>20</v>
      </c>
      <c r="J3961" s="5" t="s">
        <v>54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10</v>
      </c>
      <c r="R3961" s="14">
        <v>0</v>
      </c>
      <c r="S3961" s="14">
        <v>10</v>
      </c>
      <c r="T3961" s="13" t="e">
        <f>VLOOKUP(H3961,'[3]BASE MC'!J:P,7,0)</f>
        <v>#N/A</v>
      </c>
    </row>
    <row r="3962" spans="1:20" x14ac:dyDescent="0.3">
      <c r="A3962" t="str">
        <f t="shared" si="122"/>
        <v>MANTEIGA 5KGLACTALIS</v>
      </c>
      <c r="B3962" t="str">
        <f t="shared" si="123"/>
        <v>5369793MANTEIGA 5KGLACTALIS</v>
      </c>
      <c r="C3962" s="5" t="s">
        <v>174</v>
      </c>
      <c r="D3962" s="5" t="s">
        <v>681</v>
      </c>
      <c r="E3962" s="5" t="s">
        <v>1198</v>
      </c>
      <c r="F3962" s="5">
        <v>5369793</v>
      </c>
      <c r="G3962" s="5" t="s">
        <v>1780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60</v>
      </c>
      <c r="R3962" s="14">
        <v>0</v>
      </c>
      <c r="S3962" s="14">
        <v>60</v>
      </c>
      <c r="T3962" s="13" t="e">
        <f>VLOOKUP(H3962,'[3]BASE MC'!J:P,7,0)</f>
        <v>#N/A</v>
      </c>
    </row>
    <row r="3963" spans="1:20" x14ac:dyDescent="0.3">
      <c r="A3963" t="str">
        <f t="shared" si="122"/>
        <v>MANTEIGA 5KGLACTALIS</v>
      </c>
      <c r="B3963" t="str">
        <f t="shared" si="123"/>
        <v>5371456MANTEIGA 5KGLACTALIS</v>
      </c>
      <c r="C3963" s="5" t="s">
        <v>174</v>
      </c>
      <c r="D3963" s="5" t="s">
        <v>681</v>
      </c>
      <c r="E3963" s="5" t="s">
        <v>1204</v>
      </c>
      <c r="F3963" s="5">
        <v>5371456</v>
      </c>
      <c r="G3963" s="5" t="s">
        <v>1776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15</v>
      </c>
      <c r="R3963" s="14">
        <v>0</v>
      </c>
      <c r="S3963" s="14">
        <v>15</v>
      </c>
      <c r="T3963" s="13" t="e">
        <f>VLOOKUP(H3963,'[3]BASE MC'!J:P,7,0)</f>
        <v>#N/A</v>
      </c>
    </row>
    <row r="3964" spans="1:20" x14ac:dyDescent="0.3">
      <c r="A3964" t="str">
        <f t="shared" si="122"/>
        <v>MERC + AROMLACTALIS</v>
      </c>
      <c r="B3964" t="str">
        <f t="shared" si="123"/>
        <v>5320070MERC + AROMLACTALIS</v>
      </c>
      <c r="C3964" s="5" t="s">
        <v>174</v>
      </c>
      <c r="D3964" s="5" t="s">
        <v>633</v>
      </c>
      <c r="E3964" s="5" t="s">
        <v>644</v>
      </c>
      <c r="F3964" s="5">
        <v>5320070</v>
      </c>
      <c r="G3964" s="5" t="s">
        <v>801</v>
      </c>
      <c r="H3964" s="5" t="s">
        <v>123</v>
      </c>
      <c r="I3964" s="5" t="s">
        <v>20</v>
      </c>
      <c r="J3964" s="5" t="s">
        <v>178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12</v>
      </c>
      <c r="R3964" s="14">
        <v>0</v>
      </c>
      <c r="S3964" s="14">
        <v>12</v>
      </c>
      <c r="T3964" s="13">
        <v>0</v>
      </c>
    </row>
    <row r="3965" spans="1:20" x14ac:dyDescent="0.3">
      <c r="A3965" t="str">
        <f t="shared" si="122"/>
        <v>QUEIJOSLACTALIS</v>
      </c>
      <c r="B3965" t="str">
        <f t="shared" si="123"/>
        <v>5034559QUEIJOSLACTALIS</v>
      </c>
      <c r="C3965" s="5" t="s">
        <v>174</v>
      </c>
      <c r="D3965" s="5" t="s">
        <v>681</v>
      </c>
      <c r="E3965" s="5" t="s">
        <v>1198</v>
      </c>
      <c r="F3965" s="5">
        <v>5034559</v>
      </c>
      <c r="G3965" s="5" t="s">
        <v>1709</v>
      </c>
      <c r="H3965" s="5" t="s">
        <v>28</v>
      </c>
      <c r="I3965" s="5" t="s">
        <v>20</v>
      </c>
      <c r="J3965" s="5" t="s">
        <v>56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0</v>
      </c>
      <c r="R3965" s="14">
        <v>0</v>
      </c>
      <c r="S3965" s="14">
        <v>0</v>
      </c>
      <c r="T3965" s="13" t="e">
        <f>VLOOKUP(H3965,'[3]BASE MC'!J:P,7,0)</f>
        <v>#N/A</v>
      </c>
    </row>
    <row r="3966" spans="1:20" x14ac:dyDescent="0.3">
      <c r="A3966" t="str">
        <f t="shared" si="122"/>
        <v>QUEIJOSLACTALIS</v>
      </c>
      <c r="B3966" t="str">
        <f t="shared" si="123"/>
        <v>5320070QUEIJOSLACTALIS</v>
      </c>
      <c r="C3966" s="5" t="s">
        <v>174</v>
      </c>
      <c r="D3966" s="5" t="s">
        <v>633</v>
      </c>
      <c r="E3966" s="5" t="s">
        <v>644</v>
      </c>
      <c r="F3966" s="5">
        <v>5320070</v>
      </c>
      <c r="G3966" s="5" t="s">
        <v>801</v>
      </c>
      <c r="H3966" s="5" t="s">
        <v>123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13939.65</v>
      </c>
      <c r="R3966" s="14">
        <v>0</v>
      </c>
      <c r="S3966" s="14">
        <v>13939.65</v>
      </c>
      <c r="T3966" s="13" t="e">
        <f>VLOOKUP(H3966,'[3]BASE MC'!J:P,7,0)</f>
        <v>#N/A</v>
      </c>
    </row>
    <row r="3967" spans="1:20" x14ac:dyDescent="0.3">
      <c r="A3967" t="str">
        <f t="shared" si="122"/>
        <v>QUEIJOSLACTALIS</v>
      </c>
      <c r="B3967" t="str">
        <f t="shared" si="123"/>
        <v>5373511QUEIJOSLACTALIS</v>
      </c>
      <c r="C3967" s="5" t="s">
        <v>174</v>
      </c>
      <c r="D3967" s="5" t="s">
        <v>681</v>
      </c>
      <c r="E3967" s="5" t="s">
        <v>1201</v>
      </c>
      <c r="F3967" s="5">
        <v>5373511</v>
      </c>
      <c r="G3967" s="5" t="s">
        <v>1769</v>
      </c>
      <c r="H3967" s="5" t="s">
        <v>28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2</v>
      </c>
      <c r="R3967" s="14">
        <v>0</v>
      </c>
      <c r="S3967" s="14">
        <v>2</v>
      </c>
      <c r="T3967" s="13" t="e">
        <f>VLOOKUP(H3967,'[3]BASE MC'!J:P,7,0)</f>
        <v>#N/A</v>
      </c>
    </row>
    <row r="3968" spans="1:20" x14ac:dyDescent="0.3">
      <c r="A3968" t="str">
        <f t="shared" si="122"/>
        <v>SPREADSITAMBÉ</v>
      </c>
      <c r="B3968" t="str">
        <f t="shared" si="123"/>
        <v>5321782SPREADSITAMBÉ</v>
      </c>
      <c r="C3968" s="5" t="s">
        <v>174</v>
      </c>
      <c r="D3968" s="5" t="s">
        <v>1439</v>
      </c>
      <c r="E3968" s="5" t="s">
        <v>1439</v>
      </c>
      <c r="F3968" s="5">
        <v>5321782</v>
      </c>
      <c r="G3968" s="5" t="s">
        <v>768</v>
      </c>
      <c r="H3968" s="5" t="s">
        <v>93</v>
      </c>
      <c r="I3968" s="5" t="s">
        <v>25</v>
      </c>
      <c r="J3968" s="5" t="s">
        <v>773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0</v>
      </c>
      <c r="R3968" s="14">
        <v>0</v>
      </c>
      <c r="S3968" s="14">
        <v>60</v>
      </c>
      <c r="T3968" s="13">
        <v>0</v>
      </c>
    </row>
    <row r="3969" spans="1:20" x14ac:dyDescent="0.3">
      <c r="A3969" t="str">
        <f t="shared" si="122"/>
        <v>CREME UHTLACTALIS</v>
      </c>
      <c r="B3969" t="str">
        <f t="shared" si="123"/>
        <v>5141759CREME UHTLACTALIS</v>
      </c>
      <c r="C3969" s="5" t="s">
        <v>174</v>
      </c>
      <c r="D3969" s="5" t="s">
        <v>633</v>
      </c>
      <c r="E3969" s="5" t="s">
        <v>649</v>
      </c>
      <c r="F3969" s="5">
        <v>5141759</v>
      </c>
      <c r="G3969" s="5" t="s">
        <v>657</v>
      </c>
      <c r="H3969" s="5" t="s">
        <v>30</v>
      </c>
      <c r="I3969" s="5" t="s">
        <v>20</v>
      </c>
      <c r="J3969" s="5" t="s">
        <v>32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48</v>
      </c>
      <c r="R3969" s="14">
        <v>0</v>
      </c>
      <c r="S3969" s="14">
        <v>48</v>
      </c>
      <c r="T3969" s="13" t="e">
        <f>VLOOKUP(H3969,'[3]BASE MC'!J:P,7,0)</f>
        <v>#N/A</v>
      </c>
    </row>
    <row r="3970" spans="1:20" x14ac:dyDescent="0.3">
      <c r="A3970" t="str">
        <f t="shared" si="122"/>
        <v>CREME UHTITAMBÉ</v>
      </c>
      <c r="B3970" t="str">
        <f t="shared" si="123"/>
        <v>5350815CREME UHTITAMBÉ</v>
      </c>
      <c r="C3970" s="5" t="s">
        <v>174</v>
      </c>
      <c r="D3970" s="5" t="s">
        <v>633</v>
      </c>
      <c r="E3970" s="5" t="s">
        <v>649</v>
      </c>
      <c r="F3970" s="5">
        <v>5350815</v>
      </c>
      <c r="G3970" s="5" t="s">
        <v>666</v>
      </c>
      <c r="H3970" s="5" t="s">
        <v>30</v>
      </c>
      <c r="I3970" s="5" t="s">
        <v>25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5</v>
      </c>
      <c r="T3970" s="13" t="e">
        <f>VLOOKUP(H3970,'[3]BASE MC'!J:P,7,0)</f>
        <v>#N/A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5373064CREME UHTITAMBÉ</v>
      </c>
      <c r="C3971" s="5" t="s">
        <v>174</v>
      </c>
      <c r="D3971" s="5" t="s">
        <v>1439</v>
      </c>
      <c r="E3971" s="5" t="s">
        <v>1439</v>
      </c>
      <c r="F3971" s="5">
        <v>5373064</v>
      </c>
      <c r="G3971" s="5" t="s">
        <v>1751</v>
      </c>
      <c r="H3971" s="5" t="s">
        <v>93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108</v>
      </c>
      <c r="R3971" s="14">
        <v>0</v>
      </c>
      <c r="S3971" s="14">
        <v>108</v>
      </c>
      <c r="T3971" s="13" t="e">
        <f>VLOOKUP(H3971,'[3]BASE MC'!J:P,7,0)</f>
        <v>#N/A</v>
      </c>
    </row>
    <row r="3972" spans="1:20" x14ac:dyDescent="0.3">
      <c r="A3972" t="str">
        <f t="shared" si="124"/>
        <v>DOCE DE LEITEITAMBÉ</v>
      </c>
      <c r="B3972" t="str">
        <f t="shared" si="125"/>
        <v>5373064DOCE DE LEITEITAMBÉ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42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100</v>
      </c>
      <c r="R3972" s="14">
        <v>0</v>
      </c>
      <c r="S3972" s="14">
        <v>108</v>
      </c>
      <c r="T3972" s="13" t="e">
        <f>VLOOKUP(H3972,'[3]BASE MC'!J:P,7,0)</f>
        <v>#N/A</v>
      </c>
    </row>
    <row r="3973" spans="1:20" x14ac:dyDescent="0.3">
      <c r="A3973" t="str">
        <f t="shared" si="124"/>
        <v>IOGURTESITAMBÉ</v>
      </c>
      <c r="B3973" t="str">
        <f t="shared" si="125"/>
        <v>5195658IOGURTESITAMBÉ</v>
      </c>
      <c r="C3973" s="5" t="s">
        <v>174</v>
      </c>
      <c r="D3973" s="5" t="s">
        <v>681</v>
      </c>
      <c r="E3973" s="5" t="s">
        <v>1196</v>
      </c>
      <c r="F3973" s="5">
        <v>5195658</v>
      </c>
      <c r="G3973" s="5" t="s">
        <v>825</v>
      </c>
      <c r="H3973" s="5" t="s">
        <v>28</v>
      </c>
      <c r="I3973" s="5" t="s">
        <v>25</v>
      </c>
      <c r="J3973" s="5" t="s">
        <v>122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27.6</v>
      </c>
      <c r="R3973" s="14">
        <v>0</v>
      </c>
      <c r="S3973" s="14">
        <v>27.6</v>
      </c>
      <c r="T3973" s="13" t="e">
        <f>VLOOKUP(H3973,'[3]BASE MC'!J:P,7,0)</f>
        <v>#N/A</v>
      </c>
    </row>
    <row r="3974" spans="1:20" x14ac:dyDescent="0.3">
      <c r="A3974" t="str">
        <f t="shared" si="124"/>
        <v>IOGURTESITAMBÉ</v>
      </c>
      <c r="B3974" t="str">
        <f t="shared" si="125"/>
        <v>5361809IOGURTESITAMBÉ</v>
      </c>
      <c r="C3974" s="5" t="s">
        <v>119</v>
      </c>
      <c r="D3974" s="5" t="s">
        <v>161</v>
      </c>
      <c r="E3974" s="5" t="s">
        <v>161</v>
      </c>
      <c r="F3974" s="5">
        <v>5361809</v>
      </c>
      <c r="G3974" s="5" t="s">
        <v>1781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0</v>
      </c>
      <c r="R3974" s="14">
        <v>0</v>
      </c>
      <c r="S3974" s="14">
        <v>49</v>
      </c>
      <c r="T3974" s="13" t="e">
        <f>VLOOKUP(H3974,'[3]BASE MC'!J:P,7,0)</f>
        <v>#N/A</v>
      </c>
    </row>
    <row r="3975" spans="1:20" x14ac:dyDescent="0.3">
      <c r="A3975" t="str">
        <f t="shared" si="124"/>
        <v>IOGURTESLACTALIS</v>
      </c>
      <c r="B3975" t="str">
        <f t="shared" si="125"/>
        <v>5222398IOGURTESLACTALIS</v>
      </c>
      <c r="C3975" s="5" t="s">
        <v>174</v>
      </c>
      <c r="D3975" s="5" t="s">
        <v>681</v>
      </c>
      <c r="E3975" s="5" t="s">
        <v>1201</v>
      </c>
      <c r="F3975" s="5">
        <v>5222398</v>
      </c>
      <c r="G3975" s="5" t="s">
        <v>319</v>
      </c>
      <c r="H3975" s="5" t="s">
        <v>28</v>
      </c>
      <c r="I3975" s="5" t="s">
        <v>20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18.399999999999999</v>
      </c>
      <c r="R3975" s="14">
        <v>0</v>
      </c>
      <c r="S3975" s="14">
        <v>18.399999999999999</v>
      </c>
      <c r="T3975" s="13" t="e">
        <f>VLOOKUP(H3975,'[3]BASE MC'!J:P,7,0)</f>
        <v>#N/A</v>
      </c>
    </row>
    <row r="3976" spans="1:20" x14ac:dyDescent="0.3">
      <c r="A3976" t="str">
        <f t="shared" si="124"/>
        <v>LEITE CONDENSADOLACTALIS</v>
      </c>
      <c r="B3976" t="str">
        <f t="shared" si="125"/>
        <v>5141759LEITE CONDENSADOLACTALIS</v>
      </c>
      <c r="C3976" s="5" t="s">
        <v>174</v>
      </c>
      <c r="D3976" s="5" t="s">
        <v>633</v>
      </c>
      <c r="E3976" s="5" t="s">
        <v>649</v>
      </c>
      <c r="F3976" s="5">
        <v>5141759</v>
      </c>
      <c r="G3976" s="5" t="s">
        <v>657</v>
      </c>
      <c r="H3976" s="5" t="s">
        <v>30</v>
      </c>
      <c r="I3976" s="5" t="s">
        <v>20</v>
      </c>
      <c r="J3976" s="5" t="s">
        <v>31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284.39999999999998</v>
      </c>
      <c r="R3976" s="14">
        <v>0</v>
      </c>
      <c r="S3976" s="14">
        <v>284.39999999999998</v>
      </c>
      <c r="T3976" s="13" t="e">
        <f>VLOOKUP(H3976,'[3]BASE MC'!J:P,7,0)</f>
        <v>#N/A</v>
      </c>
    </row>
    <row r="3977" spans="1:20" x14ac:dyDescent="0.3">
      <c r="A3977" t="str">
        <f t="shared" si="124"/>
        <v>LEITE EM PÓITAMBÉ</v>
      </c>
      <c r="B3977" t="str">
        <f t="shared" si="125"/>
        <v>5361809LEITE EM PÓITAMBÉ</v>
      </c>
      <c r="C3977" s="5" t="s">
        <v>119</v>
      </c>
      <c r="D3977" s="5" t="s">
        <v>161</v>
      </c>
      <c r="E3977" s="5" t="s">
        <v>161</v>
      </c>
      <c r="F3977" s="5">
        <v>5361809</v>
      </c>
      <c r="G3977" s="5" t="s">
        <v>1781</v>
      </c>
      <c r="H3977" s="5" t="s">
        <v>28</v>
      </c>
      <c r="I3977" s="5" t="s">
        <v>25</v>
      </c>
      <c r="J3977" s="5" t="s">
        <v>70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3" t="e">
        <f>VLOOKUP(H3977,'[3]BASE MC'!J:P,7,0)</f>
        <v>#N/A</v>
      </c>
    </row>
    <row r="3978" spans="1:20" x14ac:dyDescent="0.3">
      <c r="A3978" t="str">
        <f t="shared" si="124"/>
        <v>LEITE EM PÓLACTALIS</v>
      </c>
      <c r="B3978" t="str">
        <f t="shared" si="125"/>
        <v>5141759LEITE EM PÓLACTALIS</v>
      </c>
      <c r="C3978" s="5" t="s">
        <v>174</v>
      </c>
      <c r="D3978" s="5" t="s">
        <v>633</v>
      </c>
      <c r="E3978" s="5" t="s">
        <v>649</v>
      </c>
      <c r="F3978" s="5">
        <v>5141759</v>
      </c>
      <c r="G3978" s="5" t="s">
        <v>657</v>
      </c>
      <c r="H3978" s="5" t="s">
        <v>30</v>
      </c>
      <c r="I3978" s="5" t="s">
        <v>20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20</v>
      </c>
      <c r="R3978" s="14">
        <v>0</v>
      </c>
      <c r="S3978" s="14">
        <v>20</v>
      </c>
      <c r="T3978" s="13" t="e">
        <f>VLOOKUP(H3978,'[3]BASE MC'!J:P,7,0)</f>
        <v>#N/A</v>
      </c>
    </row>
    <row r="3979" spans="1:20" x14ac:dyDescent="0.3">
      <c r="A3979" t="str">
        <f t="shared" si="124"/>
        <v>LEITE UHTLACTALIS</v>
      </c>
      <c r="B3979" t="str">
        <f t="shared" si="125"/>
        <v>5296844LEITE UHTLACTALIS</v>
      </c>
      <c r="C3979" s="5" t="s">
        <v>174</v>
      </c>
      <c r="D3979" s="5" t="s">
        <v>681</v>
      </c>
      <c r="E3979" s="5" t="s">
        <v>1198</v>
      </c>
      <c r="F3979" s="5">
        <v>5296844</v>
      </c>
      <c r="G3979" s="5" t="s">
        <v>270</v>
      </c>
      <c r="H3979" s="5" t="s">
        <v>28</v>
      </c>
      <c r="I3979" s="5" t="s">
        <v>20</v>
      </c>
      <c r="J3979" s="5" t="s">
        <v>125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60</v>
      </c>
      <c r="R3979" s="14">
        <v>0</v>
      </c>
      <c r="S3979" s="14">
        <v>60</v>
      </c>
      <c r="T3979" s="13" t="e">
        <f>VLOOKUP(H3979,'[3]BASE MC'!J:P,7,0)</f>
        <v>#N/A</v>
      </c>
    </row>
    <row r="3980" spans="1:20" x14ac:dyDescent="0.3">
      <c r="A3980" t="str">
        <f t="shared" si="124"/>
        <v>LEITE UHTLACTALIS</v>
      </c>
      <c r="B3980" t="str">
        <f t="shared" si="125"/>
        <v>5372652LEITE UHTLACTALIS</v>
      </c>
      <c r="C3980" s="5" t="s">
        <v>174</v>
      </c>
      <c r="D3980" s="5" t="s">
        <v>681</v>
      </c>
      <c r="E3980" s="5" t="s">
        <v>1204</v>
      </c>
      <c r="F3980" s="5">
        <v>5372652</v>
      </c>
      <c r="G3980" s="5" t="s">
        <v>1674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24</v>
      </c>
      <c r="R3980" s="14">
        <v>0</v>
      </c>
      <c r="S3980" s="14">
        <v>24</v>
      </c>
      <c r="T3980" s="13" t="e">
        <f>VLOOKUP(H3980,'[3]BASE MC'!J:P,7,0)</f>
        <v>#N/A</v>
      </c>
    </row>
    <row r="3981" spans="1:20" x14ac:dyDescent="0.3">
      <c r="A3981" t="str">
        <f t="shared" si="124"/>
        <v>LEITE UHTLACTALIS</v>
      </c>
      <c r="B3981" t="str">
        <f t="shared" si="125"/>
        <v>5373511LEITE UHTLACTALIS</v>
      </c>
      <c r="C3981" s="5" t="s">
        <v>174</v>
      </c>
      <c r="D3981" s="5" t="s">
        <v>681</v>
      </c>
      <c r="E3981" s="5" t="s">
        <v>1201</v>
      </c>
      <c r="F3981" s="5">
        <v>5373511</v>
      </c>
      <c r="G3981" s="5" t="s">
        <v>1769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144</v>
      </c>
      <c r="R3981" s="14">
        <v>0</v>
      </c>
      <c r="S3981" s="14">
        <v>144</v>
      </c>
      <c r="T3981" s="13" t="e">
        <f>VLOOKUP(H3981,'[3]BASE MC'!J:P,7,0)</f>
        <v>#N/A</v>
      </c>
    </row>
    <row r="3982" spans="1:20" x14ac:dyDescent="0.3">
      <c r="A3982" t="str">
        <f t="shared" si="124"/>
        <v>LPI 25KGITAMBÉ</v>
      </c>
      <c r="B3982" t="str">
        <f t="shared" si="125"/>
        <v>5364891LPI 25KGITAMBÉ</v>
      </c>
      <c r="C3982" s="5" t="s">
        <v>14</v>
      </c>
      <c r="D3982" s="5" t="s">
        <v>15</v>
      </c>
      <c r="E3982" s="5" t="s">
        <v>1324</v>
      </c>
      <c r="F3982" s="5">
        <v>5364891</v>
      </c>
      <c r="G3982" s="5" t="s">
        <v>1645</v>
      </c>
      <c r="H3982" s="5" t="s">
        <v>705</v>
      </c>
      <c r="I3982" s="5" t="s">
        <v>25</v>
      </c>
      <c r="J3982" s="5" t="s">
        <v>19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250</v>
      </c>
      <c r="R3982" s="14">
        <v>0</v>
      </c>
      <c r="S3982" s="14">
        <v>250</v>
      </c>
      <c r="T3982" s="13">
        <v>0</v>
      </c>
    </row>
    <row r="3983" spans="1:20" x14ac:dyDescent="0.3">
      <c r="A3983" t="str">
        <f t="shared" si="124"/>
        <v>LPI 25KGITAMBÉ</v>
      </c>
      <c r="B3983" t="str">
        <f t="shared" si="125"/>
        <v>5366209LPI 25KGITAMBÉ</v>
      </c>
      <c r="C3983" s="5" t="s">
        <v>14</v>
      </c>
      <c r="D3983" s="5" t="s">
        <v>15</v>
      </c>
      <c r="E3983" s="5" t="s">
        <v>1303</v>
      </c>
      <c r="F3983" s="5">
        <v>5366209</v>
      </c>
      <c r="G3983" s="5" t="s">
        <v>1782</v>
      </c>
      <c r="H3983" s="5" t="s">
        <v>85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500</v>
      </c>
      <c r="R3983" s="14">
        <v>0</v>
      </c>
      <c r="S3983" s="14">
        <v>500</v>
      </c>
      <c r="T3983" s="13">
        <v>0</v>
      </c>
    </row>
    <row r="3984" spans="1:20" x14ac:dyDescent="0.3">
      <c r="A3984" t="str">
        <f t="shared" si="124"/>
        <v>MANTEIGA 5KGLACTALIS</v>
      </c>
      <c r="B3984" t="str">
        <f t="shared" si="125"/>
        <v>5372957MANTEIGA 5KGLACTALIS</v>
      </c>
      <c r="C3984" s="5" t="s">
        <v>174</v>
      </c>
      <c r="D3984" s="5" t="s">
        <v>681</v>
      </c>
      <c r="E3984" s="5" t="s">
        <v>1196</v>
      </c>
      <c r="F3984" s="5">
        <v>5372957</v>
      </c>
      <c r="G3984" s="5" t="s">
        <v>1783</v>
      </c>
      <c r="H3984" s="5" t="s">
        <v>28</v>
      </c>
      <c r="I3984" s="5" t="s">
        <v>20</v>
      </c>
      <c r="J3984" s="5" t="s">
        <v>54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</v>
      </c>
      <c r="R3984" s="14">
        <v>0</v>
      </c>
      <c r="S3984" s="14">
        <v>5</v>
      </c>
      <c r="T3984" s="13" t="e">
        <f>VLOOKUP(H3984,'[3]BASE MC'!J:P,7,0)</f>
        <v>#N/A</v>
      </c>
    </row>
    <row r="3985" spans="1:20" x14ac:dyDescent="0.3">
      <c r="A3985" t="str">
        <f t="shared" si="124"/>
        <v>MANTEIGA 5KGLACTALIS</v>
      </c>
      <c r="B3985" t="str">
        <f t="shared" si="125"/>
        <v>5374066MANTEIGA 5KGLACTALIS</v>
      </c>
      <c r="C3985" s="5" t="s">
        <v>174</v>
      </c>
      <c r="D3985" s="5" t="s">
        <v>681</v>
      </c>
      <c r="E3985" s="5" t="s">
        <v>1204</v>
      </c>
      <c r="F3985" s="5">
        <v>5374066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15</v>
      </c>
      <c r="R3985" s="14">
        <v>0</v>
      </c>
      <c r="S3985" s="14">
        <v>15</v>
      </c>
      <c r="T3985" s="13" t="e">
        <f>VLOOKUP(H3985,'[3]BASE MC'!J:P,7,0)</f>
        <v>#N/A</v>
      </c>
    </row>
    <row r="3986" spans="1:20" x14ac:dyDescent="0.3">
      <c r="A3986" t="str">
        <f t="shared" si="124"/>
        <v>MERC + AROMITAMBÉ</v>
      </c>
      <c r="B3986" t="str">
        <f t="shared" si="125"/>
        <v>5195658MERC + AROMITAMBÉ</v>
      </c>
      <c r="C3986" s="5" t="s">
        <v>174</v>
      </c>
      <c r="D3986" s="5" t="s">
        <v>681</v>
      </c>
      <c r="E3986" s="5" t="s">
        <v>1196</v>
      </c>
      <c r="F3986" s="5">
        <v>5195658</v>
      </c>
      <c r="G3986" s="5" t="s">
        <v>825</v>
      </c>
      <c r="H3986" s="5" t="s">
        <v>28</v>
      </c>
      <c r="I3986" s="5" t="s">
        <v>25</v>
      </c>
      <c r="J3986" s="5" t="s">
        <v>178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4.5</v>
      </c>
      <c r="R3986" s="14">
        <v>0</v>
      </c>
      <c r="S3986" s="14">
        <v>4.5</v>
      </c>
      <c r="T3986" s="13" t="e">
        <f>VLOOKUP(H3986,'[3]BASE MC'!J:P,7,0)</f>
        <v>#N/A</v>
      </c>
    </row>
    <row r="3987" spans="1:20" x14ac:dyDescent="0.3">
      <c r="A3987" t="str">
        <f t="shared" si="124"/>
        <v>QUEIJOSITAMBÉ</v>
      </c>
      <c r="B3987" t="str">
        <f t="shared" si="125"/>
        <v>5075754QUEIJOSITAMBÉ</v>
      </c>
      <c r="C3987" s="5" t="s">
        <v>174</v>
      </c>
      <c r="D3987" s="5" t="s">
        <v>1437</v>
      </c>
      <c r="E3987" s="5" t="s">
        <v>721</v>
      </c>
      <c r="F3987" s="5">
        <v>5075754</v>
      </c>
      <c r="G3987" s="5" t="s">
        <v>724</v>
      </c>
      <c r="H3987" s="5" t="s">
        <v>76</v>
      </c>
      <c r="I3987" s="5" t="s">
        <v>25</v>
      </c>
      <c r="J3987" s="5" t="s">
        <v>56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1</v>
      </c>
      <c r="R3987" s="14">
        <v>0</v>
      </c>
      <c r="S3987" s="14">
        <v>1</v>
      </c>
      <c r="T3987" s="13">
        <v>0</v>
      </c>
    </row>
    <row r="3988" spans="1:20" x14ac:dyDescent="0.3">
      <c r="A3988" t="str">
        <f t="shared" si="124"/>
        <v>SPREADSLACTALIS</v>
      </c>
      <c r="B3988" t="str">
        <f t="shared" si="125"/>
        <v>5268767SPREADSLACTALIS</v>
      </c>
      <c r="C3988" s="5" t="s">
        <v>119</v>
      </c>
      <c r="D3988" s="5" t="s">
        <v>161</v>
      </c>
      <c r="E3988" s="5" t="s">
        <v>161</v>
      </c>
      <c r="F3988" s="5">
        <v>5268767</v>
      </c>
      <c r="G3988" s="5" t="s">
        <v>1785</v>
      </c>
      <c r="H3988" s="5" t="s">
        <v>28</v>
      </c>
      <c r="I3988" s="5" t="s">
        <v>20</v>
      </c>
      <c r="J3988" s="5" t="s">
        <v>773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60</v>
      </c>
      <c r="R3988" s="14">
        <v>0</v>
      </c>
      <c r="S3988" s="14">
        <v>60</v>
      </c>
      <c r="T3988" s="13" t="e">
        <f>VLOOKUP(H3988,'[3]BASE MC'!J:P,7,0)</f>
        <v>#N/A</v>
      </c>
    </row>
    <row r="3989" spans="1:20" x14ac:dyDescent="0.3">
      <c r="A3989" t="str">
        <f t="shared" si="124"/>
        <v>SPREADSLACTALIS</v>
      </c>
      <c r="B3989" t="str">
        <f t="shared" si="125"/>
        <v>5370630SPREADSLACTALIS</v>
      </c>
      <c r="C3989" s="5" t="s">
        <v>174</v>
      </c>
      <c r="D3989" s="5" t="s">
        <v>681</v>
      </c>
      <c r="E3989" s="5" t="s">
        <v>1205</v>
      </c>
      <c r="F3989" s="5">
        <v>5370630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0</v>
      </c>
      <c r="R3989" s="14">
        <v>0</v>
      </c>
      <c r="S3989" s="14">
        <v>0</v>
      </c>
      <c r="T3989" s="13" t="e">
        <f>VLOOKUP(H3989,'[3]BASE MC'!J:P,7,0)</f>
        <v>#N/A</v>
      </c>
    </row>
    <row r="3990" spans="1:20" x14ac:dyDescent="0.3">
      <c r="A3990" t="str">
        <f t="shared" si="124"/>
        <v>COMPOSTOITAMBÉ</v>
      </c>
      <c r="B3990" t="str">
        <f t="shared" si="125"/>
        <v>5370503COMPOSTOITAMBÉ</v>
      </c>
      <c r="C3990" s="5" t="s">
        <v>174</v>
      </c>
      <c r="D3990" s="5" t="s">
        <v>633</v>
      </c>
      <c r="E3990" s="5" t="s">
        <v>862</v>
      </c>
      <c r="F3990" s="5">
        <v>5370503</v>
      </c>
      <c r="G3990" s="5" t="s">
        <v>1787</v>
      </c>
      <c r="H3990" s="5" t="s">
        <v>123</v>
      </c>
      <c r="I3990" s="5" t="s">
        <v>25</v>
      </c>
      <c r="J3990" s="5" t="s">
        <v>24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30</v>
      </c>
      <c r="R3990" s="14">
        <v>0</v>
      </c>
      <c r="S3990" s="14">
        <v>30</v>
      </c>
      <c r="T3990" s="13" t="e">
        <f>VLOOKUP(H3990,'[3]BASE MC'!J:P,7,0)</f>
        <v>#N/A</v>
      </c>
    </row>
    <row r="3991" spans="1:20" x14ac:dyDescent="0.3">
      <c r="A3991" t="str">
        <f t="shared" si="124"/>
        <v>CREME UHTLACTALIS</v>
      </c>
      <c r="B3991" t="str">
        <f t="shared" si="125"/>
        <v>5316731CREME UHTLACTALIS</v>
      </c>
      <c r="C3991" s="5" t="s">
        <v>174</v>
      </c>
      <c r="D3991" s="5" t="s">
        <v>681</v>
      </c>
      <c r="E3991" s="5" t="s">
        <v>1196</v>
      </c>
      <c r="F3991" s="5">
        <v>5316731</v>
      </c>
      <c r="G3991" s="5" t="s">
        <v>547</v>
      </c>
      <c r="H3991" s="5" t="s">
        <v>28</v>
      </c>
      <c r="I3991" s="5" t="s">
        <v>20</v>
      </c>
      <c r="J3991" s="5" t="s">
        <v>32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4.8</v>
      </c>
      <c r="R3991" s="14">
        <v>0</v>
      </c>
      <c r="S3991" s="14">
        <v>4.8</v>
      </c>
      <c r="T3991" s="13" t="e">
        <f>VLOOKUP(H3991,'[3]BASE MC'!J:P,7,0)</f>
        <v>#N/A</v>
      </c>
    </row>
    <row r="3992" spans="1:20" x14ac:dyDescent="0.3">
      <c r="A3992" t="str">
        <f t="shared" si="124"/>
        <v>DOCE DE LEITEITAMBÉ</v>
      </c>
      <c r="B3992" t="str">
        <f t="shared" si="125"/>
        <v>5263652DOCE DE LEITEITAMBÉ</v>
      </c>
      <c r="C3992" s="5" t="s">
        <v>174</v>
      </c>
      <c r="D3992" s="5" t="s">
        <v>681</v>
      </c>
      <c r="E3992" s="5" t="s">
        <v>1198</v>
      </c>
      <c r="F3992" s="5">
        <v>5263652</v>
      </c>
      <c r="G3992" s="5" t="s">
        <v>233</v>
      </c>
      <c r="H3992" s="5" t="s">
        <v>28</v>
      </c>
      <c r="I3992" s="5" t="s">
        <v>25</v>
      </c>
      <c r="J3992" s="5" t="s">
        <v>42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20</v>
      </c>
      <c r="R3992" s="14">
        <v>0</v>
      </c>
      <c r="S3992" s="14">
        <v>20</v>
      </c>
      <c r="T3992" s="13" t="e">
        <f>VLOOKUP(H3992,'[3]BASE MC'!J:P,7,0)</f>
        <v>#N/A</v>
      </c>
    </row>
    <row r="3993" spans="1:20" x14ac:dyDescent="0.3">
      <c r="A3993" t="str">
        <f t="shared" si="124"/>
        <v>LEITE CONDENSADOITAMBÉ</v>
      </c>
      <c r="B3993" t="str">
        <f t="shared" si="125"/>
        <v>5263652LEITE CONDENSADOITAMBÉ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31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30</v>
      </c>
      <c r="R3993" s="14">
        <v>0</v>
      </c>
      <c r="S3993" s="14">
        <v>30</v>
      </c>
      <c r="T3993" s="13" t="e">
        <f>VLOOKUP(H3993,'[3]BASE MC'!J:P,7,0)</f>
        <v>#N/A</v>
      </c>
    </row>
    <row r="3994" spans="1:20" x14ac:dyDescent="0.3">
      <c r="A3994" t="str">
        <f t="shared" si="124"/>
        <v>LEITE CONDENSADOITAMBÉ</v>
      </c>
      <c r="B3994" t="str">
        <f t="shared" si="125"/>
        <v>5314201LEITE CONDENSADOITAMBÉ</v>
      </c>
      <c r="C3994" s="5" t="s">
        <v>174</v>
      </c>
      <c r="D3994" s="5" t="s">
        <v>1437</v>
      </c>
      <c r="E3994" s="5" t="s">
        <v>634</v>
      </c>
      <c r="F3994" s="5">
        <v>5314201</v>
      </c>
      <c r="G3994" s="5" t="s">
        <v>1514</v>
      </c>
      <c r="H3994" s="5" t="s">
        <v>38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159.97499999999999</v>
      </c>
      <c r="R3994" s="14">
        <v>0</v>
      </c>
      <c r="S3994" s="14">
        <v>159.97499999999999</v>
      </c>
      <c r="T3994" s="13" t="e">
        <f>VLOOKUP(H3994,'[3]BASE MC'!J:P,7,0)</f>
        <v>#N/A</v>
      </c>
    </row>
    <row r="3995" spans="1:20" x14ac:dyDescent="0.3">
      <c r="A3995" t="str">
        <f t="shared" si="124"/>
        <v>LEITE EM PÓITAMBÉ</v>
      </c>
      <c r="B3995" t="str">
        <f t="shared" si="125"/>
        <v>5157739LEITE EM PÓITAMBÉ</v>
      </c>
      <c r="C3995" s="5" t="s">
        <v>174</v>
      </c>
      <c r="D3995" s="5" t="s">
        <v>1437</v>
      </c>
      <c r="E3995" s="5" t="s">
        <v>1789</v>
      </c>
      <c r="F3995" s="5">
        <v>5157739</v>
      </c>
      <c r="G3995" s="5" t="s">
        <v>1788</v>
      </c>
      <c r="H3995" s="5" t="s">
        <v>81</v>
      </c>
      <c r="I3995" s="5" t="s">
        <v>25</v>
      </c>
      <c r="J3995" s="5" t="s">
        <v>70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3">
        <v>0</v>
      </c>
    </row>
    <row r="3996" spans="1:20" x14ac:dyDescent="0.3">
      <c r="A3996" t="str">
        <f t="shared" si="124"/>
        <v>LEITE EM PÓLACTALIS</v>
      </c>
      <c r="B3996" t="str">
        <f t="shared" si="125"/>
        <v>5213905LEITE EM PÓLACTALIS</v>
      </c>
      <c r="C3996" s="5" t="s">
        <v>174</v>
      </c>
      <c r="D3996" s="5" t="s">
        <v>633</v>
      </c>
      <c r="E3996" s="5" t="s">
        <v>649</v>
      </c>
      <c r="F3996" s="5">
        <v>5213905</v>
      </c>
      <c r="G3996" s="5" t="s">
        <v>663</v>
      </c>
      <c r="H3996" s="5" t="s">
        <v>30</v>
      </c>
      <c r="I3996" s="5" t="s">
        <v>20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20</v>
      </c>
      <c r="R3996" s="14">
        <v>0</v>
      </c>
      <c r="S3996" s="14">
        <v>20</v>
      </c>
      <c r="T3996" s="13" t="e">
        <f>VLOOKUP(H3996,'[3]BASE MC'!J:P,7,0)</f>
        <v>#N/A</v>
      </c>
    </row>
    <row r="3997" spans="1:20" x14ac:dyDescent="0.3">
      <c r="A3997" t="str">
        <f t="shared" si="124"/>
        <v>BLISTERLACTALIS</v>
      </c>
      <c r="B3997" t="str">
        <f t="shared" si="125"/>
        <v>5185956BLISTERLACTALIS</v>
      </c>
      <c r="C3997" s="5" t="s">
        <v>174</v>
      </c>
      <c r="D3997" s="5" t="s">
        <v>681</v>
      </c>
      <c r="E3997" s="5" t="s">
        <v>1198</v>
      </c>
      <c r="F3997" s="5">
        <v>5185956</v>
      </c>
      <c r="G3997" s="5" t="s">
        <v>1746</v>
      </c>
      <c r="H3997" s="5" t="s">
        <v>28</v>
      </c>
      <c r="I3997" s="5" t="s">
        <v>20</v>
      </c>
      <c r="J3997" s="5" t="s">
        <v>152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38.4</v>
      </c>
      <c r="R3997" s="14">
        <v>0</v>
      </c>
      <c r="S3997" s="14">
        <v>38.4</v>
      </c>
      <c r="T3997" s="13" t="e">
        <f>VLOOKUP(H3997,'[3]BASE MC'!J:P,7,0)</f>
        <v>#N/A</v>
      </c>
    </row>
    <row r="3998" spans="1:20" x14ac:dyDescent="0.3">
      <c r="A3998" t="str">
        <f t="shared" si="124"/>
        <v>CREME UHTLACTALIS</v>
      </c>
      <c r="B3998" t="str">
        <f t="shared" si="125"/>
        <v>5044784CREME UHTLACTALIS</v>
      </c>
      <c r="C3998" s="5" t="s">
        <v>174</v>
      </c>
      <c r="D3998" s="5" t="s">
        <v>633</v>
      </c>
      <c r="E3998" s="5" t="s">
        <v>649</v>
      </c>
      <c r="F3998" s="5">
        <v>5044784</v>
      </c>
      <c r="G3998" s="5" t="s">
        <v>654</v>
      </c>
      <c r="H3998" s="5" t="s">
        <v>30</v>
      </c>
      <c r="I3998" s="5" t="s">
        <v>20</v>
      </c>
      <c r="J3998" s="5" t="s">
        <v>32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96</v>
      </c>
      <c r="R3998" s="14">
        <v>0</v>
      </c>
      <c r="S3998" s="14">
        <v>96</v>
      </c>
      <c r="T3998" s="13" t="e">
        <f>VLOOKUP(H3998,'[3]BASE MC'!J:P,7,0)</f>
        <v>#N/A</v>
      </c>
    </row>
    <row r="3999" spans="1:20" x14ac:dyDescent="0.3">
      <c r="A3999" t="str">
        <f t="shared" si="124"/>
        <v>DOCE DE LEITELACTALIS</v>
      </c>
      <c r="B3999" t="str">
        <f t="shared" si="125"/>
        <v>5185956DOCE DE LEITELACTALIS</v>
      </c>
      <c r="C3999" s="5" t="s">
        <v>174</v>
      </c>
      <c r="D3999" s="5" t="s">
        <v>681</v>
      </c>
      <c r="E3999" s="5" t="s">
        <v>1198</v>
      </c>
      <c r="F3999" s="5">
        <v>5185956</v>
      </c>
      <c r="G3999" s="5" t="s">
        <v>1746</v>
      </c>
      <c r="H3999" s="5" t="s">
        <v>28</v>
      </c>
      <c r="I3999" s="5" t="s">
        <v>20</v>
      </c>
      <c r="J3999" s="5" t="s">
        <v>42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16.8</v>
      </c>
      <c r="R3999" s="14">
        <v>0</v>
      </c>
      <c r="S3999" s="14">
        <v>16.8</v>
      </c>
      <c r="T3999" s="13" t="e">
        <f>VLOOKUP(H3999,'[3]BASE MC'!J:P,7,0)</f>
        <v>#N/A</v>
      </c>
    </row>
    <row r="4000" spans="1:20" x14ac:dyDescent="0.3">
      <c r="A4000" t="str">
        <f t="shared" si="124"/>
        <v>LEITE CONDENSADOLACTALIS</v>
      </c>
      <c r="B4000" t="str">
        <f t="shared" si="125"/>
        <v>5044784LEITE CONDENSADOLACTALIS</v>
      </c>
      <c r="C4000" s="5" t="s">
        <v>174</v>
      </c>
      <c r="D4000" s="5" t="s">
        <v>633</v>
      </c>
      <c r="E4000" s="5" t="s">
        <v>649</v>
      </c>
      <c r="F4000" s="5">
        <v>5044784</v>
      </c>
      <c r="G4000" s="5" t="s">
        <v>654</v>
      </c>
      <c r="H4000" s="5" t="s">
        <v>30</v>
      </c>
      <c r="I4000" s="5" t="s">
        <v>20</v>
      </c>
      <c r="J4000" s="5" t="s">
        <v>31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189.6</v>
      </c>
      <c r="R4000" s="14">
        <v>0</v>
      </c>
      <c r="S4000" s="14">
        <v>190</v>
      </c>
      <c r="T4000" s="13" t="e">
        <f>VLOOKUP(H4000,'[3]BASE MC'!J:P,7,0)</f>
        <v>#N/A</v>
      </c>
    </row>
    <row r="4001" spans="1:20" x14ac:dyDescent="0.3">
      <c r="A4001" t="str">
        <f t="shared" si="124"/>
        <v>LEITE EM PÓLACTALIS</v>
      </c>
      <c r="B4001" t="str">
        <f t="shared" si="125"/>
        <v>5044784LEITE EM PÓLACTALIS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70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30</v>
      </c>
      <c r="R4001" s="14">
        <v>0</v>
      </c>
      <c r="S4001" s="14">
        <v>30</v>
      </c>
      <c r="T4001" s="13" t="e">
        <f>VLOOKUP(H4001,'[3]BASE MC'!J:P,7,0)</f>
        <v>#N/A</v>
      </c>
    </row>
    <row r="4002" spans="1:20" x14ac:dyDescent="0.3">
      <c r="A4002" t="str">
        <f t="shared" si="124"/>
        <v>LEITE UHTLACTALIS</v>
      </c>
      <c r="B4002" t="str">
        <f t="shared" si="125"/>
        <v>5373453LEITE UHTLACTALIS</v>
      </c>
      <c r="C4002" s="5" t="s">
        <v>174</v>
      </c>
      <c r="D4002" s="5" t="s">
        <v>681</v>
      </c>
      <c r="E4002" s="5" t="s">
        <v>1196</v>
      </c>
      <c r="F4002" s="5">
        <v>5373453</v>
      </c>
      <c r="G4002" s="5" t="s">
        <v>1790</v>
      </c>
      <c r="H4002" s="5" t="s">
        <v>28</v>
      </c>
      <c r="I4002" s="5" t="s">
        <v>20</v>
      </c>
      <c r="J4002" s="5" t="s">
        <v>125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72</v>
      </c>
      <c r="R4002" s="14">
        <v>0</v>
      </c>
      <c r="S4002" s="14">
        <v>72</v>
      </c>
      <c r="T4002" s="13" t="e">
        <f>VLOOKUP(H4002,'[3]BASE MC'!J:P,7,0)</f>
        <v>#N/A</v>
      </c>
    </row>
    <row r="4003" spans="1:20" x14ac:dyDescent="0.3">
      <c r="A4003" t="str">
        <f t="shared" si="124"/>
        <v>LPI 25KGITAMBÉ</v>
      </c>
      <c r="B4003" t="str">
        <f t="shared" si="125"/>
        <v>5372410LPI 25KGITAMBÉ</v>
      </c>
      <c r="C4003" s="5" t="s">
        <v>14</v>
      </c>
      <c r="D4003" s="5" t="s">
        <v>15</v>
      </c>
      <c r="E4003" s="5" t="s">
        <v>40</v>
      </c>
      <c r="F4003" s="5">
        <v>5372410</v>
      </c>
      <c r="G4003" s="5" t="s">
        <v>1791</v>
      </c>
      <c r="H4003" s="5" t="s">
        <v>23</v>
      </c>
      <c r="I4003" s="5" t="s">
        <v>25</v>
      </c>
      <c r="J4003" s="5" t="s">
        <v>19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500</v>
      </c>
      <c r="R4003" s="14">
        <v>0</v>
      </c>
      <c r="S4003" s="14">
        <v>500</v>
      </c>
      <c r="T4003" s="13" t="e">
        <f>VLOOKUP(H4003,'[3]BASE MC'!J:P,7,0)</f>
        <v>#N/A</v>
      </c>
    </row>
    <row r="4004" spans="1:20" x14ac:dyDescent="0.3">
      <c r="A4004" t="str">
        <f t="shared" si="124"/>
        <v>MERC + AROMLACTALIS</v>
      </c>
      <c r="B4004" t="str">
        <f t="shared" si="125"/>
        <v>5373867MERC + AROMLACTALIS</v>
      </c>
      <c r="C4004" s="5" t="s">
        <v>174</v>
      </c>
      <c r="D4004" s="5" t="s">
        <v>681</v>
      </c>
      <c r="E4004" s="5" t="s">
        <v>1205</v>
      </c>
      <c r="F4004" s="5">
        <v>5373867</v>
      </c>
      <c r="G4004" s="5" t="s">
        <v>1792</v>
      </c>
      <c r="H4004" s="5" t="s">
        <v>28</v>
      </c>
      <c r="I4004" s="5" t="s">
        <v>20</v>
      </c>
      <c r="J4004" s="5" t="s">
        <v>178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3</v>
      </c>
      <c r="R4004" s="14">
        <v>0</v>
      </c>
      <c r="S4004" s="14">
        <v>3</v>
      </c>
      <c r="T4004" s="13" t="e">
        <f>VLOOKUP(H4004,'[3]BASE MC'!J:P,7,0)</f>
        <v>#N/A</v>
      </c>
    </row>
    <row r="4005" spans="1:20" x14ac:dyDescent="0.3">
      <c r="A4005" t="str">
        <f t="shared" si="124"/>
        <v>CREME UHTITAMBÉ</v>
      </c>
      <c r="B4005" t="str">
        <f t="shared" si="125"/>
        <v>5016719CREME UHTITAMBÉ</v>
      </c>
      <c r="C4005" s="5" t="s">
        <v>174</v>
      </c>
      <c r="D4005" s="5" t="s">
        <v>1439</v>
      </c>
      <c r="E4005" s="5" t="s">
        <v>1439</v>
      </c>
      <c r="F4005" s="5">
        <v>5016719</v>
      </c>
      <c r="G4005" s="5" t="s">
        <v>1793</v>
      </c>
      <c r="H4005" s="5" t="s">
        <v>93</v>
      </c>
      <c r="I4005" s="5" t="s">
        <v>25</v>
      </c>
      <c r="J4005" s="5" t="s">
        <v>32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521.16</v>
      </c>
      <c r="R4005" s="14">
        <v>0</v>
      </c>
      <c r="S4005" s="14">
        <v>521.16</v>
      </c>
      <c r="T4005" s="13" t="e">
        <f>VLOOKUP(H4005,'[3]BASE MC'!J:P,7,0)</f>
        <v>#N/A</v>
      </c>
    </row>
    <row r="4006" spans="1:20" x14ac:dyDescent="0.3">
      <c r="A4006" t="str">
        <f t="shared" si="124"/>
        <v>CREME UHTITAMBÉ</v>
      </c>
      <c r="B4006" t="str">
        <f t="shared" si="125"/>
        <v>5370503CREME UHTITAMBÉ</v>
      </c>
      <c r="C4006" s="5" t="s">
        <v>174</v>
      </c>
      <c r="D4006" s="5" t="s">
        <v>633</v>
      </c>
      <c r="E4006" s="5" t="s">
        <v>862</v>
      </c>
      <c r="F4006" s="5">
        <v>5370503</v>
      </c>
      <c r="G4006" s="5" t="s">
        <v>1794</v>
      </c>
      <c r="H4006" s="5" t="s">
        <v>123</v>
      </c>
      <c r="I4006" s="5" t="s">
        <v>25</v>
      </c>
      <c r="J4006" s="5" t="s">
        <v>32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60.599999999999994</v>
      </c>
      <c r="R4006" s="14">
        <v>0</v>
      </c>
      <c r="S4006" s="14">
        <v>60.599999999999994</v>
      </c>
      <c r="T4006" s="13" t="e">
        <f>VLOOKUP(H4006,'[3]BASE MC'!J:P,7,0)</f>
        <v>#N/A</v>
      </c>
    </row>
    <row r="4007" spans="1:20" x14ac:dyDescent="0.3">
      <c r="A4007" t="str">
        <f t="shared" si="124"/>
        <v>CREME UHTLACTALIS</v>
      </c>
      <c r="B4007" t="str">
        <f t="shared" si="125"/>
        <v>5259285CREME UHTLACTALIS</v>
      </c>
      <c r="C4007" s="5" t="s">
        <v>174</v>
      </c>
      <c r="D4007" s="5" t="s">
        <v>681</v>
      </c>
      <c r="E4007" s="5" t="s">
        <v>1203</v>
      </c>
      <c r="F4007" s="5">
        <v>5259285</v>
      </c>
      <c r="G4007" s="5" t="s">
        <v>1715</v>
      </c>
      <c r="H4007" s="5" t="s">
        <v>28</v>
      </c>
      <c r="I4007" s="5" t="s">
        <v>20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576</v>
      </c>
      <c r="R4007" s="14">
        <v>0</v>
      </c>
      <c r="S4007" s="14">
        <v>576</v>
      </c>
      <c r="T4007" s="13" t="e">
        <f>VLOOKUP(H4007,'[3]BASE MC'!J:P,7,0)</f>
        <v>#N/A</v>
      </c>
    </row>
    <row r="4008" spans="1:20" x14ac:dyDescent="0.3">
      <c r="A4008" t="str">
        <f t="shared" si="124"/>
        <v>LEITE CONDENSADOITAMBÉ</v>
      </c>
      <c r="B4008" t="str">
        <f t="shared" si="125"/>
        <v>5016719LEITE CONDENSADOITAMBÉ</v>
      </c>
      <c r="C4008" s="5" t="s">
        <v>174</v>
      </c>
      <c r="D4008" s="5" t="s">
        <v>1439</v>
      </c>
      <c r="E4008" s="5" t="s">
        <v>1439</v>
      </c>
      <c r="F4008" s="5">
        <v>5016719</v>
      </c>
      <c r="G4008" s="5" t="s">
        <v>1793</v>
      </c>
      <c r="H4008" s="5" t="s">
        <v>93</v>
      </c>
      <c r="I4008" s="5" t="s">
        <v>25</v>
      </c>
      <c r="J4008" s="5" t="s">
        <v>31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0</v>
      </c>
      <c r="R4008" s="14">
        <v>0</v>
      </c>
      <c r="S4008" s="14">
        <v>776</v>
      </c>
      <c r="T4008" s="13" t="e">
        <f>VLOOKUP(H4008,'[3]BASE MC'!J:P,7,0)</f>
        <v>#N/A</v>
      </c>
    </row>
    <row r="4009" spans="1:20" x14ac:dyDescent="0.3">
      <c r="A4009" t="str">
        <f t="shared" si="124"/>
        <v>LEITE CONDENSADOITAMBÉ</v>
      </c>
      <c r="B4009" t="str">
        <f t="shared" si="125"/>
        <v>5370503LEITE CONDENSADOITAMBÉ</v>
      </c>
      <c r="C4009" s="5" t="s">
        <v>174</v>
      </c>
      <c r="D4009" s="5" t="s">
        <v>633</v>
      </c>
      <c r="E4009" s="5" t="s">
        <v>862</v>
      </c>
      <c r="F4009" s="5">
        <v>5370503</v>
      </c>
      <c r="G4009" s="5" t="s">
        <v>1794</v>
      </c>
      <c r="H4009" s="5" t="s">
        <v>123</v>
      </c>
      <c r="I4009" s="5" t="s">
        <v>25</v>
      </c>
      <c r="J4009" s="5" t="s">
        <v>31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130</v>
      </c>
      <c r="R4009" s="14">
        <v>0</v>
      </c>
      <c r="S4009" s="14">
        <v>130</v>
      </c>
      <c r="T4009" s="13" t="e">
        <f>VLOOKUP(H4009,'[3]BASE MC'!J:P,7,0)</f>
        <v>#N/A</v>
      </c>
    </row>
    <row r="4010" spans="1:20" x14ac:dyDescent="0.3">
      <c r="A4010" t="str">
        <f t="shared" si="124"/>
        <v>LEITE UHTLACTALIS</v>
      </c>
      <c r="B4010" t="str">
        <f t="shared" si="125"/>
        <v>5372337LEITE UHTLACTALIS</v>
      </c>
      <c r="C4010" s="5" t="s">
        <v>174</v>
      </c>
      <c r="D4010" s="5" t="s">
        <v>681</v>
      </c>
      <c r="E4010" s="5" t="s">
        <v>1204</v>
      </c>
      <c r="F4010" s="5">
        <v>5372337</v>
      </c>
      <c r="G4010" s="5" t="s">
        <v>1795</v>
      </c>
      <c r="H4010" s="5" t="s">
        <v>28</v>
      </c>
      <c r="I4010" s="5" t="s">
        <v>20</v>
      </c>
      <c r="J4010" s="5" t="s">
        <v>125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12</v>
      </c>
      <c r="R4010" s="14">
        <v>0</v>
      </c>
      <c r="S4010" s="14">
        <v>12</v>
      </c>
      <c r="T4010" s="13" t="e">
        <f>VLOOKUP(H4010,'[3]BASE MC'!J:P,7,0)</f>
        <v>#N/A</v>
      </c>
    </row>
    <row r="4011" spans="1:20" x14ac:dyDescent="0.3">
      <c r="A4011" t="str">
        <f t="shared" si="124"/>
        <v>MANTEIGA 5KGLACTALIS</v>
      </c>
      <c r="B4011" t="str">
        <f t="shared" si="125"/>
        <v>5372337MANTEIGA 5KGLACTALIS</v>
      </c>
      <c r="C4011" s="5" t="s">
        <v>174</v>
      </c>
      <c r="D4011" s="5" t="s">
        <v>681</v>
      </c>
      <c r="E4011" s="5" t="s">
        <v>1204</v>
      </c>
      <c r="F4011" s="5">
        <v>5372337</v>
      </c>
      <c r="G4011" s="5" t="s">
        <v>1795</v>
      </c>
      <c r="H4011" s="5" t="s">
        <v>28</v>
      </c>
      <c r="I4011" s="5" t="s">
        <v>20</v>
      </c>
      <c r="J4011" s="5" t="s">
        <v>54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5</v>
      </c>
      <c r="R4011" s="14">
        <v>0</v>
      </c>
      <c r="S4011" s="14">
        <v>5</v>
      </c>
      <c r="T4011" s="13" t="e">
        <f>VLOOKUP(H4011,'[3]BASE MC'!J:P,7,0)</f>
        <v>#N/A</v>
      </c>
    </row>
    <row r="4012" spans="1:20" x14ac:dyDescent="0.3">
      <c r="A4012" t="str">
        <f t="shared" si="124"/>
        <v>SPREADSLACTALIS</v>
      </c>
      <c r="B4012" t="str">
        <f t="shared" si="125"/>
        <v>5361702SPREADSLACTALIS</v>
      </c>
      <c r="C4012" s="5" t="s">
        <v>174</v>
      </c>
      <c r="D4012" s="5" t="s">
        <v>681</v>
      </c>
      <c r="E4012" s="5" t="s">
        <v>1204</v>
      </c>
      <c r="F4012" s="5">
        <v>5361702</v>
      </c>
      <c r="G4012" s="5" t="s">
        <v>1220</v>
      </c>
      <c r="H4012" s="5" t="s">
        <v>28</v>
      </c>
      <c r="I4012" s="5" t="s">
        <v>20</v>
      </c>
      <c r="J4012" s="5" t="s">
        <v>773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8</v>
      </c>
      <c r="R4012" s="14">
        <v>0</v>
      </c>
      <c r="S4012" s="14">
        <v>8</v>
      </c>
      <c r="T4012" s="13" t="e">
        <f>VLOOKUP(H4012,'[3]BASE MC'!J:P,7,0)</f>
        <v>#N/A</v>
      </c>
    </row>
    <row r="4013" spans="1:20" x14ac:dyDescent="0.3">
      <c r="A4013" t="str">
        <f t="shared" si="124"/>
        <v>DOCE DE LEITEITAMBÉ</v>
      </c>
      <c r="B4013" t="str">
        <f t="shared" si="125"/>
        <v>5339488DOCE DE LEITEITAMBÉ</v>
      </c>
      <c r="C4013" s="5" t="s">
        <v>174</v>
      </c>
      <c r="D4013" s="5" t="s">
        <v>681</v>
      </c>
      <c r="E4013" s="5" t="s">
        <v>1201</v>
      </c>
      <c r="F4013" s="5">
        <v>5339488</v>
      </c>
      <c r="G4013" s="5" t="s">
        <v>986</v>
      </c>
      <c r="H4013" s="5" t="s">
        <v>28</v>
      </c>
      <c r="I4013" s="5" t="s">
        <v>25</v>
      </c>
      <c r="J4013" s="5" t="s">
        <v>42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20</v>
      </c>
      <c r="R4013" s="14">
        <v>0</v>
      </c>
      <c r="S4013" s="14">
        <v>20</v>
      </c>
      <c r="T4013" s="13" t="e">
        <f>VLOOKUP(H4013,'[3]BASE MC'!J:P,7,0)</f>
        <v>#N/A</v>
      </c>
    </row>
    <row r="4014" spans="1:20" x14ac:dyDescent="0.3">
      <c r="A4014" t="str">
        <f t="shared" si="124"/>
        <v>IOGURTESITAMBÉ</v>
      </c>
      <c r="B4014" t="str">
        <f t="shared" si="125"/>
        <v>5346063IOGURTESITAMBÉ</v>
      </c>
      <c r="C4014" s="5" t="s">
        <v>174</v>
      </c>
      <c r="D4014" s="5" t="s">
        <v>633</v>
      </c>
      <c r="E4014" s="5" t="s">
        <v>644</v>
      </c>
      <c r="F4014" s="5">
        <v>5346063</v>
      </c>
      <c r="G4014" s="5" t="s">
        <v>1796</v>
      </c>
      <c r="H4014" s="5" t="s">
        <v>123</v>
      </c>
      <c r="I4014" s="5" t="s">
        <v>25</v>
      </c>
      <c r="J4014" s="5" t="s">
        <v>122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216</v>
      </c>
      <c r="R4014" s="14">
        <v>0</v>
      </c>
      <c r="S4014" s="14">
        <v>216</v>
      </c>
      <c r="T4014" s="13" t="e">
        <f>VLOOKUP(H4014,'[3]BASE MC'!J:P,7,0)</f>
        <v>#N/A</v>
      </c>
    </row>
    <row r="4015" spans="1:20" x14ac:dyDescent="0.3">
      <c r="A4015" t="str">
        <f t="shared" si="124"/>
        <v>LEITE CONDENSADOITAMBÉ</v>
      </c>
      <c r="B4015" t="str">
        <f t="shared" si="125"/>
        <v>5339488LEITE CONDENSADOITAMBÉ</v>
      </c>
      <c r="C4015" s="5" t="s">
        <v>174</v>
      </c>
      <c r="D4015" s="5" t="s">
        <v>681</v>
      </c>
      <c r="E4015" s="5" t="s">
        <v>1201</v>
      </c>
      <c r="F4015" s="5">
        <v>5339488</v>
      </c>
      <c r="G4015" s="5" t="s">
        <v>986</v>
      </c>
      <c r="H4015" s="5" t="s">
        <v>28</v>
      </c>
      <c r="I4015" s="5" t="s">
        <v>25</v>
      </c>
      <c r="J4015" s="5" t="s">
        <v>31</v>
      </c>
      <c r="K4015" s="6">
        <v>0</v>
      </c>
      <c r="L4015" s="14">
        <v>0</v>
      </c>
      <c r="M4015" s="14">
        <v>0</v>
      </c>
      <c r="N4015" s="14">
        <v>0</v>
      </c>
      <c r="O4015" s="14">
        <v>0</v>
      </c>
      <c r="P4015" s="14">
        <v>0</v>
      </c>
      <c r="Q4015" s="14">
        <v>18.96</v>
      </c>
      <c r="R4015" s="14">
        <v>0</v>
      </c>
      <c r="S4015" s="14">
        <v>18.96</v>
      </c>
      <c r="T4015" s="13" t="e">
        <f>VLOOKUP(H4015,'[3]BASE MC'!J:P,7,0)</f>
        <v>#N/A</v>
      </c>
    </row>
    <row r="4016" spans="1:20" x14ac:dyDescent="0.3">
      <c r="A4016" t="str">
        <f t="shared" si="124"/>
        <v>IOGURTESLACTALIS</v>
      </c>
      <c r="B4016" t="str">
        <f t="shared" si="125"/>
        <v>5355177IOGURTESLACTALIS</v>
      </c>
      <c r="C4016" s="5" t="s">
        <v>174</v>
      </c>
      <c r="D4016" s="5" t="s">
        <v>681</v>
      </c>
      <c r="E4016" s="5" t="s">
        <v>1196</v>
      </c>
      <c r="F4016" s="5">
        <v>5355177</v>
      </c>
      <c r="G4016" s="5" t="s">
        <v>1568</v>
      </c>
      <c r="H4016" s="5" t="s">
        <v>28</v>
      </c>
      <c r="I4016" s="5" t="s">
        <v>20</v>
      </c>
      <c r="J4016" s="5" t="s">
        <v>122</v>
      </c>
      <c r="K4016" s="6">
        <v>0</v>
      </c>
      <c r="L4016" s="14">
        <v>0</v>
      </c>
      <c r="M4016" s="14">
        <v>0</v>
      </c>
      <c r="N4016" s="14">
        <v>0</v>
      </c>
      <c r="O4016" s="14">
        <v>0</v>
      </c>
      <c r="P4016" s="14">
        <v>0</v>
      </c>
      <c r="Q4016" s="14">
        <v>4.88</v>
      </c>
      <c r="R4016" s="14">
        <v>0</v>
      </c>
      <c r="S4016" s="14">
        <v>4.88</v>
      </c>
      <c r="T4016" s="13" t="e">
        <f>VLOOKUP(H4016,'[3]BASE MC'!J:P,7,0)</f>
        <v>#N/A</v>
      </c>
    </row>
    <row r="4017" spans="1:20" x14ac:dyDescent="0.3">
      <c r="A4017" t="str">
        <f t="shared" si="124"/>
        <v>LPD 25KGLACTALIS</v>
      </c>
      <c r="B4017" t="str">
        <f t="shared" si="125"/>
        <v>5157826LPD 25KGLACTALIS</v>
      </c>
      <c r="C4017" s="5" t="s">
        <v>14</v>
      </c>
      <c r="D4017" s="5" t="s">
        <v>26</v>
      </c>
      <c r="E4017" s="5" t="s">
        <v>26</v>
      </c>
      <c r="F4017" s="5">
        <v>5157826</v>
      </c>
      <c r="G4017" s="5" t="s">
        <v>1797</v>
      </c>
      <c r="H4017" s="5" t="s">
        <v>28</v>
      </c>
      <c r="I4017" s="5" t="s">
        <v>20</v>
      </c>
      <c r="J4017" s="5" t="s">
        <v>39</v>
      </c>
      <c r="K4017" s="6">
        <v>0</v>
      </c>
      <c r="L4017" s="14">
        <v>0</v>
      </c>
      <c r="M4017" s="14">
        <v>0</v>
      </c>
      <c r="N4017" s="14">
        <v>0</v>
      </c>
      <c r="O4017" s="14">
        <v>0</v>
      </c>
      <c r="P4017" s="14">
        <v>0</v>
      </c>
      <c r="Q4017" s="14">
        <v>24000</v>
      </c>
      <c r="R4017" s="14">
        <v>0</v>
      </c>
      <c r="S4017" s="14">
        <v>24000</v>
      </c>
      <c r="T4017" s="13" t="e">
        <f>VLOOKUP(H4017,'[3]BASE MC'!J:P,7,0)</f>
        <v>#N/A</v>
      </c>
    </row>
    <row r="4018" spans="1:20" x14ac:dyDescent="0.3">
      <c r="A4018" t="str">
        <f t="shared" si="124"/>
        <v>MANTEIGA 5KGLACTALIS</v>
      </c>
      <c r="B4018" t="str">
        <f t="shared" si="125"/>
        <v>5372352MANTEIGA 5KGLACTALIS</v>
      </c>
      <c r="C4018" s="5" t="s">
        <v>174</v>
      </c>
      <c r="D4018" s="5" t="s">
        <v>681</v>
      </c>
      <c r="E4018" s="5" t="s">
        <v>1204</v>
      </c>
      <c r="F4018" s="5">
        <v>5372352</v>
      </c>
      <c r="G4018" s="5" t="s">
        <v>1798</v>
      </c>
      <c r="H4018" s="5" t="s">
        <v>28</v>
      </c>
      <c r="I4018" s="5" t="s">
        <v>20</v>
      </c>
      <c r="J4018" s="5" t="s">
        <v>54</v>
      </c>
      <c r="K4018" s="6">
        <v>0</v>
      </c>
      <c r="L4018" s="14">
        <v>0</v>
      </c>
      <c r="M4018" s="14">
        <v>0</v>
      </c>
      <c r="N4018" s="14">
        <v>0</v>
      </c>
      <c r="O4018" s="14">
        <v>0</v>
      </c>
      <c r="P4018" s="14">
        <v>0</v>
      </c>
      <c r="Q4018" s="14">
        <v>15</v>
      </c>
      <c r="R4018" s="14">
        <v>0</v>
      </c>
      <c r="S4018" s="14">
        <v>15</v>
      </c>
      <c r="T4018" s="13" t="e">
        <f>VLOOKUP(H4018,'[3]BASE MC'!J:P,7,0)</f>
        <v>#N/A</v>
      </c>
    </row>
    <row r="4019" spans="1:20" x14ac:dyDescent="0.3">
      <c r="A4019" t="str">
        <f t="shared" si="124"/>
        <v>MERC + AROMLACTALIS</v>
      </c>
      <c r="B4019" t="str">
        <f t="shared" si="125"/>
        <v>5331926MERC + AROMLACTALIS</v>
      </c>
      <c r="C4019" s="5" t="s">
        <v>174</v>
      </c>
      <c r="D4019" s="5" t="s">
        <v>681</v>
      </c>
      <c r="E4019" s="5" t="s">
        <v>1203</v>
      </c>
      <c r="F4019" s="5">
        <v>5331926</v>
      </c>
      <c r="G4019" s="5" t="s">
        <v>1733</v>
      </c>
      <c r="H4019" s="5" t="s">
        <v>28</v>
      </c>
      <c r="I4019" s="5" t="s">
        <v>20</v>
      </c>
      <c r="J4019" s="5" t="s">
        <v>178</v>
      </c>
      <c r="K4019" s="6">
        <v>0</v>
      </c>
      <c r="L4019" s="14">
        <v>0</v>
      </c>
      <c r="M4019" s="14">
        <v>0</v>
      </c>
      <c r="N4019" s="14">
        <v>0</v>
      </c>
      <c r="O4019" s="14">
        <v>0</v>
      </c>
      <c r="P4019" s="14">
        <v>0</v>
      </c>
      <c r="Q4019" s="14">
        <v>801.6</v>
      </c>
      <c r="R4019" s="14">
        <v>0</v>
      </c>
      <c r="S4019" s="14">
        <v>801.6</v>
      </c>
      <c r="T4019" s="13" t="e">
        <f>VLOOKUP(H4019,'[3]BASE MC'!J:P,7,0)</f>
        <v>#N/A</v>
      </c>
    </row>
    <row r="4020" spans="1:20" x14ac:dyDescent="0.3">
      <c r="A4020" t="str">
        <f t="shared" si="124"/>
        <v>QUEIJOSLACTALIS</v>
      </c>
      <c r="B4020" t="str">
        <f t="shared" si="125"/>
        <v>5011725QUEIJOSLACTALIS</v>
      </c>
      <c r="C4020" s="5" t="s">
        <v>174</v>
      </c>
      <c r="D4020" s="5" t="s">
        <v>681</v>
      </c>
      <c r="E4020" s="5" t="s">
        <v>1203</v>
      </c>
      <c r="F4020" s="5">
        <v>5011725</v>
      </c>
      <c r="G4020" s="5" t="s">
        <v>1799</v>
      </c>
      <c r="H4020" s="5" t="s">
        <v>28</v>
      </c>
      <c r="I4020" s="5" t="s">
        <v>20</v>
      </c>
      <c r="J4020" s="5" t="s">
        <v>56</v>
      </c>
      <c r="K4020" s="6">
        <v>0</v>
      </c>
      <c r="L4020" s="14">
        <v>0</v>
      </c>
      <c r="M4020" s="14">
        <v>0</v>
      </c>
      <c r="N4020" s="14">
        <v>0</v>
      </c>
      <c r="O4020" s="14">
        <v>0</v>
      </c>
      <c r="P4020" s="14">
        <v>0</v>
      </c>
      <c r="Q4020" s="14">
        <v>232.2</v>
      </c>
      <c r="R4020" s="14">
        <v>0</v>
      </c>
      <c r="S4020" s="14">
        <v>232.2</v>
      </c>
      <c r="T4020" s="13" t="e">
        <f>VLOOKUP(H4020,'[3]BASE MC'!J:P,7,0)</f>
        <v>#N/A</v>
      </c>
    </row>
    <row r="4021" spans="1:20" x14ac:dyDescent="0.3">
      <c r="A4021" t="str">
        <f t="shared" si="124"/>
        <v>QUEIJOSLACTALIS</v>
      </c>
      <c r="B4021" t="str">
        <f t="shared" si="125"/>
        <v>5169592QUEIJOSLACTALIS</v>
      </c>
      <c r="C4021" s="5" t="s">
        <v>14</v>
      </c>
      <c r="D4021" s="5" t="s">
        <v>26</v>
      </c>
      <c r="E4021" s="5" t="s">
        <v>1435</v>
      </c>
      <c r="F4021" s="5">
        <v>5169592</v>
      </c>
      <c r="G4021" s="5" t="s">
        <v>126</v>
      </c>
      <c r="H4021" s="5" t="s">
        <v>28</v>
      </c>
      <c r="I4021" s="5" t="s">
        <v>20</v>
      </c>
      <c r="J4021" s="5" t="s">
        <v>56</v>
      </c>
      <c r="K4021" s="6">
        <v>0</v>
      </c>
      <c r="L4021" s="14">
        <v>0</v>
      </c>
      <c r="M4021" s="14">
        <v>0</v>
      </c>
      <c r="N4021" s="14">
        <v>0</v>
      </c>
      <c r="O4021" s="14">
        <v>0</v>
      </c>
      <c r="P4021" s="14">
        <v>0</v>
      </c>
      <c r="Q4021" s="14">
        <v>492.5</v>
      </c>
      <c r="R4021" s="14">
        <v>0</v>
      </c>
      <c r="S4021" s="14">
        <v>492.5</v>
      </c>
      <c r="T4021" s="13" t="e">
        <f>VLOOKUP(H4021,'[3]BASE MC'!J:P,7,0)</f>
        <v>#N/A</v>
      </c>
    </row>
    <row r="4022" spans="1:20" x14ac:dyDescent="0.3">
      <c r="A4022" t="str">
        <f t="shared" si="124"/>
        <v>QUEIJOSLACTALIS</v>
      </c>
      <c r="B4022" t="str">
        <f t="shared" si="125"/>
        <v>5355177QUEIJOSLACTALIS</v>
      </c>
      <c r="C4022" s="5" t="s">
        <v>174</v>
      </c>
      <c r="D4022" s="5" t="s">
        <v>681</v>
      </c>
      <c r="E4022" s="5" t="s">
        <v>1196</v>
      </c>
      <c r="F4022" s="5">
        <v>5355177</v>
      </c>
      <c r="G4022" s="5" t="s">
        <v>1568</v>
      </c>
      <c r="H4022" s="5" t="s">
        <v>28</v>
      </c>
      <c r="I4022" s="5" t="s">
        <v>20</v>
      </c>
      <c r="J4022" s="5" t="s">
        <v>56</v>
      </c>
      <c r="K4022" s="6">
        <v>0</v>
      </c>
      <c r="L4022" s="14">
        <v>0</v>
      </c>
      <c r="M4022" s="14">
        <v>0</v>
      </c>
      <c r="N4022" s="14">
        <v>0</v>
      </c>
      <c r="O4022" s="14">
        <v>0</v>
      </c>
      <c r="P4022" s="14">
        <v>0</v>
      </c>
      <c r="Q4022" s="14">
        <v>8.4</v>
      </c>
      <c r="R4022" s="14">
        <v>0</v>
      </c>
      <c r="S4022" s="14">
        <v>8.4</v>
      </c>
      <c r="T4022" s="13" t="e">
        <f>VLOOKUP(H4022,'[3]BASE MC'!J:P,7,0)</f>
        <v>#N/A</v>
      </c>
    </row>
    <row r="4023" spans="1:20" x14ac:dyDescent="0.3">
      <c r="A4023" t="str">
        <f t="shared" si="124"/>
        <v>BLISTERLACTALIS</v>
      </c>
      <c r="B4023" t="str">
        <f t="shared" si="125"/>
        <v>5374089BLISTERLACTALIS</v>
      </c>
      <c r="C4023" s="5" t="s">
        <v>174</v>
      </c>
      <c r="D4023" s="5" t="s">
        <v>175</v>
      </c>
      <c r="E4023" s="5" t="s">
        <v>588</v>
      </c>
      <c r="F4023" s="5">
        <v>5374089</v>
      </c>
      <c r="G4023" s="5" t="s">
        <v>1800</v>
      </c>
      <c r="H4023" s="5" t="s">
        <v>28</v>
      </c>
      <c r="I4023" s="5" t="s">
        <v>20</v>
      </c>
      <c r="J4023" s="5" t="s">
        <v>152</v>
      </c>
      <c r="K4023" s="6">
        <v>0</v>
      </c>
      <c r="L4023" s="14">
        <v>0</v>
      </c>
      <c r="M4023" s="14">
        <v>0</v>
      </c>
      <c r="N4023" s="14">
        <v>0</v>
      </c>
      <c r="O4023" s="14">
        <v>0</v>
      </c>
      <c r="P4023" s="14">
        <v>0</v>
      </c>
      <c r="Q4023" s="14">
        <v>153.6</v>
      </c>
      <c r="R4023" s="14">
        <v>0</v>
      </c>
      <c r="S4023" s="14">
        <v>153.6</v>
      </c>
      <c r="T4023" s="13" t="e">
        <f>VLOOKUP(H4023,'[3]BASE MC'!J:P,7,0)</f>
        <v>#N/A</v>
      </c>
    </row>
    <row r="4024" spans="1:20" x14ac:dyDescent="0.3">
      <c r="A4024" t="str">
        <f t="shared" si="124"/>
        <v>CREME UHTLACTALIS</v>
      </c>
      <c r="B4024" t="str">
        <f t="shared" si="125"/>
        <v>5263907CREME UHTLACTALIS</v>
      </c>
      <c r="C4024" s="5" t="s">
        <v>174</v>
      </c>
      <c r="D4024" s="5" t="s">
        <v>681</v>
      </c>
      <c r="E4024" s="5" t="s">
        <v>1196</v>
      </c>
      <c r="F4024" s="5">
        <v>5263907</v>
      </c>
      <c r="G4024" s="5" t="s">
        <v>1520</v>
      </c>
      <c r="H4024" s="5" t="s">
        <v>28</v>
      </c>
      <c r="I4024" s="5" t="s">
        <v>20</v>
      </c>
      <c r="J4024" s="5" t="s">
        <v>32</v>
      </c>
      <c r="K4024" s="6">
        <v>0</v>
      </c>
      <c r="L4024" s="14">
        <v>0</v>
      </c>
      <c r="M4024" s="14">
        <v>0</v>
      </c>
      <c r="N4024" s="14">
        <v>0</v>
      </c>
      <c r="O4024" s="14">
        <v>0</v>
      </c>
      <c r="P4024" s="14">
        <v>0</v>
      </c>
      <c r="Q4024" s="14">
        <v>9.6</v>
      </c>
      <c r="R4024" s="14">
        <v>0</v>
      </c>
      <c r="S4024" s="14">
        <v>9.6</v>
      </c>
      <c r="T4024" s="13" t="e">
        <f>VLOOKUP(H4024,'[3]BASE MC'!J:P,7,0)</f>
        <v>#N/A</v>
      </c>
    </row>
    <row r="4025" spans="1:20" x14ac:dyDescent="0.3">
      <c r="A4025" t="str">
        <f t="shared" si="124"/>
        <v>IOGURTESLACTALIS</v>
      </c>
      <c r="B4025" t="str">
        <f t="shared" si="125"/>
        <v>5263907IOGURTESLACTALIS</v>
      </c>
      <c r="C4025" s="5" t="s">
        <v>174</v>
      </c>
      <c r="D4025" s="5" t="s">
        <v>681</v>
      </c>
      <c r="E4025" s="5" t="s">
        <v>1196</v>
      </c>
      <c r="F4025" s="5">
        <v>5263907</v>
      </c>
      <c r="G4025" s="5" t="s">
        <v>1520</v>
      </c>
      <c r="H4025" s="5" t="s">
        <v>28</v>
      </c>
      <c r="I4025" s="5" t="s">
        <v>20</v>
      </c>
      <c r="J4025" s="5" t="s">
        <v>122</v>
      </c>
      <c r="K4025" s="6">
        <v>0</v>
      </c>
      <c r="L4025" s="14">
        <v>0</v>
      </c>
      <c r="M4025" s="14">
        <v>0</v>
      </c>
      <c r="N4025" s="14">
        <v>0</v>
      </c>
      <c r="O4025" s="14">
        <v>0</v>
      </c>
      <c r="P4025" s="14">
        <v>0</v>
      </c>
      <c r="Q4025" s="14">
        <v>18.399999999999999</v>
      </c>
      <c r="R4025" s="14">
        <v>0</v>
      </c>
      <c r="S4025" s="14">
        <v>18.399999999999999</v>
      </c>
      <c r="T4025" s="13" t="e">
        <f>VLOOKUP(H4025,'[3]BASE MC'!J:P,7,0)</f>
        <v>#N/A</v>
      </c>
    </row>
    <row r="4026" spans="1:20" x14ac:dyDescent="0.3">
      <c r="A4026" t="str">
        <f t="shared" si="124"/>
        <v>LEITE EM PÓITAMBÉ</v>
      </c>
      <c r="B4026" t="str">
        <f t="shared" si="125"/>
        <v>5350815LEITE EM PÓITAMBÉ</v>
      </c>
      <c r="C4026" s="5" t="s">
        <v>174</v>
      </c>
      <c r="D4026" s="5" t="s">
        <v>633</v>
      </c>
      <c r="E4026" s="5" t="s">
        <v>649</v>
      </c>
      <c r="F4026" s="5">
        <v>5350815</v>
      </c>
      <c r="G4026" s="5" t="s">
        <v>666</v>
      </c>
      <c r="H4026" s="5" t="s">
        <v>30</v>
      </c>
      <c r="I4026" s="5" t="s">
        <v>25</v>
      </c>
      <c r="J4026" s="5" t="s">
        <v>70</v>
      </c>
      <c r="K4026" s="6">
        <v>0</v>
      </c>
      <c r="L4026" s="14">
        <v>0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10</v>
      </c>
      <c r="T4026" s="13" t="e">
        <f>VLOOKUP(H4026,'[3]BASE MC'!J:P,7,0)</f>
        <v>#N/A</v>
      </c>
    </row>
    <row r="4027" spans="1:20" x14ac:dyDescent="0.3">
      <c r="A4027" t="str">
        <f t="shared" si="124"/>
        <v>LEITE EM PÓITAMBÉ</v>
      </c>
      <c r="B4027" t="str">
        <f t="shared" si="125"/>
        <v>5374092LEITE EM PÓITAMBÉ</v>
      </c>
      <c r="C4027" s="5" t="s">
        <v>174</v>
      </c>
      <c r="D4027" s="5" t="s">
        <v>633</v>
      </c>
      <c r="E4027" s="5" t="s">
        <v>649</v>
      </c>
      <c r="F4027" s="5">
        <v>5374092</v>
      </c>
      <c r="G4027" s="5" t="s">
        <v>1801</v>
      </c>
      <c r="H4027" s="5" t="s">
        <v>30</v>
      </c>
      <c r="I4027" s="5" t="s">
        <v>25</v>
      </c>
      <c r="J4027" s="5" t="s">
        <v>70</v>
      </c>
      <c r="K4027" s="6">
        <v>0</v>
      </c>
      <c r="L4027" s="14">
        <v>0</v>
      </c>
      <c r="M4027" s="14">
        <v>0</v>
      </c>
      <c r="N4027" s="14">
        <v>0</v>
      </c>
      <c r="O4027" s="14">
        <v>0</v>
      </c>
      <c r="P4027" s="14">
        <v>0</v>
      </c>
      <c r="Q4027" s="14">
        <v>36</v>
      </c>
      <c r="R4027" s="14">
        <v>0</v>
      </c>
      <c r="S4027" s="14">
        <v>36</v>
      </c>
      <c r="T4027" s="13" t="e">
        <f>VLOOKUP(H4027,'[3]BASE MC'!J:P,7,0)</f>
        <v>#N/A</v>
      </c>
    </row>
    <row r="4028" spans="1:20" x14ac:dyDescent="0.3">
      <c r="A4028" t="str">
        <f t="shared" si="124"/>
        <v>LEITE UHTLACTALIS</v>
      </c>
      <c r="B4028" t="str">
        <f t="shared" si="125"/>
        <v>5270158LEITE UHTLACTALIS</v>
      </c>
      <c r="C4028" s="5" t="s">
        <v>174</v>
      </c>
      <c r="D4028" s="5" t="s">
        <v>681</v>
      </c>
      <c r="E4028" s="5" t="s">
        <v>1196</v>
      </c>
      <c r="F4028" s="5">
        <v>5270158</v>
      </c>
      <c r="G4028" s="5" t="s">
        <v>363</v>
      </c>
      <c r="H4028" s="5" t="s">
        <v>28</v>
      </c>
      <c r="I4028" s="5" t="s">
        <v>20</v>
      </c>
      <c r="J4028" s="5" t="s">
        <v>125</v>
      </c>
      <c r="K4028" s="6">
        <v>0</v>
      </c>
      <c r="L4028" s="14">
        <v>0</v>
      </c>
      <c r="M4028" s="14">
        <v>0</v>
      </c>
      <c r="N4028" s="14">
        <v>0</v>
      </c>
      <c r="O4028" s="14">
        <v>0</v>
      </c>
      <c r="P4028" s="14">
        <v>0</v>
      </c>
      <c r="Q4028" s="14">
        <v>120</v>
      </c>
      <c r="R4028" s="14">
        <v>0</v>
      </c>
      <c r="S4028" s="14">
        <v>120</v>
      </c>
      <c r="T4028" s="13" t="e">
        <f>VLOOKUP(H4028,'[3]BASE MC'!J:P,7,0)</f>
        <v>#N/A</v>
      </c>
    </row>
    <row r="4029" spans="1:20" x14ac:dyDescent="0.3">
      <c r="A4029" t="str">
        <f t="shared" si="124"/>
        <v>LEITE UHTLACTALIS</v>
      </c>
      <c r="B4029" t="str">
        <f t="shared" si="125"/>
        <v>5365501LEITE UHTLACTALIS</v>
      </c>
      <c r="C4029" s="5" t="s">
        <v>174</v>
      </c>
      <c r="D4029" s="5" t="s">
        <v>681</v>
      </c>
      <c r="E4029" s="5" t="s">
        <v>1204</v>
      </c>
      <c r="F4029" s="5">
        <v>5365501</v>
      </c>
      <c r="G4029" s="5" t="s">
        <v>1411</v>
      </c>
      <c r="H4029" s="5" t="s">
        <v>28</v>
      </c>
      <c r="I4029" s="5" t="s">
        <v>20</v>
      </c>
      <c r="J4029" s="5" t="s">
        <v>125</v>
      </c>
      <c r="K4029" s="6">
        <v>0</v>
      </c>
      <c r="L4029" s="14">
        <v>0</v>
      </c>
      <c r="M4029" s="14">
        <v>0</v>
      </c>
      <c r="N4029" s="14">
        <v>0</v>
      </c>
      <c r="O4029" s="14">
        <v>0</v>
      </c>
      <c r="P4029" s="14">
        <v>0</v>
      </c>
      <c r="Q4029" s="14">
        <v>120</v>
      </c>
      <c r="R4029" s="14">
        <v>0</v>
      </c>
      <c r="S4029" s="14">
        <v>120</v>
      </c>
      <c r="T4029" s="13" t="e">
        <f>VLOOKUP(H4029,'[3]BASE MC'!J:P,7,0)</f>
        <v>#N/A</v>
      </c>
    </row>
    <row r="4030" spans="1:20" x14ac:dyDescent="0.3">
      <c r="A4030" t="str">
        <f t="shared" si="124"/>
        <v>BLISTERLACTALIS</v>
      </c>
      <c r="B4030" t="str">
        <f t="shared" si="125"/>
        <v>5326107BLISTERLACTALIS</v>
      </c>
      <c r="C4030" s="5" t="s">
        <v>174</v>
      </c>
      <c r="D4030" s="5" t="s">
        <v>681</v>
      </c>
      <c r="E4030" s="5" t="s">
        <v>1196</v>
      </c>
      <c r="F4030" s="5">
        <v>5326107</v>
      </c>
      <c r="G4030" s="5" t="s">
        <v>553</v>
      </c>
      <c r="H4030" s="5" t="s">
        <v>28</v>
      </c>
      <c r="I4030" s="5" t="s">
        <v>20</v>
      </c>
      <c r="J4030" s="5" t="s">
        <v>152</v>
      </c>
      <c r="K4030" s="6">
        <v>0</v>
      </c>
      <c r="L4030" s="14">
        <v>0</v>
      </c>
      <c r="M4030" s="14">
        <v>0</v>
      </c>
      <c r="N4030" s="14">
        <v>0</v>
      </c>
      <c r="O4030" s="14">
        <v>0</v>
      </c>
      <c r="P4030" s="14">
        <v>0</v>
      </c>
      <c r="Q4030" s="14">
        <v>1.92</v>
      </c>
      <c r="R4030" s="14">
        <v>0</v>
      </c>
      <c r="S4030" s="14">
        <v>1.92</v>
      </c>
      <c r="T4030" s="13" t="e">
        <f>VLOOKUP(H4030,'[3]BASE MC'!J:P,7,0)</f>
        <v>#N/A</v>
      </c>
    </row>
    <row r="4031" spans="1:20" x14ac:dyDescent="0.3">
      <c r="A4031" t="str">
        <f t="shared" si="124"/>
        <v>CREME 35%LACTALIS</v>
      </c>
      <c r="B4031" t="str">
        <f t="shared" si="125"/>
        <v>5221085CREME 35%LACTALIS</v>
      </c>
      <c r="C4031" s="5" t="s">
        <v>174</v>
      </c>
      <c r="D4031" s="5" t="s">
        <v>681</v>
      </c>
      <c r="E4031" s="5" t="s">
        <v>1198</v>
      </c>
      <c r="F4031" s="5">
        <v>5221085</v>
      </c>
      <c r="G4031" s="5" t="s">
        <v>1802</v>
      </c>
      <c r="H4031" s="5" t="s">
        <v>28</v>
      </c>
      <c r="I4031" s="5" t="s">
        <v>20</v>
      </c>
      <c r="J4031" s="5" t="s">
        <v>74</v>
      </c>
      <c r="K4031" s="6">
        <v>0</v>
      </c>
      <c r="L4031" s="14">
        <v>0</v>
      </c>
      <c r="M4031" s="14">
        <v>0</v>
      </c>
      <c r="N4031" s="14">
        <v>0</v>
      </c>
      <c r="O4031" s="14">
        <v>0</v>
      </c>
      <c r="P4031" s="14">
        <v>0</v>
      </c>
      <c r="Q4031" s="14">
        <v>100</v>
      </c>
      <c r="R4031" s="14">
        <v>0</v>
      </c>
      <c r="S4031" s="14">
        <v>100</v>
      </c>
      <c r="T4031" s="13" t="e">
        <f>VLOOKUP(H4031,'[3]BASE MC'!J:P,7,0)</f>
        <v>#N/A</v>
      </c>
    </row>
    <row r="4032" spans="1:20" x14ac:dyDescent="0.3">
      <c r="A4032" t="str">
        <f t="shared" si="124"/>
        <v>CREME UHTITAMBÉ</v>
      </c>
      <c r="B4032" t="str">
        <f t="shared" si="125"/>
        <v>5011725CREME UHTITAMBÉ</v>
      </c>
      <c r="C4032" s="5" t="s">
        <v>174</v>
      </c>
      <c r="D4032" s="5" t="s">
        <v>681</v>
      </c>
      <c r="E4032" s="5" t="s">
        <v>1203</v>
      </c>
      <c r="F4032" s="5">
        <v>5011725</v>
      </c>
      <c r="G4032" s="5" t="s">
        <v>1799</v>
      </c>
      <c r="H4032" s="5" t="s">
        <v>28</v>
      </c>
      <c r="I4032" s="5" t="s">
        <v>25</v>
      </c>
      <c r="J4032" s="5" t="s">
        <v>32</v>
      </c>
      <c r="K4032" s="6">
        <v>0</v>
      </c>
      <c r="L4032" s="14">
        <v>0</v>
      </c>
      <c r="M4032" s="14">
        <v>0</v>
      </c>
      <c r="N4032" s="14">
        <v>0</v>
      </c>
      <c r="O4032" s="14">
        <v>0</v>
      </c>
      <c r="P4032" s="14">
        <v>0</v>
      </c>
      <c r="Q4032" s="14">
        <v>10144.799999999999</v>
      </c>
      <c r="R4032" s="14">
        <v>0</v>
      </c>
      <c r="S4032" s="14">
        <v>10145</v>
      </c>
      <c r="T4032" s="13" t="e">
        <f>VLOOKUP(H4032,'[3]BASE MC'!J:P,7,0)</f>
        <v>#N/A</v>
      </c>
    </row>
    <row r="4033" spans="1:20" x14ac:dyDescent="0.3">
      <c r="A4033" t="str">
        <f t="shared" si="124"/>
        <v>DOCE DE LEITEITAMBÉ</v>
      </c>
      <c r="B4033" t="str">
        <f t="shared" si="125"/>
        <v>5011725DOCE DE LEITEITAMBÉ</v>
      </c>
      <c r="C4033" s="5" t="s">
        <v>174</v>
      </c>
      <c r="D4033" s="5" t="s">
        <v>681</v>
      </c>
      <c r="E4033" s="5" t="s">
        <v>1203</v>
      </c>
      <c r="F4033" s="5">
        <v>5011725</v>
      </c>
      <c r="G4033" s="5" t="s">
        <v>1799</v>
      </c>
      <c r="H4033" s="5" t="s">
        <v>28</v>
      </c>
      <c r="I4033" s="5" t="s">
        <v>25</v>
      </c>
      <c r="J4033" s="5" t="s">
        <v>42</v>
      </c>
      <c r="K4033" s="6">
        <v>0</v>
      </c>
      <c r="L4033" s="14">
        <v>0</v>
      </c>
      <c r="M4033" s="14">
        <v>0</v>
      </c>
      <c r="N4033" s="14">
        <v>0</v>
      </c>
      <c r="O4033" s="14">
        <v>0</v>
      </c>
      <c r="P4033" s="14">
        <v>0</v>
      </c>
      <c r="Q4033" s="14">
        <v>0</v>
      </c>
      <c r="R4033" s="14">
        <v>0</v>
      </c>
      <c r="S4033" s="14">
        <v>176</v>
      </c>
      <c r="T4033" s="13" t="e">
        <f>VLOOKUP(H4033,'[3]BASE MC'!J:P,7,0)</f>
        <v>#N/A</v>
      </c>
    </row>
    <row r="4034" spans="1:20" x14ac:dyDescent="0.3">
      <c r="A4034" t="str">
        <f t="shared" si="124"/>
        <v>DOCE DE LEITELACTALIS</v>
      </c>
      <c r="B4034" t="str">
        <f t="shared" si="125"/>
        <v>5321782DOCE DE LEITELACTALIS</v>
      </c>
      <c r="C4034" s="5" t="s">
        <v>174</v>
      </c>
      <c r="D4034" s="5" t="s">
        <v>1439</v>
      </c>
      <c r="E4034" s="5" t="s">
        <v>1439</v>
      </c>
      <c r="F4034" s="5">
        <v>5321782</v>
      </c>
      <c r="G4034" s="5" t="s">
        <v>1806</v>
      </c>
      <c r="H4034" s="5" t="s">
        <v>93</v>
      </c>
      <c r="I4034" s="5" t="s">
        <v>20</v>
      </c>
      <c r="J4034" s="5" t="s">
        <v>42</v>
      </c>
      <c r="K4034" s="6">
        <v>0</v>
      </c>
      <c r="L4034" s="14">
        <v>0</v>
      </c>
      <c r="M4034" s="14">
        <v>0</v>
      </c>
      <c r="N4034" s="14">
        <v>0</v>
      </c>
      <c r="O4034" s="14">
        <v>0</v>
      </c>
      <c r="P4034" s="14">
        <v>0</v>
      </c>
      <c r="Q4034" s="14">
        <v>27</v>
      </c>
      <c r="R4034" s="14">
        <v>0</v>
      </c>
      <c r="S4034" s="14">
        <v>27</v>
      </c>
      <c r="T4034" s="13">
        <v>0</v>
      </c>
    </row>
    <row r="4035" spans="1:20" x14ac:dyDescent="0.3">
      <c r="A4035" t="str">
        <f t="shared" ref="A4035:A4098" si="126">J4035&amp;I4035</f>
        <v>IOGURTESLACTALIS</v>
      </c>
      <c r="B4035" t="str">
        <f t="shared" ref="B4035:B4098" si="127">F4035&amp;J4035&amp;I4035</f>
        <v>5226985IOGURTESLACTALIS</v>
      </c>
      <c r="C4035" s="5" t="s">
        <v>174</v>
      </c>
      <c r="D4035" s="5" t="s">
        <v>681</v>
      </c>
      <c r="E4035" s="5" t="s">
        <v>681</v>
      </c>
      <c r="F4035" s="5">
        <v>5226985</v>
      </c>
      <c r="G4035" s="5" t="s">
        <v>694</v>
      </c>
      <c r="H4035" s="5" t="s">
        <v>28</v>
      </c>
      <c r="I4035" s="5" t="s">
        <v>20</v>
      </c>
      <c r="J4035" s="5" t="s">
        <v>122</v>
      </c>
      <c r="K4035" s="6">
        <v>0</v>
      </c>
      <c r="L4035" s="14">
        <v>0</v>
      </c>
      <c r="M4035" s="14">
        <v>0</v>
      </c>
      <c r="N4035" s="14">
        <v>0</v>
      </c>
      <c r="O4035" s="14">
        <v>0</v>
      </c>
      <c r="P4035" s="14">
        <v>0</v>
      </c>
      <c r="Q4035" s="14">
        <v>87.6</v>
      </c>
      <c r="R4035" s="14">
        <v>0</v>
      </c>
      <c r="S4035" s="14">
        <v>87.6</v>
      </c>
      <c r="T4035" s="13" t="e">
        <f>VLOOKUP(H4035,'[3]BASE MC'!J:P,7,0)</f>
        <v>#N/A</v>
      </c>
    </row>
    <row r="4036" spans="1:20" x14ac:dyDescent="0.3">
      <c r="A4036" t="str">
        <f t="shared" si="126"/>
        <v>IOGURTESLACTALIS</v>
      </c>
      <c r="B4036" t="str">
        <f t="shared" si="127"/>
        <v>5358021IOGURTESLACTALIS</v>
      </c>
      <c r="C4036" s="5" t="s">
        <v>174</v>
      </c>
      <c r="D4036" s="5" t="s">
        <v>681</v>
      </c>
      <c r="E4036" s="5" t="s">
        <v>1205</v>
      </c>
      <c r="F4036" s="5">
        <v>5358021</v>
      </c>
      <c r="G4036" s="5" t="s">
        <v>1803</v>
      </c>
      <c r="H4036" s="5" t="s">
        <v>28</v>
      </c>
      <c r="I4036" s="5" t="s">
        <v>20</v>
      </c>
      <c r="J4036" s="5" t="s">
        <v>122</v>
      </c>
      <c r="K4036" s="6">
        <v>0</v>
      </c>
      <c r="L4036" s="14">
        <v>0</v>
      </c>
      <c r="M4036" s="14">
        <v>0</v>
      </c>
      <c r="N4036" s="14">
        <v>0</v>
      </c>
      <c r="O4036" s="14">
        <v>0</v>
      </c>
      <c r="P4036" s="14">
        <v>0</v>
      </c>
      <c r="Q4036" s="14">
        <v>42.84</v>
      </c>
      <c r="R4036" s="14">
        <v>0</v>
      </c>
      <c r="S4036" s="14">
        <v>42.84</v>
      </c>
      <c r="T4036" s="13" t="e">
        <f>VLOOKUP(H4036,'[3]BASE MC'!J:P,7,0)</f>
        <v>#N/A</v>
      </c>
    </row>
    <row r="4037" spans="1:20" x14ac:dyDescent="0.3">
      <c r="A4037" t="str">
        <f t="shared" si="126"/>
        <v>IOGURTESLACTALIS</v>
      </c>
      <c r="B4037" t="str">
        <f t="shared" si="127"/>
        <v>5362800IOGURTESLACTALIS</v>
      </c>
      <c r="C4037" s="5" t="s">
        <v>174</v>
      </c>
      <c r="D4037" s="5" t="s">
        <v>681</v>
      </c>
      <c r="E4037" s="5" t="s">
        <v>1205</v>
      </c>
      <c r="F4037" s="5">
        <v>5362800</v>
      </c>
      <c r="G4037" s="5" t="s">
        <v>1803</v>
      </c>
      <c r="H4037" s="5" t="s">
        <v>28</v>
      </c>
      <c r="I4037" s="5" t="s">
        <v>20</v>
      </c>
      <c r="J4037" s="5" t="s">
        <v>122</v>
      </c>
      <c r="K4037" s="6">
        <v>0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18.36</v>
      </c>
      <c r="R4037" s="14">
        <v>0</v>
      </c>
      <c r="S4037" s="14">
        <v>18.36</v>
      </c>
      <c r="T4037" s="13" t="e">
        <f>VLOOKUP(H4037,'[3]BASE MC'!J:P,7,0)</f>
        <v>#N/A</v>
      </c>
    </row>
    <row r="4038" spans="1:20" x14ac:dyDescent="0.3">
      <c r="A4038" t="str">
        <f t="shared" si="126"/>
        <v>LEITE EM PÓLACTALIS</v>
      </c>
      <c r="B4038" t="str">
        <f t="shared" si="127"/>
        <v>5316251LEITE EM PÓLACTALIS</v>
      </c>
      <c r="C4038" s="5" t="s">
        <v>174</v>
      </c>
      <c r="D4038" s="5" t="s">
        <v>681</v>
      </c>
      <c r="E4038" s="5" t="s">
        <v>1204</v>
      </c>
      <c r="F4038" s="5">
        <v>5316251</v>
      </c>
      <c r="G4038" s="5" t="s">
        <v>391</v>
      </c>
      <c r="H4038" s="5" t="s">
        <v>28</v>
      </c>
      <c r="I4038" s="5" t="s">
        <v>20</v>
      </c>
      <c r="J4038" s="5" t="s">
        <v>70</v>
      </c>
      <c r="K4038" s="6">
        <v>0</v>
      </c>
      <c r="L4038" s="14">
        <v>0</v>
      </c>
      <c r="M4038" s="14">
        <v>0</v>
      </c>
      <c r="N4038" s="14">
        <v>0</v>
      </c>
      <c r="O4038" s="14">
        <v>0</v>
      </c>
      <c r="P4038" s="14">
        <v>0</v>
      </c>
      <c r="Q4038" s="14">
        <v>9</v>
      </c>
      <c r="R4038" s="14">
        <v>0</v>
      </c>
      <c r="S4038" s="14">
        <v>9</v>
      </c>
      <c r="T4038" s="13" t="e">
        <f>VLOOKUP(H4038,'[3]BASE MC'!J:P,7,0)</f>
        <v>#N/A</v>
      </c>
    </row>
    <row r="4039" spans="1:20" x14ac:dyDescent="0.3">
      <c r="A4039" t="str">
        <f t="shared" si="126"/>
        <v>LEITE EM PÓLACTALIS</v>
      </c>
      <c r="B4039" t="str">
        <f t="shared" si="127"/>
        <v>5373569LEITE EM PÓLACTALIS</v>
      </c>
      <c r="C4039" s="5" t="s">
        <v>119</v>
      </c>
      <c r="D4039" s="5" t="s">
        <v>161</v>
      </c>
      <c r="E4039" s="5" t="s">
        <v>161</v>
      </c>
      <c r="F4039" s="5">
        <v>5373569</v>
      </c>
      <c r="G4039" s="5" t="s">
        <v>1533</v>
      </c>
      <c r="H4039" s="5" t="s">
        <v>123</v>
      </c>
      <c r="I4039" s="5" t="s">
        <v>20</v>
      </c>
      <c r="J4039" s="5" t="s">
        <v>70</v>
      </c>
      <c r="K4039" s="6">
        <v>0</v>
      </c>
      <c r="L4039" s="14">
        <v>0</v>
      </c>
      <c r="M4039" s="14">
        <v>0</v>
      </c>
      <c r="N4039" s="14">
        <v>0</v>
      </c>
      <c r="O4039" s="14">
        <v>0</v>
      </c>
      <c r="P4039" s="14">
        <v>0</v>
      </c>
      <c r="Q4039" s="14">
        <v>20</v>
      </c>
      <c r="R4039" s="14">
        <v>0</v>
      </c>
      <c r="S4039" s="14">
        <v>20</v>
      </c>
      <c r="T4039" s="13">
        <v>0</v>
      </c>
    </row>
    <row r="4040" spans="1:20" x14ac:dyDescent="0.3">
      <c r="A4040" t="str">
        <f t="shared" si="126"/>
        <v>LEITE UHTLACTALIS</v>
      </c>
      <c r="B4040" t="str">
        <f t="shared" si="127"/>
        <v>5253958LEITE UHTLACTALIS</v>
      </c>
      <c r="C4040" s="5" t="s">
        <v>174</v>
      </c>
      <c r="D4040" s="5" t="s">
        <v>681</v>
      </c>
      <c r="E4040" s="5" t="s">
        <v>1196</v>
      </c>
      <c r="F4040" s="5">
        <v>5253958</v>
      </c>
      <c r="G4040" s="5" t="s">
        <v>487</v>
      </c>
      <c r="H4040" s="5" t="s">
        <v>28</v>
      </c>
      <c r="I4040" s="5" t="s">
        <v>20</v>
      </c>
      <c r="J4040" s="5" t="s">
        <v>125</v>
      </c>
      <c r="K4040" s="6">
        <v>0</v>
      </c>
      <c r="L4040" s="14">
        <v>0</v>
      </c>
      <c r="M4040" s="14">
        <v>0</v>
      </c>
      <c r="N4040" s="14">
        <v>0</v>
      </c>
      <c r="O4040" s="14">
        <v>0</v>
      </c>
      <c r="P4040" s="14">
        <v>0</v>
      </c>
      <c r="Q4040" s="14">
        <v>24</v>
      </c>
      <c r="R4040" s="14">
        <v>0</v>
      </c>
      <c r="S4040" s="14">
        <v>24</v>
      </c>
      <c r="T4040" s="13" t="e">
        <f>VLOOKUP(H4040,'[3]BASE MC'!J:P,7,0)</f>
        <v>#N/A</v>
      </c>
    </row>
    <row r="4041" spans="1:20" x14ac:dyDescent="0.3">
      <c r="A4041" t="str">
        <f t="shared" si="126"/>
        <v>MANTEIGA 5KGLACTALIS</v>
      </c>
      <c r="B4041" t="str">
        <f t="shared" si="127"/>
        <v>5321782MANTEIGA 5KGLACTALIS</v>
      </c>
      <c r="C4041" s="5" t="s">
        <v>174</v>
      </c>
      <c r="D4041" s="5" t="s">
        <v>1439</v>
      </c>
      <c r="E4041" s="5" t="s">
        <v>1439</v>
      </c>
      <c r="F4041" s="5">
        <v>5321782</v>
      </c>
      <c r="G4041" s="5" t="s">
        <v>1806</v>
      </c>
      <c r="H4041" s="5" t="s">
        <v>93</v>
      </c>
      <c r="I4041" s="5" t="s">
        <v>20</v>
      </c>
      <c r="J4041" s="5" t="s">
        <v>54</v>
      </c>
      <c r="K4041" s="6">
        <v>0</v>
      </c>
      <c r="L4041" s="14">
        <v>0</v>
      </c>
      <c r="M4041" s="14">
        <v>0</v>
      </c>
      <c r="N4041" s="14">
        <v>0</v>
      </c>
      <c r="O4041" s="14">
        <v>0</v>
      </c>
      <c r="P4041" s="14">
        <v>0</v>
      </c>
      <c r="Q4041" s="14">
        <v>30</v>
      </c>
      <c r="R4041" s="14">
        <v>0</v>
      </c>
      <c r="S4041" s="14">
        <v>30</v>
      </c>
      <c r="T4041" s="13" t="e">
        <f>VLOOKUP(H4041,'[3]BASE MC'!J:P,7,0)</f>
        <v>#N/A</v>
      </c>
    </row>
    <row r="4042" spans="1:20" x14ac:dyDescent="0.3">
      <c r="A4042" t="str">
        <f t="shared" si="126"/>
        <v>MANTEIGA 5KGLACTALIS</v>
      </c>
      <c r="B4042" t="str">
        <f t="shared" si="127"/>
        <v>5361414MANTEIGA 5KGLACTALIS</v>
      </c>
      <c r="C4042" s="5" t="s">
        <v>174</v>
      </c>
      <c r="D4042" s="5" t="s">
        <v>681</v>
      </c>
      <c r="E4042" s="5" t="s">
        <v>1204</v>
      </c>
      <c r="F4042" s="5">
        <v>5361414</v>
      </c>
      <c r="G4042" s="5" t="s">
        <v>1485</v>
      </c>
      <c r="H4042" s="5" t="s">
        <v>28</v>
      </c>
      <c r="I4042" s="5" t="s">
        <v>20</v>
      </c>
      <c r="J4042" s="5" t="s">
        <v>54</v>
      </c>
      <c r="K4042" s="6">
        <v>0</v>
      </c>
      <c r="L4042" s="14">
        <v>0</v>
      </c>
      <c r="M4042" s="14">
        <v>0</v>
      </c>
      <c r="N4042" s="14">
        <v>0</v>
      </c>
      <c r="O4042" s="14">
        <v>0</v>
      </c>
      <c r="P4042" s="14">
        <v>0</v>
      </c>
      <c r="Q4042" s="14">
        <v>5</v>
      </c>
      <c r="R4042" s="14">
        <v>0</v>
      </c>
      <c r="S4042" s="14">
        <v>5</v>
      </c>
      <c r="T4042" s="13" t="e">
        <f>VLOOKUP(H4042,'[3]BASE MC'!J:P,7,0)</f>
        <v>#N/A</v>
      </c>
    </row>
    <row r="4043" spans="1:20" x14ac:dyDescent="0.3">
      <c r="A4043" t="str">
        <f t="shared" si="126"/>
        <v>QUEIJOSLACTALIS</v>
      </c>
      <c r="B4043" t="str">
        <f t="shared" si="127"/>
        <v>5316966QUEIJOSLACTALIS</v>
      </c>
      <c r="C4043" s="5" t="s">
        <v>174</v>
      </c>
      <c r="D4043" s="5" t="s">
        <v>681</v>
      </c>
      <c r="E4043" s="5" t="s">
        <v>1217</v>
      </c>
      <c r="F4043" s="5">
        <v>5316966</v>
      </c>
      <c r="G4043" s="5" t="s">
        <v>1804</v>
      </c>
      <c r="H4043" s="5" t="s">
        <v>28</v>
      </c>
      <c r="I4043" s="5" t="s">
        <v>20</v>
      </c>
      <c r="J4043" s="5" t="s">
        <v>56</v>
      </c>
      <c r="K4043" s="6">
        <v>0</v>
      </c>
      <c r="L4043" s="14">
        <v>0</v>
      </c>
      <c r="M4043" s="14">
        <v>0</v>
      </c>
      <c r="N4043" s="14">
        <v>0</v>
      </c>
      <c r="O4043" s="14">
        <v>0</v>
      </c>
      <c r="P4043" s="14">
        <v>0</v>
      </c>
      <c r="Q4043" s="14">
        <v>15.56</v>
      </c>
      <c r="R4043" s="14">
        <v>0</v>
      </c>
      <c r="S4043" s="14">
        <v>15.56</v>
      </c>
      <c r="T4043" s="13" t="e">
        <f>VLOOKUP(H4043,'[3]BASE MC'!J:P,7,0)</f>
        <v>#N/A</v>
      </c>
    </row>
    <row r="4044" spans="1:20" x14ac:dyDescent="0.3">
      <c r="A4044" t="str">
        <f t="shared" si="126"/>
        <v>QUEIJOSLACTALIS</v>
      </c>
      <c r="B4044" t="str">
        <f t="shared" si="127"/>
        <v>5321782QUEIJOSLACTALIS</v>
      </c>
      <c r="C4044" s="5" t="s">
        <v>174</v>
      </c>
      <c r="D4044" s="5" t="s">
        <v>1439</v>
      </c>
      <c r="E4044" s="5" t="s">
        <v>1439</v>
      </c>
      <c r="F4044" s="5">
        <v>5321782</v>
      </c>
      <c r="G4044" s="5" t="s">
        <v>1806</v>
      </c>
      <c r="H4044" s="5" t="s">
        <v>93</v>
      </c>
      <c r="I4044" s="5" t="s">
        <v>20</v>
      </c>
      <c r="J4044" s="5" t="s">
        <v>56</v>
      </c>
      <c r="K4044" s="6">
        <v>0</v>
      </c>
      <c r="L4044" s="14">
        <v>0</v>
      </c>
      <c r="M4044" s="14">
        <v>0</v>
      </c>
      <c r="N4044" s="14">
        <v>0</v>
      </c>
      <c r="O4044" s="14">
        <v>0</v>
      </c>
      <c r="P4044" s="14">
        <v>0</v>
      </c>
      <c r="Q4044" s="14">
        <v>23.31</v>
      </c>
      <c r="R4044" s="14">
        <v>0</v>
      </c>
      <c r="S4044" s="14">
        <v>23.31</v>
      </c>
      <c r="T4044" s="13" t="e">
        <f>VLOOKUP(H4044,'[3]BASE MC'!J:P,7,0)</f>
        <v>#N/A</v>
      </c>
    </row>
    <row r="4045" spans="1:20" x14ac:dyDescent="0.3">
      <c r="A4045" t="str">
        <f t="shared" si="126"/>
        <v>QUEIJOSLACTALIS</v>
      </c>
      <c r="B4045" t="str">
        <f t="shared" si="127"/>
        <v>5341970QUEIJOSLACTALIS</v>
      </c>
      <c r="C4045" s="5" t="s">
        <v>174</v>
      </c>
      <c r="D4045" s="5" t="s">
        <v>681</v>
      </c>
      <c r="E4045" s="5" t="s">
        <v>1201</v>
      </c>
      <c r="F4045" s="5">
        <v>5341970</v>
      </c>
      <c r="G4045" s="5" t="s">
        <v>987</v>
      </c>
      <c r="H4045" s="5" t="s">
        <v>28</v>
      </c>
      <c r="I4045" s="5" t="s">
        <v>20</v>
      </c>
      <c r="J4045" s="5" t="s">
        <v>56</v>
      </c>
      <c r="K4045" s="6">
        <v>0</v>
      </c>
      <c r="L4045" s="14">
        <v>0</v>
      </c>
      <c r="M4045" s="14">
        <v>0</v>
      </c>
      <c r="N4045" s="14">
        <v>0</v>
      </c>
      <c r="O4045" s="14">
        <v>0</v>
      </c>
      <c r="P4045" s="14">
        <v>0</v>
      </c>
      <c r="Q4045" s="14">
        <v>11.8</v>
      </c>
      <c r="R4045" s="14">
        <v>0</v>
      </c>
      <c r="S4045" s="14">
        <v>11.8</v>
      </c>
      <c r="T4045" s="13" t="e">
        <f>VLOOKUP(H4045,'[3]BASE MC'!J:P,7,0)</f>
        <v>#N/A</v>
      </c>
    </row>
    <row r="4046" spans="1:20" x14ac:dyDescent="0.3">
      <c r="A4046" t="str">
        <f t="shared" si="126"/>
        <v>QUEIJOSLACTALIS</v>
      </c>
      <c r="B4046" t="str">
        <f t="shared" si="127"/>
        <v>5361414QUEIJOSLACTALIS</v>
      </c>
      <c r="C4046" s="5" t="s">
        <v>174</v>
      </c>
      <c r="D4046" s="5" t="s">
        <v>681</v>
      </c>
      <c r="E4046" s="5" t="s">
        <v>1204</v>
      </c>
      <c r="F4046" s="5">
        <v>5361414</v>
      </c>
      <c r="G4046" s="5" t="s">
        <v>1485</v>
      </c>
      <c r="H4046" s="5" t="s">
        <v>28</v>
      </c>
      <c r="I4046" s="5" t="s">
        <v>20</v>
      </c>
      <c r="J4046" s="5" t="s">
        <v>56</v>
      </c>
      <c r="K4046" s="6">
        <v>0</v>
      </c>
      <c r="L4046" s="14">
        <v>0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3" t="e">
        <f>VLOOKUP(H4046,'[3]BASE MC'!J:P,7,0)</f>
        <v>#N/A</v>
      </c>
    </row>
    <row r="4047" spans="1:20" x14ac:dyDescent="0.3">
      <c r="A4047" t="str">
        <f t="shared" si="126"/>
        <v>SOROLACTALIS</v>
      </c>
      <c r="B4047" t="str">
        <f t="shared" si="127"/>
        <v>5368052SOROLACTALIS</v>
      </c>
      <c r="C4047" s="5" t="s">
        <v>174</v>
      </c>
      <c r="D4047" s="5" t="s">
        <v>1439</v>
      </c>
      <c r="E4047" s="5" t="s">
        <v>1439</v>
      </c>
      <c r="F4047" s="5">
        <v>5368052</v>
      </c>
      <c r="G4047" s="5" t="s">
        <v>1805</v>
      </c>
      <c r="H4047" s="5" t="s">
        <v>28</v>
      </c>
      <c r="I4047" s="5" t="s">
        <v>20</v>
      </c>
      <c r="J4047" s="5" t="s">
        <v>1416</v>
      </c>
      <c r="K4047" s="6">
        <v>0</v>
      </c>
      <c r="L4047" s="14">
        <v>0</v>
      </c>
      <c r="M4047" s="14">
        <v>0</v>
      </c>
      <c r="N4047" s="14">
        <v>0</v>
      </c>
      <c r="O4047" s="14">
        <v>0</v>
      </c>
      <c r="P4047" s="14">
        <v>0</v>
      </c>
      <c r="Q4047" s="14">
        <v>500</v>
      </c>
      <c r="R4047" s="14">
        <v>0</v>
      </c>
      <c r="S4047" s="14">
        <v>500</v>
      </c>
      <c r="T4047" s="13">
        <v>0</v>
      </c>
    </row>
    <row r="4048" spans="1:20" x14ac:dyDescent="0.3">
      <c r="A4048" t="str">
        <f t="shared" si="126"/>
        <v>SPREADSLACTALIS</v>
      </c>
      <c r="B4048" t="str">
        <f t="shared" si="127"/>
        <v>5321782SPREADSLACTALIS</v>
      </c>
      <c r="C4048" s="5" t="s">
        <v>174</v>
      </c>
      <c r="D4048" s="5" t="s">
        <v>1439</v>
      </c>
      <c r="E4048" s="5" t="s">
        <v>1439</v>
      </c>
      <c r="F4048" s="5">
        <v>5321782</v>
      </c>
      <c r="G4048" s="5" t="s">
        <v>1806</v>
      </c>
      <c r="H4048" s="5" t="s">
        <v>93</v>
      </c>
      <c r="I4048" s="5" t="s">
        <v>20</v>
      </c>
      <c r="J4048" s="5" t="s">
        <v>773</v>
      </c>
      <c r="K4048" s="6">
        <v>0</v>
      </c>
      <c r="L4048" s="14">
        <v>0</v>
      </c>
      <c r="M4048" s="14">
        <v>0</v>
      </c>
      <c r="N4048" s="14">
        <v>0</v>
      </c>
      <c r="O4048" s="14">
        <v>0</v>
      </c>
      <c r="P4048" s="14">
        <v>0</v>
      </c>
      <c r="Q4048" s="14">
        <v>20</v>
      </c>
      <c r="R4048" s="14">
        <v>0</v>
      </c>
      <c r="S4048" s="14">
        <v>20</v>
      </c>
      <c r="T4048" s="13" t="e">
        <f>VLOOKUP(H4048,'[3]BASE MC'!J:P,7,0)</f>
        <v>#N/A</v>
      </c>
    </row>
    <row r="4049" spans="1:20" x14ac:dyDescent="0.3">
      <c r="A4049" t="str">
        <f t="shared" si="126"/>
        <v>COMPOSTOITAMBÉ</v>
      </c>
      <c r="B4049" t="str">
        <f t="shared" si="127"/>
        <v>5229332COMPOSTOITAMBÉ</v>
      </c>
      <c r="C4049" s="5" t="s">
        <v>174</v>
      </c>
      <c r="D4049" s="5" t="s">
        <v>633</v>
      </c>
      <c r="E4049" s="5" t="s">
        <v>644</v>
      </c>
      <c r="F4049" s="5">
        <v>5229332</v>
      </c>
      <c r="G4049" s="5" t="s">
        <v>1807</v>
      </c>
      <c r="H4049" s="5" t="s">
        <v>123</v>
      </c>
      <c r="I4049" s="5" t="s">
        <v>25</v>
      </c>
      <c r="J4049" s="5" t="s">
        <v>24</v>
      </c>
      <c r="K4049" s="6">
        <v>0</v>
      </c>
      <c r="L4049" s="14">
        <v>0</v>
      </c>
      <c r="M4049" s="14">
        <v>0</v>
      </c>
      <c r="N4049" s="14">
        <v>0</v>
      </c>
      <c r="O4049" s="14">
        <v>0</v>
      </c>
      <c r="P4049" s="14">
        <v>0</v>
      </c>
      <c r="Q4049" s="14">
        <v>50</v>
      </c>
      <c r="R4049" s="14">
        <v>0</v>
      </c>
      <c r="S4049" s="14">
        <v>50</v>
      </c>
      <c r="T4049" s="13" t="e">
        <f>VLOOKUP(H4049,'[3]BASE MC'!J:P,7,0)</f>
        <v>#N/A</v>
      </c>
    </row>
    <row r="4050" spans="1:20" x14ac:dyDescent="0.3">
      <c r="A4050" t="str">
        <f t="shared" si="126"/>
        <v>CREME UHTITAMBÉ</v>
      </c>
      <c r="B4050" t="str">
        <f t="shared" si="127"/>
        <v>5229332CREME UHTITAMBÉ</v>
      </c>
      <c r="C4050" s="5" t="s">
        <v>174</v>
      </c>
      <c r="D4050" s="5" t="s">
        <v>633</v>
      </c>
      <c r="E4050" s="5" t="s">
        <v>644</v>
      </c>
      <c r="F4050" s="5">
        <v>5229332</v>
      </c>
      <c r="G4050" s="5" t="s">
        <v>1807</v>
      </c>
      <c r="H4050" s="5" t="s">
        <v>123</v>
      </c>
      <c r="I4050" s="5" t="s">
        <v>25</v>
      </c>
      <c r="J4050" s="5" t="s">
        <v>32</v>
      </c>
      <c r="K4050" s="6">
        <v>0</v>
      </c>
      <c r="L4050" s="14">
        <v>0</v>
      </c>
      <c r="M4050" s="14">
        <v>0</v>
      </c>
      <c r="N4050" s="14">
        <v>0</v>
      </c>
      <c r="O4050" s="14">
        <v>0</v>
      </c>
      <c r="P4050" s="14">
        <v>0</v>
      </c>
      <c r="Q4050" s="14">
        <v>28.8</v>
      </c>
      <c r="R4050" s="14">
        <v>0</v>
      </c>
      <c r="S4050" s="14">
        <v>28.8</v>
      </c>
      <c r="T4050" s="13" t="e">
        <f>VLOOKUP(H4050,'[3]BASE MC'!J:P,7,0)</f>
        <v>#N/A</v>
      </c>
    </row>
    <row r="4051" spans="1:20" x14ac:dyDescent="0.3">
      <c r="A4051" t="str">
        <f t="shared" si="126"/>
        <v>CREME UHTITAMBÉ</v>
      </c>
      <c r="B4051" t="str">
        <f t="shared" si="127"/>
        <v>5374092CREME UHTITAMBÉ</v>
      </c>
      <c r="C4051" s="5" t="s">
        <v>174</v>
      </c>
      <c r="D4051" s="5" t="s">
        <v>633</v>
      </c>
      <c r="E4051" s="5" t="s">
        <v>649</v>
      </c>
      <c r="F4051" s="5">
        <v>5374092</v>
      </c>
      <c r="G4051" s="5" t="s">
        <v>1801</v>
      </c>
      <c r="H4051" s="5" t="s">
        <v>30</v>
      </c>
      <c r="I4051" s="5" t="s">
        <v>25</v>
      </c>
      <c r="J4051" s="5" t="s">
        <v>32</v>
      </c>
      <c r="K4051" s="6">
        <v>0</v>
      </c>
      <c r="L4051" s="14">
        <v>0</v>
      </c>
      <c r="M4051" s="14">
        <v>0</v>
      </c>
      <c r="N4051" s="14">
        <v>0</v>
      </c>
      <c r="O4051" s="14">
        <v>0</v>
      </c>
      <c r="P4051" s="14">
        <v>0</v>
      </c>
      <c r="Q4051" s="14">
        <v>0</v>
      </c>
      <c r="R4051" s="14">
        <v>0</v>
      </c>
      <c r="S4051" s="14">
        <v>0</v>
      </c>
      <c r="T4051" s="13" t="e">
        <f>VLOOKUP(H4051,'[3]BASE MC'!J:P,7,0)</f>
        <v>#N/A</v>
      </c>
    </row>
    <row r="4052" spans="1:20" x14ac:dyDescent="0.3">
      <c r="A4052" t="str">
        <f t="shared" si="126"/>
        <v>DOCE DE LEITEITAMBÉ</v>
      </c>
      <c r="B4052" t="str">
        <f t="shared" si="127"/>
        <v>5229332DOCE DE LEITEITAMBÉ</v>
      </c>
      <c r="C4052" s="5" t="s">
        <v>174</v>
      </c>
      <c r="D4052" s="5" t="s">
        <v>633</v>
      </c>
      <c r="E4052" s="5" t="s">
        <v>644</v>
      </c>
      <c r="F4052" s="5">
        <v>5229332</v>
      </c>
      <c r="G4052" s="5" t="s">
        <v>1807</v>
      </c>
      <c r="H4052" s="5" t="s">
        <v>123</v>
      </c>
      <c r="I4052" s="5" t="s">
        <v>25</v>
      </c>
      <c r="J4052" s="5" t="s">
        <v>42</v>
      </c>
      <c r="K4052" s="6">
        <v>0</v>
      </c>
      <c r="L4052" s="14">
        <v>0</v>
      </c>
      <c r="M4052" s="14">
        <v>0</v>
      </c>
      <c r="N4052" s="14">
        <v>0</v>
      </c>
      <c r="O4052" s="14">
        <v>0</v>
      </c>
      <c r="P4052" s="14">
        <v>0</v>
      </c>
      <c r="Q4052" s="14">
        <v>87.76</v>
      </c>
      <c r="R4052" s="14">
        <v>0</v>
      </c>
      <c r="S4052" s="14">
        <v>87.76</v>
      </c>
      <c r="T4052" s="13" t="e">
        <f>VLOOKUP(H4052,'[3]BASE MC'!J:P,7,0)</f>
        <v>#N/A</v>
      </c>
    </row>
    <row r="4053" spans="1:20" x14ac:dyDescent="0.3">
      <c r="A4053" t="str">
        <f t="shared" si="126"/>
        <v>IOGURTESLACTALIS</v>
      </c>
      <c r="B4053" t="str">
        <f t="shared" si="127"/>
        <v>5371656IOGURTESLACTALIS</v>
      </c>
      <c r="C4053" s="5" t="s">
        <v>174</v>
      </c>
      <c r="D4053" s="5" t="s">
        <v>681</v>
      </c>
      <c r="E4053" s="5" t="s">
        <v>1196</v>
      </c>
      <c r="F4053" s="5">
        <v>5371656</v>
      </c>
      <c r="G4053" s="5" t="s">
        <v>1808</v>
      </c>
      <c r="H4053" s="5" t="s">
        <v>28</v>
      </c>
      <c r="I4053" s="5" t="s">
        <v>20</v>
      </c>
      <c r="J4053" s="5" t="s">
        <v>122</v>
      </c>
      <c r="K4053" s="6">
        <v>0</v>
      </c>
      <c r="L4053" s="14">
        <v>0</v>
      </c>
      <c r="M4053" s="14">
        <v>0</v>
      </c>
      <c r="N4053" s="14">
        <v>0</v>
      </c>
      <c r="O4053" s="14">
        <v>0</v>
      </c>
      <c r="P4053" s="14">
        <v>0</v>
      </c>
      <c r="Q4053" s="14">
        <v>2.4</v>
      </c>
      <c r="R4053" s="14">
        <v>0</v>
      </c>
      <c r="S4053" s="14">
        <v>2.4</v>
      </c>
      <c r="T4053" s="13" t="e">
        <f>VLOOKUP(H4053,'[3]BASE MC'!J:P,7,0)</f>
        <v>#N/A</v>
      </c>
    </row>
    <row r="4054" spans="1:20" x14ac:dyDescent="0.3">
      <c r="A4054" t="str">
        <f t="shared" si="126"/>
        <v>LEITE CONDENSADOITAMBÉ</v>
      </c>
      <c r="B4054" t="str">
        <f t="shared" si="127"/>
        <v>5229332LEITE CONDENSADOITAMBÉ</v>
      </c>
      <c r="C4054" s="5" t="s">
        <v>174</v>
      </c>
      <c r="D4054" s="5" t="s">
        <v>633</v>
      </c>
      <c r="E4054" s="5" t="s">
        <v>644</v>
      </c>
      <c r="F4054" s="5">
        <v>5229332</v>
      </c>
      <c r="G4054" s="5" t="s">
        <v>1807</v>
      </c>
      <c r="H4054" s="5" t="s">
        <v>123</v>
      </c>
      <c r="I4054" s="5" t="s">
        <v>25</v>
      </c>
      <c r="J4054" s="5" t="s">
        <v>31</v>
      </c>
      <c r="K4054" s="6">
        <v>0</v>
      </c>
      <c r="L4054" s="14">
        <v>0</v>
      </c>
      <c r="M4054" s="14">
        <v>0</v>
      </c>
      <c r="N4054" s="14">
        <v>0</v>
      </c>
      <c r="O4054" s="14">
        <v>0</v>
      </c>
      <c r="P4054" s="14">
        <v>0</v>
      </c>
      <c r="Q4054" s="14">
        <v>21.33</v>
      </c>
      <c r="R4054" s="14">
        <v>0</v>
      </c>
      <c r="S4054" s="14">
        <v>21.33</v>
      </c>
      <c r="T4054" s="13" t="e">
        <f>VLOOKUP(H4054,'[3]BASE MC'!J:P,7,0)</f>
        <v>#N/A</v>
      </c>
    </row>
    <row r="4055" spans="1:20" x14ac:dyDescent="0.3">
      <c r="A4055" t="str">
        <f t="shared" si="126"/>
        <v>LEITE EM PÓITAMBÉ</v>
      </c>
      <c r="B4055" t="str">
        <f t="shared" si="127"/>
        <v>5229332LEITE EM PÓITAMBÉ</v>
      </c>
      <c r="C4055" s="5" t="s">
        <v>174</v>
      </c>
      <c r="D4055" s="5" t="s">
        <v>633</v>
      </c>
      <c r="E4055" s="5" t="s">
        <v>644</v>
      </c>
      <c r="F4055" s="5">
        <v>5229332</v>
      </c>
      <c r="G4055" s="5" t="s">
        <v>1807</v>
      </c>
      <c r="H4055" s="5" t="s">
        <v>123</v>
      </c>
      <c r="I4055" s="5" t="s">
        <v>25</v>
      </c>
      <c r="J4055" s="5" t="s">
        <v>70</v>
      </c>
      <c r="K4055" s="6">
        <v>0</v>
      </c>
      <c r="L4055" s="14">
        <v>0</v>
      </c>
      <c r="M4055" s="14">
        <v>0</v>
      </c>
      <c r="N4055" s="14">
        <v>0</v>
      </c>
      <c r="O4055" s="14">
        <v>0</v>
      </c>
      <c r="P4055" s="14">
        <v>0</v>
      </c>
      <c r="Q4055" s="14">
        <v>20</v>
      </c>
      <c r="R4055" s="14">
        <v>0</v>
      </c>
      <c r="S4055" s="14">
        <v>20</v>
      </c>
      <c r="T4055" s="13" t="e">
        <f>VLOOKUP(H4055,'[3]BASE MC'!J:P,7,0)</f>
        <v>#N/A</v>
      </c>
    </row>
    <row r="4056" spans="1:20" x14ac:dyDescent="0.3">
      <c r="A4056" t="str">
        <f t="shared" si="126"/>
        <v>LEITE EM PÓLACTALIS</v>
      </c>
      <c r="B4056" t="str">
        <f t="shared" si="127"/>
        <v>5006978LEITE EM PÓLACTALIS</v>
      </c>
      <c r="C4056" s="5" t="s">
        <v>174</v>
      </c>
      <c r="D4056" s="5" t="s">
        <v>681</v>
      </c>
      <c r="E4056" s="5" t="s">
        <v>681</v>
      </c>
      <c r="F4056" s="5">
        <v>5006978</v>
      </c>
      <c r="G4056" s="5" t="s">
        <v>694</v>
      </c>
      <c r="H4056" s="5" t="s">
        <v>28</v>
      </c>
      <c r="I4056" s="5" t="s">
        <v>20</v>
      </c>
      <c r="J4056" s="5" t="s">
        <v>70</v>
      </c>
      <c r="K4056" s="6">
        <v>0</v>
      </c>
      <c r="L4056" s="14">
        <v>0</v>
      </c>
      <c r="M4056" s="14">
        <v>0</v>
      </c>
      <c r="N4056" s="14">
        <v>0</v>
      </c>
      <c r="O4056" s="14">
        <v>0</v>
      </c>
      <c r="P4056" s="14">
        <v>0</v>
      </c>
      <c r="Q4056" s="14">
        <v>7.2</v>
      </c>
      <c r="R4056" s="14">
        <v>0</v>
      </c>
      <c r="S4056" s="14">
        <v>7.2</v>
      </c>
      <c r="T4056" s="13" t="e">
        <f>VLOOKUP(H4056,'[3]BASE MC'!J:P,7,0)</f>
        <v>#N/A</v>
      </c>
    </row>
    <row r="4057" spans="1:20" x14ac:dyDescent="0.3">
      <c r="A4057" t="str">
        <f t="shared" si="126"/>
        <v>LEITE EM PÓLACTALIS</v>
      </c>
      <c r="B4057" t="str">
        <f t="shared" si="127"/>
        <v>5226985LEITE EM PÓLACTALIS</v>
      </c>
      <c r="C4057" s="5" t="s">
        <v>174</v>
      </c>
      <c r="D4057" s="5" t="s">
        <v>681</v>
      </c>
      <c r="E4057" s="5" t="s">
        <v>681</v>
      </c>
      <c r="F4057" s="5">
        <v>5226985</v>
      </c>
      <c r="G4057" s="5" t="s">
        <v>694</v>
      </c>
      <c r="H4057" s="5" t="s">
        <v>28</v>
      </c>
      <c r="I4057" s="5" t="s">
        <v>20</v>
      </c>
      <c r="J4057" s="5" t="s">
        <v>70</v>
      </c>
      <c r="K4057" s="6">
        <v>0</v>
      </c>
      <c r="L4057" s="14">
        <v>0</v>
      </c>
      <c r="M4057" s="14">
        <v>0</v>
      </c>
      <c r="N4057" s="14">
        <v>0</v>
      </c>
      <c r="O4057" s="14">
        <v>0</v>
      </c>
      <c r="P4057" s="14">
        <v>0</v>
      </c>
      <c r="Q4057" s="14">
        <v>7.2</v>
      </c>
      <c r="R4057" s="14">
        <v>0</v>
      </c>
      <c r="S4057" s="14">
        <v>7.2</v>
      </c>
      <c r="T4057" s="13" t="e">
        <f>VLOOKUP(H4057,'[3]BASE MC'!J:P,7,0)</f>
        <v>#N/A</v>
      </c>
    </row>
    <row r="4058" spans="1:20" x14ac:dyDescent="0.3">
      <c r="A4058" t="str">
        <f t="shared" si="126"/>
        <v>LEITE UHTLACTALIS</v>
      </c>
      <c r="B4058" t="str">
        <f t="shared" si="127"/>
        <v>5371656LEITE UHTLACTALIS</v>
      </c>
      <c r="C4058" s="5" t="s">
        <v>174</v>
      </c>
      <c r="D4058" s="5" t="s">
        <v>681</v>
      </c>
      <c r="E4058" s="5" t="s">
        <v>1196</v>
      </c>
      <c r="F4058" s="5">
        <v>5371656</v>
      </c>
      <c r="G4058" s="5" t="s">
        <v>1808</v>
      </c>
      <c r="H4058" s="5" t="s">
        <v>28</v>
      </c>
      <c r="I4058" s="5" t="s">
        <v>20</v>
      </c>
      <c r="J4058" s="5" t="s">
        <v>125</v>
      </c>
      <c r="K4058" s="6">
        <v>0</v>
      </c>
      <c r="L4058" s="14">
        <v>0</v>
      </c>
      <c r="M4058" s="14">
        <v>0</v>
      </c>
      <c r="N4058" s="14">
        <v>0</v>
      </c>
      <c r="O4058" s="14">
        <v>0</v>
      </c>
      <c r="P4058" s="14">
        <v>0</v>
      </c>
      <c r="Q4058" s="14">
        <v>12</v>
      </c>
      <c r="R4058" s="14">
        <v>0</v>
      </c>
      <c r="S4058" s="14">
        <v>12</v>
      </c>
      <c r="T4058" s="13" t="e">
        <f>VLOOKUP(H4058,'[3]BASE MC'!J:P,7,0)</f>
        <v>#N/A</v>
      </c>
    </row>
    <row r="4059" spans="1:20" x14ac:dyDescent="0.3">
      <c r="A4059" t="str">
        <f t="shared" si="126"/>
        <v>LEITE EM PÓITAMBÉ</v>
      </c>
      <c r="B4059" t="str">
        <f t="shared" si="127"/>
        <v>5105940LEITE EM PÓITAMBÉ</v>
      </c>
      <c r="C4059" s="5" t="s">
        <v>174</v>
      </c>
      <c r="D4059" s="5" t="s">
        <v>681</v>
      </c>
      <c r="E4059" s="5" t="s">
        <v>1578</v>
      </c>
      <c r="F4059" s="5">
        <v>5105940</v>
      </c>
      <c r="G4059" s="5" t="s">
        <v>686</v>
      </c>
      <c r="H4059" s="5" t="s">
        <v>28</v>
      </c>
      <c r="I4059" s="5" t="s">
        <v>25</v>
      </c>
      <c r="J4059" s="5" t="s">
        <v>70</v>
      </c>
      <c r="K4059" s="6">
        <v>0</v>
      </c>
      <c r="L4059" s="14">
        <v>0</v>
      </c>
      <c r="M4059" s="14">
        <v>0</v>
      </c>
      <c r="N4059" s="14">
        <v>0</v>
      </c>
      <c r="O4059" s="14">
        <v>0</v>
      </c>
      <c r="P4059" s="14">
        <v>0</v>
      </c>
      <c r="Q4059" s="14">
        <v>423</v>
      </c>
      <c r="R4059" s="14">
        <v>0</v>
      </c>
      <c r="S4059" s="14">
        <v>423</v>
      </c>
      <c r="T4059" s="13" t="e">
        <f>VLOOKUP(H4059,'[3]BASE MC'!J:P,7,0)</f>
        <v>#N/A</v>
      </c>
    </row>
    <row r="4060" spans="1:20" x14ac:dyDescent="0.3">
      <c r="A4060" t="str">
        <f t="shared" si="126"/>
        <v>COMPOSTOLACTALIS</v>
      </c>
      <c r="B4060" t="str">
        <f t="shared" si="127"/>
        <v>5173427COMPOSTOLACTALIS</v>
      </c>
      <c r="C4060" s="5" t="s">
        <v>14</v>
      </c>
      <c r="D4060" s="5" t="s">
        <v>15</v>
      </c>
      <c r="E4060" s="5" t="s">
        <v>1433</v>
      </c>
      <c r="F4060" s="5">
        <v>5173427</v>
      </c>
      <c r="G4060" s="5" t="s">
        <v>22</v>
      </c>
      <c r="H4060" s="5" t="s">
        <v>23</v>
      </c>
      <c r="I4060" s="5" t="s">
        <v>20</v>
      </c>
      <c r="J4060" s="5" t="s">
        <v>24</v>
      </c>
      <c r="K4060" s="6">
        <v>0</v>
      </c>
      <c r="L4060" s="14">
        <v>0</v>
      </c>
      <c r="M4060" s="14">
        <v>0</v>
      </c>
      <c r="N4060" s="14">
        <v>0</v>
      </c>
      <c r="O4060" s="14">
        <v>0</v>
      </c>
      <c r="P4060" s="14">
        <v>0</v>
      </c>
      <c r="Q4060" s="14">
        <v>12000</v>
      </c>
      <c r="R4060" s="14">
        <v>0</v>
      </c>
      <c r="S4060" s="14">
        <v>12000</v>
      </c>
      <c r="T4060" s="13">
        <v>0</v>
      </c>
    </row>
    <row r="4061" spans="1:20" x14ac:dyDescent="0.3">
      <c r="A4061" t="str">
        <f t="shared" si="126"/>
        <v>DANBOLACTALIS</v>
      </c>
      <c r="B4061" t="str">
        <f t="shared" si="127"/>
        <v>5060394DANBOLACTALIS</v>
      </c>
      <c r="C4061" s="5" t="s">
        <v>14</v>
      </c>
      <c r="D4061" s="5" t="s">
        <v>14</v>
      </c>
      <c r="E4061" s="5" t="s">
        <v>106</v>
      </c>
      <c r="F4061" s="5">
        <v>5060394</v>
      </c>
      <c r="G4061" s="5" t="s">
        <v>135</v>
      </c>
      <c r="H4061" s="5" t="s">
        <v>93</v>
      </c>
      <c r="I4061" s="5" t="s">
        <v>20</v>
      </c>
      <c r="J4061" s="5" t="s">
        <v>1811</v>
      </c>
      <c r="K4061" s="6">
        <v>0</v>
      </c>
      <c r="L4061" s="14">
        <v>0</v>
      </c>
      <c r="M4061" s="14">
        <v>0</v>
      </c>
      <c r="N4061" s="14">
        <v>0</v>
      </c>
      <c r="O4061" s="14">
        <v>0</v>
      </c>
      <c r="P4061" s="14">
        <v>0</v>
      </c>
      <c r="Q4061" s="14">
        <v>109403.77099999999</v>
      </c>
      <c r="R4061" s="14">
        <v>0</v>
      </c>
      <c r="S4061" s="14">
        <v>109403.77099999999</v>
      </c>
      <c r="T4061" s="13">
        <v>0</v>
      </c>
    </row>
    <row r="4062" spans="1:20" x14ac:dyDescent="0.3">
      <c r="A4062" t="str">
        <f t="shared" si="126"/>
        <v>DANBOLACTALIS</v>
      </c>
      <c r="B4062" t="str">
        <f t="shared" si="127"/>
        <v>5160324DANBOLACTALIS</v>
      </c>
      <c r="C4062" s="5" t="s">
        <v>14</v>
      </c>
      <c r="D4062" s="5" t="s">
        <v>14</v>
      </c>
      <c r="E4062" s="5" t="s">
        <v>106</v>
      </c>
      <c r="F4062" s="5">
        <v>5160324</v>
      </c>
      <c r="G4062" s="5" t="s">
        <v>82</v>
      </c>
      <c r="H4062" s="5" t="s">
        <v>123</v>
      </c>
      <c r="I4062" s="5" t="s">
        <v>20</v>
      </c>
      <c r="J4062" s="5" t="s">
        <v>1811</v>
      </c>
      <c r="K4062" s="6">
        <v>0</v>
      </c>
      <c r="L4062" s="14">
        <v>0</v>
      </c>
      <c r="M4062" s="14">
        <v>0</v>
      </c>
      <c r="N4062" s="14">
        <v>0</v>
      </c>
      <c r="O4062" s="14">
        <v>0</v>
      </c>
      <c r="P4062" s="14">
        <v>0</v>
      </c>
      <c r="Q4062" s="14">
        <v>48433.595000000001</v>
      </c>
      <c r="R4062" s="14">
        <v>0</v>
      </c>
      <c r="S4062" s="14">
        <v>48433.595000000001</v>
      </c>
      <c r="T4062" s="13">
        <v>0</v>
      </c>
    </row>
    <row r="4063" spans="1:20" x14ac:dyDescent="0.3">
      <c r="A4063" t="str">
        <f t="shared" si="126"/>
        <v>LEITE EM PÓLACTALIS</v>
      </c>
      <c r="B4063" t="str">
        <f t="shared" si="127"/>
        <v>5249249LEITE EM PÓLACTALIS</v>
      </c>
      <c r="C4063" s="5" t="s">
        <v>174</v>
      </c>
      <c r="D4063" s="5" t="s">
        <v>681</v>
      </c>
      <c r="E4063" s="5" t="s">
        <v>1196</v>
      </c>
      <c r="F4063" s="5">
        <v>5249249</v>
      </c>
      <c r="G4063" s="5" t="s">
        <v>913</v>
      </c>
      <c r="H4063" s="5" t="s">
        <v>28</v>
      </c>
      <c r="I4063" s="5" t="s">
        <v>20</v>
      </c>
      <c r="J4063" s="5" t="s">
        <v>70</v>
      </c>
      <c r="K4063" s="6">
        <v>0</v>
      </c>
      <c r="L4063" s="14">
        <v>0</v>
      </c>
      <c r="M4063" s="14">
        <v>0</v>
      </c>
      <c r="N4063" s="14">
        <v>0</v>
      </c>
      <c r="O4063" s="14">
        <v>0</v>
      </c>
      <c r="P4063" s="14">
        <v>0</v>
      </c>
      <c r="Q4063" s="14">
        <v>7.2</v>
      </c>
      <c r="R4063" s="14">
        <v>0</v>
      </c>
      <c r="S4063" s="14">
        <v>7.2</v>
      </c>
      <c r="T4063" s="13" t="e">
        <f>VLOOKUP(H4063,'[3]BASE MC'!J:P,7,0)</f>
        <v>#N/A</v>
      </c>
    </row>
    <row r="4064" spans="1:20" x14ac:dyDescent="0.3">
      <c r="A4064" t="str">
        <f t="shared" si="126"/>
        <v>PARMESÃOLACTALIS</v>
      </c>
      <c r="B4064" t="str">
        <f t="shared" si="127"/>
        <v>5340656PARMESÃOLACTALIS</v>
      </c>
      <c r="C4064" s="5" t="s">
        <v>174</v>
      </c>
      <c r="D4064" s="5" t="s">
        <v>175</v>
      </c>
      <c r="E4064" s="5" t="s">
        <v>588</v>
      </c>
      <c r="F4064" s="5">
        <v>5340656</v>
      </c>
      <c r="G4064" s="5" t="s">
        <v>609</v>
      </c>
      <c r="H4064" s="5" t="s">
        <v>28</v>
      </c>
      <c r="I4064" s="5" t="s">
        <v>20</v>
      </c>
      <c r="J4064" s="5" t="s">
        <v>149</v>
      </c>
      <c r="K4064" s="6">
        <v>0</v>
      </c>
      <c r="L4064" s="14">
        <v>0</v>
      </c>
      <c r="M4064" s="14">
        <v>0</v>
      </c>
      <c r="N4064" s="14">
        <v>0</v>
      </c>
      <c r="O4064" s="14">
        <v>0</v>
      </c>
      <c r="P4064" s="14">
        <v>0</v>
      </c>
      <c r="Q4064" s="14">
        <v>15</v>
      </c>
      <c r="R4064" s="14">
        <v>0</v>
      </c>
      <c r="S4064" s="14">
        <v>15</v>
      </c>
      <c r="T4064" s="13" t="e">
        <f>VLOOKUP(H4064,'[3]BASE MC'!J:P,7,0)</f>
        <v>#N/A</v>
      </c>
    </row>
    <row r="4065" spans="1:20" x14ac:dyDescent="0.3">
      <c r="A4065" t="str">
        <f t="shared" si="126"/>
        <v>SPREADSLACTALIS</v>
      </c>
      <c r="B4065" t="str">
        <f t="shared" si="127"/>
        <v>5247932SPREADSLACTALIS</v>
      </c>
      <c r="C4065" s="5" t="s">
        <v>174</v>
      </c>
      <c r="D4065" s="5" t="s">
        <v>681</v>
      </c>
      <c r="E4065" s="5" t="s">
        <v>1196</v>
      </c>
      <c r="F4065" s="5">
        <v>5247932</v>
      </c>
      <c r="G4065" s="5" t="s">
        <v>320</v>
      </c>
      <c r="H4065" s="5" t="s">
        <v>28</v>
      </c>
      <c r="I4065" s="5" t="s">
        <v>20</v>
      </c>
      <c r="J4065" s="5" t="s">
        <v>773</v>
      </c>
      <c r="K4065" s="6">
        <v>0</v>
      </c>
      <c r="L4065" s="14">
        <v>0</v>
      </c>
      <c r="M4065" s="14">
        <v>0</v>
      </c>
      <c r="N4065" s="14">
        <v>0</v>
      </c>
      <c r="O4065" s="14">
        <v>0</v>
      </c>
      <c r="P4065" s="14">
        <v>0</v>
      </c>
      <c r="Q4065" s="14">
        <v>7.2</v>
      </c>
      <c r="R4065" s="14">
        <v>0</v>
      </c>
      <c r="S4065" s="14">
        <v>7.2</v>
      </c>
      <c r="T4065" s="13" t="e">
        <f>VLOOKUP(H4065,'[3]BASE MC'!J:P,7,0)</f>
        <v>#N/A</v>
      </c>
    </row>
    <row r="4066" spans="1:20" x14ac:dyDescent="0.3">
      <c r="A4066" t="str">
        <f t="shared" si="126"/>
        <v>SPREADSLACTALIS</v>
      </c>
      <c r="B4066" t="str">
        <f t="shared" si="127"/>
        <v>5253195SPREADSLACTALIS</v>
      </c>
      <c r="C4066" s="5" t="s">
        <v>174</v>
      </c>
      <c r="D4066" s="5" t="s">
        <v>681</v>
      </c>
      <c r="E4066" s="5" t="s">
        <v>1578</v>
      </c>
      <c r="F4066" s="5">
        <v>5253195</v>
      </c>
      <c r="G4066" s="5" t="s">
        <v>1521</v>
      </c>
      <c r="H4066" s="5" t="s">
        <v>28</v>
      </c>
      <c r="I4066" s="5" t="s">
        <v>20</v>
      </c>
      <c r="J4066" s="5" t="s">
        <v>773</v>
      </c>
      <c r="K4066" s="6">
        <v>0</v>
      </c>
      <c r="L4066" s="14">
        <v>0</v>
      </c>
      <c r="M4066" s="14">
        <v>0</v>
      </c>
      <c r="N4066" s="14">
        <v>0</v>
      </c>
      <c r="O4066" s="14">
        <v>0</v>
      </c>
      <c r="P4066" s="14">
        <v>0</v>
      </c>
      <c r="Q4066" s="14">
        <v>15</v>
      </c>
      <c r="R4066" s="14">
        <v>0</v>
      </c>
      <c r="S4066" s="14">
        <v>15</v>
      </c>
      <c r="T4066" s="13" t="e">
        <f>VLOOKUP(H4066,'[3]BASE MC'!J:P,7,0)</f>
        <v>#N/A</v>
      </c>
    </row>
    <row r="4067" spans="1:20" x14ac:dyDescent="0.3">
      <c r="A4067" t="str">
        <f t="shared" si="126"/>
        <v>BLISTERLACTALIS</v>
      </c>
      <c r="B4067" t="str">
        <f t="shared" si="127"/>
        <v>5316251BLISTERLACTALIS</v>
      </c>
      <c r="C4067" s="5" t="s">
        <v>174</v>
      </c>
      <c r="D4067" s="5" t="s">
        <v>681</v>
      </c>
      <c r="E4067" s="5" t="s">
        <v>1204</v>
      </c>
      <c r="F4067" s="5">
        <v>5316251</v>
      </c>
      <c r="G4067" s="5" t="s">
        <v>391</v>
      </c>
      <c r="H4067" s="5" t="s">
        <v>28</v>
      </c>
      <c r="I4067" s="5" t="s">
        <v>20</v>
      </c>
      <c r="J4067" s="5" t="s">
        <v>152</v>
      </c>
      <c r="K4067" s="6">
        <v>0</v>
      </c>
      <c r="L4067" s="14">
        <v>0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3" t="e">
        <f>VLOOKUP(H4067,'[3]BASE MC'!J:P,7,0)</f>
        <v>#N/A</v>
      </c>
    </row>
    <row r="4068" spans="1:20" x14ac:dyDescent="0.3">
      <c r="A4068" t="str">
        <f t="shared" si="126"/>
        <v>LEITE UHTLACTALIS</v>
      </c>
      <c r="B4068" t="str">
        <f t="shared" si="127"/>
        <v>5264769LEITE UHTLACTALIS</v>
      </c>
      <c r="C4068" s="5" t="s">
        <v>174</v>
      </c>
      <c r="D4068" s="5" t="s">
        <v>681</v>
      </c>
      <c r="E4068" s="5" t="s">
        <v>1204</v>
      </c>
      <c r="F4068" s="5">
        <v>5264769</v>
      </c>
      <c r="G4068" s="5" t="s">
        <v>1607</v>
      </c>
      <c r="H4068" s="5" t="s">
        <v>28</v>
      </c>
      <c r="I4068" s="5" t="s">
        <v>20</v>
      </c>
      <c r="J4068" s="5" t="s">
        <v>125</v>
      </c>
      <c r="K4068" s="6">
        <v>0</v>
      </c>
      <c r="L4068" s="14">
        <v>0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3" t="e">
        <f>VLOOKUP(H4068,'[3]BASE MC'!J:P,7,0)</f>
        <v>#N/A</v>
      </c>
    </row>
    <row r="4069" spans="1:20" x14ac:dyDescent="0.3">
      <c r="A4069" t="str">
        <f t="shared" si="126"/>
        <v>SPREADSLACTALIS</v>
      </c>
      <c r="B4069" t="str">
        <f t="shared" si="127"/>
        <v>5170001SPREADSLACTALIS</v>
      </c>
      <c r="C4069" s="5" t="s">
        <v>174</v>
      </c>
      <c r="D4069" s="5" t="s">
        <v>681</v>
      </c>
      <c r="E4069" s="5" t="s">
        <v>1196</v>
      </c>
      <c r="F4069" s="5">
        <v>5170001</v>
      </c>
      <c r="G4069" s="5" t="s">
        <v>474</v>
      </c>
      <c r="H4069" s="5" t="s">
        <v>28</v>
      </c>
      <c r="I4069" s="5" t="s">
        <v>20</v>
      </c>
      <c r="J4069" s="5" t="s">
        <v>773</v>
      </c>
      <c r="K4069" s="6">
        <v>0</v>
      </c>
      <c r="L4069" s="14">
        <v>0</v>
      </c>
      <c r="M4069" s="14">
        <v>0</v>
      </c>
      <c r="N4069" s="14">
        <v>0</v>
      </c>
      <c r="O4069" s="14">
        <v>0</v>
      </c>
      <c r="P4069" s="14">
        <v>0</v>
      </c>
      <c r="Q4069" s="14">
        <v>0</v>
      </c>
      <c r="R4069" s="14">
        <v>0</v>
      </c>
      <c r="S4069" s="14">
        <v>0</v>
      </c>
      <c r="T4069" s="13" t="e">
        <f>VLOOKUP(H4069,'[3]BASE MC'!J:P,7,0)</f>
        <v>#N/A</v>
      </c>
    </row>
    <row r="4070" spans="1:20" x14ac:dyDescent="0.3">
      <c r="A4070" t="str">
        <f t="shared" si="126"/>
        <v>LEITE EM PÓITAMBÉ</v>
      </c>
      <c r="B4070" t="str">
        <f t="shared" si="127"/>
        <v>5189644LEITE EM PÓITAMBÉ</v>
      </c>
      <c r="C4070" s="5" t="s">
        <v>174</v>
      </c>
      <c r="D4070" s="5" t="s">
        <v>681</v>
      </c>
      <c r="E4070" s="5" t="s">
        <v>1197</v>
      </c>
      <c r="F4070" s="5">
        <v>5189644</v>
      </c>
      <c r="G4070" s="5" t="s">
        <v>181</v>
      </c>
      <c r="H4070" s="5" t="s">
        <v>28</v>
      </c>
      <c r="I4070" s="5" t="s">
        <v>25</v>
      </c>
      <c r="J4070" s="5" t="s">
        <v>70</v>
      </c>
      <c r="K4070" s="6">
        <v>0</v>
      </c>
      <c r="L4070" s="14">
        <v>0</v>
      </c>
      <c r="M4070" s="14">
        <v>0</v>
      </c>
      <c r="N4070" s="14">
        <v>0</v>
      </c>
      <c r="O4070" s="14">
        <v>0</v>
      </c>
      <c r="P4070" s="14">
        <v>0</v>
      </c>
      <c r="Q4070" s="14">
        <v>10</v>
      </c>
      <c r="R4070" s="14">
        <v>0</v>
      </c>
      <c r="S4070" s="14">
        <v>10</v>
      </c>
      <c r="T4070" s="13" t="e">
        <f>VLOOKUP(H4070,'[3]BASE MC'!J:P,7,0)</f>
        <v>#N/A</v>
      </c>
    </row>
    <row r="4071" spans="1:20" x14ac:dyDescent="0.3">
      <c r="A4071" t="str">
        <f t="shared" si="126"/>
        <v>LPI 25KGITAMBÉ</v>
      </c>
      <c r="B4071" t="str">
        <f t="shared" si="127"/>
        <v>5194510LPI 25KGITAMBÉ</v>
      </c>
      <c r="C4071" s="5" t="s">
        <v>174</v>
      </c>
      <c r="D4071" s="5" t="s">
        <v>1437</v>
      </c>
      <c r="E4071" s="5" t="s">
        <v>634</v>
      </c>
      <c r="F4071" s="5">
        <v>5194510</v>
      </c>
      <c r="G4071" s="5" t="s">
        <v>1809</v>
      </c>
      <c r="H4071" s="5" t="s">
        <v>38</v>
      </c>
      <c r="I4071" s="5" t="s">
        <v>25</v>
      </c>
      <c r="J4071" s="5" t="s">
        <v>19</v>
      </c>
      <c r="K4071" s="6">
        <v>0</v>
      </c>
      <c r="L4071" s="14">
        <v>0</v>
      </c>
      <c r="M4071" s="14">
        <v>0</v>
      </c>
      <c r="N4071" s="14">
        <v>0</v>
      </c>
      <c r="O4071" s="14">
        <v>0</v>
      </c>
      <c r="P4071" s="14">
        <v>0</v>
      </c>
      <c r="Q4071" s="14">
        <v>50</v>
      </c>
      <c r="R4071" s="14">
        <v>0</v>
      </c>
      <c r="S4071" s="14">
        <v>50</v>
      </c>
      <c r="T4071" s="13">
        <v>0</v>
      </c>
    </row>
    <row r="4072" spans="1:20" x14ac:dyDescent="0.3">
      <c r="A4072" t="str">
        <f t="shared" si="126"/>
        <v>IOGURTESLACTALIS</v>
      </c>
      <c r="B4072" t="str">
        <f t="shared" si="127"/>
        <v>5211344IOGURTESLACTALIS</v>
      </c>
      <c r="C4072" s="5" t="s">
        <v>174</v>
      </c>
      <c r="D4072" s="5" t="s">
        <v>681</v>
      </c>
      <c r="E4072" s="5" t="s">
        <v>681</v>
      </c>
      <c r="F4072" s="5">
        <v>5211344</v>
      </c>
      <c r="G4072" s="5" t="s">
        <v>696</v>
      </c>
      <c r="H4072" s="5" t="s">
        <v>28</v>
      </c>
      <c r="I4072" s="5" t="s">
        <v>20</v>
      </c>
      <c r="J4072" s="5" t="s">
        <v>122</v>
      </c>
      <c r="K4072" s="6">
        <v>0</v>
      </c>
      <c r="L4072" s="14">
        <v>0</v>
      </c>
      <c r="M4072" s="14">
        <v>0</v>
      </c>
      <c r="N4072" s="14">
        <v>0</v>
      </c>
      <c r="O4072" s="14">
        <v>0</v>
      </c>
      <c r="P4072" s="14">
        <v>0</v>
      </c>
      <c r="Q4072" s="14">
        <v>18.399999999999999</v>
      </c>
      <c r="R4072" s="14">
        <v>0</v>
      </c>
      <c r="S4072" s="14">
        <v>18.399999999999999</v>
      </c>
      <c r="T4072" s="13" t="e">
        <f>VLOOKUP(H4072,'[3]BASE MC'!J:P,7,0)</f>
        <v>#N/A</v>
      </c>
    </row>
    <row r="4073" spans="1:20" x14ac:dyDescent="0.3">
      <c r="A4073" t="str">
        <f t="shared" si="126"/>
        <v>LEITE EM PÓLACTALIS</v>
      </c>
      <c r="B4073" t="str">
        <f t="shared" si="127"/>
        <v>5211344LEITE EM PÓLACTALIS</v>
      </c>
      <c r="C4073" s="5" t="s">
        <v>174</v>
      </c>
      <c r="D4073" s="5" t="s">
        <v>681</v>
      </c>
      <c r="E4073" s="5" t="s">
        <v>681</v>
      </c>
      <c r="F4073" s="5">
        <v>5211344</v>
      </c>
      <c r="G4073" s="5" t="s">
        <v>696</v>
      </c>
      <c r="H4073" s="5" t="s">
        <v>28</v>
      </c>
      <c r="I4073" s="5" t="s">
        <v>20</v>
      </c>
      <c r="J4073" s="5" t="s">
        <v>70</v>
      </c>
      <c r="K4073" s="6">
        <v>0</v>
      </c>
      <c r="L4073" s="14">
        <v>0</v>
      </c>
      <c r="M4073" s="14">
        <v>0</v>
      </c>
      <c r="N4073" s="14">
        <v>0</v>
      </c>
      <c r="O4073" s="14">
        <v>0</v>
      </c>
      <c r="P4073" s="14">
        <v>0</v>
      </c>
      <c r="Q4073" s="14">
        <v>10.8</v>
      </c>
      <c r="R4073" s="14">
        <v>0</v>
      </c>
      <c r="S4073" s="14">
        <v>10.8</v>
      </c>
      <c r="T4073" s="13" t="e">
        <f>VLOOKUP(H4073,'[3]BASE MC'!J:P,7,0)</f>
        <v>#N/A</v>
      </c>
    </row>
    <row r="4074" spans="1:20" x14ac:dyDescent="0.3">
      <c r="A4074" t="str">
        <f t="shared" si="126"/>
        <v>MANTEIGA 5KGLACTALIS</v>
      </c>
      <c r="B4074" t="str">
        <f t="shared" si="127"/>
        <v>5217192MANTEIGA 5KGLACTALIS</v>
      </c>
      <c r="C4074" s="5" t="s">
        <v>174</v>
      </c>
      <c r="D4074" s="5" t="s">
        <v>681</v>
      </c>
      <c r="E4074" s="5" t="s">
        <v>1202</v>
      </c>
      <c r="F4074" s="5">
        <v>5217192</v>
      </c>
      <c r="G4074" s="5" t="s">
        <v>1810</v>
      </c>
      <c r="H4074" s="5" t="s">
        <v>28</v>
      </c>
      <c r="I4074" s="5" t="s">
        <v>20</v>
      </c>
      <c r="J4074" s="5" t="s">
        <v>54</v>
      </c>
      <c r="K4074" s="6">
        <v>0</v>
      </c>
      <c r="L4074" s="14">
        <v>0</v>
      </c>
      <c r="M4074" s="14">
        <v>0</v>
      </c>
      <c r="N4074" s="14">
        <v>0</v>
      </c>
      <c r="O4074" s="14">
        <v>0</v>
      </c>
      <c r="P4074" s="14">
        <v>0</v>
      </c>
      <c r="Q4074" s="14">
        <v>5</v>
      </c>
      <c r="R4074" s="14">
        <v>0</v>
      </c>
      <c r="S4074" s="14">
        <v>5</v>
      </c>
      <c r="T4074" s="13" t="e">
        <f>VLOOKUP(H4074,'[3]BASE MC'!J:P,7,0)</f>
        <v>#N/A</v>
      </c>
    </row>
    <row r="4075" spans="1:20" x14ac:dyDescent="0.3">
      <c r="A4075" t="str">
        <f t="shared" si="126"/>
        <v>MERC + AROMLACTALIS</v>
      </c>
      <c r="B4075" t="str">
        <f t="shared" si="127"/>
        <v>5371406MERC + AROMLACTALIS</v>
      </c>
      <c r="C4075" s="5" t="s">
        <v>174</v>
      </c>
      <c r="D4075" s="5" t="s">
        <v>681</v>
      </c>
      <c r="E4075" s="5" t="s">
        <v>1204</v>
      </c>
      <c r="F4075" s="5">
        <v>5371406</v>
      </c>
      <c r="G4075" s="5" t="s">
        <v>1576</v>
      </c>
      <c r="H4075" s="5" t="s">
        <v>28</v>
      </c>
      <c r="I4075" s="5" t="s">
        <v>20</v>
      </c>
      <c r="J4075" s="5" t="s">
        <v>178</v>
      </c>
      <c r="K4075" s="6">
        <v>0</v>
      </c>
      <c r="L4075" s="14">
        <v>0</v>
      </c>
      <c r="M4075" s="14">
        <v>0</v>
      </c>
      <c r="N4075" s="14">
        <v>0</v>
      </c>
      <c r="O4075" s="14">
        <v>0</v>
      </c>
      <c r="P4075" s="14">
        <v>0</v>
      </c>
      <c r="Q4075" s="14">
        <v>6</v>
      </c>
      <c r="R4075" s="14">
        <v>0</v>
      </c>
      <c r="S4075" s="14">
        <v>6</v>
      </c>
      <c r="T4075" s="13" t="e">
        <f>VLOOKUP(H4075,'[3]BASE MC'!J:P,7,0)</f>
        <v>#N/A</v>
      </c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2026-10-29T12:06:55Z</dcterms:modified>
  <cp:category/>
  <cp:contentStatus/>
</cp:coreProperties>
</file>